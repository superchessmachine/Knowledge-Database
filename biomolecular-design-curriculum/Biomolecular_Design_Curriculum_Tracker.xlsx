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rogress Tracker" sheetId="2" state="visible" r:id="rId2"/>
    <sheet xmlns:r="http://schemas.openxmlformats.org/officeDocument/2006/relationships" name="Dashboard" sheetId="3" state="visible" r:id="rId3"/>
    <sheet xmlns:r="http://schemas.openxmlformats.org/officeDocument/2006/relationships" name="Core Path" sheetId="4" state="visible" r:id="rId4"/>
    <sheet xmlns:r="http://schemas.openxmlformats.org/officeDocument/2006/relationships" name="Paired Reading" sheetId="5" state="visible" r:id="rId5"/>
    <sheet xmlns:r="http://schemas.openxmlformats.org/officeDocument/2006/relationships" name="Checkpoints" sheetId="6" state="visible" r:id="rId6"/>
    <sheet xmlns:r="http://schemas.openxmlformats.org/officeDocument/2006/relationships" name="Capstones" sheetId="7" state="visible" r:id="rId7"/>
    <sheet xmlns:r="http://schemas.openxmlformats.org/officeDocument/2006/relationships" name="Papers" sheetId="8" state="visible" r:id="rId8"/>
    <sheet xmlns:r="http://schemas.openxmlformats.org/officeDocument/2006/relationships" name="Sections" sheetId="9" state="visible" r:id="rId9"/>
  </sheets>
  <definedNames>
    <definedName name="_xlnm._FilterDatabase" localSheetId="1" hidden="1">'Progress Tracker'!$A$1:$P$3272</definedName>
    <definedName name="_xlnm._FilterDatabase" localSheetId="3" hidden="1">'Core Path'!$A$4:$G$221</definedName>
    <definedName name="_xlnm._FilterDatabase" localSheetId="4" hidden="1">'Paired Reading'!$A$4:$G$471</definedName>
    <definedName name="_xlnm._FilterDatabase" localSheetId="5" hidden="1">'Checkpoints'!$A$4:$E$77</definedName>
    <definedName name="_xlnm._FilterDatabase" localSheetId="7" hidden="1">'Papers'!$A$4:$E$551</definedName>
    <definedName name="_xlnm._FilterDatabase" localSheetId="8" hidden="1">'Sections'!$A$4:$E$325</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20">
    <font>
      <name val="Calibri"/>
      <family val="2"/>
      <color theme="1"/>
      <sz val="11"/>
      <scheme val="minor"/>
    </font>
    <font>
      <b val="1"/>
      <color rgb="001F2937"/>
      <sz val="18"/>
    </font>
    <font>
      <color rgb="006B7280"/>
      <sz val="11"/>
    </font>
    <font>
      <b val="1"/>
      <color rgb="001F2937"/>
      <sz val="10"/>
    </font>
    <font>
      <sz val="10"/>
    </font>
    <font>
      <b val="1"/>
      <color rgb="001F2937"/>
      <sz val="12"/>
    </font>
    <font>
      <b val="1"/>
      <color rgb="00FFFFFF"/>
      <sz val="11"/>
    </font>
    <font>
      <color rgb="001A56DB"/>
      <u val="single"/>
    </font>
    <font>
      <b val="1"/>
      <sz val="10"/>
    </font>
    <font>
      <sz val="9"/>
    </font>
    <font>
      <name val="Arial"/>
      <color theme="1"/>
      <sz val="11"/>
    </font>
    <font>
      <name val="Arial"/>
      <b val="1"/>
      <color rgb="001F2937"/>
      <sz val="18"/>
    </font>
    <font>
      <name val="Arial"/>
      <color rgb="006B7280"/>
      <sz val="11"/>
    </font>
    <font>
      <name val="Arial"/>
      <b val="1"/>
      <color rgb="001F2937"/>
      <sz val="10"/>
    </font>
    <font>
      <name val="Arial"/>
      <sz val="10"/>
    </font>
    <font>
      <name val="Arial"/>
      <b val="1"/>
      <color rgb="001F2937"/>
      <sz val="12"/>
    </font>
    <font>
      <name val="Arial"/>
      <b val="1"/>
      <color rgb="00FFFFFF"/>
      <sz val="11"/>
    </font>
    <font>
      <name val="Arial"/>
      <color rgb="001A56DB"/>
      <sz val="10"/>
      <u val="single"/>
    </font>
    <font>
      <name val="Arial"/>
      <b val="1"/>
      <sz val="10"/>
    </font>
    <font>
      <name val="Arial"/>
      <sz val="9"/>
    </font>
  </fonts>
  <fills count="9">
    <fill>
      <patternFill/>
    </fill>
    <fill>
      <patternFill patternType="gray125"/>
    </fill>
    <fill>
      <patternFill patternType="solid">
        <fgColor rgb="001F2937"/>
      </patternFill>
    </fill>
    <fill>
      <patternFill patternType="solid">
        <fgColor rgb="00E8F0FE"/>
      </patternFill>
    </fill>
    <fill>
      <patternFill patternType="solid">
        <fgColor rgb="00E6F4EA"/>
      </patternFill>
    </fill>
    <fill>
      <patternFill patternType="solid">
        <fgColor rgb="00FFF4E5"/>
      </patternFill>
    </fill>
    <fill>
      <patternFill patternType="solid">
        <fgColor rgb="00F3E8FF"/>
      </patternFill>
    </fill>
    <fill>
      <patternFill patternType="solid">
        <fgColor rgb="00FCE8E6"/>
      </patternFill>
    </fill>
    <fill>
      <patternFill patternType="solid">
        <fgColor rgb="00ECEFF1"/>
      </patternFill>
    </fill>
  </fills>
  <borders count="2">
    <border>
      <left/>
      <right/>
      <top/>
      <bottom/>
      <diagonal/>
    </border>
    <border>
      <bottom style="thin">
        <color rgb="00D1D5DB"/>
      </bottom>
    </border>
  </borders>
  <cellStyleXfs count="1">
    <xf numFmtId="0" fontId="0" fillId="0" borderId="0"/>
  </cellStyleXfs>
  <cellXfs count="37">
    <xf numFmtId="0" fontId="0"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applyAlignment="1" pivotButton="0" quotePrefix="0" xfId="0">
      <alignment vertical="top" wrapText="1"/>
    </xf>
    <xf numFmtId="0" fontId="15" fillId="0" borderId="0" pivotButton="0" quotePrefix="0" xfId="0"/>
    <xf numFmtId="0" fontId="16" fillId="2" borderId="0" applyAlignment="1" pivotButton="0" quotePrefix="0" xfId="0">
      <alignment horizontal="left" vertical="center" wrapText="1"/>
    </xf>
    <xf numFmtId="0" fontId="10" fillId="3" borderId="1" applyAlignment="1" pivotButton="0" quotePrefix="0" xfId="0">
      <alignment vertical="top"/>
    </xf>
    <xf numFmtId="0" fontId="10" fillId="3" borderId="1" applyAlignment="1" pivotButton="0" quotePrefix="0" xfId="0">
      <alignment vertical="top" wrapText="1"/>
    </xf>
    <xf numFmtId="0" fontId="10" fillId="0" borderId="1" applyAlignment="1" pivotButton="0" quotePrefix="0" xfId="0">
      <alignment vertical="top" wrapText="1"/>
    </xf>
    <xf numFmtId="0" fontId="10" fillId="0" borderId="1" applyAlignment="1" pivotButton="0" quotePrefix="0" xfId="0">
      <alignment vertical="top"/>
    </xf>
    <xf numFmtId="0" fontId="10" fillId="0" borderId="1" applyAlignment="1" pivotButton="0" quotePrefix="0" xfId="0">
      <alignment horizontal="center"/>
    </xf>
    <xf numFmtId="164" fontId="10" fillId="0" borderId="1" applyAlignment="1" pivotButton="0" quotePrefix="0" xfId="0">
      <alignment vertical="top"/>
    </xf>
    <xf numFmtId="0" fontId="17" fillId="0" borderId="1" applyAlignment="1" pivotButton="0" quotePrefix="0" xfId="0">
      <alignment vertical="top"/>
    </xf>
    <xf numFmtId="0" fontId="10" fillId="4" borderId="1" applyAlignment="1" pivotButton="0" quotePrefix="0" xfId="0">
      <alignment vertical="top"/>
    </xf>
    <xf numFmtId="0" fontId="10" fillId="4" borderId="1" applyAlignment="1" pivotButton="0" quotePrefix="0" xfId="0">
      <alignment vertical="top" wrapText="1"/>
    </xf>
    <xf numFmtId="0" fontId="10" fillId="5" borderId="1" applyAlignment="1" pivotButton="0" quotePrefix="0" xfId="0">
      <alignment vertical="top"/>
    </xf>
    <xf numFmtId="0" fontId="10" fillId="5" borderId="1" applyAlignment="1" pivotButton="0" quotePrefix="0" xfId="0">
      <alignment vertical="top" wrapText="1"/>
    </xf>
    <xf numFmtId="0" fontId="10" fillId="6" borderId="1" applyAlignment="1" pivotButton="0" quotePrefix="0" xfId="0">
      <alignment vertical="top"/>
    </xf>
    <xf numFmtId="0" fontId="10" fillId="6" borderId="1" applyAlignment="1" pivotButton="0" quotePrefix="0" xfId="0">
      <alignment vertical="top" wrapText="1"/>
    </xf>
    <xf numFmtId="0" fontId="10" fillId="7" borderId="1" applyAlignment="1" pivotButton="0" quotePrefix="0" xfId="0">
      <alignment vertical="top"/>
    </xf>
    <xf numFmtId="0" fontId="10" fillId="7" borderId="1" applyAlignment="1" pivotButton="0" quotePrefix="0" xfId="0">
      <alignment vertical="top" wrapText="1"/>
    </xf>
    <xf numFmtId="0" fontId="10" fillId="8" borderId="1" applyAlignment="1" pivotButton="0" quotePrefix="0" xfId="0">
      <alignment vertical="top"/>
    </xf>
    <xf numFmtId="0" fontId="10" fillId="8" borderId="1" applyAlignment="1" pivotButton="0" quotePrefix="0" xfId="0">
      <alignment vertical="top" wrapText="1"/>
    </xf>
    <xf numFmtId="0" fontId="18" fillId="0" borderId="0" pivotButton="0" quotePrefix="0" xfId="0"/>
    <xf numFmtId="3" fontId="14" fillId="0" borderId="0" pivotButton="0" quotePrefix="0" xfId="0"/>
    <xf numFmtId="165" fontId="14" fillId="0" borderId="0" pivotButton="0" quotePrefix="0" xfId="0"/>
    <xf numFmtId="0" fontId="18" fillId="3" borderId="1" applyAlignment="1" pivotButton="0" quotePrefix="0" xfId="0">
      <alignment vertical="center" wrapText="1"/>
    </xf>
    <xf numFmtId="0" fontId="10" fillId="0" borderId="1" pivotButton="0" quotePrefix="0" xfId="0"/>
    <xf numFmtId="165" fontId="10" fillId="0" borderId="1" pivotButton="0" quotePrefix="0" xfId="0"/>
    <xf numFmtId="0" fontId="18" fillId="4" borderId="1" applyAlignment="1" pivotButton="0" quotePrefix="0" xfId="0">
      <alignment vertical="center" wrapText="1"/>
    </xf>
    <xf numFmtId="0" fontId="18" fillId="5" borderId="1" applyAlignment="1" pivotButton="0" quotePrefix="0" xfId="0">
      <alignment vertical="center" wrapText="1"/>
    </xf>
    <xf numFmtId="0" fontId="18" fillId="6" borderId="1" applyAlignment="1" pivotButton="0" quotePrefix="0" xfId="0">
      <alignment vertical="center" wrapText="1"/>
    </xf>
    <xf numFmtId="0" fontId="18" fillId="7" borderId="1" applyAlignment="1" pivotButton="0" quotePrefix="0" xfId="0">
      <alignment vertical="center" wrapText="1"/>
    </xf>
    <xf numFmtId="0" fontId="18" fillId="8" borderId="1" applyAlignment="1" pivotButton="0" quotePrefix="0" xfId="0">
      <alignment vertical="center" wrapText="1"/>
    </xf>
    <xf numFmtId="0" fontId="19" fillId="0" borderId="1" applyAlignment="1" pivotButton="0" quotePrefix="0" xfId="0">
      <alignment vertical="top" wrapText="1"/>
    </xf>
  </cellXfs>
  <cellStyles count="1">
    <cellStyle name="Normal" xfId="0" builtinId="0" hidden="0"/>
  </cellStyles>
  <dxfs count="6">
    <dxf>
      <font>
        <b val="1"/>
        <color rgb="0014532D"/>
      </font>
      <fill>
        <patternFill patternType="solid">
          <fgColor rgb="00C6E7CE"/>
        </patternFill>
      </fill>
    </dxf>
    <dxf>
      <font>
        <b val="1"/>
        <color rgb="007A5B00"/>
      </font>
      <fill>
        <patternFill patternType="solid">
          <fgColor rgb="00FDF0C8"/>
        </patternFill>
      </fill>
    </dxf>
    <dxf>
      <font>
        <i val="1"/>
        <color rgb="007A7A7A"/>
      </font>
      <fill>
        <patternFill patternType="solid">
          <fgColor rgb="00EDEDED"/>
        </patternFill>
      </fill>
    </dxf>
    <dxf>
      <font>
        <strike val="1"/>
        <color rgb="009AA0A6"/>
      </font>
    </dxf>
    <dxf>
      <fill>
        <patternFill patternType="solid">
          <fgColor rgb="00C6E7CE"/>
        </patternFill>
      </fill>
    </dxf>
    <dxf>
      <fill>
        <patternFill patternType="solid">
          <fgColor rgb="00FDF0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watch?v=Cx5Z-OslNWE" TargetMode="External" Id="rId1"/><Relationship Type="http://schemas.openxmlformats.org/officeDocument/2006/relationships/hyperlink" Target="https://www.youtube.com/watch?v=t36jZG07MYc" TargetMode="External" Id="rId2"/><Relationship Type="http://schemas.openxmlformats.org/officeDocument/2006/relationships/hyperlink" Target="https://www.youtube.com/watch?v=YiqIkSHSmyc" TargetMode="External" Id="rId3"/><Relationship Type="http://schemas.openxmlformats.org/officeDocument/2006/relationships/hyperlink" Target="https://www.youtube.com/watch?v=or6C4yBk_SY" TargetMode="External" Id="rId4"/><Relationship Type="http://schemas.openxmlformats.org/officeDocument/2006/relationships/hyperlink" Target="https://www.youtube.com/watch?v=Xa2jPbURTjQ" TargetMode="External" Id="rId5"/><Relationship Type="http://schemas.openxmlformats.org/officeDocument/2006/relationships/hyperlink" Target="https://www.youtube.com/watch?v=k095NdrHxY4" TargetMode="External" Id="rId6"/><Relationship Type="http://schemas.openxmlformats.org/officeDocument/2006/relationships/hyperlink" Target="https://www.youtube.com/watch?v=xsP-S7yKaRA" TargetMode="External" Id="rId7"/><Relationship Type="http://schemas.openxmlformats.org/officeDocument/2006/relationships/hyperlink" Target="https://www.youtube.com/watch?v=rYz83XPxiZo" TargetMode="External" Id="rId8"/><Relationship Type="http://schemas.openxmlformats.org/officeDocument/2006/relationships/hyperlink" Target="https://www.youtube.com/watch?v=Y4f7K9XF04k" TargetMode="External" Id="rId9"/><Relationship Type="http://schemas.openxmlformats.org/officeDocument/2006/relationships/hyperlink" Target="https://www.youtube.com/watch?v=NcPUI7aPFhA" TargetMode="External" Id="rId10"/><Relationship Type="http://schemas.openxmlformats.org/officeDocument/2006/relationships/hyperlink" Target="https://www.youtube.com/watch?v=ZUU57Q3CFOU" TargetMode="External" Id="rId11"/><Relationship Type="http://schemas.openxmlformats.org/officeDocument/2006/relationships/hyperlink" Target="https://www.youtube.com/watch?v=Z_5uLqcwDgM" TargetMode="External" Id="rId12"/><Relationship Type="http://schemas.openxmlformats.org/officeDocument/2006/relationships/hyperlink" Target="https://www.youtube.com/watch?v=MuEW9pG9oxE" TargetMode="External" Id="rId13"/><Relationship Type="http://schemas.openxmlformats.org/officeDocument/2006/relationships/hyperlink" Target="https://www.youtube.com/watch?v=d32WV1rKoVk" TargetMode="External" Id="rId14"/><Relationship Type="http://schemas.openxmlformats.org/officeDocument/2006/relationships/hyperlink" Target="https://www.youtube.com/watch?v=z0ykhV15wLw" TargetMode="External" Id="rId15"/><Relationship Type="http://schemas.openxmlformats.org/officeDocument/2006/relationships/hyperlink" Target="https://www.youtube.com/watch?v=XhSk_Lw2X_U" TargetMode="External" Id="rId16"/><Relationship Type="http://schemas.openxmlformats.org/officeDocument/2006/relationships/hyperlink" Target="https://www.youtube.com/watch?v=z3SmljnD_nQ" TargetMode="External" Id="rId17"/><Relationship Type="http://schemas.openxmlformats.org/officeDocument/2006/relationships/hyperlink" Target="https://www.youtube.com/watch?v=AdTvkFsqcDc" TargetMode="External" Id="rId18"/><Relationship Type="http://schemas.openxmlformats.org/officeDocument/2006/relationships/hyperlink" Target="https://www.youtube.com/watch?v=9BYsNpTCZGg" TargetMode="External" Id="rId19"/><Relationship Type="http://schemas.openxmlformats.org/officeDocument/2006/relationships/hyperlink" Target="https://www.youtube.com/watch?v=xaSL8yFgqig" TargetMode="External" Id="rId20"/><Relationship Type="http://schemas.openxmlformats.org/officeDocument/2006/relationships/hyperlink" Target="https://www.youtube.com/watch?v=2K7CvGnebO0" TargetMode="External" Id="rId21"/><Relationship Type="http://schemas.openxmlformats.org/officeDocument/2006/relationships/hyperlink" Target="https://www.youtube.com/watch?v=nrDkb2MAwSA" TargetMode="External" Id="rId22"/><Relationship Type="http://schemas.openxmlformats.org/officeDocument/2006/relationships/hyperlink" Target="https://www.youtube.com/watch?v=nvXRJIBOREc" TargetMode="External" Id="rId23"/><Relationship Type="http://schemas.openxmlformats.org/officeDocument/2006/relationships/hyperlink" Target="https://www.youtube.com/watch?v=AeRwohPuUHQ" TargetMode="External" Id="rId24"/><Relationship Type="http://schemas.openxmlformats.org/officeDocument/2006/relationships/hyperlink" Target="https://www.youtube.com/watch?v=wrEcHhoJxjM" TargetMode="External" Id="rId25"/><Relationship Type="http://schemas.openxmlformats.org/officeDocument/2006/relationships/hyperlink" Target="https://www.youtube.com/watch?v=feb9j65Iz4w" TargetMode="External" Id="rId26"/><Relationship Type="http://schemas.openxmlformats.org/officeDocument/2006/relationships/hyperlink" Target="https://www.youtube.com/watch?v=k3AiUhwHQ28" TargetMode="External" Id="rId27"/><Relationship Type="http://schemas.openxmlformats.org/officeDocument/2006/relationships/hyperlink" Target="https://www.youtube.com/watch?v=sx00s7nYmRM" TargetMode="External" Id="rId28"/><Relationship Type="http://schemas.openxmlformats.org/officeDocument/2006/relationships/hyperlink" Target="https://www.youtube.com/watch?v=lZrIPRnoGQQ" TargetMode="External" Id="rId29"/><Relationship Type="http://schemas.openxmlformats.org/officeDocument/2006/relationships/hyperlink" Target="https://www.youtube.com/watch?v=p-bXJIa7QVI" TargetMode="External" Id="rId30"/><Relationship Type="http://schemas.openxmlformats.org/officeDocument/2006/relationships/hyperlink" Target="https://www.youtube.com/watch?v=1pFv7e9xtHo" TargetMode="External" Id="rId31"/><Relationship Type="http://schemas.openxmlformats.org/officeDocument/2006/relationships/hyperlink" Target="https://www.youtube.com/watch?v=hwDRfkPSXng" TargetMode="External" Id="rId32"/><Relationship Type="http://schemas.openxmlformats.org/officeDocument/2006/relationships/hyperlink" Target="https://www.youtube.com/watch?v=L3-WFKCW-tY" TargetMode="External" Id="rId33"/><Relationship Type="http://schemas.openxmlformats.org/officeDocument/2006/relationships/hyperlink" Target="https://www.youtube.com/watch?v=0Qws8BuK3RQ" TargetMode="External" Id="rId34"/><Relationship Type="http://schemas.openxmlformats.org/officeDocument/2006/relationships/hyperlink" Target="https://www.youtube.com/watch?v=cxTmmasBiC8" TargetMode="External" Id="rId35"/><Relationship Type="http://schemas.openxmlformats.org/officeDocument/2006/relationships/hyperlink" Target="https://www.youtube.com/watch?v=rZS2LGiurKY" TargetMode="External" Id="rId36"/><Relationship Type="http://schemas.openxmlformats.org/officeDocument/2006/relationships/hyperlink" Target="https://www.youtube.com/watch?v=0YqjeqLhDDE" TargetMode="External" Id="rId37"/><Relationship Type="http://schemas.openxmlformats.org/officeDocument/2006/relationships/hyperlink" Target="https://www.youtube.com/watch?v=5DUQ3-Y_gX4" TargetMode="External" Id="rId38"/><Relationship Type="http://schemas.openxmlformats.org/officeDocument/2006/relationships/hyperlink" Target="https://www.youtube.com/watch?v=v8EIBpBEC6A" TargetMode="External" Id="rId39"/><Relationship Type="http://schemas.openxmlformats.org/officeDocument/2006/relationships/hyperlink" Target="https://www.youtube.com/watch?v=DH118YqIgow" TargetMode="External" Id="rId40"/><Relationship Type="http://schemas.openxmlformats.org/officeDocument/2006/relationships/hyperlink" Target="https://www.youtube.com/watch?v=BKo57m-uU1k" TargetMode="External" Id="rId41"/><Relationship Type="http://schemas.openxmlformats.org/officeDocument/2006/relationships/hyperlink" Target="https://www.youtube.com/watch?v=gtG62xaelPE" TargetMode="External" Id="rId42"/><Relationship Type="http://schemas.openxmlformats.org/officeDocument/2006/relationships/hyperlink" Target="https://www.youtube.com/watch?v=qWYtrT4TeIs" TargetMode="External" Id="rId43"/><Relationship Type="http://schemas.openxmlformats.org/officeDocument/2006/relationships/hyperlink" Target="https://www.youtube.com/watch?v=lBfqvBJaFmc" TargetMode="External" Id="rId44"/><Relationship Type="http://schemas.openxmlformats.org/officeDocument/2006/relationships/hyperlink" Target="https://www.youtube.com/watch?v=66Hc7vnDQ8o" TargetMode="External" Id="rId45"/><Relationship Type="http://schemas.openxmlformats.org/officeDocument/2006/relationships/hyperlink" Target="https://www.youtube.com/watch?v=5F6roh4pmJU" TargetMode="External" Id="rId46"/><Relationship Type="http://schemas.openxmlformats.org/officeDocument/2006/relationships/hyperlink" Target="https://www.youtube.com/watch?v=r9_5dxtDTOk" TargetMode="External" Id="rId47"/><Relationship Type="http://schemas.openxmlformats.org/officeDocument/2006/relationships/hyperlink" Target="https://www.youtube.com/watch?v=cvBHoCAUkD4" TargetMode="External" Id="rId48"/><Relationship Type="http://schemas.openxmlformats.org/officeDocument/2006/relationships/hyperlink" Target="https://www.youtube.com/watch?v=tTUT7YuSMoc" TargetMode="External" Id="rId49"/><Relationship Type="http://schemas.openxmlformats.org/officeDocument/2006/relationships/hyperlink" Target="https://www.youtube.com/watch?v=feU1kISxPDM" TargetMode="External" Id="rId50"/><Relationship Type="http://schemas.openxmlformats.org/officeDocument/2006/relationships/hyperlink" Target="https://www.youtube.com/watch?v=PkpRIStmfrE" TargetMode="External" Id="rId51"/><Relationship Type="http://schemas.openxmlformats.org/officeDocument/2006/relationships/hyperlink" Target="https://www.youtube.com/watch?v=v6w8hVZPt0o" TargetMode="External" Id="rId52"/><Relationship Type="http://schemas.openxmlformats.org/officeDocument/2006/relationships/hyperlink" Target="https://www.youtube.com/watch?v=43kl6wi1H6k" TargetMode="External" Id="rId53"/><Relationship Type="http://schemas.openxmlformats.org/officeDocument/2006/relationships/hyperlink" Target="https://www.youtube.com/watch?v=BCiZc0n6COY" TargetMode="External" Id="rId54"/><Relationship Type="http://schemas.openxmlformats.org/officeDocument/2006/relationships/hyperlink" Target="https://www.youtube.com/watch?v=y5VdtQSqiAI" TargetMode="External" Id="rId55"/><Relationship Type="http://schemas.openxmlformats.org/officeDocument/2006/relationships/hyperlink" Target="https://www.youtube.com/watch?v=0SxJl5G2bp0" TargetMode="External" Id="rId56"/><Relationship Type="http://schemas.openxmlformats.org/officeDocument/2006/relationships/hyperlink" Target="https://www.youtube.com/watch?v=eHGqNvkL4n4" TargetMode="External" Id="rId57"/><Relationship Type="http://schemas.openxmlformats.org/officeDocument/2006/relationships/hyperlink" Target="https://www.youtube.com/watch?v=cJ_rhZ9DP9k" TargetMode="External" Id="rId58"/><Relationship Type="http://schemas.openxmlformats.org/officeDocument/2006/relationships/hyperlink" Target="https://www.youtube.com/watch?v=9w4LnXIip5A" TargetMode="External" Id="rId59"/><Relationship Type="http://schemas.openxmlformats.org/officeDocument/2006/relationships/hyperlink" Target="https://www.youtube.com/watch?v=vVAsh5DAe10" TargetMode="External" Id="rId60"/><Relationship Type="http://schemas.openxmlformats.org/officeDocument/2006/relationships/hyperlink" Target="https://www.youtube.com/watch?v=KSV8KnF38bs" TargetMode="External" Id="rId61"/><Relationship Type="http://schemas.openxmlformats.org/officeDocument/2006/relationships/hyperlink" Target="https://www.youtube.com/watch?v=HrRNqb5C-b0" TargetMode="External" Id="rId62"/><Relationship Type="http://schemas.openxmlformats.org/officeDocument/2006/relationships/hyperlink" Target="https://www.youtube.com/watch?v=mDVE0M-xQlc" TargetMode="External" Id="rId63"/><Relationship Type="http://schemas.openxmlformats.org/officeDocument/2006/relationships/hyperlink" Target="https://www.youtube.com/watch?v=XJGfXuFQVNE" TargetMode="External" Id="rId64"/><Relationship Type="http://schemas.openxmlformats.org/officeDocument/2006/relationships/hyperlink" Target="https://www.youtube.com/watch?v=sN_0iGWcyLI" TargetMode="External" Id="rId65"/><Relationship Type="http://schemas.openxmlformats.org/officeDocument/2006/relationships/hyperlink" Target="https://www.youtube.com/watch?v=Qr6tg9oLGTA" TargetMode="External" Id="rId66"/><Relationship Type="http://schemas.openxmlformats.org/officeDocument/2006/relationships/hyperlink" Target="https://www.youtube.com/watch?v=rkV6Wu30x4g" TargetMode="External" Id="rId67"/><Relationship Type="http://schemas.openxmlformats.org/officeDocument/2006/relationships/hyperlink" Target="https://www.youtube.com/watch?v=Z1pcTxvCOgw" TargetMode="External" Id="rId68"/><Relationship Type="http://schemas.openxmlformats.org/officeDocument/2006/relationships/hyperlink" Target="https://www.youtube.com/watch?v=OvMGPHpa_tM" TargetMode="External" Id="rId69"/><Relationship Type="http://schemas.openxmlformats.org/officeDocument/2006/relationships/hyperlink" Target="https://www.youtube.com/watch?v=4RX_lpoGRBg" TargetMode="External" Id="rId70"/><Relationship Type="http://schemas.openxmlformats.org/officeDocument/2006/relationships/hyperlink" Target="https://www.youtube.com/watch?v=EQB2Pw0lWRU" TargetMode="External" Id="rId71"/><Relationship Type="http://schemas.openxmlformats.org/officeDocument/2006/relationships/hyperlink" Target="https://www.youtube.com/watch?v=JaEqS1ozlHY" TargetMode="External" Id="rId72"/><Relationship Type="http://schemas.openxmlformats.org/officeDocument/2006/relationships/hyperlink" Target="https://www.youtube.com/watch?v=__tGxUu5BTc" TargetMode="External" Id="rId73"/><Relationship Type="http://schemas.openxmlformats.org/officeDocument/2006/relationships/hyperlink" Target="https://www.youtube.com/watch?v=w_I0AkvbWFc" TargetMode="External" Id="rId74"/><Relationship Type="http://schemas.openxmlformats.org/officeDocument/2006/relationships/hyperlink" Target="https://www.youtube.com/watch?v=I_LcUur7quE" TargetMode="External" Id="rId75"/><Relationship Type="http://schemas.openxmlformats.org/officeDocument/2006/relationships/hyperlink" Target="https://www.youtube.com/watch?v=BhVyiU_dWps" TargetMode="External" Id="rId76"/><Relationship Type="http://schemas.openxmlformats.org/officeDocument/2006/relationships/hyperlink" Target="https://www.youtube.com/watch?v=8woIHrY6eM0" TargetMode="External" Id="rId77"/><Relationship Type="http://schemas.openxmlformats.org/officeDocument/2006/relationships/hyperlink" Target="https://www.youtube.com/watch?v=t7pTpwMjQ5I" TargetMode="External" Id="rId78"/><Relationship Type="http://schemas.openxmlformats.org/officeDocument/2006/relationships/hyperlink" Target="https://www.youtube.com/watch?v=ybCsMYk5xMg" TargetMode="External" Id="rId79"/><Relationship Type="http://schemas.openxmlformats.org/officeDocument/2006/relationships/hyperlink" Target="https://www.youtube.com/watch?v=QmV7FOXijMo" TargetMode="External" Id="rId80"/><Relationship Type="http://schemas.openxmlformats.org/officeDocument/2006/relationships/hyperlink" Target="https://www.youtube.com/watch?v=ckUyxmwaC5E" TargetMode="External" Id="rId81"/><Relationship Type="http://schemas.openxmlformats.org/officeDocument/2006/relationships/hyperlink" Target="https://www.youtube.com/watch?v=Lt8FtWsq0q0" TargetMode="External" Id="rId82"/><Relationship Type="http://schemas.openxmlformats.org/officeDocument/2006/relationships/hyperlink" Target="https://www.youtube.com/watch?v=tCxonq5r-O8" TargetMode="External" Id="rId83"/><Relationship Type="http://schemas.openxmlformats.org/officeDocument/2006/relationships/hyperlink" Target="https://www.youtube.com/watch?v=Y59FgktB4uQ" TargetMode="External" Id="rId84"/><Relationship Type="http://schemas.openxmlformats.org/officeDocument/2006/relationships/hyperlink" Target="https://www.youtube.com/watch?v=TDnfhpAZBqs" TargetMode="External" Id="rId85"/><Relationship Type="http://schemas.openxmlformats.org/officeDocument/2006/relationships/hyperlink" Target="https://www.youtube.com/watch?v=TSjJlJJ2aoI" TargetMode="External" Id="rId86"/><Relationship Type="http://schemas.openxmlformats.org/officeDocument/2006/relationships/hyperlink" Target="https://www.youtube.com/watch?v=l2Q31eoy_rY" TargetMode="External" Id="rId87"/><Relationship Type="http://schemas.openxmlformats.org/officeDocument/2006/relationships/hyperlink" Target="https://www.youtube.com/watch?v=hl4c1P9D8IY" TargetMode="External" Id="rId88"/><Relationship Type="http://schemas.openxmlformats.org/officeDocument/2006/relationships/hyperlink" Target="https://www.youtube.com/watch?v=b1P0hurY6UE" TargetMode="External" Id="rId89"/><Relationship Type="http://schemas.openxmlformats.org/officeDocument/2006/relationships/hyperlink" Target="https://www.youtube.com/watch?v=34lmLIYpkYQ" TargetMode="External" Id="rId90"/><Relationship Type="http://schemas.openxmlformats.org/officeDocument/2006/relationships/hyperlink" Target="https://www.youtube.com/watch?v=hRHzPaDpgu0" TargetMode="External" Id="rId91"/><Relationship Type="http://schemas.openxmlformats.org/officeDocument/2006/relationships/hyperlink" Target="https://www.youtube.com/watch?v=8kNP_VWmfFs" TargetMode="External" Id="rId92"/><Relationship Type="http://schemas.openxmlformats.org/officeDocument/2006/relationships/hyperlink" Target="https://www.youtube.com/watch?v=FmylhZqFXNk" TargetMode="External" Id="rId93"/><Relationship Type="http://schemas.openxmlformats.org/officeDocument/2006/relationships/hyperlink" Target="https://www.youtube.com/watch?v=6rn4q9mv4jQ" TargetMode="External" Id="rId94"/><Relationship Type="http://schemas.openxmlformats.org/officeDocument/2006/relationships/hyperlink" Target="https://www.youtube.com/watch?v=6gMgNriK1Nk" TargetMode="External" Id="rId95"/><Relationship Type="http://schemas.openxmlformats.org/officeDocument/2006/relationships/hyperlink" Target="https://www.youtube.com/watch?v=6x1pL9Yov1k" TargetMode="External" Id="rId96"/><Relationship Type="http://schemas.openxmlformats.org/officeDocument/2006/relationships/hyperlink" Target="https://www.youtube.com/watch?v=aK_RZxARlYo" TargetMode="External" Id="rId97"/><Relationship Type="http://schemas.openxmlformats.org/officeDocument/2006/relationships/hyperlink" Target="https://www.youtube.com/watch?v=P6dOawFYLVA" TargetMode="External" Id="rId98"/><Relationship Type="http://schemas.openxmlformats.org/officeDocument/2006/relationships/hyperlink" Target="https://www.youtube.com/watch?v=3gTBvpppkVc" TargetMode="External" Id="rId99"/><Relationship Type="http://schemas.openxmlformats.org/officeDocument/2006/relationships/hyperlink" Target="https://www.youtube.com/watch?v=-BzaVD93akQ" TargetMode="External" Id="rId100"/><Relationship Type="http://schemas.openxmlformats.org/officeDocument/2006/relationships/hyperlink" Target="https://www.youtube.com/watch?v=FWe5uk5NA5I" TargetMode="External" Id="rId101"/><Relationship Type="http://schemas.openxmlformats.org/officeDocument/2006/relationships/hyperlink" Target="https://www.youtube.com/watch?v=l4FKjOfF8qs" TargetMode="External" Id="rId102"/><Relationship Type="http://schemas.openxmlformats.org/officeDocument/2006/relationships/hyperlink" Target="https://www.youtube.com/watch?v=YlLiRv18Css" TargetMode="External" Id="rId103"/><Relationship Type="http://schemas.openxmlformats.org/officeDocument/2006/relationships/hyperlink" Target="https://www.youtube.com/watch?v=CtyVQJ358aU" TargetMode="External" Id="rId104"/><Relationship Type="http://schemas.openxmlformats.org/officeDocument/2006/relationships/hyperlink" Target="https://www.youtube.com/watch?v=jkctXp4x43U" TargetMode="External" Id="rId105"/><Relationship Type="http://schemas.openxmlformats.org/officeDocument/2006/relationships/hyperlink" Target="https://www.youtube.com/watch?v=hXRMX76V0nM" TargetMode="External" Id="rId106"/><Relationship Type="http://schemas.openxmlformats.org/officeDocument/2006/relationships/hyperlink" Target="https://www.youtube.com/watch?v=IlwG0ZLB2fU" TargetMode="External" Id="rId107"/><Relationship Type="http://schemas.openxmlformats.org/officeDocument/2006/relationships/hyperlink" Target="https://www.youtube.com/watch?v=J-nH26vbgug" TargetMode="External" Id="rId108"/><Relationship Type="http://schemas.openxmlformats.org/officeDocument/2006/relationships/hyperlink" Target="https://www.youtube.com/watch?v=TLjDHHXF6Os" TargetMode="External" Id="rId109"/><Relationship Type="http://schemas.openxmlformats.org/officeDocument/2006/relationships/hyperlink" Target="https://www.youtube.com/watch?v=Zb-7xXmJq3U" TargetMode="External" Id="rId110"/><Relationship Type="http://schemas.openxmlformats.org/officeDocument/2006/relationships/hyperlink" Target="https://www.youtube.com/watch?v=qnJ4Yt8ku7s" TargetMode="External" Id="rId111"/><Relationship Type="http://schemas.openxmlformats.org/officeDocument/2006/relationships/hyperlink" Target="https://www.youtube.com/watch?v=TG1Jjp8eyvs" TargetMode="External" Id="rId112"/><Relationship Type="http://schemas.openxmlformats.org/officeDocument/2006/relationships/hyperlink" Target="https://www.youtube.com/watch?v=GxrLQ2AEhwI" TargetMode="External" Id="rId113"/><Relationship Type="http://schemas.openxmlformats.org/officeDocument/2006/relationships/hyperlink" Target="https://www.youtube.com/watch?v=xD3rbUprXrA" TargetMode="External" Id="rId114"/><Relationship Type="http://schemas.openxmlformats.org/officeDocument/2006/relationships/hyperlink" Target="https://www.youtube.com/watch?v=LQfIiff7A6E" TargetMode="External" Id="rId115"/><Relationship Type="http://schemas.openxmlformats.org/officeDocument/2006/relationships/hyperlink" Target="https://www.youtube.com/watch?v=e6l_Wq0CMeM" TargetMode="External" Id="rId116"/><Relationship Type="http://schemas.openxmlformats.org/officeDocument/2006/relationships/hyperlink" Target="https://www.youtube.com/watch?v=kRbh3Dvi1l4" TargetMode="External" Id="rId117"/><Relationship Type="http://schemas.openxmlformats.org/officeDocument/2006/relationships/hyperlink" Target="https://www.youtube.com/watch?v=c_KV_KAEdvY" TargetMode="External" Id="rId118"/><Relationship Type="http://schemas.openxmlformats.org/officeDocument/2006/relationships/hyperlink" Target="https://www.youtube.com/watch?v=6OZu2S1nEA8" TargetMode="External" Id="rId119"/><Relationship Type="http://schemas.openxmlformats.org/officeDocument/2006/relationships/hyperlink" Target="https://www.youtube.com/watch?v=Tz26OMwyCYw" TargetMode="External" Id="rId120"/><Relationship Type="http://schemas.openxmlformats.org/officeDocument/2006/relationships/hyperlink" Target="https://www.youtube.com/watch?v=JQ2zbhCR4GY" TargetMode="External" Id="rId121"/><Relationship Type="http://schemas.openxmlformats.org/officeDocument/2006/relationships/hyperlink" Target="https://www.youtube.com/watch?v=IFIHGSDMwjE" TargetMode="External" Id="rId122"/><Relationship Type="http://schemas.openxmlformats.org/officeDocument/2006/relationships/hyperlink" Target="https://www.youtube.com/watch?v=qckJgCLHZl4" TargetMode="External" Id="rId123"/><Relationship Type="http://schemas.openxmlformats.org/officeDocument/2006/relationships/hyperlink" Target="https://www.youtube.com/watch?v=dqVp2G-rHnI" TargetMode="External" Id="rId124"/><Relationship Type="http://schemas.openxmlformats.org/officeDocument/2006/relationships/hyperlink" Target="https://www.youtube.com/watch?v=SjTfNFso4mE" TargetMode="External" Id="rId125"/><Relationship Type="http://schemas.openxmlformats.org/officeDocument/2006/relationships/hyperlink" Target="https://www.youtube.com/watch?v=kkqTPl0S4iU" TargetMode="External" Id="rId126"/><Relationship Type="http://schemas.openxmlformats.org/officeDocument/2006/relationships/hyperlink" Target="https://www.youtube.com/watch?v=IjCjpoGZG78" TargetMode="External" Id="rId127"/><Relationship Type="http://schemas.openxmlformats.org/officeDocument/2006/relationships/hyperlink" Target="https://www.youtube.com/watch?v=RHQB9W5Mxiw" TargetMode="External" Id="rId128"/><Relationship Type="http://schemas.openxmlformats.org/officeDocument/2006/relationships/hyperlink" Target="https://www.youtube.com/watch?v=9A1vTwd4LO4" TargetMode="External" Id="rId129"/><Relationship Type="http://schemas.openxmlformats.org/officeDocument/2006/relationships/hyperlink" Target="https://www.youtube.com/watch?v=iAhb8CeKwnc" TargetMode="External" Id="rId130"/><Relationship Type="http://schemas.openxmlformats.org/officeDocument/2006/relationships/hyperlink" Target="https://www.youtube.com/watch?v=6MwuElZDFpQ" TargetMode="External" Id="rId131"/><Relationship Type="http://schemas.openxmlformats.org/officeDocument/2006/relationships/hyperlink" Target="https://www.youtube.com/watch?v=grerei081MA" TargetMode="External" Id="rId132"/><Relationship Type="http://schemas.openxmlformats.org/officeDocument/2006/relationships/hyperlink" Target="https://www.youtube.com/watch?v=yE3ZrcD6is4" TargetMode="External" Id="rId133"/><Relationship Type="http://schemas.openxmlformats.org/officeDocument/2006/relationships/hyperlink" Target="https://www.youtube.com/watch?v=1ERJq_CpYQE" TargetMode="External" Id="rId134"/><Relationship Type="http://schemas.openxmlformats.org/officeDocument/2006/relationships/hyperlink" Target="https://www.youtube.com/watch?v=4z5gdFntl_Y" TargetMode="External" Id="rId135"/><Relationship Type="http://schemas.openxmlformats.org/officeDocument/2006/relationships/hyperlink" Target="https://www.youtube.com/watch?v=Cokmqm96DIs" TargetMode="External" Id="rId136"/><Relationship Type="http://schemas.openxmlformats.org/officeDocument/2006/relationships/hyperlink" Target="https://www.youtube.com/watch?v=Dw2hcTtrVuQ" TargetMode="External" Id="rId137"/><Relationship Type="http://schemas.openxmlformats.org/officeDocument/2006/relationships/hyperlink" Target="https://www.youtube.com/watch?v=Vnw5ENxCp7Y" TargetMode="External" Id="rId138"/><Relationship Type="http://schemas.openxmlformats.org/officeDocument/2006/relationships/hyperlink" Target="https://www.youtube.com/watch?v=Yg-5OVG5Mcw" TargetMode="External" Id="rId139"/><Relationship Type="http://schemas.openxmlformats.org/officeDocument/2006/relationships/hyperlink" Target="https://www.youtube.com/watch?v=qV25XtQ1Ivc" TargetMode="External" Id="rId140"/><Relationship Type="http://schemas.openxmlformats.org/officeDocument/2006/relationships/hyperlink" Target="https://www.youtube.com/watch?v=o5iwZpvtpiE" TargetMode="External" Id="rId141"/><Relationship Type="http://schemas.openxmlformats.org/officeDocument/2006/relationships/hyperlink" Target="https://www.youtube.com/watch?v=d7gzALqU95Y" TargetMode="External" Id="rId142"/><Relationship Type="http://schemas.openxmlformats.org/officeDocument/2006/relationships/hyperlink" Target="https://www.youtube.com/watch?v=Be7lHQ90hFM" TargetMode="External" Id="rId143"/><Relationship Type="http://schemas.openxmlformats.org/officeDocument/2006/relationships/hyperlink" Target="https://www.youtube.com/watch?v=6tmby1Dv4aU" TargetMode="External" Id="rId144"/><Relationship Type="http://schemas.openxmlformats.org/officeDocument/2006/relationships/hyperlink" Target="https://www.youtube.com/watch?v=CI7blNtcqME" TargetMode="External" Id="rId145"/><Relationship Type="http://schemas.openxmlformats.org/officeDocument/2006/relationships/hyperlink" Target="https://www.youtube.com/watch?v=mgyJnMhFxns" TargetMode="External" Id="rId146"/><Relationship Type="http://schemas.openxmlformats.org/officeDocument/2006/relationships/hyperlink" Target="https://www.youtube.com/watch?v=hJt9VWTSSyM" TargetMode="External" Id="rId147"/><Relationship Type="http://schemas.openxmlformats.org/officeDocument/2006/relationships/hyperlink" Target="https://www.youtube.com/watch?v=eQ2yXWkKks0" TargetMode="External" Id="rId148"/><Relationship Type="http://schemas.openxmlformats.org/officeDocument/2006/relationships/hyperlink" Target="https://www.youtube.com/watch?v=kmY8lecGJq8" TargetMode="External" Id="rId149"/><Relationship Type="http://schemas.openxmlformats.org/officeDocument/2006/relationships/hyperlink" Target="https://www.youtube.com/watch?v=cSBwopamRMM" TargetMode="External" Id="rId150"/><Relationship Type="http://schemas.openxmlformats.org/officeDocument/2006/relationships/hyperlink" Target="https://www.youtube.com/watch?v=rWztVWNVeeg" TargetMode="External" Id="rId151"/><Relationship Type="http://schemas.openxmlformats.org/officeDocument/2006/relationships/hyperlink" Target="https://www.youtube.com/watch?v=s0-Oyj7rhuc" TargetMode="External" Id="rId152"/><Relationship Type="http://schemas.openxmlformats.org/officeDocument/2006/relationships/hyperlink" Target="https://www.youtube.com/watch?v=1XBKV1pU-mA" TargetMode="External" Id="rId153"/><Relationship Type="http://schemas.openxmlformats.org/officeDocument/2006/relationships/hyperlink" Target="https://www.youtube.com/watch?v=9R0tR6DC6Z0" TargetMode="External" Id="rId154"/><Relationship Type="http://schemas.openxmlformats.org/officeDocument/2006/relationships/hyperlink" Target="https://www.youtube.com/watch?v=hLoneUTGi28" TargetMode="External" Id="rId155"/><Relationship Type="http://schemas.openxmlformats.org/officeDocument/2006/relationships/hyperlink" Target="https://www.youtube.com/watch?v=83AmY13yvWY" TargetMode="External" Id="rId156"/><Relationship Type="http://schemas.openxmlformats.org/officeDocument/2006/relationships/hyperlink" Target="https://www.youtube.com/watch?v=RFKb4uJj4LE" TargetMode="External" Id="rId157"/><Relationship Type="http://schemas.openxmlformats.org/officeDocument/2006/relationships/hyperlink" Target="https://www.youtube.com/watch?v=QFKeDcy_z8w" TargetMode="External" Id="rId158"/><Relationship Type="http://schemas.openxmlformats.org/officeDocument/2006/relationships/hyperlink" Target="https://www.youtube.com/watch?v=SL3jyu_FFMI" TargetMode="External" Id="rId159"/><Relationship Type="http://schemas.openxmlformats.org/officeDocument/2006/relationships/hyperlink" Target="https://www.youtube.com/watch?v=tdgnWgTfZnQ" TargetMode="External" Id="rId160"/><Relationship Type="http://schemas.openxmlformats.org/officeDocument/2006/relationships/hyperlink" Target="https://www.youtube.com/watch?v=EMZu-n4WCH0" TargetMode="External" Id="rId161"/><Relationship Type="http://schemas.openxmlformats.org/officeDocument/2006/relationships/hyperlink" Target="https://www.youtube.com/watch?v=ICQWQDBz87g" TargetMode="External" Id="rId162"/><Relationship Type="http://schemas.openxmlformats.org/officeDocument/2006/relationships/hyperlink" Target="https://www.youtube.com/watch?v=zIMX8NotwQg" TargetMode="External" Id="rId163"/><Relationship Type="http://schemas.openxmlformats.org/officeDocument/2006/relationships/hyperlink" Target="https://www.youtube.com/watch?v=s9xSfIw83tk" TargetMode="External" Id="rId164"/><Relationship Type="http://schemas.openxmlformats.org/officeDocument/2006/relationships/hyperlink" Target="https://www.youtube.com/watch?v=fvZ_6pvP4jc" TargetMode="External" Id="rId165"/><Relationship Type="http://schemas.openxmlformats.org/officeDocument/2006/relationships/hyperlink" Target="https://www.youtube.com/watch?v=l-0WSRNQ2ag" TargetMode="External" Id="rId166"/><Relationship Type="http://schemas.openxmlformats.org/officeDocument/2006/relationships/hyperlink" Target="https://www.youtube.com/watch?v=vpSJYYhbeQg" TargetMode="External" Id="rId167"/><Relationship Type="http://schemas.openxmlformats.org/officeDocument/2006/relationships/hyperlink" Target="https://www.youtube.com/watch?v=VGrM8fbo3tM" TargetMode="External" Id="rId168"/><Relationship Type="http://schemas.openxmlformats.org/officeDocument/2006/relationships/hyperlink" Target="https://www.youtube.com/watch?v=t4y5uAe5nb4" TargetMode="External" Id="rId169"/><Relationship Type="http://schemas.openxmlformats.org/officeDocument/2006/relationships/hyperlink" Target="https://www.youtube.com/watch?v=JgWWK-8DCes" TargetMode="External" Id="rId170"/><Relationship Type="http://schemas.openxmlformats.org/officeDocument/2006/relationships/hyperlink" Target="https://www.youtube.com/watch?v=aa2l9vTuFZo" TargetMode="External" Id="rId171"/><Relationship Type="http://schemas.openxmlformats.org/officeDocument/2006/relationships/hyperlink" Target="https://www.youtube.com/watch?v=dtEvIva4N2s" TargetMode="External" Id="rId172"/><Relationship Type="http://schemas.openxmlformats.org/officeDocument/2006/relationships/hyperlink" Target="https://www.youtube.com/watch?v=c8bIaCevKo8" TargetMode="External" Id="rId173"/><Relationship Type="http://schemas.openxmlformats.org/officeDocument/2006/relationships/hyperlink" Target="https://www.youtube.com/watch?v=5RMNXQurh60" TargetMode="External" Id="rId174"/><Relationship Type="http://schemas.openxmlformats.org/officeDocument/2006/relationships/hyperlink" Target="https://www.youtube.com/watch?v=-ZDm0JhNN40" TargetMode="External" Id="rId175"/><Relationship Type="http://schemas.openxmlformats.org/officeDocument/2006/relationships/hyperlink" Target="https://www.youtube.com/watch?v=sIwmtGpNjl4" TargetMode="External" Id="rId176"/><Relationship Type="http://schemas.openxmlformats.org/officeDocument/2006/relationships/hyperlink" Target="https://www.youtube.com/watch?v=F46U5IG5lN8" TargetMode="External" Id="rId177"/><Relationship Type="http://schemas.openxmlformats.org/officeDocument/2006/relationships/hyperlink" Target="https://www.youtube.com/watch?v=smKQB7uG7eI" TargetMode="External" Id="rId178"/><Relationship Type="http://schemas.openxmlformats.org/officeDocument/2006/relationships/hyperlink" Target="https://www.youtube.com/watch?v=T9NNL6Dotnc" TargetMode="External" Id="rId179"/><Relationship Type="http://schemas.openxmlformats.org/officeDocument/2006/relationships/hyperlink" Target="https://www.youtube.com/watch?v=aubLouNXyA0" TargetMode="External" Id="rId180"/><Relationship Type="http://schemas.openxmlformats.org/officeDocument/2006/relationships/hyperlink" Target="https://www.youtube.com/watch?v=szbGlaysOd8" TargetMode="External" Id="rId181"/><Relationship Type="http://schemas.openxmlformats.org/officeDocument/2006/relationships/hyperlink" Target="https://www.youtube.com/watch?v=o7h_sYMk_oc" TargetMode="External" Id="rId182"/><Relationship Type="http://schemas.openxmlformats.org/officeDocument/2006/relationships/hyperlink" Target="https://www.youtube.com/watch?v=H-1-X9bkop8" TargetMode="External" Id="rId183"/><Relationship Type="http://schemas.openxmlformats.org/officeDocument/2006/relationships/hyperlink" Target="https://www.youtube.com/watch?v=dx98pqJvZVk" TargetMode="External" Id="rId184"/><Relationship Type="http://schemas.openxmlformats.org/officeDocument/2006/relationships/hyperlink" Target="https://www.youtube.com/watch?v=6I26_r1BKd8" TargetMode="External" Id="rId185"/><Relationship Type="http://schemas.openxmlformats.org/officeDocument/2006/relationships/hyperlink" Target="https://www.youtube.com/watch?v=ulJm7_aTiQM" TargetMode="External" Id="rId186"/><Relationship Type="http://schemas.openxmlformats.org/officeDocument/2006/relationships/hyperlink" Target="https://www.youtube.com/watch?v=LvX3g45ynu8" TargetMode="External" Id="rId187"/><Relationship Type="http://schemas.openxmlformats.org/officeDocument/2006/relationships/hyperlink" Target="https://www.youtube.com/watch?v=xDKnMXtZKq8" TargetMode="External" Id="rId188"/><Relationship Type="http://schemas.openxmlformats.org/officeDocument/2006/relationships/hyperlink" Target="https://www.youtube.com/watch?v=xwE568oVQ1Y" TargetMode="External" Id="rId189"/><Relationship Type="http://schemas.openxmlformats.org/officeDocument/2006/relationships/hyperlink" Target="https://www.youtube.com/watch?v=mXkPCaZUXhg" TargetMode="External" Id="rId190"/><Relationship Type="http://schemas.openxmlformats.org/officeDocument/2006/relationships/hyperlink" Target="https://www.youtube.com/watch?v=bd-mavr5YlA" TargetMode="External" Id="rId191"/><Relationship Type="http://schemas.openxmlformats.org/officeDocument/2006/relationships/hyperlink" Target="https://www.youtube.com/watch?v=IT_4fw6gfJw" TargetMode="External" Id="rId192"/><Relationship Type="http://schemas.openxmlformats.org/officeDocument/2006/relationships/hyperlink" Target="https://www.youtube.com/watch?v=6JcMuFgnA6U" TargetMode="External" Id="rId193"/><Relationship Type="http://schemas.openxmlformats.org/officeDocument/2006/relationships/hyperlink" Target="https://www.youtube.com/watch?v=ftP5HeOvsI0" TargetMode="External" Id="rId194"/><Relationship Type="http://schemas.openxmlformats.org/officeDocument/2006/relationships/hyperlink" Target="https://www.youtube.com/watch?v=MlivXhZFbNA" TargetMode="External" Id="rId195"/><Relationship Type="http://schemas.openxmlformats.org/officeDocument/2006/relationships/hyperlink" Target="https://www.youtube.com/watch?v=OyrqSYJs7NQ" TargetMode="External" Id="rId196"/><Relationship Type="http://schemas.openxmlformats.org/officeDocument/2006/relationships/hyperlink" Target="https://www.youtube.com/watch?v=JLg1HkzDsKI" TargetMode="External" Id="rId197"/><Relationship Type="http://schemas.openxmlformats.org/officeDocument/2006/relationships/hyperlink" Target="https://www.youtube.com/watch?v=56WUlMEeAuA" TargetMode="External" Id="rId198"/><Relationship Type="http://schemas.openxmlformats.org/officeDocument/2006/relationships/hyperlink" Target="https://www.youtube.com/watch?v=cNADlHfHQHg" TargetMode="External" Id="rId199"/><Relationship Type="http://schemas.openxmlformats.org/officeDocument/2006/relationships/hyperlink" Target="https://www.youtube.com/watch?v=CukpVt-1PA4" TargetMode="External" Id="rId200"/><Relationship Type="http://schemas.openxmlformats.org/officeDocument/2006/relationships/hyperlink" Target="https://www.youtube.com/watch?v=fzKNkS_5E6U" TargetMode="External" Id="rId201"/><Relationship Type="http://schemas.openxmlformats.org/officeDocument/2006/relationships/hyperlink" Target="https://www.youtube.com/watch?v=uB81vGRrH0c" TargetMode="External" Id="rId202"/><Relationship Type="http://schemas.openxmlformats.org/officeDocument/2006/relationships/hyperlink" Target="https://www.youtube.com/watch?v=ky7qiKyZmnE" TargetMode="External" Id="rId203"/><Relationship Type="http://schemas.openxmlformats.org/officeDocument/2006/relationships/hyperlink" Target="https://www.youtube.com/watch?v=-5RPPjn0hPg" TargetMode="External" Id="rId204"/><Relationship Type="http://schemas.openxmlformats.org/officeDocument/2006/relationships/hyperlink" Target="https://www.youtube.com/watch?v=es6s6T1bTtI" TargetMode="External" Id="rId205"/><Relationship Type="http://schemas.openxmlformats.org/officeDocument/2006/relationships/hyperlink" Target="https://www.youtube.com/watch?v=jYCxVirq4d0" TargetMode="External" Id="rId206"/><Relationship Type="http://schemas.openxmlformats.org/officeDocument/2006/relationships/hyperlink" Target="https://www.youtube.com/watch?v=XdhUZRXA7fg" TargetMode="External" Id="rId207"/><Relationship Type="http://schemas.openxmlformats.org/officeDocument/2006/relationships/hyperlink" Target="https://www.youtube.com/watch?v=7kclgMIcMq0" TargetMode="External" Id="rId208"/><Relationship Type="http://schemas.openxmlformats.org/officeDocument/2006/relationships/hyperlink" Target="https://www.youtube.com/watch?v=HSzVogM5IPo" TargetMode="External" Id="rId209"/><Relationship Type="http://schemas.openxmlformats.org/officeDocument/2006/relationships/hyperlink" Target="https://www.youtube.com/watch?v=aI47BqLYahc" TargetMode="External" Id="rId210"/><Relationship Type="http://schemas.openxmlformats.org/officeDocument/2006/relationships/hyperlink" Target="https://www.youtube.com/watch?v=IFKRf-BAqZo" TargetMode="External" Id="rId211"/><Relationship Type="http://schemas.openxmlformats.org/officeDocument/2006/relationships/hyperlink" Target="https://www.youtube.com/watch?v=OzFmKdAHJn0" TargetMode="External" Id="rId212"/><Relationship Type="http://schemas.openxmlformats.org/officeDocument/2006/relationships/hyperlink" Target="https://www.youtube.com/watch?v=jCBrUisBQ0A" TargetMode="External" Id="rId213"/><Relationship Type="http://schemas.openxmlformats.org/officeDocument/2006/relationships/hyperlink" Target="https://www.youtube.com/watch?v=HIwsCzdW_pw" TargetMode="External" Id="rId214"/><Relationship Type="http://schemas.openxmlformats.org/officeDocument/2006/relationships/hyperlink" Target="https://www.youtube.com/watch?v=JuoVZkPBiKk" TargetMode="External" Id="rId215"/><Relationship Type="http://schemas.openxmlformats.org/officeDocument/2006/relationships/hyperlink" Target="https://www.youtube.com/watch?v=kuYAsz7zspQ" TargetMode="External" Id="rId216"/><Relationship Type="http://schemas.openxmlformats.org/officeDocument/2006/relationships/hyperlink" Target="https://www.youtube.com/watch?v=lVynu4bo1rY" TargetMode="External" Id="rId217"/><Relationship Type="http://schemas.openxmlformats.org/officeDocument/2006/relationships/hyperlink" Target="https://www.youtube.com/watch?v=cKSwj_qZ8Jg" TargetMode="External" Id="rId218"/><Relationship Type="http://schemas.openxmlformats.org/officeDocument/2006/relationships/hyperlink" Target="https://www.youtube.com/watch?v=izZba4UA7iY" TargetMode="External" Id="rId219"/><Relationship Type="http://schemas.openxmlformats.org/officeDocument/2006/relationships/hyperlink" Target="https://www.youtube.com/watch?v=xnDHaNUvHBg" TargetMode="External" Id="rId220"/><Relationship Type="http://schemas.openxmlformats.org/officeDocument/2006/relationships/hyperlink" Target="https://www.youtube.com/watch?v=SzpOcwdIL0Y" TargetMode="External" Id="rId221"/><Relationship Type="http://schemas.openxmlformats.org/officeDocument/2006/relationships/hyperlink" Target="https://www.youtube.com/watch?v=6-cXp-aOmdg" TargetMode="External" Id="rId222"/><Relationship Type="http://schemas.openxmlformats.org/officeDocument/2006/relationships/hyperlink" Target="https://www.youtube.com/watch?v=Q15rhEWZPQ4" TargetMode="External" Id="rId223"/><Relationship Type="http://schemas.openxmlformats.org/officeDocument/2006/relationships/hyperlink" Target="https://www.youtube.com/watch?v=EfM546A79aM" TargetMode="External" Id="rId224"/><Relationship Type="http://schemas.openxmlformats.org/officeDocument/2006/relationships/hyperlink" Target="https://www.youtube.com/watch?v=vTfEyOyzV9E" TargetMode="External" Id="rId225"/><Relationship Type="http://schemas.openxmlformats.org/officeDocument/2006/relationships/hyperlink" Target="https://www.youtube.com/watch?v=JpAxdTWQJxM" TargetMode="External" Id="rId226"/><Relationship Type="http://schemas.openxmlformats.org/officeDocument/2006/relationships/hyperlink" Target="https://www.youtube.com/watch?v=-qm0ln33G24" TargetMode="External" Id="rId227"/><Relationship Type="http://schemas.openxmlformats.org/officeDocument/2006/relationships/hyperlink" Target="https://www.youtube.com/watch?v=5sxHosTLPF8" TargetMode="External" Id="rId228"/><Relationship Type="http://schemas.openxmlformats.org/officeDocument/2006/relationships/hyperlink" Target="https://www.youtube.com/watch?v=2oH6PWPrYFo" TargetMode="External" Id="rId229"/><Relationship Type="http://schemas.openxmlformats.org/officeDocument/2006/relationships/hyperlink" Target="https://www.youtube.com/watch?v=dIFAi87Ws4E" TargetMode="External" Id="rId230"/><Relationship Type="http://schemas.openxmlformats.org/officeDocument/2006/relationships/hyperlink" Target="https://www.youtube.com/watch?v=26FtD08ZpOU" TargetMode="External" Id="rId231"/><Relationship Type="http://schemas.openxmlformats.org/officeDocument/2006/relationships/hyperlink" Target="https://www.youtube.com/watch?v=9EEm4iMAF5s" TargetMode="External" Id="rId232"/><Relationship Type="http://schemas.openxmlformats.org/officeDocument/2006/relationships/hyperlink" Target="https://www.youtube.com/watch?v=IN1bqxj4pxE" TargetMode="External" Id="rId233"/><Relationship Type="http://schemas.openxmlformats.org/officeDocument/2006/relationships/hyperlink" Target="https://www.youtube.com/watch?v=qrI27pI0P1E" TargetMode="External" Id="rId234"/><Relationship Type="http://schemas.openxmlformats.org/officeDocument/2006/relationships/hyperlink" Target="https://www.youtube.com/watch?v=6SyySuGBm5I" TargetMode="External" Id="rId235"/><Relationship Type="http://schemas.openxmlformats.org/officeDocument/2006/relationships/hyperlink" Target="https://www.youtube.com/watch?v=unGL07trSjA" TargetMode="External" Id="rId236"/><Relationship Type="http://schemas.openxmlformats.org/officeDocument/2006/relationships/hyperlink" Target="https://www.youtube.com/watch?v=SJvMIX4O0jo" TargetMode="External" Id="rId237"/><Relationship Type="http://schemas.openxmlformats.org/officeDocument/2006/relationships/hyperlink" Target="https://www.youtube.com/watch?v=SKrHs03i08Q" TargetMode="External" Id="rId238"/><Relationship Type="http://schemas.openxmlformats.org/officeDocument/2006/relationships/hyperlink" Target="https://www.youtube.com/watch?v=tvoP1IyZRxE" TargetMode="External" Id="rId239"/><Relationship Type="http://schemas.openxmlformats.org/officeDocument/2006/relationships/hyperlink" Target="https://www.youtube.com/watch?v=TUyo8NFi_3Q" TargetMode="External" Id="rId240"/><Relationship Type="http://schemas.openxmlformats.org/officeDocument/2006/relationships/hyperlink" Target="https://scholar.google.com/scholar?q=Ramachandran+et+al.+1963+J+Mol+Biol+7%3A95+Anfinsen+1973+Science+181%3A223" TargetMode="External" Id="rId241"/><Relationship Type="http://schemas.openxmlformats.org/officeDocument/2006/relationships/hyperlink" Target="https://www.youtube.com/watch?v=q1pcAqOgYac" TargetMode="External" Id="rId242"/><Relationship Type="http://schemas.openxmlformats.org/officeDocument/2006/relationships/hyperlink" Target="https://scholar.google.com/scholar?q=Ramachandran+et+al.+1963+J+Mol+Biol+7%3A95+Anfinsen+1973+Science+181%3A223" TargetMode="External" Id="rId243"/><Relationship Type="http://schemas.openxmlformats.org/officeDocument/2006/relationships/hyperlink" Target="https://www.youtube.com/watch?v=bhYWPZbT0uA" TargetMode="External" Id="rId244"/><Relationship Type="http://schemas.openxmlformats.org/officeDocument/2006/relationships/hyperlink" Target="https://scholar.google.com/scholar?q=Best+et+al.+2012+CHARMM36+Maier+et+al.+2015+ff14SB" TargetMode="External" Id="rId245"/><Relationship Type="http://schemas.openxmlformats.org/officeDocument/2006/relationships/hyperlink" Target="https://www.youtube.com/watch?v=gyC241l9pAc" TargetMode="External" Id="rId246"/><Relationship Type="http://schemas.openxmlformats.org/officeDocument/2006/relationships/hyperlink" Target="https://www.youtube.com/watch?v=pAZ-vj8Ysr8" TargetMode="External" Id="rId247"/><Relationship Type="http://schemas.openxmlformats.org/officeDocument/2006/relationships/hyperlink" Target="https://www.youtube.com/watch?v=JdJkFh2T9X4" TargetMode="External" Id="rId248"/><Relationship Type="http://schemas.openxmlformats.org/officeDocument/2006/relationships/hyperlink" Target="https://www.youtube.com/watch?v=I2zm3hAO-eI" TargetMode="External" Id="rId249"/><Relationship Type="http://schemas.openxmlformats.org/officeDocument/2006/relationships/hyperlink" Target="https://www.youtube.com/watch?v=JapaP-c4AU0" TargetMode="External" Id="rId250"/><Relationship Type="http://schemas.openxmlformats.org/officeDocument/2006/relationships/hyperlink" Target="https://www.youtube.com/watch?v=Hsq1nGr_jo8" TargetMode="External" Id="rId251"/><Relationship Type="http://schemas.openxmlformats.org/officeDocument/2006/relationships/hyperlink" Target="https://www.youtube.com/watch?v=afZp538VpMA" TargetMode="External" Id="rId252"/><Relationship Type="http://schemas.openxmlformats.org/officeDocument/2006/relationships/hyperlink" Target="https://www.youtube.com/watch?v=ndIgAV2Xwfk" TargetMode="External" Id="rId253"/><Relationship Type="http://schemas.openxmlformats.org/officeDocument/2006/relationships/hyperlink" Target="https://www.youtube.com/watch?v=Vf2KhGlSlIg" TargetMode="External" Id="rId254"/><Relationship Type="http://schemas.openxmlformats.org/officeDocument/2006/relationships/hyperlink" Target="https://www.youtube.com/watch?v=M2ZRKc5FeVE" TargetMode="External" Id="rId255"/><Relationship Type="http://schemas.openxmlformats.org/officeDocument/2006/relationships/hyperlink" Target="https://www.youtube.com/watch?v=pjlFHGuVlLo" TargetMode="External" Id="rId256"/><Relationship Type="http://schemas.openxmlformats.org/officeDocument/2006/relationships/hyperlink" Target="https://www.youtube.com/watch?v=tB4xZLUGJqM" TargetMode="External" Id="rId257"/><Relationship Type="http://schemas.openxmlformats.org/officeDocument/2006/relationships/hyperlink" Target="https://www.youtube.com/watch?v=Fx3zkPxt2qc" TargetMode="External" Id="rId258"/><Relationship Type="http://schemas.openxmlformats.org/officeDocument/2006/relationships/hyperlink" Target="https://www.youtube.com/watch?v=MMQEwnYN8Oo" TargetMode="External" Id="rId259"/><Relationship Type="http://schemas.openxmlformats.org/officeDocument/2006/relationships/hyperlink" Target="https://www.youtube.com/watch?v=GJ53D5mR-kI" TargetMode="External" Id="rId260"/><Relationship Type="http://schemas.openxmlformats.org/officeDocument/2006/relationships/hyperlink" Target="https://www.youtube.com/watch?v=va25fb1uDbM" TargetMode="External" Id="rId261"/><Relationship Type="http://schemas.openxmlformats.org/officeDocument/2006/relationships/hyperlink" Target="https://www.youtube.com/watch?v=-3TF-uyYEP8" TargetMode="External" Id="rId262"/><Relationship Type="http://schemas.openxmlformats.org/officeDocument/2006/relationships/hyperlink" Target="https://www.youtube.com/watch?v=6Frl-o5jNDY" TargetMode="External" Id="rId263"/><Relationship Type="http://schemas.openxmlformats.org/officeDocument/2006/relationships/hyperlink" Target="https://www.youtube.com/watch?v=8qApNJdLkEw" TargetMode="External" Id="rId264"/><Relationship Type="http://schemas.openxmlformats.org/officeDocument/2006/relationships/hyperlink" Target="https://www.youtube.com/watch?v=auUTXW7KbgQ" TargetMode="External" Id="rId265"/><Relationship Type="http://schemas.openxmlformats.org/officeDocument/2006/relationships/hyperlink" Target="https://www.youtube.com/watch?v=uYZInkXW5q4" TargetMode="External" Id="rId266"/><Relationship Type="http://schemas.openxmlformats.org/officeDocument/2006/relationships/hyperlink" Target="https://www.youtube.com/watch?v=YQ8eRyScuyk" TargetMode="External" Id="rId267"/><Relationship Type="http://schemas.openxmlformats.org/officeDocument/2006/relationships/hyperlink" Target="https://www.youtube.com/watch?v=WcUcwqQQJhs" TargetMode="External" Id="rId268"/><Relationship Type="http://schemas.openxmlformats.org/officeDocument/2006/relationships/hyperlink" Target="https://www.youtube.com/watch?v=0WQmXbJjOP4" TargetMode="External" Id="rId269"/><Relationship Type="http://schemas.openxmlformats.org/officeDocument/2006/relationships/hyperlink" Target="https://www.youtube.com/watch?v=lMk6NtOYPLU" TargetMode="External" Id="rId270"/><Relationship Type="http://schemas.openxmlformats.org/officeDocument/2006/relationships/hyperlink" Target="https://www.youtube.com/watch?v=ajj8NUvva-0" TargetMode="External" Id="rId271"/><Relationship Type="http://schemas.openxmlformats.org/officeDocument/2006/relationships/hyperlink" Target="https://www.youtube.com/watch?v=aQdjC-W9Wy4" TargetMode="External" Id="rId272"/><Relationship Type="http://schemas.openxmlformats.org/officeDocument/2006/relationships/hyperlink" Target="https://www.youtube.com/watch?v=8PGHcNKOLqY" TargetMode="External" Id="rId273"/><Relationship Type="http://schemas.openxmlformats.org/officeDocument/2006/relationships/hyperlink" Target="https://www.youtube.com/watch?v=XIHMcR_tR7E" TargetMode="External" Id="rId274"/><Relationship Type="http://schemas.openxmlformats.org/officeDocument/2006/relationships/hyperlink" Target="https://www.youtube.com/watch?v=uP1px6Yul2s" TargetMode="External" Id="rId275"/><Relationship Type="http://schemas.openxmlformats.org/officeDocument/2006/relationships/hyperlink" Target="https://www.youtube.com/watch?v=XwfXXitVW1U" TargetMode="External" Id="rId276"/><Relationship Type="http://schemas.openxmlformats.org/officeDocument/2006/relationships/hyperlink" Target="https://www.youtube.com/watch?v=ROd0libkRy0" TargetMode="External" Id="rId277"/><Relationship Type="http://schemas.openxmlformats.org/officeDocument/2006/relationships/hyperlink" Target="https://www.youtube.com/watch?v=V2_ppEF5whA" TargetMode="External" Id="rId278"/><Relationship Type="http://schemas.openxmlformats.org/officeDocument/2006/relationships/hyperlink" Target="https://www.youtube.com/watch?v=42FdoIuLcg0" TargetMode="External" Id="rId279"/><Relationship Type="http://schemas.openxmlformats.org/officeDocument/2006/relationships/hyperlink" Target="https://www.youtube.com/watch?v=dl4Y-v-l0io" TargetMode="External" Id="rId280"/><Relationship Type="http://schemas.openxmlformats.org/officeDocument/2006/relationships/hyperlink" Target="https://www.youtube.com/watch?v=Yu-m9FmDU4U" TargetMode="External" Id="rId281"/><Relationship Type="http://schemas.openxmlformats.org/officeDocument/2006/relationships/hyperlink" Target="https://www.youtube.com/watch?v=SkZzv2kX5fM" TargetMode="External" Id="rId282"/><Relationship Type="http://schemas.openxmlformats.org/officeDocument/2006/relationships/hyperlink" Target="https://www.youtube.com/watch?v=QGyfGCZT110" TargetMode="External" Id="rId283"/><Relationship Type="http://schemas.openxmlformats.org/officeDocument/2006/relationships/hyperlink" Target="https://www.youtube.com/watch?v=Hk4YRb4okC4" TargetMode="External" Id="rId284"/><Relationship Type="http://schemas.openxmlformats.org/officeDocument/2006/relationships/hyperlink" Target="https://www.youtube.com/watch?v=BOryXuUMjI0" TargetMode="External" Id="rId285"/><Relationship Type="http://schemas.openxmlformats.org/officeDocument/2006/relationships/hyperlink" Target="https://www.youtube.com/watch?v=FnAKzcAmmhk" TargetMode="External" Id="rId286"/><Relationship Type="http://schemas.openxmlformats.org/officeDocument/2006/relationships/hyperlink" Target="https://www.youtube.com/watch?v=j6vjEGBDCyo" TargetMode="External" Id="rId287"/><Relationship Type="http://schemas.openxmlformats.org/officeDocument/2006/relationships/hyperlink" Target="https://www.youtube.com/watch?v=MaX3nCzQy54" TargetMode="External" Id="rId288"/><Relationship Type="http://schemas.openxmlformats.org/officeDocument/2006/relationships/hyperlink" Target="https://www.youtube.com/watch?v=ZXT_ZZmvVUw" TargetMode="External" Id="rId289"/><Relationship Type="http://schemas.openxmlformats.org/officeDocument/2006/relationships/hyperlink" Target="https://www.youtube.com/watch?v=HSxMtyjxf-g" TargetMode="External" Id="rId290"/><Relationship Type="http://schemas.openxmlformats.org/officeDocument/2006/relationships/hyperlink" Target="https://www.youtube.com/watch?v=id5RNIZsNSE" TargetMode="External" Id="rId291"/><Relationship Type="http://schemas.openxmlformats.org/officeDocument/2006/relationships/hyperlink" Target="https://www.youtube.com/watch?v=I9Y2le9e74A" TargetMode="External" Id="rId292"/><Relationship Type="http://schemas.openxmlformats.org/officeDocument/2006/relationships/hyperlink" Target="https://www.youtube.com/watch?v=ZR1NTBPBDOo" TargetMode="External" Id="rId293"/><Relationship Type="http://schemas.openxmlformats.org/officeDocument/2006/relationships/hyperlink" Target="https://www.youtube.com/watch?v=3ci69rq6-JA" TargetMode="External" Id="rId294"/><Relationship Type="http://schemas.openxmlformats.org/officeDocument/2006/relationships/hyperlink" Target="https://www.youtube.com/watch?v=QnZ2BI1leVE" TargetMode="External" Id="rId295"/><Relationship Type="http://schemas.openxmlformats.org/officeDocument/2006/relationships/hyperlink" Target="https://www.youtube.com/watch?v=Qr-k_oXTuqw" TargetMode="External" Id="rId296"/><Relationship Type="http://schemas.openxmlformats.org/officeDocument/2006/relationships/hyperlink" Target="https://www.youtube.com/watch?v=_60AZiwdO_I" TargetMode="External" Id="rId297"/><Relationship Type="http://schemas.openxmlformats.org/officeDocument/2006/relationships/hyperlink" Target="https://www.youtube.com/watch?v=QvYL4MaSMCo" TargetMode="External" Id="rId298"/><Relationship Type="http://schemas.openxmlformats.org/officeDocument/2006/relationships/hyperlink" Target="https://www.youtube.com/watch?v=X_pLpIjEpas" TargetMode="External" Id="rId299"/><Relationship Type="http://schemas.openxmlformats.org/officeDocument/2006/relationships/hyperlink" Target="https://www.youtube.com/watch?v=wT_fjRATbVY" TargetMode="External" Id="rId300"/><Relationship Type="http://schemas.openxmlformats.org/officeDocument/2006/relationships/hyperlink" Target="https://scholar.google.com/scholar?q=and+read+them+as+a+sequence%3A+Shaw+et+al.+2010+Science+330%3A341+Anton+atomic-level+characterization+of+folding+Lindorff-Larsen+et+al.+2011+Science+334%3A517+How+fast-folding+proteins+fold" TargetMode="External" Id="rId301"/><Relationship Type="http://schemas.openxmlformats.org/officeDocument/2006/relationships/hyperlink" Target="https://www.youtube.com/watch?v=M1ooYaWQfvQ" TargetMode="External" Id="rId302"/><Relationship Type="http://schemas.openxmlformats.org/officeDocument/2006/relationships/hyperlink" Target="https://scholar.google.com/scholar?q=Best+et+al.+2012+JCTC+8%3A3257+CHARMM36+Huang+et+al.+2017+Nat+Methods+14%3A71+CHARMM36m+-+the+IDP+correction" TargetMode="External" Id="rId303"/><Relationship Type="http://schemas.openxmlformats.org/officeDocument/2006/relationships/hyperlink" Target="https://www.youtube.com/watch?v=OOp2v9-stXo" TargetMode="External" Id="rId304"/><Relationship Type="http://schemas.openxmlformats.org/officeDocument/2006/relationships/hyperlink" Target="https://scholar.google.com/scholar?q=Best+et+al.+2012+JCTC+8%3A3257+CHARMM36+Huang+et+al.+2017+Nat+Methods+14%3A71+CHARMM36m+-+the+IDP+correction" TargetMode="External" Id="rId305"/><Relationship Type="http://schemas.openxmlformats.org/officeDocument/2006/relationships/hyperlink" Target="https://www.youtube.com/watch?v=-mRl5Uk8IWk" TargetMode="External" Id="rId306"/><Relationship Type="http://schemas.openxmlformats.org/officeDocument/2006/relationships/hyperlink" Target="https://scholar.google.com/scholar?q=Best+et+al.+2012+JCTC+8%3A3257+CHARMM36+Huang+et+al.+2017+Nat+Methods+14%3A71+CHARMM36m+-+the+IDP+correction" TargetMode="External" Id="rId307"/><Relationship Type="http://schemas.openxmlformats.org/officeDocument/2006/relationships/hyperlink" Target="https://www.youtube.com/watch?v=2LQlPY7zyPM" TargetMode="External" Id="rId308"/><Relationship Type="http://schemas.openxmlformats.org/officeDocument/2006/relationships/hyperlink" Target="https://scholar.google.com/scholar?q=Best+et+al.+2012+JCTC+8%3A3257+CHARMM36+Huang+et+al.+2017+Nat+Methods+14%3A71+CHARMM36m+-+the+IDP+correction" TargetMode="External" Id="rId309"/><Relationship Type="http://schemas.openxmlformats.org/officeDocument/2006/relationships/hyperlink" Target="https://www.youtube.com/watch?v=4EfUus1qh9Q" TargetMode="External" Id="rId310"/><Relationship Type="http://schemas.openxmlformats.org/officeDocument/2006/relationships/hyperlink" Target="https://scholar.google.com/scholar?q=Best+et+al.+2012+JCTC+8%3A3257+CHARMM36+Huang+et+al.+2017+Nat+Methods+14%3A71+CHARMM36m+-+the+IDP+correction" TargetMode="External" Id="rId311"/><Relationship Type="http://schemas.openxmlformats.org/officeDocument/2006/relationships/hyperlink" Target="https://www.youtube.com/watch?v=pRbvRl0_FyE" TargetMode="External" Id="rId312"/><Relationship Type="http://schemas.openxmlformats.org/officeDocument/2006/relationships/hyperlink" Target="https://scholar.google.com/scholar?q=Best+et+al.+2012+JCTC+8%3A3257+CHARMM36+Huang+et+al.+2017+Nat+Methods+14%3A71+CHARMM36m+-+the+IDP+correction" TargetMode="External" Id="rId313"/><Relationship Type="http://schemas.openxmlformats.org/officeDocument/2006/relationships/hyperlink" Target="https://www.youtube.com/watch?v=k9IbNCKJc-c" TargetMode="External" Id="rId314"/><Relationship Type="http://schemas.openxmlformats.org/officeDocument/2006/relationships/hyperlink" Target="https://scholar.google.com/scholar?q=Best+et+al.+2012+JCTC+8%3A3257+CHARMM36+Huang+et+al.+2017+Nat+Methods+14%3A71+CHARMM36m+-+the+IDP+correction" TargetMode="External" Id="rId315"/><Relationship Type="http://schemas.openxmlformats.org/officeDocument/2006/relationships/hyperlink" Target="https://www.youtube.com/watch?v=hCVXXdJZJFo" TargetMode="External" Id="rId316"/><Relationship Type="http://schemas.openxmlformats.org/officeDocument/2006/relationships/hyperlink" Target="https://scholar.google.com/scholar?q=Best+et+al.+2012+JCTC+8%3A3257+CHARMM36+Huang+et+al.+2017+Nat+Methods+14%3A71+CHARMM36m+-+the+IDP+correction" TargetMode="External" Id="rId317"/><Relationship Type="http://schemas.openxmlformats.org/officeDocument/2006/relationships/hyperlink" Target="https://www.youtube.com/watch?v=5tmWF3bkK4Y" TargetMode="External" Id="rId318"/><Relationship Type="http://schemas.openxmlformats.org/officeDocument/2006/relationships/hyperlink" Target="https://scholar.google.com/scholar?q=Best+et+al.+2012+JCTC+8%3A3257+CHARMM36+Huang+et+al.+2017+Nat+Methods+14%3A71+CHARMM36m+-+the+IDP+correction" TargetMode="External" Id="rId319"/><Relationship Type="http://schemas.openxmlformats.org/officeDocument/2006/relationships/hyperlink" Target="https://www.youtube.com/watch?v=vQD7VcZxXLI" TargetMode="External" Id="rId320"/><Relationship Type="http://schemas.openxmlformats.org/officeDocument/2006/relationships/hyperlink" Target="https://scholar.google.com/scholar?q=Best+et+al.+2012+JCTC+8%3A3257+CHARMM36+Huang+et+al.+2017+Nat+Methods+14%3A71+CHARMM36m+-+the+IDP+correction" TargetMode="External" Id="rId321"/><Relationship Type="http://schemas.openxmlformats.org/officeDocument/2006/relationships/hyperlink" Target="https://www.youtube.com/watch?v=vw55OE08x_0" TargetMode="External" Id="rId322"/><Relationship Type="http://schemas.openxmlformats.org/officeDocument/2006/relationships/hyperlink" Target="https://scholar.google.com/scholar?q=Best+et+al.+2012+JCTC+8%3A3257+CHARMM36+Huang+et+al.+2017+Nat+Methods+14%3A71+CHARMM36m+-+the+IDP+correction" TargetMode="External" Id="rId323"/><Relationship Type="http://schemas.openxmlformats.org/officeDocument/2006/relationships/hyperlink" Target="https://www.youtube.com/watch?v=dBZSGeQl1Q4" TargetMode="External" Id="rId32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25"/><Relationship Type="http://schemas.openxmlformats.org/officeDocument/2006/relationships/hyperlink" Target="https://www.youtube.com/watch?v=HKOneHKZVuA" TargetMode="External" Id="rId32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27"/><Relationship Type="http://schemas.openxmlformats.org/officeDocument/2006/relationships/hyperlink" Target="https://www.youtube.com/watch?v=S4K5A0M6EN0" TargetMode="External" Id="rId328"/><Relationship Type="http://schemas.openxmlformats.org/officeDocument/2006/relationships/hyperlink" Target="https://scholar.google.com/scholar?q=Zuckerman+%26+Chong+2017+Annu+Rev+Biophys+46%3A43" TargetMode="External" Id="rId329"/><Relationship Type="http://schemas.openxmlformats.org/officeDocument/2006/relationships/hyperlink" Target="https://www.youtube.com/watch?v=L7nsVrt41Rg" TargetMode="External" Id="rId33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31"/><Relationship Type="http://schemas.openxmlformats.org/officeDocument/2006/relationships/hyperlink" Target="https://www.youtube.com/watch?v=ameqTFF7Q9g" TargetMode="External" Id="rId33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33"/><Relationship Type="http://schemas.openxmlformats.org/officeDocument/2006/relationships/hyperlink" Target="https://www.youtube.com/watch?v=Z_VomhU7XH8" TargetMode="External" Id="rId33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35"/><Relationship Type="http://schemas.openxmlformats.org/officeDocument/2006/relationships/hyperlink" Target="https://www.youtube.com/watch?v=kvf7aUPZCWk" TargetMode="External" Id="rId33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37"/><Relationship Type="http://schemas.openxmlformats.org/officeDocument/2006/relationships/hyperlink" Target="https://www.youtube.com/watch?v=QHCBSk_XH5I" TargetMode="External" Id="rId33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39"/><Relationship Type="http://schemas.openxmlformats.org/officeDocument/2006/relationships/hyperlink" Target="https://www.youtube.com/watch?v=8b5C75P8Vxs" TargetMode="External" Id="rId34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41"/><Relationship Type="http://schemas.openxmlformats.org/officeDocument/2006/relationships/hyperlink" Target="https://www.youtube.com/watch?v=D8DZjLPlWd0" TargetMode="External" Id="rId34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43"/><Relationship Type="http://schemas.openxmlformats.org/officeDocument/2006/relationships/hyperlink" Target="https://www.youtube.com/watch?v=jNdNs266AK0" TargetMode="External" Id="rId34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45"/><Relationship Type="http://schemas.openxmlformats.org/officeDocument/2006/relationships/hyperlink" Target="https://www.youtube.com/watch?v=iWiWjuNthi8" TargetMode="External" Id="rId34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47"/><Relationship Type="http://schemas.openxmlformats.org/officeDocument/2006/relationships/hyperlink" Target="https://www.youtube.com/watch?v=hCQ8HDsdJo4" TargetMode="External" Id="rId34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49"/><Relationship Type="http://schemas.openxmlformats.org/officeDocument/2006/relationships/hyperlink" Target="https://www.youtube.com/watch?v=vh70bDyUfpU" TargetMode="External" Id="rId35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51"/><Relationship Type="http://schemas.openxmlformats.org/officeDocument/2006/relationships/hyperlink" Target="https://www.youtube.com/watch?v=_v4Eb09qp7Q" TargetMode="External" Id="rId35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53"/><Relationship Type="http://schemas.openxmlformats.org/officeDocument/2006/relationships/hyperlink" Target="https://www.youtube.com/watch?v=Em6mQQy4wYA" TargetMode="External" Id="rId35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55"/><Relationship Type="http://schemas.openxmlformats.org/officeDocument/2006/relationships/hyperlink" Target="https://www.youtube.com/watch?v=HhGJZmn-5SU" TargetMode="External" Id="rId35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57"/><Relationship Type="http://schemas.openxmlformats.org/officeDocument/2006/relationships/hyperlink" Target="https://www.youtube.com/watch?v=yOeJwWnOpmg" TargetMode="External" Id="rId35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59"/><Relationship Type="http://schemas.openxmlformats.org/officeDocument/2006/relationships/hyperlink" Target="https://www.youtube.com/watch?v=PmQNLhxoPZA" TargetMode="External" Id="rId36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61"/><Relationship Type="http://schemas.openxmlformats.org/officeDocument/2006/relationships/hyperlink" Target="https://www.youtube.com/watch?v=AyfZuJ7oDjE" TargetMode="External" Id="rId36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63"/><Relationship Type="http://schemas.openxmlformats.org/officeDocument/2006/relationships/hyperlink" Target="https://www.youtube.com/watch?v=3FumIu7Qito" TargetMode="External" Id="rId36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65"/><Relationship Type="http://schemas.openxmlformats.org/officeDocument/2006/relationships/hyperlink" Target="https://www.youtube.com/watch?v=ZsqPyPe7B5w" TargetMode="External" Id="rId36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67"/><Relationship Type="http://schemas.openxmlformats.org/officeDocument/2006/relationships/hyperlink" Target="https://www.youtube.com/watch?v=LhCIqbZqgDM" TargetMode="External" Id="rId36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69"/><Relationship Type="http://schemas.openxmlformats.org/officeDocument/2006/relationships/hyperlink" Target="https://www.youtube.com/watch?v=ThTzc8LZlA4" TargetMode="External" Id="rId37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71"/><Relationship Type="http://schemas.openxmlformats.org/officeDocument/2006/relationships/hyperlink" Target="https://www.youtube.com/watch?v=KFq7LB1nDTw" TargetMode="External" Id="rId37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73"/><Relationship Type="http://schemas.openxmlformats.org/officeDocument/2006/relationships/hyperlink" Target="https://www.youtube.com/watch?v=pHsuIaPbNbY" TargetMode="External" Id="rId37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75"/><Relationship Type="http://schemas.openxmlformats.org/officeDocument/2006/relationships/hyperlink" Target="https://www.youtube.com/watch?v=xWQpEAyI5s8" TargetMode="External" Id="rId37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77"/><Relationship Type="http://schemas.openxmlformats.org/officeDocument/2006/relationships/hyperlink" Target="https://www.youtube.com/watch?v=7qeB25OFfvA" TargetMode="External" Id="rId37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79"/><Relationship Type="http://schemas.openxmlformats.org/officeDocument/2006/relationships/hyperlink" Target="https://www.youtube.com/watch?v=jUSZboSq1zg" TargetMode="External" Id="rId38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81"/><Relationship Type="http://schemas.openxmlformats.org/officeDocument/2006/relationships/hyperlink" Target="https://www.youtube.com/watch?v=oMNXRYRNj_M" TargetMode="External" Id="rId38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83"/><Relationship Type="http://schemas.openxmlformats.org/officeDocument/2006/relationships/hyperlink" Target="https://www.youtube.com/watch?v=eAVXROsyT9Y" TargetMode="External" Id="rId38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85"/><Relationship Type="http://schemas.openxmlformats.org/officeDocument/2006/relationships/hyperlink" Target="https://www.youtube.com/watch?v=efqGwPDnlQY" TargetMode="External" Id="rId38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87"/><Relationship Type="http://schemas.openxmlformats.org/officeDocument/2006/relationships/hyperlink" Target="https://www.youtube.com/watch?v=eFvK6_sQMdI" TargetMode="External" Id="rId38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89"/><Relationship Type="http://schemas.openxmlformats.org/officeDocument/2006/relationships/hyperlink" Target="https://www.youtube.com/watch?v=kqB4Wcvj0Pk" TargetMode="External" Id="rId39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91"/><Relationship Type="http://schemas.openxmlformats.org/officeDocument/2006/relationships/hyperlink" Target="https://www.youtube.com/watch?v=WLDDLCHnDPw" TargetMode="External" Id="rId39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93"/><Relationship Type="http://schemas.openxmlformats.org/officeDocument/2006/relationships/hyperlink" Target="https://www.youtube.com/watch?v=5Gh2FvEPr60" TargetMode="External" Id="rId39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95"/><Relationship Type="http://schemas.openxmlformats.org/officeDocument/2006/relationships/hyperlink" Target="https://www.youtube.com/watch?v=baLFl_4ZwXw" TargetMode="External" Id="rId39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97"/><Relationship Type="http://schemas.openxmlformats.org/officeDocument/2006/relationships/hyperlink" Target="https://www.youtube.com/watch?v=HFaqcB_H6MA" TargetMode="External" Id="rId39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399"/><Relationship Type="http://schemas.openxmlformats.org/officeDocument/2006/relationships/hyperlink" Target="https://www.youtube.com/watch?v=_ilTEy_w8h8" TargetMode="External" Id="rId40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01"/><Relationship Type="http://schemas.openxmlformats.org/officeDocument/2006/relationships/hyperlink" Target="https://www.youtube.com/watch?v=4-4zJh_RPqU" TargetMode="External" Id="rId40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03"/><Relationship Type="http://schemas.openxmlformats.org/officeDocument/2006/relationships/hyperlink" Target="https://www.youtube.com/watch?v=dFAaOcOH9dU" TargetMode="External" Id="rId40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05"/><Relationship Type="http://schemas.openxmlformats.org/officeDocument/2006/relationships/hyperlink" Target="https://www.youtube.com/watch?v=g042Y2668go" TargetMode="External" Id="rId40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07"/><Relationship Type="http://schemas.openxmlformats.org/officeDocument/2006/relationships/hyperlink" Target="https://www.youtube.com/watch?v=5upvgbp_elI" TargetMode="External" Id="rId40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09"/><Relationship Type="http://schemas.openxmlformats.org/officeDocument/2006/relationships/hyperlink" Target="https://www.youtube.com/watch?v=bRZ1kXYEfh8" TargetMode="External" Id="rId41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11"/><Relationship Type="http://schemas.openxmlformats.org/officeDocument/2006/relationships/hyperlink" Target="https://www.youtube.com/watch?v=9gOssrhN3EA" TargetMode="External" Id="rId41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13"/><Relationship Type="http://schemas.openxmlformats.org/officeDocument/2006/relationships/hyperlink" Target="https://www.youtube.com/watch?v=lZw7Zs3bWzw" TargetMode="External" Id="rId41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15"/><Relationship Type="http://schemas.openxmlformats.org/officeDocument/2006/relationships/hyperlink" Target="https://www.youtube.com/watch?v=W9fFhOuJQ1I" TargetMode="External" Id="rId416"/><Relationship Type="http://schemas.openxmlformats.org/officeDocument/2006/relationships/hyperlink" Target="https://scholar.google.com/scholar?q=Bernard+Krauth+%26+Wilson+2009+Michel+et+al.+2014" TargetMode="External" Id="rId417"/><Relationship Type="http://schemas.openxmlformats.org/officeDocument/2006/relationships/hyperlink" Target="https://www.youtube.com/watch?v=BZKN6ZoFOcQ" TargetMode="External" Id="rId41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19"/><Relationship Type="http://schemas.openxmlformats.org/officeDocument/2006/relationships/hyperlink" Target="https://www.youtube.com/watch?v=7nogiBu1yxE" TargetMode="External" Id="rId42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21"/><Relationship Type="http://schemas.openxmlformats.org/officeDocument/2006/relationships/hyperlink" Target="https://www.youtube.com/watch?v=BTxgAyLQirc" TargetMode="External" Id="rId42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23"/><Relationship Type="http://schemas.openxmlformats.org/officeDocument/2006/relationships/hyperlink" Target="https://www.youtube.com/watch?v=TfhrC_lghwg" TargetMode="External" Id="rId42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25"/><Relationship Type="http://schemas.openxmlformats.org/officeDocument/2006/relationships/hyperlink" Target="https://www.youtube.com/watch?v=E8Jxaq81mso" TargetMode="External" Id="rId42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27"/><Relationship Type="http://schemas.openxmlformats.org/officeDocument/2006/relationships/hyperlink" Target="https://www.youtube.com/watch?v=BxHNcXv54ow" TargetMode="External" Id="rId42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29"/><Relationship Type="http://schemas.openxmlformats.org/officeDocument/2006/relationships/hyperlink" Target="https://www.youtube.com/watch?v=r5qOSxEYIus" TargetMode="External" Id="rId43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31"/><Relationship Type="http://schemas.openxmlformats.org/officeDocument/2006/relationships/hyperlink" Target="https://www.youtube.com/watch?v=8LqVN8a7MOY" TargetMode="External" Id="rId43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33"/><Relationship Type="http://schemas.openxmlformats.org/officeDocument/2006/relationships/hyperlink" Target="https://www.youtube.com/watch?v=Y1eMPT1DoBI" TargetMode="External" Id="rId43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35"/><Relationship Type="http://schemas.openxmlformats.org/officeDocument/2006/relationships/hyperlink" Target="https://www.youtube.com/watch?v=GhR9xBZZF6g" TargetMode="External" Id="rId43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37"/><Relationship Type="http://schemas.openxmlformats.org/officeDocument/2006/relationships/hyperlink" Target="https://www.youtube.com/watch?v=GMCFVEfupDA" TargetMode="External" Id="rId43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39"/><Relationship Type="http://schemas.openxmlformats.org/officeDocument/2006/relationships/hyperlink" Target="https://www.youtube.com/watch?v=AQJPrUxxSpk" TargetMode="External" Id="rId440"/><Relationship Type="http://schemas.openxmlformats.org/officeDocument/2006/relationships/hyperlink" Target="https://scholar.google.com/scholar?q=Voter+2007" TargetMode="External" Id="rId441"/><Relationship Type="http://schemas.openxmlformats.org/officeDocument/2006/relationships/hyperlink" Target="https://www.youtube.com/watch?v=42TkHA__6bk" TargetMode="External" Id="rId44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43"/><Relationship Type="http://schemas.openxmlformats.org/officeDocument/2006/relationships/hyperlink" Target="https://www.youtube.com/watch?v=geVT3JYHeqI" TargetMode="External" Id="rId44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45"/><Relationship Type="http://schemas.openxmlformats.org/officeDocument/2006/relationships/hyperlink" Target="https://www.youtube.com/watch?v=atOc2v8Wtcw" TargetMode="External" Id="rId44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47"/><Relationship Type="http://schemas.openxmlformats.org/officeDocument/2006/relationships/hyperlink" Target="https://www.youtube.com/watch?v=fvtnEv4x6sQ" TargetMode="External" Id="rId44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49"/><Relationship Type="http://schemas.openxmlformats.org/officeDocument/2006/relationships/hyperlink" Target="https://www.youtube.com/watch?v=WtbTh9rFznY" TargetMode="External" Id="rId45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51"/><Relationship Type="http://schemas.openxmlformats.org/officeDocument/2006/relationships/hyperlink" Target="https://www.youtube.com/watch?v=MpL5VY9BmJs" TargetMode="External" Id="rId45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53"/><Relationship Type="http://schemas.openxmlformats.org/officeDocument/2006/relationships/hyperlink" Target="https://www.youtube.com/watch?v=XjboE1opv8k" TargetMode="External" Id="rId45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55"/><Relationship Type="http://schemas.openxmlformats.org/officeDocument/2006/relationships/hyperlink" Target="https://www.youtube.com/watch?v=uQ2M6ZVzOb8" TargetMode="External" Id="rId45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57"/><Relationship Type="http://schemas.openxmlformats.org/officeDocument/2006/relationships/hyperlink" Target="https://www.youtube.com/watch?v=_B4ngJdMAzY" TargetMode="External" Id="rId45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59"/><Relationship Type="http://schemas.openxmlformats.org/officeDocument/2006/relationships/hyperlink" Target="https://www.youtube.com/watch?v=ys26j1YnERk" TargetMode="External" Id="rId46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61"/><Relationship Type="http://schemas.openxmlformats.org/officeDocument/2006/relationships/hyperlink" Target="https://www.youtube.com/watch?v=7wqzFTQCiYI" TargetMode="External" Id="rId46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63"/><Relationship Type="http://schemas.openxmlformats.org/officeDocument/2006/relationships/hyperlink" Target="https://www.youtube.com/watch?v=SOwMzq7um8I" TargetMode="External" Id="rId464"/><Relationship Type="http://schemas.openxmlformats.org/officeDocument/2006/relationships/hyperlink" Target="https://scholar.google.com/scholar?q=Allen+Warren+%26+ten+Wolde+2005+PRL+94%3A018104" TargetMode="External" Id="rId465"/><Relationship Type="http://schemas.openxmlformats.org/officeDocument/2006/relationships/hyperlink" Target="https://www.youtube.com/watch?v=jdECtI1KTEo" TargetMode="External" Id="rId46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67"/><Relationship Type="http://schemas.openxmlformats.org/officeDocument/2006/relationships/hyperlink" Target="https://www.youtube.com/watch?v=YpltPzpcmLY" TargetMode="External" Id="rId46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69"/><Relationship Type="http://schemas.openxmlformats.org/officeDocument/2006/relationships/hyperlink" Target="https://www.youtube.com/watch?v=spKvY1rKT9I" TargetMode="External" Id="rId470"/><Relationship Type="http://schemas.openxmlformats.org/officeDocument/2006/relationships/hyperlink" Target="https://scholar.google.com/scholar?q=E+%26+Vanden-Eijnden+2006+J+Stat+Phys+123%3A503" TargetMode="External" Id="rId471"/><Relationship Type="http://schemas.openxmlformats.org/officeDocument/2006/relationships/hyperlink" Target="https://www.youtube.com/watch?v=66JqXJv2u0E" TargetMode="External" Id="rId47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73"/><Relationship Type="http://schemas.openxmlformats.org/officeDocument/2006/relationships/hyperlink" Target="https://www.youtube.com/watch?v=68qbwQyz5WY" TargetMode="External" Id="rId47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75"/><Relationship Type="http://schemas.openxmlformats.org/officeDocument/2006/relationships/hyperlink" Target="https://www.youtube.com/watch?v=TcnWEFupXPw" TargetMode="External" Id="rId47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77"/><Relationship Type="http://schemas.openxmlformats.org/officeDocument/2006/relationships/hyperlink" Target="https://www.youtube.com/watch?v=YFNqq3XUGB4" TargetMode="External" Id="rId47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79"/><Relationship Type="http://schemas.openxmlformats.org/officeDocument/2006/relationships/hyperlink" Target="https://www.youtube.com/watch?v=FPlzOpl_R4c" TargetMode="External" Id="rId48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81"/><Relationship Type="http://schemas.openxmlformats.org/officeDocument/2006/relationships/hyperlink" Target="https://www.youtube.com/watch?v=9kLxWTVwShQ" TargetMode="External" Id="rId48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83"/><Relationship Type="http://schemas.openxmlformats.org/officeDocument/2006/relationships/hyperlink" Target="https://www.youtube.com/watch?v=CafVsQ7yodY" TargetMode="External" Id="rId48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85"/><Relationship Type="http://schemas.openxmlformats.org/officeDocument/2006/relationships/hyperlink" Target="https://www.youtube.com/watch?v=Twod0mnNTQI" TargetMode="External" Id="rId48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87"/><Relationship Type="http://schemas.openxmlformats.org/officeDocument/2006/relationships/hyperlink" Target="https://www.youtube.com/watch?v=n9jyJr6gBo8" TargetMode="External" Id="rId48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89"/><Relationship Type="http://schemas.openxmlformats.org/officeDocument/2006/relationships/hyperlink" Target="https://www.youtube.com/watch?v=WuXJRswYIaA" TargetMode="External" Id="rId49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91"/><Relationship Type="http://schemas.openxmlformats.org/officeDocument/2006/relationships/hyperlink" Target="https://www.youtube.com/watch?v=XhAP2VNPVhg" TargetMode="External" Id="rId49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93"/><Relationship Type="http://schemas.openxmlformats.org/officeDocument/2006/relationships/hyperlink" Target="https://www.youtube.com/watch?v=B2XT0Yyt_JA" TargetMode="External" Id="rId494"/><Relationship Type="http://schemas.openxmlformats.org/officeDocument/2006/relationships/hyperlink" Target="https://scholar.google.com/scholar?q=Wu+K%C3%B6hler+%26+No%C3%A9+2020+NeurIPS" TargetMode="External" Id="rId495"/><Relationship Type="http://schemas.openxmlformats.org/officeDocument/2006/relationships/hyperlink" Target="https://www.youtube.com/watch?v=xaisDpCof9I" TargetMode="External" Id="rId49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97"/><Relationship Type="http://schemas.openxmlformats.org/officeDocument/2006/relationships/hyperlink" Target="https://www.youtube.com/watch?v=xQQXvOWu9nE" TargetMode="External" Id="rId49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499"/><Relationship Type="http://schemas.openxmlformats.org/officeDocument/2006/relationships/hyperlink" Target="https://www.youtube.com/watch?v=H1o6SJ1ovUw" TargetMode="External" Id="rId50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01"/><Relationship Type="http://schemas.openxmlformats.org/officeDocument/2006/relationships/hyperlink" Target="https://www.youtube.com/watch?v=J8oSJkYvRHU" TargetMode="External" Id="rId50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03"/><Relationship Type="http://schemas.openxmlformats.org/officeDocument/2006/relationships/hyperlink" Target="https://www.youtube.com/watch?v=urYu8M_6W38" TargetMode="External" Id="rId50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05"/><Relationship Type="http://schemas.openxmlformats.org/officeDocument/2006/relationships/hyperlink" Target="https://www.youtube.com/watch?v=AUjzhfPdrVM" TargetMode="External" Id="rId50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07"/><Relationship Type="http://schemas.openxmlformats.org/officeDocument/2006/relationships/hyperlink" Target="https://www.youtube.com/watch?v=0hxaendCWLc" TargetMode="External" Id="rId50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09"/><Relationship Type="http://schemas.openxmlformats.org/officeDocument/2006/relationships/hyperlink" Target="https://www.youtube.com/watch?v=V7JaQXDnKWw" TargetMode="External" Id="rId51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11"/><Relationship Type="http://schemas.openxmlformats.org/officeDocument/2006/relationships/hyperlink" Target="https://www.youtube.com/watch?v=9qP_sYHnHzQ" TargetMode="External" Id="rId51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13"/><Relationship Type="http://schemas.openxmlformats.org/officeDocument/2006/relationships/hyperlink" Target="https://www.youtube.com/watch?v=ktXWE8TF3OI" TargetMode="External" Id="rId51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15"/><Relationship Type="http://schemas.openxmlformats.org/officeDocument/2006/relationships/hyperlink" Target="https://www.youtube.com/watch?v=LejqfvskG2g" TargetMode="External" Id="rId51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17"/><Relationship Type="http://schemas.openxmlformats.org/officeDocument/2006/relationships/hyperlink" Target="https://www.youtube.com/watch?v=O-wWPtpk5Jg" TargetMode="External" Id="rId51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19"/><Relationship Type="http://schemas.openxmlformats.org/officeDocument/2006/relationships/hyperlink" Target="https://www.youtube.com/watch?v=h-byFNFq4vw" TargetMode="External" Id="rId52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21"/><Relationship Type="http://schemas.openxmlformats.org/officeDocument/2006/relationships/hyperlink" Target="https://www.youtube.com/watch?v=rZk2FqX2XnY" TargetMode="External" Id="rId52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23"/><Relationship Type="http://schemas.openxmlformats.org/officeDocument/2006/relationships/hyperlink" Target="https://www.youtube.com/watch?v=BsjhKYFH1ms" TargetMode="External" Id="rId524"/><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25"/><Relationship Type="http://schemas.openxmlformats.org/officeDocument/2006/relationships/hyperlink" Target="https://www.youtube.com/watch?v=FYliDjeYuXg" TargetMode="External" Id="rId52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27"/><Relationship Type="http://schemas.openxmlformats.org/officeDocument/2006/relationships/hyperlink" Target="https://www.youtube.com/watch?v=HKPm6txxxQM" TargetMode="External" Id="rId528"/><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29"/><Relationship Type="http://schemas.openxmlformats.org/officeDocument/2006/relationships/hyperlink" Target="https://www.youtube.com/watch?v=uIojz7lOz9w" TargetMode="External" Id="rId53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31"/><Relationship Type="http://schemas.openxmlformats.org/officeDocument/2006/relationships/hyperlink" Target="https://www.youtube.com/watch?v=D0kVMie93Yk" TargetMode="External" Id="rId53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33"/><Relationship Type="http://schemas.openxmlformats.org/officeDocument/2006/relationships/hyperlink" Target="https://www.youtube.com/watch?v=hLeYPhgiuzg" TargetMode="External" Id="rId534"/><Relationship Type="http://schemas.openxmlformats.org/officeDocument/2006/relationships/hyperlink" Target="https://arxiv.org/abs/2011.01808" TargetMode="External" Id="rId535"/><Relationship Type="http://schemas.openxmlformats.org/officeDocument/2006/relationships/hyperlink" Target="https://www.youtube.com/watch?v=_RTHFTDJImg" TargetMode="External" Id="rId536"/><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37"/><Relationship Type="http://schemas.openxmlformats.org/officeDocument/2006/relationships/hyperlink" Target="https://www.youtube.com/watch?v=CAdX2PNz1iM" TargetMode="External" Id="rId538"/><Relationship Type="http://schemas.openxmlformats.org/officeDocument/2006/relationships/hyperlink" Target="https://scholar.google.com/scholar?q=Carpenter+et+al.+2017+JSS+76+1" TargetMode="External" Id="rId539"/><Relationship Type="http://schemas.openxmlformats.org/officeDocument/2006/relationships/hyperlink" Target="https://www.youtube.com/watch?v=HCyVOs0Z2vA" TargetMode="External" Id="rId540"/><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41"/><Relationship Type="http://schemas.openxmlformats.org/officeDocument/2006/relationships/hyperlink" Target="https://www.youtube.com/watch?v=b0_D0BxPYLo" TargetMode="External" Id="rId542"/><Relationship Type="http://schemas.openxmlformats.org/officeDocument/2006/relationships/hyperlink" Target="https://scholar.google.com/scholar?q=Grossfield+%26+Zuckerman+2009+Annu+Rep+Comput+Chem+5%3A23+Quantifying+uncertainty+and+sampling+quality+read+this+one+twice+Chodera+2016+JCTC+12%3A1799+automatic+equilibration+detection" TargetMode="External" Id="rId543"/><Relationship Type="http://schemas.openxmlformats.org/officeDocument/2006/relationships/hyperlink" Target="https://www.youtube.com/watch?v=DKNeV0pOpiU" TargetMode="External" Id="rId544"/><Relationship Type="http://schemas.openxmlformats.org/officeDocument/2006/relationships/hyperlink" Target="https://scholar.google.com/scholar?q=Torrie+%26+Valleau+1977+J+Comput+Phys+23%3A187+umbrella+sampling+Kumar+et+al.+1992+J+Comput+Chem+13%3A1011+WHAM" TargetMode="External" Id="rId545"/><Relationship Type="http://schemas.openxmlformats.org/officeDocument/2006/relationships/hyperlink" Target="https://www.youtube.com/watch?v=75q4tXyugYs" TargetMode="External" Id="rId546"/><Relationship Type="http://schemas.openxmlformats.org/officeDocument/2006/relationships/hyperlink" Target="https://scholar.google.com/scholar?q=Torrie+%26+Valleau+1977+J+Comput+Phys+23%3A187+umbrella+sampling+Kumar+et+al.+1992+J+Comput+Chem+13%3A1011+WHAM" TargetMode="External" Id="rId547"/><Relationship Type="http://schemas.openxmlformats.org/officeDocument/2006/relationships/hyperlink" Target="https://www.youtube.com/watch?v=X0mlsm1jDig" TargetMode="External" Id="rId548"/><Relationship Type="http://schemas.openxmlformats.org/officeDocument/2006/relationships/hyperlink" Target="https://scholar.google.com/scholar?q=Torrie+%26+Valleau+1977+J+Comput+Phys+23%3A187+umbrella+sampling+Kumar+et+al.+1992+J+Comput+Chem+13%3A1011+WHAM" TargetMode="External" Id="rId549"/><Relationship Type="http://schemas.openxmlformats.org/officeDocument/2006/relationships/hyperlink" Target="https://www.youtube.com/watch?v=YAWo8gKi7b4" TargetMode="External" Id="rId550"/><Relationship Type="http://schemas.openxmlformats.org/officeDocument/2006/relationships/hyperlink" Target="https://scholar.google.com/scholar?q=Huber+%26+Kim+1996+Biophys+J+70%3A97+weighted+ensemble+the+original+Zuckerman+%26+Chong+2017+Annu+Rev+Biophys+46%3A43+the+review+to+read" TargetMode="External" Id="rId551"/><Relationship Type="http://schemas.openxmlformats.org/officeDocument/2006/relationships/hyperlink" Target="https://www.youtube.com/watch?v=7IJnosb0kNA" TargetMode="External" Id="rId552"/><Relationship Type="http://schemas.openxmlformats.org/officeDocument/2006/relationships/hyperlink" Target="https://scholar.google.com/scholar?q=Huber+%26+Kim+1996+Biophys+J+70%3A97+weighted+ensemble+the+original+Zuckerman+%26+Chong+2017+Annu+Rev+Biophys+46%3A43+the+review+to+read" TargetMode="External" Id="rId553"/><Relationship Type="http://schemas.openxmlformats.org/officeDocument/2006/relationships/hyperlink" Target="https://www.youtube.com/watch?v=hNdPrioGQ7k" TargetMode="External" Id="rId554"/><Relationship Type="http://schemas.openxmlformats.org/officeDocument/2006/relationships/hyperlink" Target="https://scholar.google.com/scholar?q=Meller+et+al.+2023+Nat+Commun+14%3A1177+PocketMiner" TargetMode="External" Id="rId555"/><Relationship Type="http://schemas.openxmlformats.org/officeDocument/2006/relationships/hyperlink" Target="https://www.youtube.com/watch?v=nwNKpJVBzSo" TargetMode="External" Id="rId556"/><Relationship Type="http://schemas.openxmlformats.org/officeDocument/2006/relationships/hyperlink" Target="https://scholar.google.com/scholar?q=Prinz+et+al.+2011+JCP+134%3A174105+MSMs%3A+the+definitive+construction+paper+Husic+%26+Pande+2018+JACS+140%3A2386+MSM+review" TargetMode="External" Id="rId557"/><Relationship Type="http://schemas.openxmlformats.org/officeDocument/2006/relationships/hyperlink" Target="https://www.youtube.com/watch?v=B8ftFTKZcCo" TargetMode="External" Id="rId558"/><Relationship Type="http://schemas.openxmlformats.org/officeDocument/2006/relationships/hyperlink" Target="https://scholar.google.com/scholar?q=No%C3%A9+et+al.+2019+Science+365%3Aeaaw1147+Boltzmann+generators+landmark+Klein+et+al.+2023+NeurIPS+Timewarp" TargetMode="External" Id="rId559"/><Relationship Type="http://schemas.openxmlformats.org/officeDocument/2006/relationships/hyperlink" Target="https://www.youtube.com/watch?v=TasdvyXGwGs" TargetMode="External" Id="rId560"/><Relationship Type="http://schemas.openxmlformats.org/officeDocument/2006/relationships/hyperlink" Target="https://scholar.google.com/scholar?q=No%C3%A9+et+al.+2019+Science+365%3Aeaaw1147+Boltzmann+generators+landmark+Klein+et+al.+2023+NeurIPS+Timewarp" TargetMode="External" Id="rId561"/><Relationship Type="http://schemas.openxmlformats.org/officeDocument/2006/relationships/hyperlink" Target="https://www.youtube.com/watch?v=fD_1V5HgGTQ" TargetMode="External" Id="rId562"/><Relationship Type="http://schemas.openxmlformats.org/officeDocument/2006/relationships/hyperlink" Target="https://scholar.google.com/scholar?q=No%C3%A9+et+al.+2019+Science+365%3Aeaaw1147+Boltzmann+generators+landmark+Klein+et+al.+2023+NeurIPS+Timewarp" TargetMode="External" Id="rId563"/><Relationship Type="http://schemas.openxmlformats.org/officeDocument/2006/relationships/hyperlink" Target="https://www.youtube.com/watch?v=4rtT-hE9Xqo" TargetMode="External" Id="rId564"/><Relationship Type="http://schemas.openxmlformats.org/officeDocument/2006/relationships/hyperlink" Target="https://scholar.google.com/scholar?q=No%C3%A9+et+al.+2019+Science+365%3Aeaaw1147+Boltzmann+generators+landmark+Klein+et+al.+2023+NeurIPS+Timewarp" TargetMode="External" Id="rId565"/><Relationship Type="http://schemas.openxmlformats.org/officeDocument/2006/relationships/hyperlink" Target="https://www.youtube.com/watch?v=zaZAAWUISGE" TargetMode="External" Id="rId566"/><Relationship Type="http://schemas.openxmlformats.org/officeDocument/2006/relationships/hyperlink" Target="https://scholar.google.com/scholar?q=Lewis+et+al.+2025+Science+389%3Aeadv9817+BioEmu" TargetMode="External" Id="rId567"/><Relationship Type="http://schemas.openxmlformats.org/officeDocument/2006/relationships/hyperlink" Target="https://www.youtube.com/watch?v=yDDXF6XJZck" TargetMode="External" Id="rId568"/><Relationship Type="http://schemas.openxmlformats.org/officeDocument/2006/relationships/hyperlink" Target="https://scholar.google.com/scholar?q=Jing+et+al.+2024+ICML+AlphaFlow" TargetMode="External" Id="rId569"/><Relationship Type="http://schemas.openxmlformats.org/officeDocument/2006/relationships/hyperlink" Target="https://www.youtube.com/watch?v=PGqyagbXoyc" TargetMode="External" Id="rId570"/><Relationship Type="http://schemas.openxmlformats.org/officeDocument/2006/relationships/hyperlink" Target="https://scholar.google.com/scholar?q=No%C3%A9+et+al.+2019+Science+365%3Aeaaw1147+Boltzmann+generators+landmark+Klein+et+al.+2023+NeurIPS+Timewarp" TargetMode="External" Id="rId571"/><Relationship Type="http://schemas.openxmlformats.org/officeDocument/2006/relationships/hyperlink" Target="https://www.youtube.com/watch?v=B__DMqLJpSY" TargetMode="External" Id="rId572"/><Relationship Type="http://schemas.openxmlformats.org/officeDocument/2006/relationships/hyperlink" Target="https://scholar.google.com/scholar?q=No%C3%A9+et+al.+2019+Science+365%3Aeaaw1147+Boltzmann+generators+landmark+Klein+et+al.+2023+NeurIPS+Timewarp" TargetMode="External" Id="rId573"/><Relationship Type="http://schemas.openxmlformats.org/officeDocument/2006/relationships/hyperlink" Target="https://www.youtube.com/watch?v=t7q_ZNrBghY" TargetMode="External" Id="rId574"/><Relationship Type="http://schemas.openxmlformats.org/officeDocument/2006/relationships/hyperlink" Target="https://scholar.google.com/scholar?q=No%C3%A9+et+al.+2019+Science+365%3Aeaaw1147+Boltzmann+generators+landmark+Klein+et+al.+2023+NeurIPS+Timewarp" TargetMode="External" Id="rId575"/><Relationship Type="http://schemas.openxmlformats.org/officeDocument/2006/relationships/hyperlink" Target="https://www.youtube.com/watch?v=fhMjOYvnGcY" TargetMode="External" Id="rId576"/><Relationship Type="http://schemas.openxmlformats.org/officeDocument/2006/relationships/hyperlink" Target="https://scholar.google.com/scholar?q=No%C3%A9+et+al.+2019+Science+365%3Aeaaw1147+Boltzmann+generators+landmark+Klein+et+al.+2023+NeurIPS+Timewarp" TargetMode="External" Id="rId577"/><Relationship Type="http://schemas.openxmlformats.org/officeDocument/2006/relationships/hyperlink" Target="https://www.youtube.com/watch?v=pCQeSE9JAXk" TargetMode="External" Id="rId578"/><Relationship Type="http://schemas.openxmlformats.org/officeDocument/2006/relationships/hyperlink" Target="https://scholar.google.com/scholar?q=No%C3%A9+et+al.+2019+Science+365%3Aeaaw1147+Boltzmann+generators+landmark+Klein+et+al.+2023+NeurIPS+Timewarp" TargetMode="External" Id="rId579"/><Relationship Type="http://schemas.openxmlformats.org/officeDocument/2006/relationships/hyperlink" Target="https://www.youtube.com/watch?v=yGyQa8opfi0" TargetMode="External" Id="rId580"/><Relationship Type="http://schemas.openxmlformats.org/officeDocument/2006/relationships/hyperlink" Target="https://scholar.google.com/scholar?q=No%C3%A9+et+al.+2019+Science+365%3Aeaaw1147+Boltzmann+generators+landmark+Klein+et+al.+2023+NeurIPS+Timewarp" TargetMode="External" Id="rId581"/><Relationship Type="http://schemas.openxmlformats.org/officeDocument/2006/relationships/hyperlink" Target="https://www.youtube.com/watch?v=NiQYxnKx7kw" TargetMode="External" Id="rId582"/><Relationship Type="http://schemas.openxmlformats.org/officeDocument/2006/relationships/hyperlink" Target="https://scholar.google.com/scholar?q=No%C3%A9+et+al.+2019+Science+365%3Aeaaw1147+Boltzmann+generators+landmark+Klein+et+al.+2023+NeurIPS+Timewarp" TargetMode="External" Id="rId583"/><Relationship Type="http://schemas.openxmlformats.org/officeDocument/2006/relationships/hyperlink" Target="https://www.youtube.com/watch?v=ZahfL03lujo" TargetMode="External" Id="rId584"/><Relationship Type="http://schemas.openxmlformats.org/officeDocument/2006/relationships/hyperlink" Target="https://scholar.google.com/scholar?q=No%C3%A9+et+al.+2019+Science+365%3Aeaaw1147+Boltzmann+generators+landmark+Klein+et+al.+2023+NeurIPS+Timewarp" TargetMode="External" Id="rId585"/><Relationship Type="http://schemas.openxmlformats.org/officeDocument/2006/relationships/hyperlink" Target="https://www.youtube.com/watch?v=LCKtsR1ijsA" TargetMode="External" Id="rId586"/><Relationship Type="http://schemas.openxmlformats.org/officeDocument/2006/relationships/hyperlink" Target="https://scholar.google.com/scholar?q=No%C3%A9+et+al.+2019+Science+365%3Aeaaw1147+Boltzmann+generators+landmark+Klein+et+al.+2023+NeurIPS+Timewarp" TargetMode="External" Id="rId587"/><Relationship Type="http://schemas.openxmlformats.org/officeDocument/2006/relationships/hyperlink" Target="https://www.youtube.com/watch?v=OEmxv5GnywA" TargetMode="External" Id="rId588"/><Relationship Type="http://schemas.openxmlformats.org/officeDocument/2006/relationships/hyperlink" Target="https://scholar.google.com/scholar?q=No%C3%A9+et+al.+2019+Science+365%3Aeaaw1147+Boltzmann+generators+landmark+Klein+et+al.+2023+NeurIPS+Timewarp" TargetMode="External" Id="rId589"/><Relationship Type="http://schemas.openxmlformats.org/officeDocument/2006/relationships/hyperlink" Target="https://www.youtube.com/watch?v=_guJYDwm5mU" TargetMode="External" Id="rId590"/><Relationship Type="http://schemas.openxmlformats.org/officeDocument/2006/relationships/hyperlink" Target="https://scholar.google.com/scholar?q=No%C3%A9+et+al.+2019+Science+365%3Aeaaw1147+Boltzmann+generators+landmark+Klein+et+al.+2023+NeurIPS+Timewarp" TargetMode="External" Id="rId591"/><Relationship Type="http://schemas.openxmlformats.org/officeDocument/2006/relationships/hyperlink" Target="https://www.youtube.com/watch?v=zn7Fd6F9lB0" TargetMode="External" Id="rId592"/><Relationship Type="http://schemas.openxmlformats.org/officeDocument/2006/relationships/hyperlink" Target="https://scholar.google.com/scholar?q=No%C3%A9+et+al.+2019+Science+365%3Aeaaw1147+Boltzmann+generators+landmark+Klein+et+al.+2023+NeurIPS+Timewarp" TargetMode="External" Id="rId593"/><Relationship Type="http://schemas.openxmlformats.org/officeDocument/2006/relationships/hyperlink" Target="https://www.youtube.com/watch?v=WIdZNjZFGRM" TargetMode="External" Id="rId594"/><Relationship Type="http://schemas.openxmlformats.org/officeDocument/2006/relationships/hyperlink" Target="https://scholar.google.com/scholar?q=No%C3%A9+et+al.+2019+Science+365%3Aeaaw1147+Boltzmann+generators+landmark+Klein+et+al.+2023+NeurIPS+Timewarp" TargetMode="External" Id="rId595"/><Relationship Type="http://schemas.openxmlformats.org/officeDocument/2006/relationships/hyperlink" Target="https://www.youtube.com/watch?v=iLw7acCoCrs" TargetMode="External" Id="rId596"/><Relationship Type="http://schemas.openxmlformats.org/officeDocument/2006/relationships/hyperlink" Target="https://scholar.google.com/scholar?q=No%C3%A9+et+al.+2019+Science+365%3Aeaaw1147+Boltzmann+generators+landmark+Klein+et+al.+2023+NeurIPS+Timewarp" TargetMode="External" Id="rId597"/><Relationship Type="http://schemas.openxmlformats.org/officeDocument/2006/relationships/hyperlink" Target="https://www.youtube.com/watch?v=Duq09xMTzgc" TargetMode="External" Id="rId598"/><Relationship Type="http://schemas.openxmlformats.org/officeDocument/2006/relationships/hyperlink" Target="https://scholar.google.com/scholar?q=No%C3%A9+et+al.+2019+Science+365%3Aeaaw1147+Boltzmann+generators+landmark+Klein+et+al.+2023+NeurIPS+Timewarp" TargetMode="External" Id="rId599"/><Relationship Type="http://schemas.openxmlformats.org/officeDocument/2006/relationships/hyperlink" Target="https://www.youtube.com/watch?v=-FAdiM7PkWc" TargetMode="External" Id="rId600"/><Relationship Type="http://schemas.openxmlformats.org/officeDocument/2006/relationships/hyperlink" Target="https://scholar.google.com/scholar?q=No%C3%A9+et+al.+2019+Science+365%3Aeaaw1147+Boltzmann+generators+landmark+Klein+et+al.+2023+NeurIPS+Timewarp" TargetMode="External" Id="rId601"/><Relationship Type="http://schemas.openxmlformats.org/officeDocument/2006/relationships/hyperlink" Target="https://www.youtube.com/watch?v=xBUYrEAgzz4" TargetMode="External" Id="rId602"/><Relationship Type="http://schemas.openxmlformats.org/officeDocument/2006/relationships/hyperlink" Target="https://scholar.google.com/scholar?q=No%C3%A9+et+al.+2019+Science+365%3Aeaaw1147+Boltzmann+generators+landmark+Klein+et+al.+2023+NeurIPS+Timewarp" TargetMode="External" Id="rId603"/><Relationship Type="http://schemas.openxmlformats.org/officeDocument/2006/relationships/hyperlink" Target="https://www.youtube.com/watch?v=k6B6U0dvf2o" TargetMode="External" Id="rId604"/><Relationship Type="http://schemas.openxmlformats.org/officeDocument/2006/relationships/hyperlink" Target="https://scholar.google.com/scholar?q=No%C3%A9+et+al.+2019+Science+365%3Aeaaw1147+Boltzmann+generators+landmark+Klein+et+al.+2023+NeurIPS+Timewarp" TargetMode="External" Id="rId605"/><Relationship Type="http://schemas.openxmlformats.org/officeDocument/2006/relationships/hyperlink" Target="https://www.youtube.com/watch?v=IhXUxA_Qr_g" TargetMode="External" Id="rId606"/><Relationship Type="http://schemas.openxmlformats.org/officeDocument/2006/relationships/hyperlink" Target="https://scholar.google.com/scholar?q=No%C3%A9+et+al.+2019+Science+365%3Aeaaw1147+Boltzmann+generators+landmark+Klein+et+al.+2023+NeurIPS+Timewarp" TargetMode="External" Id="rId607"/><Relationship Type="http://schemas.openxmlformats.org/officeDocument/2006/relationships/hyperlink" Target="https://www.youtube.com/watch?v=KFPCq783_PQ" TargetMode="External" Id="rId608"/><Relationship Type="http://schemas.openxmlformats.org/officeDocument/2006/relationships/hyperlink" Target="https://scholar.google.com/scholar?q=No%C3%A9+et+al.+2019+Science+365%3Aeaaw1147+Boltzmann+generators+landmark+Klein+et+al.+2023+NeurIPS+Timewarp" TargetMode="External" Id="rId609"/><Relationship Type="http://schemas.openxmlformats.org/officeDocument/2006/relationships/hyperlink" Target="https://www.youtube.com/watch?v=cQQM1DTLR5g" TargetMode="External" Id="rId610"/><Relationship Type="http://schemas.openxmlformats.org/officeDocument/2006/relationships/hyperlink" Target="https://scholar.google.com/scholar?q=No%C3%A9+et+al.+2019+Science+365%3Aeaaw1147+Boltzmann+generators+landmark+Klein+et+al.+2023+NeurIPS+Timewarp" TargetMode="External" Id="rId611"/><Relationship Type="http://schemas.openxmlformats.org/officeDocument/2006/relationships/hyperlink" Target="https://www.youtube.com/watch?v=2HX_Fwz4znI" TargetMode="External" Id="rId612"/><Relationship Type="http://schemas.openxmlformats.org/officeDocument/2006/relationships/hyperlink" Target="https://scholar.google.com/scholar?q=No%C3%A9+et+al.+2019+Science+365%3Aeaaw1147+Boltzmann+generators+landmark+Klein+et+al.+2023+NeurIPS+Timewarp" TargetMode="External" Id="rId613"/><Relationship Type="http://schemas.openxmlformats.org/officeDocument/2006/relationships/hyperlink" Target="https://www.youtube.com/watch?v=hHCUW50cRuA" TargetMode="External" Id="rId614"/><Relationship Type="http://schemas.openxmlformats.org/officeDocument/2006/relationships/hyperlink" Target="https://scholar.google.com/scholar?q=No%C3%A9+et+al.+2019+Science+365%3Aeaaw1147+Boltzmann+generators+landmark+Klein+et+al.+2023+NeurIPS+Timewarp" TargetMode="External" Id="rId615"/><Relationship Type="http://schemas.openxmlformats.org/officeDocument/2006/relationships/hyperlink" Target="https://www.youtube.com/watch?v=YG5r6vUebhQ" TargetMode="External" Id="rId616"/><Relationship Type="http://schemas.openxmlformats.org/officeDocument/2006/relationships/hyperlink" Target="https://scholar.google.com/scholar?q=No%C3%A9+et+al.+2019+Science+365%3Aeaaw1147+Boltzmann+generators+landmark+Klein+et+al.+2023+NeurIPS+Timewarp" TargetMode="External" Id="rId617"/><Relationship Type="http://schemas.openxmlformats.org/officeDocument/2006/relationships/hyperlink" Target="https://www.youtube.com/watch?v=MIQAm5SbJtw" TargetMode="External" Id="rId618"/><Relationship Type="http://schemas.openxmlformats.org/officeDocument/2006/relationships/hyperlink" Target="https://scholar.google.com/scholar?q=No%C3%A9+et+al.+2019+Science+365%3Aeaaw1147+Boltzmann+generators+landmark+Klein+et+al.+2023+NeurIPS+Timewarp" TargetMode="External" Id="rId619"/><Relationship Type="http://schemas.openxmlformats.org/officeDocument/2006/relationships/hyperlink" Target="https://www.youtube.com/watch?v=ZDQcmPvd-1E" TargetMode="External" Id="rId620"/><Relationship Type="http://schemas.openxmlformats.org/officeDocument/2006/relationships/hyperlink" Target="https://scholar.google.com/scholar?q=No%C3%A9+et+al.+2019+Science+365%3Aeaaw1147+Boltzmann+generators+landmark+Klein+et+al.+2023+NeurIPS+Timewarp" TargetMode="External" Id="rId621"/><Relationship Type="http://schemas.openxmlformats.org/officeDocument/2006/relationships/hyperlink" Target="https://www.youtube.com/watch?v=id5D_9PC1mA" TargetMode="External" Id="rId622"/><Relationship Type="http://schemas.openxmlformats.org/officeDocument/2006/relationships/hyperlink" Target="https://scholar.google.com/scholar?q=No%C3%A9+et+al.+2019+Science+365%3Aeaaw1147+Boltzmann+generators+landmark+Klein+et+al.+2023+NeurIPS+Timewarp" TargetMode="External" Id="rId623"/><Relationship Type="http://schemas.openxmlformats.org/officeDocument/2006/relationships/hyperlink" Target="https://www.youtube.com/watch?v=-oqN-bMnPjs" TargetMode="External" Id="rId624"/><Relationship Type="http://schemas.openxmlformats.org/officeDocument/2006/relationships/hyperlink" Target="https://scholar.google.com/scholar?q=No%C3%A9+et+al.+2019+Science+365%3Aeaaw1147+Boltzmann+generators+landmark+Klein+et+al.+2023+NeurIPS+Timewarp" TargetMode="External" Id="rId625"/><Relationship Type="http://schemas.openxmlformats.org/officeDocument/2006/relationships/hyperlink" Target="https://www.youtube.com/watch?v=HSh4AzzhGKM" TargetMode="External" Id="rId626"/><Relationship Type="http://schemas.openxmlformats.org/officeDocument/2006/relationships/hyperlink" Target="https://scholar.google.com/scholar?q=No%C3%A9+et+al.+2019+Science+365%3Aeaaw1147+Boltzmann+generators+landmark+Klein+et+al.+2023+NeurIPS+Timewarp" TargetMode="External" Id="rId627"/><Relationship Type="http://schemas.openxmlformats.org/officeDocument/2006/relationships/hyperlink" Target="https://www.youtube.com/watch?v=bRX2yxa3laA" TargetMode="External" Id="rId628"/><Relationship Type="http://schemas.openxmlformats.org/officeDocument/2006/relationships/hyperlink" Target="https://scholar.google.com/scholar?q=No%C3%A9+et+al.+2019+Science+365%3Aeaaw1147+Boltzmann+generators+landmark+Klein+et+al.+2023+NeurIPS+Timewarp" TargetMode="External" Id="rId629"/><Relationship Type="http://schemas.openxmlformats.org/officeDocument/2006/relationships/hyperlink" Target="https://www.youtube.com/watch?v=zNkRZENCg-8" TargetMode="External" Id="rId630"/><Relationship Type="http://schemas.openxmlformats.org/officeDocument/2006/relationships/hyperlink" Target="https://scholar.google.com/scholar?q=No%C3%A9+et+al.+2019+Science+365%3Aeaaw1147+Boltzmann+generators+landmark+Klein+et+al.+2023+NeurIPS+Timewarp" TargetMode="External" Id="rId631"/><Relationship Type="http://schemas.openxmlformats.org/officeDocument/2006/relationships/hyperlink" Target="https://www.youtube.com/watch?v=OMzzwbxu93I" TargetMode="External" Id="rId632"/><Relationship Type="http://schemas.openxmlformats.org/officeDocument/2006/relationships/hyperlink" Target="https://scholar.google.com/scholar?q=No%C3%A9+et+al.+2019+Science+365%3Aeaaw1147+Boltzmann+generators+landmark+Klein+et+al.+2023+NeurIPS+Timewarp" TargetMode="External" Id="rId633"/><Relationship Type="http://schemas.openxmlformats.org/officeDocument/2006/relationships/hyperlink" Target="https://www.youtube.com/watch?v=92K8gbk6WhA" TargetMode="External" Id="rId634"/><Relationship Type="http://schemas.openxmlformats.org/officeDocument/2006/relationships/hyperlink" Target="https://scholar.google.com/scholar?q=No%C3%A9+et+al.+2019+Science+365%3Aeaaw1147+Boltzmann+generators+landmark+Klein+et+al.+2023+NeurIPS+Timewarp" TargetMode="External" Id="rId635"/><Relationship Type="http://schemas.openxmlformats.org/officeDocument/2006/relationships/hyperlink" Target="https://www.youtube.com/watch?v=luPTHy2FRV8" TargetMode="External" Id="rId636"/><Relationship Type="http://schemas.openxmlformats.org/officeDocument/2006/relationships/hyperlink" Target="https://scholar.google.com/scholar?q=No%C3%A9+et+al.+2019+Science+365%3Aeaaw1147+Boltzmann+generators+landmark+Klein+et+al.+2023+NeurIPS+Timewarp" TargetMode="External" Id="rId637"/><Relationship Type="http://schemas.openxmlformats.org/officeDocument/2006/relationships/hyperlink" Target="https://www.youtube.com/watch?v=VEXAc_jYWPA" TargetMode="External" Id="rId638"/><Relationship Type="http://schemas.openxmlformats.org/officeDocument/2006/relationships/hyperlink" Target="https://scholar.google.com/scholar?q=No%C3%A9+et+al.+2019+Science+365%3Aeaaw1147+Boltzmann+generators+landmark+Klein+et+al.+2023+NeurIPS+Timewarp" TargetMode="External" Id="rId639"/><Relationship Type="http://schemas.openxmlformats.org/officeDocument/2006/relationships/hyperlink" Target="https://www.youtube.com/watch?v=a2axeq_E3RQ" TargetMode="External" Id="rId640"/><Relationship Type="http://schemas.openxmlformats.org/officeDocument/2006/relationships/hyperlink" Target="https://scholar.google.com/scholar?q=No%C3%A9+et+al.+2019+Science+365%3Aeaaw1147+Boltzmann+generators+landmark+Klein+et+al.+2023+NeurIPS+Timewarp" TargetMode="External" Id="rId641"/><Relationship Type="http://schemas.openxmlformats.org/officeDocument/2006/relationships/hyperlink" Target="https://www.youtube.com/watch?v=LPYzLZ1WmG4" TargetMode="External" Id="rId642"/><Relationship Type="http://schemas.openxmlformats.org/officeDocument/2006/relationships/hyperlink" Target="https://scholar.google.com/scholar?q=No%C3%A9+et+al.+2019+Science+365%3Aeaaw1147+Boltzmann+generators+landmark+Klein+et+al.+2023+NeurIPS+Timewarp" TargetMode="External" Id="rId643"/><Relationship Type="http://schemas.openxmlformats.org/officeDocument/2006/relationships/hyperlink" Target="https://www.youtube.com/watch?v=boQ5VDYvMKM" TargetMode="External" Id="rId644"/><Relationship Type="http://schemas.openxmlformats.org/officeDocument/2006/relationships/hyperlink" Target="https://scholar.google.com/scholar?q=No%C3%A9+et+al.+2019+Science+365%3Aeaaw1147+Boltzmann+generators+landmark+Klein+et+al.+2023+NeurIPS+Timewarp" TargetMode="External" Id="rId645"/><Relationship Type="http://schemas.openxmlformats.org/officeDocument/2006/relationships/hyperlink" Target="https://www.youtube.com/watch?v=hXg61gmpQw4" TargetMode="External" Id="rId646"/><Relationship Type="http://schemas.openxmlformats.org/officeDocument/2006/relationships/hyperlink" Target="https://scholar.google.com/scholar?q=No%C3%A9+et+al.+2019+Science+365%3Aeaaw1147+Boltzmann+generators+landmark+Klein+et+al.+2023+NeurIPS+Timewarp" TargetMode="External" Id="rId647"/><Relationship Type="http://schemas.openxmlformats.org/officeDocument/2006/relationships/hyperlink" Target="https://www.youtube.com/watch?v=UAYm7Hs82KY" TargetMode="External" Id="rId648"/><Relationship Type="http://schemas.openxmlformats.org/officeDocument/2006/relationships/hyperlink" Target="https://scholar.google.com/scholar?q=No%C3%A9+et+al.+2019+Science+365%3Aeaaw1147+Boltzmann+generators+landmark+Klein+et+al.+2023+NeurIPS+Timewarp" TargetMode="External" Id="rId649"/><Relationship Type="http://schemas.openxmlformats.org/officeDocument/2006/relationships/hyperlink" Target="https://www.youtube.com/watch?v=q9KwQiV_MeM" TargetMode="External" Id="rId650"/><Relationship Type="http://schemas.openxmlformats.org/officeDocument/2006/relationships/hyperlink" Target="https://scholar.google.com/scholar?q=No%C3%A9+et+al.+2019+Science+365%3Aeaaw1147+Boltzmann+generators+landmark+Klein+et+al.+2023+NeurIPS+Timewarp" TargetMode="External" Id="rId651"/><Relationship Type="http://schemas.openxmlformats.org/officeDocument/2006/relationships/hyperlink" Target="https://www.youtube.com/watch?v=Y6TbBE3gp-I" TargetMode="External" Id="rId652"/><Relationship Type="http://schemas.openxmlformats.org/officeDocument/2006/relationships/hyperlink" Target="https://scholar.google.com/scholar?q=No%C3%A9+et+al.+2019+Science+365%3Aeaaw1147+Boltzmann+generators+landmark+Klein+et+al.+2023+NeurIPS+Timewarp" TargetMode="External" Id="rId653"/><Relationship Type="http://schemas.openxmlformats.org/officeDocument/2006/relationships/hyperlink" Target="https://www.youtube.com/watch?v=QJq6v7fLFmA" TargetMode="External" Id="rId654"/><Relationship Type="http://schemas.openxmlformats.org/officeDocument/2006/relationships/hyperlink" Target="https://scholar.google.com/scholar?q=No%C3%A9+et+al.+2019+Science+365%3Aeaaw1147+Boltzmann+generators+landmark+Klein+et+al.+2023+NeurIPS+Timewarp" TargetMode="External" Id="rId655"/><Relationship Type="http://schemas.openxmlformats.org/officeDocument/2006/relationships/hyperlink" Target="https://www.youtube.com/watch?v=h2fFILu5E7U" TargetMode="External" Id="rId656"/><Relationship Type="http://schemas.openxmlformats.org/officeDocument/2006/relationships/hyperlink" Target="https://scholar.google.com/scholar?q=No%C3%A9+et+al.+2019+Science+365%3Aeaaw1147+Boltzmann+generators+landmark+Klein+et+al.+2023+NeurIPS+Timewarp" TargetMode="External" Id="rId657"/><Relationship Type="http://schemas.openxmlformats.org/officeDocument/2006/relationships/hyperlink" Target="https://www.youtube.com/watch?v=P2mMIQOKF1s" TargetMode="External" Id="rId658"/><Relationship Type="http://schemas.openxmlformats.org/officeDocument/2006/relationships/hyperlink" Target="https://scholar.google.com/scholar?q=No%C3%A9+et+al.+2019+Science+365%3Aeaaw1147+Boltzmann+generators+landmark+Klein+et+al.+2023+NeurIPS+Timewarp" TargetMode="External" Id="rId659"/><Relationship Type="http://schemas.openxmlformats.org/officeDocument/2006/relationships/hyperlink" Target="https://www.youtube.com/watch?v=njouUbHEVP0" TargetMode="External" Id="rId660"/><Relationship Type="http://schemas.openxmlformats.org/officeDocument/2006/relationships/hyperlink" Target="https://scholar.google.com/scholar?q=No%C3%A9+et+al.+2019+Science+365%3Aeaaw1147+Boltzmann+generators+landmark+Klein+et+al.+2023+NeurIPS+Timewarp" TargetMode="External" Id="rId661"/><Relationship Type="http://schemas.openxmlformats.org/officeDocument/2006/relationships/hyperlink" Target="https://www.youtube.com/watch?v=OQhNdgjjwBk" TargetMode="External" Id="rId662"/><Relationship Type="http://schemas.openxmlformats.org/officeDocument/2006/relationships/hyperlink" Target="https://scholar.google.com/scholar?q=No%C3%A9+et+al.+2019+Science+365%3Aeaaw1147+Boltzmann+generators+landmark+Klein+et+al.+2023+NeurIPS+Timewarp" TargetMode="External" Id="rId663"/><Relationship Type="http://schemas.openxmlformats.org/officeDocument/2006/relationships/hyperlink" Target="https://www.youtube.com/watch?v=Epud4i_Y5KM" TargetMode="External" Id="rId664"/><Relationship Type="http://schemas.openxmlformats.org/officeDocument/2006/relationships/hyperlink" Target="https://scholar.google.com/scholar?q=No%C3%A9+et+al.+2019+Science+365%3Aeaaw1147+Boltzmann+generators+landmark+Klein+et+al.+2023+NeurIPS+Timewarp" TargetMode="External" Id="rId665"/><Relationship Type="http://schemas.openxmlformats.org/officeDocument/2006/relationships/hyperlink" Target="https://www.youtube.com/watch?v=0u5vrtgGBh4" TargetMode="External" Id="rId666"/><Relationship Type="http://schemas.openxmlformats.org/officeDocument/2006/relationships/hyperlink" Target="https://scholar.google.com/scholar?q=No%C3%A9+et+al.+2019+Science+365%3Aeaaw1147+Boltzmann+generators+landmark+Klein+et+al.+2023+NeurIPS+Timewarp" TargetMode="External" Id="rId667"/><Relationship Type="http://schemas.openxmlformats.org/officeDocument/2006/relationships/hyperlink" Target="https://www.youtube.com/watch?v=nk8R9-nQvjo" TargetMode="External" Id="rId668"/><Relationship Type="http://schemas.openxmlformats.org/officeDocument/2006/relationships/hyperlink" Target="https://scholar.google.com/scholar?q=No%C3%A9+et+al.+2019+Science+365%3Aeaaw1147+Boltzmann+generators+landmark+Klein+et+al.+2023+NeurIPS+Timewarp" TargetMode="External" Id="rId669"/><Relationship Type="http://schemas.openxmlformats.org/officeDocument/2006/relationships/hyperlink" Target="https://www.youtube.com/watch?v=7LyHDQnmmro" TargetMode="External" Id="rId670"/><Relationship Type="http://schemas.openxmlformats.org/officeDocument/2006/relationships/hyperlink" Target="https://scholar.google.com/scholar?q=No%C3%A9+et+al.+2019+Science+365%3Aeaaw1147+Boltzmann+generators+landmark+Klein+et+al.+2023+NeurIPS+Timewarp" TargetMode="External" Id="rId671"/><Relationship Type="http://schemas.openxmlformats.org/officeDocument/2006/relationships/hyperlink" Target="https://www.youtube.com/watch?v=gsq3irAz8Ok" TargetMode="External" Id="rId672"/><Relationship Type="http://schemas.openxmlformats.org/officeDocument/2006/relationships/hyperlink" Target="https://scholar.google.com/scholar?q=No%C3%A9+et+al.+2019+Science+365%3Aeaaw1147+Boltzmann+generators+landmark+Klein+et+al.+2023+NeurIPS+Timewarp" TargetMode="External" Id="rId673"/><Relationship Type="http://schemas.openxmlformats.org/officeDocument/2006/relationships/hyperlink" Target="https://www.youtube.com/watch?v=Fpiy-66bl1U" TargetMode="External" Id="rId674"/><Relationship Type="http://schemas.openxmlformats.org/officeDocument/2006/relationships/hyperlink" Target="https://scholar.google.com/scholar?q=No%C3%A9+et+al.+2019+Science+365%3Aeaaw1147+Boltzmann+generators+landmark+Klein+et+al.+2023+NeurIPS+Timewarp" TargetMode="External" Id="rId675"/><Relationship Type="http://schemas.openxmlformats.org/officeDocument/2006/relationships/hyperlink" Target="https://www.youtube.com/watch?v=tIAzMZP8BlU" TargetMode="External" Id="rId676"/><Relationship Type="http://schemas.openxmlformats.org/officeDocument/2006/relationships/hyperlink" Target="https://scholar.google.com/scholar?q=No%C3%A9+et+al.+2019+Science+365%3Aeaaw1147+Boltzmann+generators+landmark+Klein+et+al.+2023+NeurIPS+Timewarp" TargetMode="External" Id="rId677"/><Relationship Type="http://schemas.openxmlformats.org/officeDocument/2006/relationships/hyperlink" Target="https://www.youtube.com/watch?v=ZqWdo_2YZdg" TargetMode="External" Id="rId678"/><Relationship Type="http://schemas.openxmlformats.org/officeDocument/2006/relationships/hyperlink" Target="https://scholar.google.com/scholar?q=No%C3%A9+et+al.+2019+Science+365%3Aeaaw1147+Boltzmann+generators+landmark+Klein+et+al.+2023+NeurIPS+Timewarp" TargetMode="External" Id="rId679"/><Relationship Type="http://schemas.openxmlformats.org/officeDocument/2006/relationships/hyperlink" Target="https://www.youtube.com/watch?v=XE-xOhFRJn4" TargetMode="External" Id="rId680"/><Relationship Type="http://schemas.openxmlformats.org/officeDocument/2006/relationships/hyperlink" Target="https://scholar.google.com/scholar?q=No%C3%A9+et+al.+2019+Science+365%3Aeaaw1147+Boltzmann+generators+landmark+Klein+et+al.+2023+NeurIPS+Timewarp" TargetMode="External" Id="rId681"/><Relationship Type="http://schemas.openxmlformats.org/officeDocument/2006/relationships/hyperlink" Target="https://www.youtube.com/watch?v=MdaTPYLL2Gs" TargetMode="External" Id="rId682"/><Relationship Type="http://schemas.openxmlformats.org/officeDocument/2006/relationships/hyperlink" Target="https://scholar.google.com/scholar?q=No%C3%A9+et+al.+2019+Science+365%3Aeaaw1147+Boltzmann+generators+landmark+Klein+et+al.+2023+NeurIPS+Timewarp" TargetMode="External" Id="rId683"/><Relationship Type="http://schemas.openxmlformats.org/officeDocument/2006/relationships/hyperlink" Target="https://www.youtube.com/watch?v=goheM2OvfWk" TargetMode="External" Id="rId684"/><Relationship Type="http://schemas.openxmlformats.org/officeDocument/2006/relationships/hyperlink" Target="https://scholar.google.com/scholar?q=No%C3%A9+et+al.+2019+Science+365%3Aeaaw1147+Boltzmann+generators+landmark+Klein+et+al.+2023+NeurIPS+Timewarp" TargetMode="External" Id="rId685"/><Relationship Type="http://schemas.openxmlformats.org/officeDocument/2006/relationships/hyperlink" Target="https://www.youtube.com/watch?v=D-VriormkRM" TargetMode="External" Id="rId686"/><Relationship Type="http://schemas.openxmlformats.org/officeDocument/2006/relationships/hyperlink" Target="https://scholar.google.com/scholar?q=and+this+is+a+short+canonical+list%3A+Zwanzig+1954+JCP+22%3A1420+FEP+Kirkwood+1935+JCP+3%3A300+thermodynamic+integration" TargetMode="External" Id="rId687"/><Relationship Type="http://schemas.openxmlformats.org/officeDocument/2006/relationships/hyperlink" Target="https://www.youtube.com/watch?v=iHDauMATkr0" TargetMode="External" Id="rId688"/><Relationship Type="http://schemas.openxmlformats.org/officeDocument/2006/relationships/hyperlink" Target="https://scholar.google.com/scholar?q=The+Boltz-2+paper" TargetMode="External" Id="rId689"/><Relationship Type="http://schemas.openxmlformats.org/officeDocument/2006/relationships/hyperlink" Target="https://www.youtube.com/watch?v=tjAPYPpQylo" TargetMode="External" Id="rId690"/><Relationship Type="http://schemas.openxmlformats.org/officeDocument/2006/relationships/hyperlink" Target="https://scholar.google.com/scholar?q=Compare+to+Schindler+2020" TargetMode="External" Id="rId691"/><Relationship Type="http://schemas.openxmlformats.org/officeDocument/2006/relationships/hyperlink" Target="https://www.youtube.com/watch?v=vtusNLxgxTg" TargetMode="External" Id="rId692"/><Relationship Type="http://schemas.openxmlformats.org/officeDocument/2006/relationships/hyperlink" Target="https://scholar.google.com/scholar?q=Dieckhaus+et+al.+2024+PNAS+121%3Ae2314853121+ThermoMPNN" TargetMode="External" Id="rId693"/><Relationship Type="http://schemas.openxmlformats.org/officeDocument/2006/relationships/hyperlink" Target="https://www.youtube.com/watch?v=M3fARv8GYA8" TargetMode="External" Id="rId694"/><Relationship Type="http://schemas.openxmlformats.org/officeDocument/2006/relationships/hyperlink" Target="https://scholar.google.com/scholar?q=Tsuboyama+et+al.+2023+Nature+620%3A434" TargetMode="External" Id="rId695"/><Relationship Type="http://schemas.openxmlformats.org/officeDocument/2006/relationships/hyperlink" Target="https://www.youtube.com/watch?v=C7PnokVsT4I" TargetMode="External" Id="rId696"/><Relationship Type="http://schemas.openxmlformats.org/officeDocument/2006/relationships/hyperlink" Target="https://scholar.google.com/scholar?q=Gapsys+et+al.+2016+Chem+Sci+7%3A4728+PMX+accurate+alchemical+%CE%94%CE%94G+Steinbrecher+et+al.+2017+J+Mol+Biol+429%3A948" TargetMode="External" Id="rId697"/><Relationship Type="http://schemas.openxmlformats.org/officeDocument/2006/relationships/hyperlink" Target="https://www.youtube.com/watch?v=wG8V29RolLc" TargetMode="External" Id="rId698"/><Relationship Type="http://schemas.openxmlformats.org/officeDocument/2006/relationships/hyperlink" Target="https://scholar.google.com/scholar?q=Izvekov+%26+Voth+2005+JPC+B+109%3A2469+Noid+et+al.+2008+JCP+128%3A244114" TargetMode="External" Id="rId699"/><Relationship Type="http://schemas.openxmlformats.org/officeDocument/2006/relationships/hyperlink" Target="https://www.youtube.com/watch?v=NqCu8MSfRvg" TargetMode="External" Id="rId700"/><Relationship Type="http://schemas.openxmlformats.org/officeDocument/2006/relationships/hyperlink" Target="https://scholar.google.com/scholar?q=Izvekov+%26+Voth+2005+JPC+B+109%3A2469+Noid+et+al.+2008+JCP+128%3A244114" TargetMode="External" Id="rId701"/><Relationship Type="http://schemas.openxmlformats.org/officeDocument/2006/relationships/hyperlink" Target="https://www.youtube.com/watch?v=w2-B54lbYjA" TargetMode="External" Id="rId702"/><Relationship Type="http://schemas.openxmlformats.org/officeDocument/2006/relationships/hyperlink" Target="https://scholar.google.com/scholar?q=Gapsys+et+al.+2016+Chem+Sci+7%3A4728+PMX+accurate+alchemical+%CE%94%CE%94G+Steinbrecher+et+al.+2017+J+Mol+Biol+429%3A948" TargetMode="External" Id="rId703"/><Relationship Type="http://schemas.openxmlformats.org/officeDocument/2006/relationships/hyperlink" Target="https://www.youtube.com/watch?v=YXXhV74OI18" TargetMode="External" Id="rId704"/><Relationship Type="http://schemas.openxmlformats.org/officeDocument/2006/relationships/hyperlink" Target="https://scholar.google.com/scholar?q=Gapsys+et+al.+2016+Chem+Sci+7%3A4728+PMX+accurate+alchemical+%CE%94%CE%94G+Steinbrecher+et+al.+2017+J+Mol+Biol+429%3A948" TargetMode="External" Id="rId705"/><Relationship Type="http://schemas.openxmlformats.org/officeDocument/2006/relationships/hyperlink" Target="https://www.youtube.com/watch?v=YeqEOwtWS2E" TargetMode="External" Id="rId706"/><Relationship Type="http://schemas.openxmlformats.org/officeDocument/2006/relationships/hyperlink" Target="https://scholar.google.com/scholar?q=Gapsys+et+al.+2016+Chem+Sci+7%3A4728+PMX+accurate+alchemical+%CE%94%CE%94G+Steinbrecher+et+al.+2017+J+Mol+Biol+429%3A948" TargetMode="External" Id="rId707"/><Relationship Type="http://schemas.openxmlformats.org/officeDocument/2006/relationships/hyperlink" Target="https://www.youtube.com/watch?v=MN61rOEiM3s" TargetMode="External" Id="rId708"/><Relationship Type="http://schemas.openxmlformats.org/officeDocument/2006/relationships/hyperlink" Target="https://scholar.google.com/scholar?q=Gapsys+et+al.+2016+Chem+Sci+7%3A4728+PMX+accurate+alchemical+%CE%94%CE%94G+Steinbrecher+et+al.+2017+J+Mol+Biol+429%3A948" TargetMode="External" Id="rId709"/><Relationship Type="http://schemas.openxmlformats.org/officeDocument/2006/relationships/hyperlink" Target="https://www.youtube.com/watch?v=5RUYGbvKvu8" TargetMode="External" Id="rId710"/><Relationship Type="http://schemas.openxmlformats.org/officeDocument/2006/relationships/hyperlink" Target="https://scholar.google.com/scholar?q=Gapsys+et+al.+2016+Chem+Sci+7%3A4728+PMX+accurate+alchemical+%CE%94%CE%94G+Steinbrecher+et+al.+2017+J+Mol+Biol+429%3A948" TargetMode="External" Id="rId711"/><Relationship Type="http://schemas.openxmlformats.org/officeDocument/2006/relationships/hyperlink" Target="https://www.youtube.com/watch?v=qezOl493Uk8" TargetMode="External" Id="rId712"/><Relationship Type="http://schemas.openxmlformats.org/officeDocument/2006/relationships/hyperlink" Target="https://scholar.google.com/scholar?q=Gapsys+et+al.+2016+Chem+Sci+7%3A4728+PMX+accurate+alchemical+%CE%94%CE%94G+Steinbrecher+et+al.+2017+J+Mol+Biol+429%3A948" TargetMode="External" Id="rId713"/><Relationship Type="http://schemas.openxmlformats.org/officeDocument/2006/relationships/hyperlink" Target="https://www.youtube.com/watch?v=5djGtLNP_Cg" TargetMode="External" Id="rId714"/><Relationship Type="http://schemas.openxmlformats.org/officeDocument/2006/relationships/hyperlink" Target="https://scholar.google.com/scholar?q=Gapsys+et+al.+2016+Chem+Sci+7%3A4728+PMX+accurate+alchemical+%CE%94%CE%94G+Steinbrecher+et+al.+2017+J+Mol+Biol+429%3A948" TargetMode="External" Id="rId715"/><Relationship Type="http://schemas.openxmlformats.org/officeDocument/2006/relationships/hyperlink" Target="https://www.youtube.com/watch?v=81RySGYvRXA" TargetMode="External" Id="rId716"/><Relationship Type="http://schemas.openxmlformats.org/officeDocument/2006/relationships/hyperlink" Target="https://scholar.google.com/scholar?q=Zwanzig+1961+Phys+Rev+124%3A983+Mori+1965" TargetMode="External" Id="rId717"/><Relationship Type="http://schemas.openxmlformats.org/officeDocument/2006/relationships/hyperlink" Target="https://www.youtube.com/watch?v=0alQZzR09nM" TargetMode="External" Id="rId718"/><Relationship Type="http://schemas.openxmlformats.org/officeDocument/2006/relationships/hyperlink" Target="https://scholar.google.com/scholar?q=Gapsys+et+al.+2016+Chem+Sci+7%3A4728+PMX+accurate+alchemical+%CE%94%CE%94G+Steinbrecher+et+al.+2017+J+Mol+Biol+429%3A948" TargetMode="External" Id="rId719"/><Relationship Type="http://schemas.openxmlformats.org/officeDocument/2006/relationships/hyperlink" Target="https://www.youtube.com/watch?v=qZ-a3qmXMsk" TargetMode="External" Id="rId720"/><Relationship Type="http://schemas.openxmlformats.org/officeDocument/2006/relationships/hyperlink" Target="https://scholar.google.com/scholar?q=Zwanzig+1961+Ermak+%26+McCammon+1978" TargetMode="External" Id="rId721"/><Relationship Type="http://schemas.openxmlformats.org/officeDocument/2006/relationships/hyperlink" Target="https://www.youtube.com/watch?v=1NeCvLqOy60" TargetMode="External" Id="rId722"/><Relationship Type="http://schemas.openxmlformats.org/officeDocument/2006/relationships/hyperlink" Target="https://scholar.google.com/scholar?q=Wang+et+al.+2019+ACS+Cent+Sci+5%3A755+CGnets" TargetMode="External" Id="rId723"/><Relationship Type="http://schemas.openxmlformats.org/officeDocument/2006/relationships/hyperlink" Target="https://www.youtube.com/watch?v=V2xu1Kfu4JU" TargetMode="External" Id="rId724"/><Relationship Type="http://schemas.openxmlformats.org/officeDocument/2006/relationships/hyperlink" Target="https://scholar.google.com/scholar?q=Wang+et+al.+2019+ACS+Cent+Sci+5%3A755+CGnets" TargetMode="External" Id="rId725"/><Relationship Type="http://schemas.openxmlformats.org/officeDocument/2006/relationships/hyperlink" Target="https://www.youtube.com/watch?v=WVSy8bdD4Gg" TargetMode="External" Id="rId726"/><Relationship Type="http://schemas.openxmlformats.org/officeDocument/2006/relationships/hyperlink" Target="https://scholar.google.com/scholar?q=Gapsys+et+al.+2016+Chem+Sci+7%3A4728+PMX+accurate+alchemical+%CE%94%CE%94G+Steinbrecher+et+al.+2017+J+Mol+Biol+429%3A948" TargetMode="External" Id="rId727"/><Relationship Type="http://schemas.openxmlformats.org/officeDocument/2006/relationships/hyperlink" Target="https://www.youtube.com/watch?v=T-iDv6QTqg4" TargetMode="External" Id="rId728"/><Relationship Type="http://schemas.openxmlformats.org/officeDocument/2006/relationships/hyperlink" Target="https://scholar.google.com/scholar?q=Gapsys+et+al.+2016+Chem+Sci+7%3A4728+PMX+accurate+alchemical+%CE%94%CE%94G+Steinbrecher+et+al.+2017+J+Mol+Biol+429%3A948" TargetMode="External" Id="rId729"/><Relationship Type="http://schemas.openxmlformats.org/officeDocument/2006/relationships/hyperlink" Target="https://www.youtube.com/watch?v=9enkGwXfWZ0" TargetMode="External" Id="rId730"/><Relationship Type="http://schemas.openxmlformats.org/officeDocument/2006/relationships/hyperlink" Target="https://scholar.google.com/scholar?q=Gapsys+et+al.+2016+Chem+Sci+7%3A4728+PMX+accurate+alchemical+%CE%94%CE%94G+Steinbrecher+et+al.+2017+J+Mol+Biol+429%3A948" TargetMode="External" Id="rId731"/><Relationship Type="http://schemas.openxmlformats.org/officeDocument/2006/relationships/hyperlink" Target="https://www.youtube.com/watch?v=pccb758tOlI" TargetMode="External" Id="rId732"/><Relationship Type="http://schemas.openxmlformats.org/officeDocument/2006/relationships/hyperlink" Target="https://scholar.google.com/scholar?q=Gapsys+et+al.+2016+Chem+Sci+7%3A4728+PMX+accurate+alchemical+%CE%94%CE%94G+Steinbrecher+et+al.+2017+J+Mol+Biol+429%3A948" TargetMode="External" Id="rId733"/><Relationship Type="http://schemas.openxmlformats.org/officeDocument/2006/relationships/hyperlink" Target="https://www.youtube.com/watch?v=soU4S2mqqzM" TargetMode="External" Id="rId734"/><Relationship Type="http://schemas.openxmlformats.org/officeDocument/2006/relationships/hyperlink" Target="https://scholar.google.com/scholar?q=Gapsys+et+al.+2016+Chem+Sci+7%3A4728+PMX+accurate+alchemical+%CE%94%CE%94G+Steinbrecher+et+al.+2017+J+Mol+Biol+429%3A948" TargetMode="External" Id="rId735"/><Relationship Type="http://schemas.openxmlformats.org/officeDocument/2006/relationships/hyperlink" Target="https://www.youtube.com/watch?v=2HAI_o1fcMg" TargetMode="External" Id="rId736"/><Relationship Type="http://schemas.openxmlformats.org/officeDocument/2006/relationships/hyperlink" Target="https://scholar.google.com/scholar?q=Gapsys+et+al.+2016+Chem+Sci+7%3A4728+PMX+accurate+alchemical+%CE%94%CE%94G+Steinbrecher+et+al.+2017+J+Mol+Biol+429%3A948" TargetMode="External" Id="rId737"/><Relationship Type="http://schemas.openxmlformats.org/officeDocument/2006/relationships/hyperlink" Target="https://www.youtube.com/watch?v=pXVmVr85NF8" TargetMode="External" Id="rId738"/><Relationship Type="http://schemas.openxmlformats.org/officeDocument/2006/relationships/hyperlink" Target="https://scholar.google.com/scholar?q=Gapsys+et+al.+2016+Chem+Sci+7%3A4728+PMX+accurate+alchemical+%CE%94%CE%94G+Steinbrecher+et+al.+2017+J+Mol+Biol+429%3A948" TargetMode="External" Id="rId739"/><Relationship Type="http://schemas.openxmlformats.org/officeDocument/2006/relationships/hyperlink" Target="https://www.youtube.com/watch?v=mqau8j_ypx8" TargetMode="External" Id="rId740"/><Relationship Type="http://schemas.openxmlformats.org/officeDocument/2006/relationships/hyperlink" Target="https://scholar.google.com/scholar?q=Gapsys+et+al.+2016+Chem+Sci+7%3A4728+PMX+accurate+alchemical+%CE%94%CE%94G+Steinbrecher+et+al.+2017+J+Mol+Biol+429%3A948" TargetMode="External" Id="rId741"/><Relationship Type="http://schemas.openxmlformats.org/officeDocument/2006/relationships/hyperlink" Target="https://www.youtube.com/watch?v=tIqW51d2a5g" TargetMode="External" Id="rId742"/><Relationship Type="http://schemas.openxmlformats.org/officeDocument/2006/relationships/hyperlink" Target="https://scholar.google.com/scholar?q=Gapsys+et+al.+2016+Chem+Sci+7%3A4728+PMX+accurate+alchemical+%CE%94%CE%94G+Steinbrecher+et+al.+2017+J+Mol+Biol+429%3A948" TargetMode="External" Id="rId743"/><Relationship Type="http://schemas.openxmlformats.org/officeDocument/2006/relationships/hyperlink" Target="https://www.youtube.com/watch?v=l_NfukhR2XU" TargetMode="External" Id="rId744"/><Relationship Type="http://schemas.openxmlformats.org/officeDocument/2006/relationships/hyperlink" Target="https://scholar.google.com/scholar?q=Gapsys+et+al.+2016+Chem+Sci+7%3A4728+PMX+accurate+alchemical+%CE%94%CE%94G+Steinbrecher+et+al.+2017+J+Mol+Biol+429%3A948" TargetMode="External" Id="rId745"/><Relationship Type="http://schemas.openxmlformats.org/officeDocument/2006/relationships/hyperlink" Target="https://www.youtube.com/watch?v=p7Frc4o2RHI" TargetMode="External" Id="rId746"/><Relationship Type="http://schemas.openxmlformats.org/officeDocument/2006/relationships/hyperlink" Target="https://scholar.google.com/scholar?q=Gapsys+et+al.+2016+Chem+Sci+7%3A4728+PMX+accurate+alchemical+%CE%94%CE%94G+Steinbrecher+et+al.+2017+J+Mol+Biol+429%3A948" TargetMode="External" Id="rId747"/><Relationship Type="http://schemas.openxmlformats.org/officeDocument/2006/relationships/hyperlink" Target="https://www.youtube.com/watch?v=r_ZTOoGxFC0" TargetMode="External" Id="rId748"/><Relationship Type="http://schemas.openxmlformats.org/officeDocument/2006/relationships/hyperlink" Target="https://scholar.google.com/scholar?q=Gapsys+et+al.+2016+Chem+Sci+7%3A4728+PMX+accurate+alchemical+%CE%94%CE%94G+Steinbrecher+et+al.+2017+J+Mol+Biol+429%3A948" TargetMode="External" Id="rId749"/><Relationship Type="http://schemas.openxmlformats.org/officeDocument/2006/relationships/hyperlink" Target="https://www.youtube.com/watch?v=mcRk_lo0UXg" TargetMode="External" Id="rId750"/><Relationship Type="http://schemas.openxmlformats.org/officeDocument/2006/relationships/hyperlink" Target="https://scholar.google.com/scholar?q=Gapsys+et+al.+2016+Chem+Sci+7%3A4728+PMX+accurate+alchemical+%CE%94%CE%94G+Steinbrecher+et+al.+2017+J+Mol+Biol+429%3A948" TargetMode="External" Id="rId751"/><Relationship Type="http://schemas.openxmlformats.org/officeDocument/2006/relationships/hyperlink" Target="https://www.youtube.com/watch?v=Ax6DaYJ9Eeg" TargetMode="External" Id="rId752"/><Relationship Type="http://schemas.openxmlformats.org/officeDocument/2006/relationships/hyperlink" Target="https://scholar.google.com/scholar?q=Gapsys+et+al.+2016+Chem+Sci+7%3A4728+PMX+accurate+alchemical+%CE%94%CE%94G+Steinbrecher+et+al.+2017+J+Mol+Biol+429%3A948" TargetMode="External" Id="rId753"/><Relationship Type="http://schemas.openxmlformats.org/officeDocument/2006/relationships/hyperlink" Target="https://www.youtube.com/watch?v=Yq1f8vDfPe4" TargetMode="External" Id="rId754"/><Relationship Type="http://schemas.openxmlformats.org/officeDocument/2006/relationships/hyperlink" Target="https://scholar.google.com/scholar?q=Gapsys+et+al.+2016+Chem+Sci+7%3A4728+PMX+accurate+alchemical+%CE%94%CE%94G+Steinbrecher+et+al.+2017+J+Mol+Biol+429%3A948" TargetMode="External" Id="rId755"/><Relationship Type="http://schemas.openxmlformats.org/officeDocument/2006/relationships/hyperlink" Target="https://www.youtube.com/watch?v=fvFaPgSoM90" TargetMode="External" Id="rId756"/><Relationship Type="http://schemas.openxmlformats.org/officeDocument/2006/relationships/hyperlink" Target="https://scholar.google.com/scholar?q=Gapsys+et+al.+2016+Chem+Sci+7%3A4728+PMX+accurate+alchemical+%CE%94%CE%94G+Steinbrecher+et+al.+2017+J+Mol+Biol+429%3A948" TargetMode="External" Id="rId757"/><Relationship Type="http://schemas.openxmlformats.org/officeDocument/2006/relationships/hyperlink" Target="https://www.youtube.com/watch?v=mY6dj4_Nizw" TargetMode="External" Id="rId758"/><Relationship Type="http://schemas.openxmlformats.org/officeDocument/2006/relationships/hyperlink" Target="https://scholar.google.com/scholar?q=Gapsys+et+al.+2016+Chem+Sci+7%3A4728+PMX+accurate+alchemical+%CE%94%CE%94G+Steinbrecher+et+al.+2017+J+Mol+Biol+429%3A948" TargetMode="External" Id="rId759"/><Relationship Type="http://schemas.openxmlformats.org/officeDocument/2006/relationships/hyperlink" Target="https://www.youtube.com/watch?v=qXdBttFoj0g" TargetMode="External" Id="rId760"/><Relationship Type="http://schemas.openxmlformats.org/officeDocument/2006/relationships/hyperlink" Target="https://scholar.google.com/scholar?q=Gapsys+et+al.+2016+Chem+Sci+7%3A4728+PMX+accurate+alchemical+%CE%94%CE%94G+Steinbrecher+et+al.+2017+J+Mol+Biol+429%3A948" TargetMode="External" Id="rId761"/><Relationship Type="http://schemas.openxmlformats.org/officeDocument/2006/relationships/hyperlink" Target="https://www.youtube.com/watch?v=EVcw-w-Lcnk" TargetMode="External" Id="rId762"/><Relationship Type="http://schemas.openxmlformats.org/officeDocument/2006/relationships/hyperlink" Target="https://scholar.google.com/scholar?q=Gapsys+et+al.+2016+Chem+Sci+7%3A4728+PMX+accurate+alchemical+%CE%94%CE%94G+Steinbrecher+et+al.+2017+J+Mol+Biol+429%3A948" TargetMode="External" Id="rId763"/><Relationship Type="http://schemas.openxmlformats.org/officeDocument/2006/relationships/hyperlink" Target="https://www.youtube.com/watch?v=xw9ZJxLxcwY" TargetMode="External" Id="rId764"/><Relationship Type="http://schemas.openxmlformats.org/officeDocument/2006/relationships/hyperlink" Target="https://scholar.google.com/scholar?q=Gapsys+et+al.+2016+Chem+Sci+7%3A4728+PMX+accurate+alchemical+%CE%94%CE%94G+Steinbrecher+et+al.+2017+J+Mol+Biol+429%3A948" TargetMode="External" Id="rId765"/><Relationship Type="http://schemas.openxmlformats.org/officeDocument/2006/relationships/hyperlink" Target="https://www.youtube.com/watch?v=D2fU5fznNUg" TargetMode="External" Id="rId766"/><Relationship Type="http://schemas.openxmlformats.org/officeDocument/2006/relationships/hyperlink" Target="https://scholar.google.com/scholar?q=Gapsys+et+al.+2016+Chem+Sci+7%3A4728+PMX+accurate+alchemical+%CE%94%CE%94G+Steinbrecher+et+al.+2017+J+Mol+Biol+429%3A948" TargetMode="External" Id="rId767"/><Relationship Type="http://schemas.openxmlformats.org/officeDocument/2006/relationships/hyperlink" Target="https://www.youtube.com/watch?v=VPvXPIp6NXk" TargetMode="External" Id="rId768"/><Relationship Type="http://schemas.openxmlformats.org/officeDocument/2006/relationships/hyperlink" Target="https://scholar.google.com/scholar?q=Gapsys+et+al.+2016+Chem+Sci+7%3A4728+PMX+accurate+alchemical+%CE%94%CE%94G+Steinbrecher+et+al.+2017+J+Mol+Biol+429%3A948" TargetMode="External" Id="rId769"/><Relationship Type="http://schemas.openxmlformats.org/officeDocument/2006/relationships/hyperlink" Target="https://www.youtube.com/watch?v=MXH6u93v_mA" TargetMode="External" Id="rId770"/><Relationship Type="http://schemas.openxmlformats.org/officeDocument/2006/relationships/hyperlink" Target="https://scholar.google.com/scholar?q=Gapsys+et+al.+2016+Chem+Sci+7%3A4728+PMX+accurate+alchemical+%CE%94%CE%94G+Steinbrecher+et+al.+2017+J+Mol+Biol+429%3A948" TargetMode="External" Id="rId771"/><Relationship Type="http://schemas.openxmlformats.org/officeDocument/2006/relationships/hyperlink" Target="https://www.youtube.com/watch?v=pGN2nwrvexs" TargetMode="External" Id="rId772"/><Relationship Type="http://schemas.openxmlformats.org/officeDocument/2006/relationships/hyperlink" Target="https://scholar.google.com/scholar?q=Gapsys+et+al.+2016+Chem+Sci+7%3A4728+PMX+accurate+alchemical+%CE%94%CE%94G+Steinbrecher+et+al.+2017+J+Mol+Biol+429%3A948" TargetMode="External" Id="rId773"/><Relationship Type="http://schemas.openxmlformats.org/officeDocument/2006/relationships/hyperlink" Target="https://www.youtube.com/watch?v=CCDaBreMv18" TargetMode="External" Id="rId774"/><Relationship Type="http://schemas.openxmlformats.org/officeDocument/2006/relationships/hyperlink" Target="https://scholar.google.com/scholar?q=Gapsys+et+al.+2016+Chem+Sci+7%3A4728+PMX+accurate+alchemical+%CE%94%CE%94G+Steinbrecher+et+al.+2017+J+Mol+Biol+429%3A948" TargetMode="External" Id="rId775"/><Relationship Type="http://schemas.openxmlformats.org/officeDocument/2006/relationships/hyperlink" Target="https://www.youtube.com/watch?v=3rwebPsipvs" TargetMode="External" Id="rId776"/><Relationship Type="http://schemas.openxmlformats.org/officeDocument/2006/relationships/hyperlink" Target="https://scholar.google.com/scholar?q=Gapsys+et+al.+2016+Chem+Sci+7%3A4728+PMX+accurate+alchemical+%CE%94%CE%94G+Steinbrecher+et+al.+2017+J+Mol+Biol+429%3A948" TargetMode="External" Id="rId777"/><Relationship Type="http://schemas.openxmlformats.org/officeDocument/2006/relationships/hyperlink" Target="https://www.youtube.com/watch?v=nXIzhxNfTUQ" TargetMode="External" Id="rId778"/><Relationship Type="http://schemas.openxmlformats.org/officeDocument/2006/relationships/hyperlink" Target="https://scholar.google.com/scholar?q=Chan+et+al.+2011+Annu+Rev+Phys+Chem+62%3A301" TargetMode="External" Id="rId779"/><Relationship Type="http://schemas.openxmlformats.org/officeDocument/2006/relationships/hyperlink" Target="https://www.youtube.com/watch?v=gCWJqYAJo8U" TargetMode="External" Id="rId780"/><Relationship Type="http://schemas.openxmlformats.org/officeDocument/2006/relationships/hyperlink" Target="https://scholar.google.com/scholar?q=Gapsys+et+al.+2016+Chem+Sci+7%3A4728+PMX+accurate+alchemical+%CE%94%CE%94G+Steinbrecher+et+al.+2017+J+Mol+Biol+429%3A948" TargetMode="External" Id="rId781"/><Relationship Type="http://schemas.openxmlformats.org/officeDocument/2006/relationships/hyperlink" Target="https://www.youtube.com/watch?v=USFJ0qAvqoQ" TargetMode="External" Id="rId782"/><Relationship Type="http://schemas.openxmlformats.org/officeDocument/2006/relationships/hyperlink" Target="https://scholar.google.com/scholar?q=Gapsys+et+al.+2016+Chem+Sci+7%3A4728+PMX+accurate+alchemical+%CE%94%CE%94G+Steinbrecher+et+al.+2017+J+Mol+Biol+429%3A948" TargetMode="External" Id="rId783"/><Relationship Type="http://schemas.openxmlformats.org/officeDocument/2006/relationships/hyperlink" Target="https://www.youtube.com/watch?v=HuqjJ2PIWrM" TargetMode="External" Id="rId784"/><Relationship Type="http://schemas.openxmlformats.org/officeDocument/2006/relationships/hyperlink" Target="https://scholar.google.com/scholar?q=Gapsys+et+al.+2016+Chem+Sci+7%3A4728+PMX+accurate+alchemical+%CE%94%CE%94G+Steinbrecher+et+al.+2017+J+Mol+Biol+429%3A948" TargetMode="External" Id="rId785"/><Relationship Type="http://schemas.openxmlformats.org/officeDocument/2006/relationships/hyperlink" Target="https://www.youtube.com/watch?v=0QobG5LKAzE" TargetMode="External" Id="rId786"/><Relationship Type="http://schemas.openxmlformats.org/officeDocument/2006/relationships/hyperlink" Target="https://scholar.google.com/scholar?q=Gapsys+et+al.+2016+Chem+Sci+7%3A4728+PMX+accurate+alchemical+%CE%94%CE%94G+Steinbrecher+et+al.+2017+J+Mol+Biol+429%3A948" TargetMode="External" Id="rId787"/><Relationship Type="http://schemas.openxmlformats.org/officeDocument/2006/relationships/hyperlink" Target="https://www.youtube.com/watch?v=Fdnn-y16068" TargetMode="External" Id="rId788"/><Relationship Type="http://schemas.openxmlformats.org/officeDocument/2006/relationships/hyperlink" Target="https://scholar.google.com/scholar?q=Liwo+et+al.+2001+JCP+115%3A2323" TargetMode="External" Id="rId789"/><Relationship Type="http://schemas.openxmlformats.org/officeDocument/2006/relationships/hyperlink" Target="https://www.youtube.com/watch?v=bcxLt0_tE-E" TargetMode="External" Id="rId790"/><Relationship Type="http://schemas.openxmlformats.org/officeDocument/2006/relationships/hyperlink" Target="https://scholar.google.com/scholar?q=Gapsys+et+al.+2016+Chem+Sci+7%3A4728+PMX+accurate+alchemical+%CE%94%CE%94G+Steinbrecher+et+al.+2017+J+Mol+Biol+429%3A948" TargetMode="External" Id="rId791"/><Relationship Type="http://schemas.openxmlformats.org/officeDocument/2006/relationships/hyperlink" Target="https://www.youtube.com/watch?v=oN7KHWswHio" TargetMode="External" Id="rId792"/><Relationship Type="http://schemas.openxmlformats.org/officeDocument/2006/relationships/hyperlink" Target="https://scholar.google.com/scholar?q=Gapsys+et+al.+2016+Chem+Sci+7%3A4728+PMX+accurate+alchemical+%CE%94%CE%94G+Steinbrecher+et+al.+2017+J+Mol+Biol+429%3A948" TargetMode="External" Id="rId793"/><Relationship Type="http://schemas.openxmlformats.org/officeDocument/2006/relationships/hyperlink" Target="https://www.youtube.com/watch?v=QG7Co4T7oaA" TargetMode="External" Id="rId794"/><Relationship Type="http://schemas.openxmlformats.org/officeDocument/2006/relationships/hyperlink" Target="https://scholar.google.com/scholar?q=Gapsys+et+al.+2016+Chem+Sci+7%3A4728+PMX+accurate+alchemical+%CE%94%CE%94G+Steinbrecher+et+al.+2017+J+Mol+Biol+429%3A948" TargetMode="External" Id="rId795"/><Relationship Type="http://schemas.openxmlformats.org/officeDocument/2006/relationships/hyperlink" Target="https://www.youtube.com/watch?v=SX5sIRCJXSE" TargetMode="External" Id="rId796"/><Relationship Type="http://schemas.openxmlformats.org/officeDocument/2006/relationships/hyperlink" Target="https://scholar.google.com/scholar?q=Gapsys+et+al.+2016+Chem+Sci+7%3A4728+PMX+accurate+alchemical+%CE%94%CE%94G+Steinbrecher+et+al.+2017+J+Mol+Biol+429%3A948" TargetMode="External" Id="rId797"/><Relationship Type="http://schemas.openxmlformats.org/officeDocument/2006/relationships/hyperlink" Target="https://www.youtube.com/watch?v=FaQmlW9muoE" TargetMode="External" Id="rId798"/><Relationship Type="http://schemas.openxmlformats.org/officeDocument/2006/relationships/hyperlink" Target="https://scholar.google.com/scholar?q=Gapsys+et+al.+2016+Chem+Sci+7%3A4728+PMX+accurate+alchemical+%CE%94%CE%94G+Steinbrecher+et+al.+2017+J+Mol+Biol+429%3A948" TargetMode="External" Id="rId799"/><Relationship Type="http://schemas.openxmlformats.org/officeDocument/2006/relationships/hyperlink" Target="https://www.youtube.com/watch?v=84_Xw59umZI" TargetMode="External" Id="rId800"/><Relationship Type="http://schemas.openxmlformats.org/officeDocument/2006/relationships/hyperlink" Target="https://scholar.google.com/scholar?q=Gapsys+et+al.+2016+Chem+Sci+7%3A4728+PMX+accurate+alchemical+%CE%94%CE%94G+Steinbrecher+et+al.+2017+J+Mol+Biol+429%3A948" TargetMode="External" Id="rId801"/><Relationship Type="http://schemas.openxmlformats.org/officeDocument/2006/relationships/hyperlink" Target="https://www.youtube.com/watch?v=vQ32JdPMCmY" TargetMode="External" Id="rId802"/><Relationship Type="http://schemas.openxmlformats.org/officeDocument/2006/relationships/hyperlink" Target="https://scholar.google.com/scholar?q=Gapsys+et+al.+2016+Chem+Sci+7%3A4728+PMX+accurate+alchemical+%CE%94%CE%94G+Steinbrecher+et+al.+2017+J+Mol+Biol+429%3A948" TargetMode="External" Id="rId803"/><Relationship Type="http://schemas.openxmlformats.org/officeDocument/2006/relationships/hyperlink" Target="https://www.youtube.com/watch?v=PYH8VKgfNnA" TargetMode="External" Id="rId804"/><Relationship Type="http://schemas.openxmlformats.org/officeDocument/2006/relationships/hyperlink" Target="https://scholar.google.com/scholar?q=Gapsys+et+al.+2016+Chem+Sci+7%3A4728+PMX+accurate+alchemical+%CE%94%CE%94G+Steinbrecher+et+al.+2017+J+Mol+Biol+429%3A948" TargetMode="External" Id="rId805"/><Relationship Type="http://schemas.openxmlformats.org/officeDocument/2006/relationships/hyperlink" Target="https://www.youtube.com/watch?v=crNk96HtrAQ" TargetMode="External" Id="rId806"/><Relationship Type="http://schemas.openxmlformats.org/officeDocument/2006/relationships/hyperlink" Target="https://scholar.google.com/scholar?q=Gapsys+et+al.+2016+Chem+Sci+7%3A4728+PMX+accurate+alchemical+%CE%94%CE%94G+Steinbrecher+et+al.+2017+J+Mol+Biol+429%3A948" TargetMode="External" Id="rId807"/><Relationship Type="http://schemas.openxmlformats.org/officeDocument/2006/relationships/hyperlink" Target="https://www.youtube.com/watch?v=eQeYUhT_7Uo" TargetMode="External" Id="rId808"/><Relationship Type="http://schemas.openxmlformats.org/officeDocument/2006/relationships/hyperlink" Target="https://scholar.google.com/scholar?q=Gapsys+et+al.+2016+Chem+Sci+7%3A4728+PMX+accurate+alchemical+%CE%94%CE%94G+Steinbrecher+et+al.+2017+J+Mol+Biol+429%3A948" TargetMode="External" Id="rId809"/><Relationship Type="http://schemas.openxmlformats.org/officeDocument/2006/relationships/hyperlink" Target="https://www.youtube.com/watch?v=wVX3XeNgW3E" TargetMode="External" Id="rId810"/><Relationship Type="http://schemas.openxmlformats.org/officeDocument/2006/relationships/hyperlink" Target="https://scholar.google.com/scholar?q=Gapsys+et+al.+2016+Chem+Sci+7%3A4728+PMX+accurate+alchemical+%CE%94%CE%94G+Steinbrecher+et+al.+2017+J+Mol+Biol+429%3A948" TargetMode="External" Id="rId811"/><Relationship Type="http://schemas.openxmlformats.org/officeDocument/2006/relationships/hyperlink" Target="https://www.youtube.com/watch?v=Hh_LxkDJxe8" TargetMode="External" Id="rId812"/><Relationship Type="http://schemas.openxmlformats.org/officeDocument/2006/relationships/hyperlink" Target="https://scholar.google.com/scholar?q=Gapsys+et+al.+2016+Chem+Sci+7%3A4728+PMX+accurate+alchemical+%CE%94%CE%94G+Steinbrecher+et+al.+2017+J+Mol+Biol+429%3A948" TargetMode="External" Id="rId813"/><Relationship Type="http://schemas.openxmlformats.org/officeDocument/2006/relationships/hyperlink" Target="https://www.youtube.com/watch?v=onls4_UaHgM" TargetMode="External" Id="rId814"/><Relationship Type="http://schemas.openxmlformats.org/officeDocument/2006/relationships/hyperlink" Target="https://scholar.google.com/scholar?q=Gapsys+et+al.+2016+Chem+Sci+7%3A4728+PMX+accurate+alchemical+%CE%94%CE%94G+Steinbrecher+et+al.+2017+J+Mol+Biol+429%3A948" TargetMode="External" Id="rId815"/><Relationship Type="http://schemas.openxmlformats.org/officeDocument/2006/relationships/hyperlink" Target="https://www.youtube.com/watch?v=gcr3prnBPt0" TargetMode="External" Id="rId816"/><Relationship Type="http://schemas.openxmlformats.org/officeDocument/2006/relationships/hyperlink" Target="https://scholar.google.com/scholar?q=Gapsys+et+al.+2016+Chem+Sci+7%3A4728+PMX+accurate+alchemical+%CE%94%CE%94G+Steinbrecher+et+al.+2017+J+Mol+Biol+429%3A948" TargetMode="External" Id="rId817"/><Relationship Type="http://schemas.openxmlformats.org/officeDocument/2006/relationships/hyperlink" Target="https://www.youtube.com/watch?v=VAe2f_Q-Prg" TargetMode="External" Id="rId818"/><Relationship Type="http://schemas.openxmlformats.org/officeDocument/2006/relationships/hyperlink" Target="https://scholar.google.com/scholar?q=Gapsys+et+al.+2016+Chem+Sci+7%3A4728+PMX+accurate+alchemical+%CE%94%CE%94G+Steinbrecher+et+al.+2017+J+Mol+Biol+429%3A948" TargetMode="External" Id="rId819"/><Relationship Type="http://schemas.openxmlformats.org/officeDocument/2006/relationships/hyperlink" Target="https://www.youtube.com/watch?v=t4b5rRa-tZE" TargetMode="External" Id="rId820"/><Relationship Type="http://schemas.openxmlformats.org/officeDocument/2006/relationships/hyperlink" Target="https://scholar.google.com/scholar?q=Gapsys+et+al.+2016+Chem+Sci+7%3A4728+PMX+accurate+alchemical+%CE%94%CE%94G+Steinbrecher+et+al.+2017+J+Mol+Biol+429%3A948" TargetMode="External" Id="rId821"/><Relationship Type="http://schemas.openxmlformats.org/officeDocument/2006/relationships/hyperlink" Target="https://www.youtube.com/watch?v=VxkQn3H_Q3k" TargetMode="External" Id="rId822"/><Relationship Type="http://schemas.openxmlformats.org/officeDocument/2006/relationships/hyperlink" Target="https://scholar.google.com/scholar?q=Gapsys+et+al.+2016+Chem+Sci+7%3A4728+PMX+accurate+alchemical+%CE%94%CE%94G+Steinbrecher+et+al.+2017+J+Mol+Biol+429%3A948" TargetMode="External" Id="rId823"/><Relationship Type="http://schemas.openxmlformats.org/officeDocument/2006/relationships/hyperlink" Target="https://www.youtube.com/watch?v=6v4rlYo4MKk" TargetMode="External" Id="rId824"/><Relationship Type="http://schemas.openxmlformats.org/officeDocument/2006/relationships/hyperlink" Target="https://scholar.google.com/scholar?q=Gapsys+et+al.+2016+Chem+Sci+7%3A4728+PMX+accurate+alchemical+%CE%94%CE%94G+Steinbrecher+et+al.+2017+J+Mol+Biol+429%3A948" TargetMode="External" Id="rId825"/><Relationship Type="http://schemas.openxmlformats.org/officeDocument/2006/relationships/hyperlink" Target="https://www.youtube.com/watch?v=gpdImhQJIOQ" TargetMode="External" Id="rId826"/><Relationship Type="http://schemas.openxmlformats.org/officeDocument/2006/relationships/hyperlink" Target="https://scholar.google.com/scholar?q=Gapsys+et+al.+2016+Chem+Sci+7%3A4728+PMX+accurate+alchemical+%CE%94%CE%94G+Steinbrecher+et+al.+2017+J+Mol+Biol+429%3A948" TargetMode="External" Id="rId827"/><Relationship Type="http://schemas.openxmlformats.org/officeDocument/2006/relationships/hyperlink" Target="https://www.youtube.com/watch?v=c90TPnu2ewA" TargetMode="External" Id="rId828"/><Relationship Type="http://schemas.openxmlformats.org/officeDocument/2006/relationships/hyperlink" Target="https://scholar.google.com/scholar?q=Gapsys+et+al.+2016+Chem+Sci+7%3A4728+PMX+accurate+alchemical+%CE%94%CE%94G+Steinbrecher+et+al.+2017+J+Mol+Biol+429%3A948" TargetMode="External" Id="rId829"/><Relationship Type="http://schemas.openxmlformats.org/officeDocument/2006/relationships/hyperlink" Target="https://www.youtube.com/watch?v=GU8a3cJ9rgc" TargetMode="External" Id="rId830"/><Relationship Type="http://schemas.openxmlformats.org/officeDocument/2006/relationships/hyperlink" Target="https://scholar.google.com/scholar?q=Gapsys+et+al.+2016+Chem+Sci+7%3A4728+PMX+accurate+alchemical+%CE%94%CE%94G+Steinbrecher+et+al.+2017+J+Mol+Biol+429%3A948" TargetMode="External" Id="rId831"/><Relationship Type="http://schemas.openxmlformats.org/officeDocument/2006/relationships/hyperlink" Target="https://www.youtube.com/watch?v=5b2-NqOXNrU" TargetMode="External" Id="rId832"/><Relationship Type="http://schemas.openxmlformats.org/officeDocument/2006/relationships/hyperlink" Target="https://scholar.google.com/scholar?q=Gapsys+et+al.+2016+Chem+Sci+7%3A4728+PMX+accurate+alchemical+%CE%94%CE%94G+Steinbrecher+et+al.+2017+J+Mol+Biol+429%3A948" TargetMode="External" Id="rId833"/><Relationship Type="http://schemas.openxmlformats.org/officeDocument/2006/relationships/hyperlink" Target="https://www.youtube.com/watch?v=ZuKBuO80330" TargetMode="External" Id="rId834"/><Relationship Type="http://schemas.openxmlformats.org/officeDocument/2006/relationships/hyperlink" Target="https://scholar.google.com/scholar?q=Gapsys+et+al.+2016+Chem+Sci+7%3A4728+PMX+accurate+alchemical+%CE%94%CE%94G+Steinbrecher+et+al.+2017+J+Mol+Biol+429%3A948" TargetMode="External" Id="rId835"/><Relationship Type="http://schemas.openxmlformats.org/officeDocument/2006/relationships/hyperlink" Target="https://www.youtube.com/watch?v=7_rgL2M2jVs" TargetMode="External" Id="rId836"/><Relationship Type="http://schemas.openxmlformats.org/officeDocument/2006/relationships/hyperlink" Target="https://scholar.google.com/scholar?q=Gapsys+et+al.+2016+Chem+Sci+7%3A4728+PMX+accurate+alchemical+%CE%94%CE%94G+Steinbrecher+et+al.+2017+J+Mol+Biol+429%3A948" TargetMode="External" Id="rId837"/><Relationship Type="http://schemas.openxmlformats.org/officeDocument/2006/relationships/hyperlink" Target="https://www.youtube.com/watch?v=jfk4feD7rFQ" TargetMode="External" Id="rId838"/><Relationship Type="http://schemas.openxmlformats.org/officeDocument/2006/relationships/hyperlink" Target="https://scholar.google.com/scholar?q=Gapsys+et+al.+2016+Chem+Sci+7%3A4728+PMX+accurate+alchemical+%CE%94%CE%94G+Steinbrecher+et+al.+2017+J+Mol+Biol+429%3A948" TargetMode="External" Id="rId839"/><Relationship Type="http://schemas.openxmlformats.org/officeDocument/2006/relationships/hyperlink" Target="https://www.youtube.com/watch?v=Yqspuysc0IY" TargetMode="External" Id="rId840"/><Relationship Type="http://schemas.openxmlformats.org/officeDocument/2006/relationships/hyperlink" Target="https://scholar.google.com/scholar?q=Ermak+%26+McCammon+1978+JCP+69%3A1352+Northrup+Allison+%26+McCammon+1984+JCP+80%3A1517" TargetMode="External" Id="rId841"/><Relationship Type="http://schemas.openxmlformats.org/officeDocument/2006/relationships/hyperlink" Target="https://www.youtube.com/watch?v=xJIJM9fJ8FY" TargetMode="External" Id="rId842"/><Relationship Type="http://schemas.openxmlformats.org/officeDocument/2006/relationships/hyperlink" Target="https://scholar.google.com/scholar?q=Ermak+%26+McCammon+1978+JCP+69%3A1352+Northrup+Allison+%26+McCammon+1984+JCP+80%3A1517" TargetMode="External" Id="rId843"/><Relationship Type="http://schemas.openxmlformats.org/officeDocument/2006/relationships/hyperlink" Target="https://www.youtube.com/watch?v=V_nwYl8c2-w" TargetMode="External" Id="rId844"/><Relationship Type="http://schemas.openxmlformats.org/officeDocument/2006/relationships/hyperlink" Target="https://scholar.google.com/scholar?q=Ermak+%26+McCammon+1978+JCP+69%3A1352+Northrup+Allison+%26+McCammon+1984+JCP+80%3A1517" TargetMode="External" Id="rId845"/><Relationship Type="http://schemas.openxmlformats.org/officeDocument/2006/relationships/hyperlink" Target="https://www.youtube.com/watch?v=gZk2bMaqs1E" TargetMode="External" Id="rId846"/><Relationship Type="http://schemas.openxmlformats.org/officeDocument/2006/relationships/hyperlink" Target="https://scholar.google.com/scholar?q=Ermak+%26+McCammon+1978+JCP+69%3A1352+Northrup+Allison+%26+McCammon+1984+JCP+80%3A1517" TargetMode="External" Id="rId847"/><Relationship Type="http://schemas.openxmlformats.org/officeDocument/2006/relationships/hyperlink" Target="https://www.youtube.com/watch?v=Stuh73NlGKg" TargetMode="External" Id="rId848"/><Relationship Type="http://schemas.openxmlformats.org/officeDocument/2006/relationships/hyperlink" Target="https://scholar.google.com/scholar?q=Ermak+%26+McCammon+1978+JCP+69%3A1352+Northrup+Allison+%26+McCammon+1984+JCP+80%3A1517" TargetMode="External" Id="rId849"/><Relationship Type="http://schemas.openxmlformats.org/officeDocument/2006/relationships/hyperlink" Target="https://www.youtube.com/watch?v=t8_fmm2gH3k" TargetMode="External" Id="rId850"/><Relationship Type="http://schemas.openxmlformats.org/officeDocument/2006/relationships/hyperlink" Target="https://scholar.google.com/scholar?q=Kerr+et+al.+2008+SIAM+J+Sci+Comput+30%3A3126+MCell" TargetMode="External" Id="rId851"/><Relationship Type="http://schemas.openxmlformats.org/officeDocument/2006/relationships/hyperlink" Target="https://www.youtube.com/watch?v=XRnXQkFEKe8" TargetMode="External" Id="rId852"/><Relationship Type="http://schemas.openxmlformats.org/officeDocument/2006/relationships/hyperlink" Target="https://scholar.google.com/scholar?q=Gillespie+1977+J+Phys+Chem+81%3A2340+Gillespie+2001+JCP+115%3A1716+tau-leaping" TargetMode="External" Id="rId853"/><Relationship Type="http://schemas.openxmlformats.org/officeDocument/2006/relationships/hyperlink" Target="https://www.youtube.com/watch?v=svOVC51dF3Q" TargetMode="External" Id="rId854"/><Relationship Type="http://schemas.openxmlformats.org/officeDocument/2006/relationships/hyperlink" Target="https://scholar.google.com/scholar?q=Gillespie+1977+J+Phys+Chem+81%3A2340+Gillespie+2001+JCP+115%3A1716+tau-leaping" TargetMode="External" Id="rId855"/><Relationship Type="http://schemas.openxmlformats.org/officeDocument/2006/relationships/hyperlink" Target="https://www.youtube.com/watch?v=_YSAAmANRP0" TargetMode="External" Id="rId856"/><Relationship Type="http://schemas.openxmlformats.org/officeDocument/2006/relationships/hyperlink" Target="https://scholar.google.com/scholar?q=Gillespie+1977+J+Phys+Chem+81%3A2340+Gillespie+2001+JCP+115%3A1716+tau-leaping" TargetMode="External" Id="rId857"/><Relationship Type="http://schemas.openxmlformats.org/officeDocument/2006/relationships/hyperlink" Target="https://www.youtube.com/watch?v=CosBPFoHFBM" TargetMode="External" Id="rId858"/><Relationship Type="http://schemas.openxmlformats.org/officeDocument/2006/relationships/hyperlink" Target="https://scholar.google.com/scholar?q=Gillespie+1977+J+Phys+Chem+81%3A2340+Gillespie+2001+JCP+115%3A1716+tau-leaping" TargetMode="External" Id="rId859"/><Relationship Type="http://schemas.openxmlformats.org/officeDocument/2006/relationships/hyperlink" Target="https://www.youtube.com/watch?v=L7DS7_MdmVQ" TargetMode="External" Id="rId860"/><Relationship Type="http://schemas.openxmlformats.org/officeDocument/2006/relationships/hyperlink" Target="https://scholar.google.com/scholar?q=Gillespie+1977+J+Phys+Chem+81%3A2340+Gillespie+2001+JCP+115%3A1716+tau-leaping" TargetMode="External" Id="rId861"/><Relationship Type="http://schemas.openxmlformats.org/officeDocument/2006/relationships/hyperlink" Target="https://www.youtube.com/watch?v=zo2I1ckPSC8" TargetMode="External" Id="rId862"/><Relationship Type="http://schemas.openxmlformats.org/officeDocument/2006/relationships/hyperlink" Target="https://scholar.google.com/scholar?q=Gillespie+1977+J+Phys+Chem+81%3A2340+Gillespie+2001+JCP+115%3A1716+tau-leaping" TargetMode="External" Id="rId863"/><Relationship Type="http://schemas.openxmlformats.org/officeDocument/2006/relationships/hyperlink" Target="https://www.youtube.com/watch?v=ji02ZnSsZMI" TargetMode="External" Id="rId864"/><Relationship Type="http://schemas.openxmlformats.org/officeDocument/2006/relationships/hyperlink" Target="https://scholar.google.com/scholar?q=Gillespie+1977+J+Phys+Chem+81%3A2340+Gillespie+2001+JCP+115%3A1716+tau-leaping" TargetMode="External" Id="rId865"/><Relationship Type="http://schemas.openxmlformats.org/officeDocument/2006/relationships/hyperlink" Target="https://www.youtube.com/watch?v=DUhyPynSOas" TargetMode="External" Id="rId866"/><Relationship Type="http://schemas.openxmlformats.org/officeDocument/2006/relationships/hyperlink" Target="https://scholar.google.com/scholar?q=Gillespie+1977+J+Phys+Chem+81%3A2340+Gillespie+2001+JCP+115%3A1716+tau-leaping" TargetMode="External" Id="rId867"/><Relationship Type="http://schemas.openxmlformats.org/officeDocument/2006/relationships/hyperlink" Target="https://www.youtube.com/watch?v=RKUNnwOz8AY" TargetMode="External" Id="rId868"/><Relationship Type="http://schemas.openxmlformats.org/officeDocument/2006/relationships/hyperlink" Target="https://scholar.google.com/scholar?q=Gillespie+1977+J+Phys+Chem+81%3A2340+Gillespie+2001+JCP+115%3A1716+tau-leaping" TargetMode="External" Id="rId869"/><Relationship Type="http://schemas.openxmlformats.org/officeDocument/2006/relationships/hyperlink" Target="https://www.youtube.com/watch?v=Wt3FLkuMWLQ" TargetMode="External" Id="rId870"/><Relationship Type="http://schemas.openxmlformats.org/officeDocument/2006/relationships/hyperlink" Target="https://scholar.google.com/scholar?q=Gillespie+1977+J+Phys+Chem+81%3A2340+Gillespie+2001+JCP+115%3A1716+tau-leaping" TargetMode="External" Id="rId871"/><Relationship Type="http://schemas.openxmlformats.org/officeDocument/2006/relationships/hyperlink" Target="https://www.youtube.com/watch?v=N3h0GWfc67k" TargetMode="External" Id="rId872"/><Relationship Type="http://schemas.openxmlformats.org/officeDocument/2006/relationships/hyperlink" Target="https://scholar.google.com/scholar?q=Gillespie+1977+J+Phys+Chem+81%3A2340+Gillespie+2001+JCP+115%3A1716+tau-leaping" TargetMode="External" Id="rId873"/><Relationship Type="http://schemas.openxmlformats.org/officeDocument/2006/relationships/hyperlink" Target="https://www.youtube.com/watch?v=4nMG7GC5DV0" TargetMode="External" Id="rId874"/><Relationship Type="http://schemas.openxmlformats.org/officeDocument/2006/relationships/hyperlink" Target="https://scholar.google.com/scholar?q=Hepburn+et+al.+2012+BMC+Syst+Biol+6%3A36+STEPS" TargetMode="External" Id="rId875"/><Relationship Type="http://schemas.openxmlformats.org/officeDocument/2006/relationships/hyperlink" Target="https://www.youtube.com/watch?v=7x5NQM5AohE" TargetMode="External" Id="rId876"/><Relationship Type="http://schemas.openxmlformats.org/officeDocument/2006/relationships/hyperlink" Target="https://scholar.google.com/scholar?q=Gillespie+1977+J+Phys+Chem+81%3A2340+Gillespie+2001+JCP+115%3A1716+tau-leaping" TargetMode="External" Id="rId877"/><Relationship Type="http://schemas.openxmlformats.org/officeDocument/2006/relationships/hyperlink" Target="https://www.youtube.com/watch?v=8V10FAysb-o" TargetMode="External" Id="rId878"/><Relationship Type="http://schemas.openxmlformats.org/officeDocument/2006/relationships/hyperlink" Target="https://scholar.google.com/scholar?q=Gillespie+1977+J+Phys+Chem+81%3A2340+Gillespie+2001+JCP+115%3A1716+tau-leaping" TargetMode="External" Id="rId879"/><Relationship Type="http://schemas.openxmlformats.org/officeDocument/2006/relationships/hyperlink" Target="https://www.youtube.com/watch?v=rKRcPN9anHA" TargetMode="External" Id="rId880"/><Relationship Type="http://schemas.openxmlformats.org/officeDocument/2006/relationships/hyperlink" Target="https://scholar.google.com/scholar?q=Thornburg+et+al.+2022+Cell+185%3A345+a+whole+minimal+cell+Karr+et+al.+2012+Cell+150%3A389+the+first+whole-cell+model" TargetMode="External" Id="rId881"/><Relationship Type="http://schemas.openxmlformats.org/officeDocument/2006/relationships/hyperlink" Target="https://www.youtube.com/watch?v=ibn6Owow99M" TargetMode="External" Id="rId882"/><Relationship Type="http://schemas.openxmlformats.org/officeDocument/2006/relationships/hyperlink" Target="https://scholar.google.com/scholar?q=Thornburg+et+al.+2022+Cell+185%3A345" TargetMode="External" Id="rId883"/><Relationship Type="http://schemas.openxmlformats.org/officeDocument/2006/relationships/hyperlink" Target="https://www.youtube.com/watch?v=DpvddDvQ6h0" TargetMode="External" Id="rId884"/><Relationship Type="http://schemas.openxmlformats.org/officeDocument/2006/relationships/hyperlink" Target="https://scholar.google.com/scholar?q=Thornburg+et+al.+2022+Cell+185%3A345+a+whole+minimal+cell+Karr+et+al.+2012+Cell+150%3A389+the+first+whole-cell+model" TargetMode="External" Id="rId885"/><Relationship Type="http://schemas.openxmlformats.org/officeDocument/2006/relationships/hyperlink" Target="https://www.youtube.com/watch?v=NG3jPxN7QbQ" TargetMode="External" Id="rId886"/><Relationship Type="http://schemas.openxmlformats.org/officeDocument/2006/relationships/hyperlink" Target="https://scholar.google.com/scholar?q=Thornburg+et+al.+2022+Cell+185%3A345+a+whole+minimal+cell+Karr+et+al.+2012+Cell+150%3A389+the+first+whole-cell+model" TargetMode="External" Id="rId887"/><Relationship Type="http://schemas.openxmlformats.org/officeDocument/2006/relationships/hyperlink" Target="https://www.youtube.com/watch?v=NpiSBhRyv9c" TargetMode="External" Id="rId888"/><Relationship Type="http://schemas.openxmlformats.org/officeDocument/2006/relationships/hyperlink" Target="https://scholar.google.com/scholar?q=Thornburg+et+al.+2022+Cell+185%3A345+a+whole+minimal+cell+Karr+et+al.+2012+Cell+150%3A389+the+first+whole-cell+model" TargetMode="External" Id="rId889"/><Relationship Type="http://schemas.openxmlformats.org/officeDocument/2006/relationships/hyperlink" Target="https://www.youtube.com/watch?v=5AR3TqgvgpA" TargetMode="External" Id="rId890"/><Relationship Type="http://schemas.openxmlformats.org/officeDocument/2006/relationships/hyperlink" Target="https://scholar.google.com/scholar?q=Thornburg+et+al.+2022+Cell+185%3A345+a+whole+minimal+cell+Karr+et+al.+2012+Cell+150%3A389+the+first+whole-cell+model" TargetMode="External" Id="rId891"/><Relationship Type="http://schemas.openxmlformats.org/officeDocument/2006/relationships/hyperlink" Target="https://www.youtube.com/watch?v=0Be21VwlgrQ" TargetMode="External" Id="rId892"/><Relationship Type="http://schemas.openxmlformats.org/officeDocument/2006/relationships/hyperlink" Target="https://scholar.google.com/scholar?q=Thornburg+et+al.+2022+Cell+185%3A345+a+whole+minimal+cell+Karr+et+al.+2012+Cell+150%3A389+the+first+whole-cell+model" TargetMode="External" Id="rId893"/><Relationship Type="http://schemas.openxmlformats.org/officeDocument/2006/relationships/hyperlink" Target="https://www.youtube.com/watch?v=q5AeswdSe68" TargetMode="External" Id="rId894"/><Relationship Type="http://schemas.openxmlformats.org/officeDocument/2006/relationships/hyperlink" Target="https://scholar.google.com/scholar?q=Thornburg+et+al.+2022+Cell+185%3A345+a+whole+minimal+cell+Karr+et+al.+2012+Cell+150%3A389+the+first+whole-cell+model" TargetMode="External" Id="rId895"/><Relationship Type="http://schemas.openxmlformats.org/officeDocument/2006/relationships/hyperlink" Target="https://www.youtube.com/watch?v=TeTSBRQiBAc" TargetMode="External" Id="rId896"/><Relationship Type="http://schemas.openxmlformats.org/officeDocument/2006/relationships/hyperlink" Target="https://scholar.google.com/scholar?q=Thornburg+et+al.+2022+Cell+185%3A345+a+whole+minimal+cell+Karr+et+al.+2012+Cell+150%3A389+the+first+whole-cell+model" TargetMode="External" Id="rId897"/><Relationship Type="http://schemas.openxmlformats.org/officeDocument/2006/relationships/hyperlink" Target="https://www.youtube.com/watch?v=ettzIgmx354" TargetMode="External" Id="rId898"/><Relationship Type="http://schemas.openxmlformats.org/officeDocument/2006/relationships/hyperlink" Target="https://scholar.google.com/scholar?q=Thornburg+et+al.+2022+Cell+185%3A345+a+whole+minimal+cell+Karr+et+al.+2012+Cell+150%3A389+the+first+whole-cell+model" TargetMode="External" Id="rId899"/><Relationship Type="http://schemas.openxmlformats.org/officeDocument/2006/relationships/hyperlink" Target="https://www.youtube.com/watch?v=_-_X8fWBFH4" TargetMode="External" Id="rId900"/><Relationship Type="http://schemas.openxmlformats.org/officeDocument/2006/relationships/hyperlink" Target="https://scholar.google.com/scholar?q=Thornburg+et+al.+2022+Cell+185%3A345+a+whole+minimal+cell+Karr+et+al.+2012+Cell+150%3A389+the+first+whole-cell+model" TargetMode="External" Id="rId901"/><Relationship Type="http://schemas.openxmlformats.org/officeDocument/2006/relationships/hyperlink" Target="https://www.youtube.com/watch?v=cht9_0UyqXM" TargetMode="External" Id="rId902"/><Relationship Type="http://schemas.openxmlformats.org/officeDocument/2006/relationships/hyperlink" Target="https://scholar.google.com/scholar?q=Thornburg+et+al.+2022+Cell+185%3A345+a+whole+minimal+cell+Karr+et+al.+2012+Cell+150%3A389+the+first+whole-cell+model" TargetMode="External" Id="rId903"/><Relationship Type="http://schemas.openxmlformats.org/officeDocument/2006/relationships/hyperlink" Target="https://www.youtube.com/watch?v=BIqN8Nm_1Qw" TargetMode="External" Id="rId904"/><Relationship Type="http://schemas.openxmlformats.org/officeDocument/2006/relationships/hyperlink" Target="https://scholar.google.com/scholar?q=Thornburg+et+al.+2022+Cell+185%3A345+a+whole+minimal+cell+Karr+et+al.+2012+Cell+150%3A389+the+first+whole-cell+model" TargetMode="External" Id="rId905"/><Relationship Type="http://schemas.openxmlformats.org/officeDocument/2006/relationships/hyperlink" Target="https://www.youtube.com/watch?v=mkzP80YoKwM" TargetMode="External" Id="rId906"/><Relationship Type="http://schemas.openxmlformats.org/officeDocument/2006/relationships/hyperlink" Target="https://scholar.google.com/scholar?q=Ellis+2001+Trends+Biochem+Sci+26%3A597+McGuffee+%26+Elcock+2010+PLoS+Comput+Biol+6%3Ae1000694+atomistic+cytoplasm" TargetMode="External" Id="rId907"/><Relationship Type="http://schemas.openxmlformats.org/officeDocument/2006/relationships/hyperlink" Target="https://www.youtube.com/watch?v=ylIIHA7Ux-0" TargetMode="External" Id="rId908"/><Relationship Type="http://schemas.openxmlformats.org/officeDocument/2006/relationships/hyperlink" Target="https://scholar.google.com/scholar?q=Ellis+2001+Trends+Biochem+Sci+26%3A597+McGuffee+%26+Elcock+2010+PLoS+Comput+Biol+6%3Ae1000694+atomistic+cytoplasm" TargetMode="External" Id="rId909"/><Relationship Type="http://schemas.openxmlformats.org/officeDocument/2006/relationships/hyperlink" Target="https://www.youtube.com/watch?v=WlKNDWtmU0c" TargetMode="External" Id="rId910"/><Relationship Type="http://schemas.openxmlformats.org/officeDocument/2006/relationships/hyperlink" Target="https://scholar.google.com/scholar?q=Delarue+et+al.+2018+Cell+174%3A338+GEMs" TargetMode="External" Id="rId911"/><Relationship Type="http://schemas.openxmlformats.org/officeDocument/2006/relationships/hyperlink" Target="https://www.youtube.com/watch?v=GrVHXe4FtrQ" TargetMode="External" Id="rId912"/><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13"/><Relationship Type="http://schemas.openxmlformats.org/officeDocument/2006/relationships/hyperlink" Target="https://www.youtube.com/watch?v=IDKVLxWAT3E" TargetMode="External" Id="rId914"/><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15"/><Relationship Type="http://schemas.openxmlformats.org/officeDocument/2006/relationships/hyperlink" Target="https://www.youtube.com/watch?v=nRbpiM3MDR4" TargetMode="External" Id="rId916"/><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17"/><Relationship Type="http://schemas.openxmlformats.org/officeDocument/2006/relationships/hyperlink" Target="https://www.youtube.com/watch?v=KsGM4DvgW-0" TargetMode="External" Id="rId918"/><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19"/><Relationship Type="http://schemas.openxmlformats.org/officeDocument/2006/relationships/hyperlink" Target="https://www.youtube.com/watch?v=CBai9DWegAE" TargetMode="External" Id="rId920"/><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21"/><Relationship Type="http://schemas.openxmlformats.org/officeDocument/2006/relationships/hyperlink" Target="https://www.youtube.com/watch?v=AP47mIkd-h0" TargetMode="External" Id="rId922"/><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23"/><Relationship Type="http://schemas.openxmlformats.org/officeDocument/2006/relationships/hyperlink" Target="https://www.youtube.com/watch?v=HzG5_Q1whiI" TargetMode="External" Id="rId924"/><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25"/><Relationship Type="http://schemas.openxmlformats.org/officeDocument/2006/relationships/hyperlink" Target="https://www.youtube.com/watch?v=6k8m-7y7zkY" TargetMode="External" Id="rId926"/><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27"/><Relationship Type="http://schemas.openxmlformats.org/officeDocument/2006/relationships/hyperlink" Target="https://www.youtube.com/watch?v=DkhFiW5n7rQ" TargetMode="External" Id="rId928"/><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29"/><Relationship Type="http://schemas.openxmlformats.org/officeDocument/2006/relationships/hyperlink" Target="https://www.youtube.com/watch?v=Vezrj7FqMlY" TargetMode="External" Id="rId930"/><Relationship Type="http://schemas.openxmlformats.org/officeDocument/2006/relationships/hyperlink" Target="https://scholar.google.com/scholar?q=Dignon+Zheng+Kim+Best+%26+Mittal+2018+PLoS+Comput+Biol+14%3Ae1005941+the+HPS+coarse-grained+model+most+LLPS+simulation+rests+on" TargetMode="External" Id="rId931"/><Relationship Type="http://schemas.openxmlformats.org/officeDocument/2006/relationships/hyperlink" Target="https://www.youtube.com/watch?v=-FCzirVHKC0" TargetMode="External" Id="rId932"/><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33"/><Relationship Type="http://schemas.openxmlformats.org/officeDocument/2006/relationships/hyperlink" Target="https://www.youtube.com/watch?v=jFmGNUUVHzg" TargetMode="External" Id="rId934"/><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35"/><Relationship Type="http://schemas.openxmlformats.org/officeDocument/2006/relationships/hyperlink" Target="https://www.youtube.com/watch?v=NxSeqlYiIU8" TargetMode="External" Id="rId936"/><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37"/><Relationship Type="http://schemas.openxmlformats.org/officeDocument/2006/relationships/hyperlink" Target="https://www.youtube.com/watch?v=_6iAcwmknek" TargetMode="External" Id="rId938"/><Relationship Type="http://schemas.openxmlformats.org/officeDocument/2006/relationships/hyperlink" Target="https://scholar.google.com/scholar?q=Tesei+et+al.+2021+PNAS+118%3Ae2111696118+CALVADOS" TargetMode="External" Id="rId939"/><Relationship Type="http://schemas.openxmlformats.org/officeDocument/2006/relationships/hyperlink" Target="https://www.youtube.com/watch?v=TvR3cUSHpn8" TargetMode="External" Id="rId940"/><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41"/><Relationship Type="http://schemas.openxmlformats.org/officeDocument/2006/relationships/hyperlink" Target="https://www.youtube.com/watch?v=ofse9Ku1GME" TargetMode="External" Id="rId942"/><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43"/><Relationship Type="http://schemas.openxmlformats.org/officeDocument/2006/relationships/hyperlink" Target="https://www.youtube.com/watch?v=lyDtfWAPMCA" TargetMode="External" Id="rId944"/><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45"/><Relationship Type="http://schemas.openxmlformats.org/officeDocument/2006/relationships/hyperlink" Target="https://www.youtube.com/watch?v=lgO7cRn0Qac" TargetMode="External" Id="rId946"/><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47"/><Relationship Type="http://schemas.openxmlformats.org/officeDocument/2006/relationships/hyperlink" Target="https://www.youtube.com/watch?v=Jf3e3M8TJR4" TargetMode="External" Id="rId948"/><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49"/><Relationship Type="http://schemas.openxmlformats.org/officeDocument/2006/relationships/hyperlink" Target="https://www.youtube.com/watch?v=6oMOZa5JgpE" TargetMode="External" Id="rId950"/><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51"/><Relationship Type="http://schemas.openxmlformats.org/officeDocument/2006/relationships/hyperlink" Target="https://www.youtube.com/watch?v=1dTHn7ryMqs" TargetMode="External" Id="rId952"/><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53"/><Relationship Type="http://schemas.openxmlformats.org/officeDocument/2006/relationships/hyperlink" Target="https://www.youtube.com/watch?v=F6xa9Rr4DSQ" TargetMode="External" Id="rId954"/><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55"/><Relationship Type="http://schemas.openxmlformats.org/officeDocument/2006/relationships/hyperlink" Target="https://www.youtube.com/watch?v=9oDKpKhD-ts" TargetMode="External" Id="rId956"/><Relationship Type="http://schemas.openxmlformats.org/officeDocument/2006/relationships/hyperlink" Target="https://scholar.google.com/scholar?q=Zwicker+et+al.+2017+Nat+Phys+13%3A408" TargetMode="External" Id="rId957"/><Relationship Type="http://schemas.openxmlformats.org/officeDocument/2006/relationships/hyperlink" Target="https://www.youtube.com/watch?v=z8iN-AuEi7U" TargetMode="External" Id="rId958"/><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59"/><Relationship Type="http://schemas.openxmlformats.org/officeDocument/2006/relationships/hyperlink" Target="https://www.youtube.com/watch?v=OF5IOdanYFI" TargetMode="External" Id="rId960"/><Relationship Type="http://schemas.openxmlformats.org/officeDocument/2006/relationships/hyperlink" Target="https://scholar.google.com/scholar?q=Dignon+Zheng+Kim+Best+%26+Mittal+2018+PLoS+Comput+Biol+14%3Ae1005941+the+HPS+coarse-grained+model+most+LLPS+simulation+rests+on" TargetMode="External" Id="rId961"/><Relationship Type="http://schemas.openxmlformats.org/officeDocument/2006/relationships/hyperlink" Target="https://www.youtube.com/watch?v=FV36N7cDM1I" TargetMode="External" Id="rId962"/><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63"/><Relationship Type="http://schemas.openxmlformats.org/officeDocument/2006/relationships/hyperlink" Target="https://www.youtube.com/watch?v=IrVn-plXvnk" TargetMode="External" Id="rId964"/><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65"/><Relationship Type="http://schemas.openxmlformats.org/officeDocument/2006/relationships/hyperlink" Target="https://www.youtube.com/watch?v=jhhjfqnfcEU" TargetMode="External" Id="rId966"/><Relationship Type="http://schemas.openxmlformats.org/officeDocument/2006/relationships/hyperlink" Target="https://scholar.google.com/scholar?q=Banani+et+al.+2017+Nat+Rev+Mol+Cell+Biol+18%3A285+Dignon+Zheng+Kim+Best+%26+Mittal+2018+PLoS+Comput+Biol+14%3Ae1005941+the+HPS+coarse-grained+model+most+LLPS+simulation+rests+on" TargetMode="External" Id="rId967"/><Relationship Type="http://schemas.openxmlformats.org/officeDocument/2006/relationships/hyperlink" Target="https://www.youtube.com/watch?v=DZx8_HUUUCs" TargetMode="External" Id="rId968"/><Relationship Type="http://schemas.openxmlformats.org/officeDocument/2006/relationships/hyperlink" Target="https://scholar.google.com/scholar?q=Baker+et+al.+2001+PNAS+98%3A10037+APBS+Jurrus+et+al.+2018+Protein+Sci+27%3A112" TargetMode="External" Id="rId969"/><Relationship Type="http://schemas.openxmlformats.org/officeDocument/2006/relationships/hyperlink" Target="https://www.youtube.com/watch?v=zUQNmp1zU0o" TargetMode="External" Id="rId970"/><Relationship Type="http://schemas.openxmlformats.org/officeDocument/2006/relationships/hyperlink" Target="https://scholar.google.com/scholar?q=Baker+et+al.+2001+PNAS+98%3A10037+APBS+Jurrus+et+al.+2018+Protein+Sci+27%3A112" TargetMode="External" Id="rId971"/><Relationship Type="http://schemas.openxmlformats.org/officeDocument/2006/relationships/hyperlink" Target="https://www.youtube.com/watch?v=birZ-K7oDSI" TargetMode="External" Id="rId972"/><Relationship Type="http://schemas.openxmlformats.org/officeDocument/2006/relationships/hyperlink" Target="https://scholar.google.com/scholar?q=Baker+et+al.+2001+PNAS+98%3A10037+APBS+Jurrus+et+al.+2018+Protein+Sci+27%3A112" TargetMode="External" Id="rId973"/><Relationship Type="http://schemas.openxmlformats.org/officeDocument/2006/relationships/hyperlink" Target="https://www.youtube.com/watch?v=OsNi6p8LY18" TargetMode="External" Id="rId974"/><Relationship Type="http://schemas.openxmlformats.org/officeDocument/2006/relationships/hyperlink" Target="https://scholar.google.com/scholar?q=Baker+et+al.+2001+PNAS+98%3A10037+APBS+Jurrus+et+al.+2018+Protein+Sci+27%3A112" TargetMode="External" Id="rId975"/><Relationship Type="http://schemas.openxmlformats.org/officeDocument/2006/relationships/hyperlink" Target="https://www.youtube.com/watch?v=RFWvXFW6FuY" TargetMode="External" Id="rId976"/><Relationship Type="http://schemas.openxmlformats.org/officeDocument/2006/relationships/hyperlink" Target="https://scholar.google.com/scholar?q=Baker+et+al.+2001+PNAS+98%3A10037+APBS+Jurrus+et+al.+2018+Protein+Sci+27%3A112" TargetMode="External" Id="rId977"/><Relationship Type="http://schemas.openxmlformats.org/officeDocument/2006/relationships/hyperlink" Target="https://www.youtube.com/watch?v=6YNoMx4HfTc" TargetMode="External" Id="rId978"/><Relationship Type="http://schemas.openxmlformats.org/officeDocument/2006/relationships/hyperlink" Target="https://scholar.google.com/scholar?q=Baker+et+al.+2001+PNAS+98%3A10037+APBS+Jurrus+et+al.+2018+Protein+Sci+27%3A112" TargetMode="External" Id="rId979"/><Relationship Type="http://schemas.openxmlformats.org/officeDocument/2006/relationships/hyperlink" Target="https://www.youtube.com/watch?v=iNXrnjnJvDY" TargetMode="External" Id="rId980"/><Relationship Type="http://schemas.openxmlformats.org/officeDocument/2006/relationships/hyperlink" Target="https://scholar.google.com/scholar?q=Baker+et+al.+2001+PNAS+98%3A10037+APBS+Jurrus+et+al.+2018+Protein+Sci+27%3A112" TargetMode="External" Id="rId981"/><Relationship Type="http://schemas.openxmlformats.org/officeDocument/2006/relationships/hyperlink" Target="https://www.youtube.com/watch?v=M6AvgX1Ijfc" TargetMode="External" Id="rId982"/><Relationship Type="http://schemas.openxmlformats.org/officeDocument/2006/relationships/hyperlink" Target="https://scholar.google.com/scholar?q=Baker+et+al.+2001+PNAS+98%3A10037+APBS+Jurrus+et+al.+2018+Protein+Sci+27%3A112" TargetMode="External" Id="rId983"/><Relationship Type="http://schemas.openxmlformats.org/officeDocument/2006/relationships/hyperlink" Target="https://www.youtube.com/watch?v=tUHa_jDUUwo" TargetMode="External" Id="rId984"/><Relationship Type="http://schemas.openxmlformats.org/officeDocument/2006/relationships/hyperlink" Target="https://scholar.google.com/scholar?q=Baker+et+al.+2001+PNAS+98%3A10037+APBS+Jurrus+et+al.+2018+Protein+Sci+27%3A112" TargetMode="External" Id="rId985"/><Relationship Type="http://schemas.openxmlformats.org/officeDocument/2006/relationships/hyperlink" Target="https://www.youtube.com/watch?v=1OuIVgNneUE" TargetMode="External" Id="rId986"/><Relationship Type="http://schemas.openxmlformats.org/officeDocument/2006/relationships/hyperlink" Target="https://scholar.google.com/scholar?q=Baker+et+al.+2001+PNAS+98%3A10037+APBS+Jurrus+et+al.+2018+Protein+Sci+27%3A112" TargetMode="External" Id="rId987"/><Relationship Type="http://schemas.openxmlformats.org/officeDocument/2006/relationships/hyperlink" Target="https://www.youtube.com/watch?v=QFna0RY1A_w" TargetMode="External" Id="rId988"/><Relationship Type="http://schemas.openxmlformats.org/officeDocument/2006/relationships/hyperlink" Target="https://scholar.google.com/scholar?q=Baker+et+al.+2001+PNAS+98%3A10037+APBS+Jurrus+et+al.+2018+Protein+Sci+27%3A112" TargetMode="External" Id="rId989"/><Relationship Type="http://schemas.openxmlformats.org/officeDocument/2006/relationships/hyperlink" Target="https://www.youtube.com/watch?v=v_3tynlW6mo" TargetMode="External" Id="rId990"/><Relationship Type="http://schemas.openxmlformats.org/officeDocument/2006/relationships/hyperlink" Target="https://scholar.google.com/scholar?q=Baker+et+al.+2001+PNAS+98%3A10037+APBS+Jurrus+et+al.+2018+Protein+Sci+27%3A112" TargetMode="External" Id="rId991"/><Relationship Type="http://schemas.openxmlformats.org/officeDocument/2006/relationships/hyperlink" Target="https://www.youtube.com/watch?v=psB8o3jWkY0" TargetMode="External" Id="rId992"/><Relationship Type="http://schemas.openxmlformats.org/officeDocument/2006/relationships/hyperlink" Target="https://scholar.google.com/scholar?q=Baker+et+al.+2001+PNAS+98%3A10037+APBS+Jurrus+et+al.+2018+Protein+Sci+27%3A112" TargetMode="External" Id="rId993"/><Relationship Type="http://schemas.openxmlformats.org/officeDocument/2006/relationships/hyperlink" Target="https://www.youtube.com/watch?v=kOnPU7vT2G8" TargetMode="External" Id="rId994"/><Relationship Type="http://schemas.openxmlformats.org/officeDocument/2006/relationships/hyperlink" Target="https://scholar.google.com/scholar?q=Baker+et+al.+2001+PNAS+98%3A10037+APBS+Jurrus+et+al.+2018+Protein+Sci+27%3A112" TargetMode="External" Id="rId995"/><Relationship Type="http://schemas.openxmlformats.org/officeDocument/2006/relationships/hyperlink" Target="https://www.youtube.com/watch?v=mGTydc9M11M" TargetMode="External" Id="rId996"/><Relationship Type="http://schemas.openxmlformats.org/officeDocument/2006/relationships/hyperlink" Target="https://scholar.google.com/scholar?q=Baker+et+al.+2001+PNAS+98%3A10037+APBS+Jurrus+et+al.+2018+Protein+Sci+27%3A112" TargetMode="External" Id="rId997"/><Relationship Type="http://schemas.openxmlformats.org/officeDocument/2006/relationships/hyperlink" Target="https://www.youtube.com/watch?v=DTjTAClwJJg" TargetMode="External" Id="rId998"/><Relationship Type="http://schemas.openxmlformats.org/officeDocument/2006/relationships/hyperlink" Target="https://scholar.google.com/scholar?q=Baker+et+al.+2001+PNAS+98%3A10037+APBS+Jurrus+et+al.+2018+Protein+Sci+27%3A112" TargetMode="External" Id="rId999"/><Relationship Type="http://schemas.openxmlformats.org/officeDocument/2006/relationships/hyperlink" Target="https://www.youtube.com/watch?v=xSTzrf2pSOc" TargetMode="External" Id="rId1000"/><Relationship Type="http://schemas.openxmlformats.org/officeDocument/2006/relationships/hyperlink" Target="https://scholar.google.com/scholar?q=Baker+et+al.+2001+PNAS+98%3A10037+APBS+Jurrus+et+al.+2018+Protein+Sci+27%3A112" TargetMode="External" Id="rId1001"/><Relationship Type="http://schemas.openxmlformats.org/officeDocument/2006/relationships/hyperlink" Target="https://www.youtube.com/watch?v=s8eaM7BzNHs" TargetMode="External" Id="rId1002"/><Relationship Type="http://schemas.openxmlformats.org/officeDocument/2006/relationships/hyperlink" Target="https://scholar.google.com/scholar?q=Baker+et+al.+2001+PNAS+98%3A10037+APBS+Jurrus+et+al.+2018+Protein+Sci+27%3A112" TargetMode="External" Id="rId1003"/><Relationship Type="http://schemas.openxmlformats.org/officeDocument/2006/relationships/hyperlink" Target="https://www.youtube.com/watch?v=ufIFcuvpBD8" TargetMode="External" Id="rId1004"/><Relationship Type="http://schemas.openxmlformats.org/officeDocument/2006/relationships/hyperlink" Target="https://scholar.google.com/scholar?q=Baker+et+al.+2001+PNAS+98%3A10037+APBS+Jurrus+et+al.+2018+Protein+Sci+27%3A112" TargetMode="External" Id="rId1005"/><Relationship Type="http://schemas.openxmlformats.org/officeDocument/2006/relationships/hyperlink" Target="https://www.youtube.com/watch?v=uScud2cKI0U" TargetMode="External" Id="rId1006"/><Relationship Type="http://schemas.openxmlformats.org/officeDocument/2006/relationships/hyperlink" Target="https://scholar.google.com/scholar?q=Baker+et+al.+2001+PNAS+98%3A10037+APBS+Jurrus+et+al.+2018+Protein+Sci+27%3A112" TargetMode="External" Id="rId1007"/><Relationship Type="http://schemas.openxmlformats.org/officeDocument/2006/relationships/hyperlink" Target="https://www.youtube.com/watch?v=iUIP1oCub4E" TargetMode="External" Id="rId1008"/><Relationship Type="http://schemas.openxmlformats.org/officeDocument/2006/relationships/hyperlink" Target="https://scholar.google.com/scholar?q=Baker+et+al.+2001+PNAS+98%3A10037+APBS+Jurrus+et+al.+2018+Protein+Sci+27%3A112" TargetMode="External" Id="rId1009"/><Relationship Type="http://schemas.openxmlformats.org/officeDocument/2006/relationships/hyperlink" Target="https://www.youtube.com/watch?v=kC-I4H-EJXc" TargetMode="External" Id="rId1010"/><Relationship Type="http://schemas.openxmlformats.org/officeDocument/2006/relationships/hyperlink" Target="https://scholar.google.com/scholar?q=Bustamante+et+al.+1994+Science+265%3A1599" TargetMode="External" Id="rId1011"/><Relationship Type="http://schemas.openxmlformats.org/officeDocument/2006/relationships/hyperlink" Target="https://www.youtube.com/watch?v=2b8Y7n98WfQ" TargetMode="External" Id="rId1012"/><Relationship Type="http://schemas.openxmlformats.org/officeDocument/2006/relationships/hyperlink" Target="https://scholar.google.com/scholar?q=Baker+et+al.+2001+PNAS+98%3A10037+APBS+Jurrus+et+al.+2018+Protein+Sci+27%3A112" TargetMode="External" Id="rId1013"/><Relationship Type="http://schemas.openxmlformats.org/officeDocument/2006/relationships/hyperlink" Target="https://www.youtube.com/watch?v=A5zP3e2xg4I" TargetMode="External" Id="rId1014"/><Relationship Type="http://schemas.openxmlformats.org/officeDocument/2006/relationships/hyperlink" Target="https://scholar.google.com/scholar?q=Baker+et+al.+2001+PNAS+98%3A10037+APBS+Jurrus+et+al.+2018+Protein+Sci+27%3A112" TargetMode="External" Id="rId1015"/><Relationship Type="http://schemas.openxmlformats.org/officeDocument/2006/relationships/hyperlink" Target="https://www.youtube.com/watch?v=-04AWjB1wv0" TargetMode="External" Id="rId1016"/><Relationship Type="http://schemas.openxmlformats.org/officeDocument/2006/relationships/hyperlink" Target="https://scholar.google.com/scholar?q=Baker+et+al.+2001+PNAS+98%3A10037+APBS+Jurrus+et+al.+2018+Protein+Sci+27%3A112" TargetMode="External" Id="rId1017"/><Relationship Type="http://schemas.openxmlformats.org/officeDocument/2006/relationships/hyperlink" Target="https://www.youtube.com/watch?v=J-0qlsFH3Pc" TargetMode="External" Id="rId1018"/><Relationship Type="http://schemas.openxmlformats.org/officeDocument/2006/relationships/hyperlink" Target="https://scholar.google.com/scholar?q=Baker+et+al.+2001+PNAS+98%3A10037+APBS+Jurrus+et+al.+2018+Protein+Sci+27%3A112" TargetMode="External" Id="rId1019"/><Relationship Type="http://schemas.openxmlformats.org/officeDocument/2006/relationships/hyperlink" Target="https://www.youtube.com/watch?v=Usz8zP2I0R4" TargetMode="External" Id="rId1020"/><Relationship Type="http://schemas.openxmlformats.org/officeDocument/2006/relationships/hyperlink" Target="https://scholar.google.com/scholar?q=Baker+et+al.+2001+PNAS+98%3A10037+APBS+Jurrus+et+al.+2018+Protein+Sci+27%3A112" TargetMode="External" Id="rId1021"/><Relationship Type="http://schemas.openxmlformats.org/officeDocument/2006/relationships/hyperlink" Target="https://www.youtube.com/watch?v=vtWsR4ZGe0A" TargetMode="External" Id="rId1022"/><Relationship Type="http://schemas.openxmlformats.org/officeDocument/2006/relationships/hyperlink" Target="https://scholar.google.com/scholar?q=Baker+et+al.+2001+PNAS+98%3A10037+APBS+Jurrus+et+al.+2018+Protein+Sci+27%3A112" TargetMode="External" Id="rId1023"/><Relationship Type="http://schemas.openxmlformats.org/officeDocument/2006/relationships/hyperlink" Target="https://www.youtube.com/watch?v=LcZGx_OMWWA" TargetMode="External" Id="rId1024"/><Relationship Type="http://schemas.openxmlformats.org/officeDocument/2006/relationships/hyperlink" Target="https://scholar.google.com/scholar?q=Baker+et+al.+2001+PNAS+98%3A10037+APBS+Jurrus+et+al.+2018+Protein+Sci+27%3A112" TargetMode="External" Id="rId1025"/><Relationship Type="http://schemas.openxmlformats.org/officeDocument/2006/relationships/hyperlink" Target="https://www.youtube.com/watch?v=pV6pBwrLGcY" TargetMode="External" Id="rId1026"/><Relationship Type="http://schemas.openxmlformats.org/officeDocument/2006/relationships/hyperlink" Target="https://scholar.google.com/scholar?q=Baker+et+al.+2001+PNAS+98%3A10037+APBS+Jurrus+et+al.+2018+Protein+Sci+27%3A112" TargetMode="External" Id="rId1027"/><Relationship Type="http://schemas.openxmlformats.org/officeDocument/2006/relationships/hyperlink" Target="https://www.youtube.com/watch?v=L4K43KD4b_E" TargetMode="External" Id="rId1028"/><Relationship Type="http://schemas.openxmlformats.org/officeDocument/2006/relationships/hyperlink" Target="https://scholar.google.com/scholar?q=Baker+et+al.+2001+PNAS+98%3A10037+APBS+Jurrus+et+al.+2018+Protein+Sci+27%3A112" TargetMode="External" Id="rId1029"/><Relationship Type="http://schemas.openxmlformats.org/officeDocument/2006/relationships/hyperlink" Target="https://www.youtube.com/watch?v=mq_NStOdN4A" TargetMode="External" Id="rId1030"/><Relationship Type="http://schemas.openxmlformats.org/officeDocument/2006/relationships/hyperlink" Target="https://scholar.google.com/scholar?q=Baker+et+al.+2001+PNAS+98%3A10037+APBS+Jurrus+et+al.+2018+Protein+Sci+27%3A112" TargetMode="External" Id="rId1031"/><Relationship Type="http://schemas.openxmlformats.org/officeDocument/2006/relationships/hyperlink" Target="https://www.youtube.com/watch?v=TE2xajN1DiA" TargetMode="External" Id="rId1032"/><Relationship Type="http://schemas.openxmlformats.org/officeDocument/2006/relationships/hyperlink" Target="https://scholar.google.com/scholar?q=Baker+et+al.+2001+PNAS+98%3A10037+APBS+Jurrus+et+al.+2018+Protein+Sci+27%3A112" TargetMode="External" Id="rId1033"/><Relationship Type="http://schemas.openxmlformats.org/officeDocument/2006/relationships/hyperlink" Target="https://www.youtube.com/watch?v=of3y4OlrFIU" TargetMode="External" Id="rId1034"/><Relationship Type="http://schemas.openxmlformats.org/officeDocument/2006/relationships/hyperlink" Target="https://scholar.google.com/scholar?q=Baker+et+al.+2001+PNAS+98%3A10037+APBS+Jurrus+et+al.+2018+Protein+Sci+27%3A112" TargetMode="External" Id="rId1035"/><Relationship Type="http://schemas.openxmlformats.org/officeDocument/2006/relationships/hyperlink" Target="https://www.youtube.com/watch?v=evG8pIMcfpU" TargetMode="External" Id="rId1036"/><Relationship Type="http://schemas.openxmlformats.org/officeDocument/2006/relationships/hyperlink" Target="https://scholar.google.com/scholar?q=Baker+et+al.+2001+PNAS+98%3A10037+APBS+Jurrus+et+al.+2018+Protein+Sci+27%3A112" TargetMode="External" Id="rId1037"/><Relationship Type="http://schemas.openxmlformats.org/officeDocument/2006/relationships/hyperlink" Target="https://www.youtube.com/watch?v=WbnwMNifd2s" TargetMode="External" Id="rId1038"/><Relationship Type="http://schemas.openxmlformats.org/officeDocument/2006/relationships/hyperlink" Target="https://scholar.google.com/scholar?q=Baker+et+al.+2001+PNAS+98%3A10037+APBS+Jurrus+et+al.+2018+Protein+Sci+27%3A112" TargetMode="External" Id="rId1039"/><Relationship Type="http://schemas.openxmlformats.org/officeDocument/2006/relationships/hyperlink" Target="https://www.youtube.com/watch?v=7lckKO6QG9A" TargetMode="External" Id="rId1040"/><Relationship Type="http://schemas.openxmlformats.org/officeDocument/2006/relationships/hyperlink" Target="https://scholar.google.com/scholar?q=Baker+et+al.+2001+PNAS+98%3A10037+APBS+Jurrus+et+al.+2018+Protein+Sci+27%3A112" TargetMode="External" Id="rId1041"/><Relationship Type="http://schemas.openxmlformats.org/officeDocument/2006/relationships/hyperlink" Target="https://www.youtube.com/watch?v=iiLGhwpJ2XU" TargetMode="External" Id="rId1042"/><Relationship Type="http://schemas.openxmlformats.org/officeDocument/2006/relationships/hyperlink" Target="https://scholar.google.com/scholar?q=Baker+et+al.+2001+PNAS+98%3A10037+APBS+Jurrus+et+al.+2018+Protein+Sci+27%3A112" TargetMode="External" Id="rId1043"/><Relationship Type="http://schemas.openxmlformats.org/officeDocument/2006/relationships/hyperlink" Target="https://www.youtube.com/watch?v=t9-KduSBCVk" TargetMode="External" Id="rId1044"/><Relationship Type="http://schemas.openxmlformats.org/officeDocument/2006/relationships/hyperlink" Target="https://scholar.google.com/scholar?q=Baker+et+al.+2001+PNAS+98%3A10037+APBS+Jurrus+et+al.+2018+Protein+Sci+27%3A112" TargetMode="External" Id="rId1045"/><Relationship Type="http://schemas.openxmlformats.org/officeDocument/2006/relationships/hyperlink" Target="https://www.youtube.com/watch?v=vOCIX2glxVE" TargetMode="External" Id="rId1046"/><Relationship Type="http://schemas.openxmlformats.org/officeDocument/2006/relationships/hyperlink" Target="https://scholar.google.com/scholar?q=Baker+et+al.+2001+PNAS+98%3A10037+APBS+Jurrus+et+al.+2018+Protein+Sci+27%3A112" TargetMode="External" Id="rId1047"/><Relationship Type="http://schemas.openxmlformats.org/officeDocument/2006/relationships/hyperlink" Target="https://www.youtube.com/watch?v=RNWn6EOV8Wo" TargetMode="External" Id="rId1048"/><Relationship Type="http://schemas.openxmlformats.org/officeDocument/2006/relationships/hyperlink" Target="https://scholar.google.com/scholar?q=Baker+et+al.+2001+PNAS+98%3A10037+APBS+Jurrus+et+al.+2018+Protein+Sci+27%3A112" TargetMode="External" Id="rId1049"/><Relationship Type="http://schemas.openxmlformats.org/officeDocument/2006/relationships/hyperlink" Target="https://www.youtube.com/watch?v=X7TChSzxlVU" TargetMode="External" Id="rId1050"/><Relationship Type="http://schemas.openxmlformats.org/officeDocument/2006/relationships/hyperlink" Target="https://scholar.google.com/scholar?q=Baker+et+al.+2001+PNAS+98%3A10037+APBS+Jurrus+et+al.+2018+Protein+Sci+27%3A112" TargetMode="External" Id="rId1051"/><Relationship Type="http://schemas.openxmlformats.org/officeDocument/2006/relationships/hyperlink" Target="https://www.youtube.com/watch?v=1H7B2NaM7Bk" TargetMode="External" Id="rId1052"/><Relationship Type="http://schemas.openxmlformats.org/officeDocument/2006/relationships/hyperlink" Target="https://scholar.google.com/scholar?q=Baker+et+al.+2001+PNAS+98%3A10037+APBS+Jurrus+et+al.+2018+Protein+Sci+27%3A112" TargetMode="External" Id="rId1053"/><Relationship Type="http://schemas.openxmlformats.org/officeDocument/2006/relationships/hyperlink" Target="https://www.youtube.com/watch?v=ygkN-ijTPEY" TargetMode="External" Id="rId1054"/><Relationship Type="http://schemas.openxmlformats.org/officeDocument/2006/relationships/hyperlink" Target="https://scholar.google.com/scholar?q=Baker+et+al.+2001+PNAS+98%3A10037+APBS+Jurrus+et+al.+2018+Protein+Sci+27%3A112" TargetMode="External" Id="rId1055"/><Relationship Type="http://schemas.openxmlformats.org/officeDocument/2006/relationships/hyperlink" Target="https://www.youtube.com/watch?v=6L7iJ7LqSn8" TargetMode="External" Id="rId1056"/><Relationship Type="http://schemas.openxmlformats.org/officeDocument/2006/relationships/hyperlink" Target="https://scholar.google.com/scholar?q=Baker+et+al.+2001+PNAS+98%3A10037+APBS+Jurrus+et+al.+2018+Protein+Sci+27%3A112" TargetMode="External" Id="rId1057"/><Relationship Type="http://schemas.openxmlformats.org/officeDocument/2006/relationships/hyperlink" Target="https://www.youtube.com/watch?v=LREzCluQdUo" TargetMode="External" Id="rId1058"/><Relationship Type="http://schemas.openxmlformats.org/officeDocument/2006/relationships/hyperlink" Target="https://scholar.google.com/scholar?q=Baker+et+al.+2001+PNAS+98%3A10037+APBS+Jurrus+et+al.+2018+Protein+Sci+27%3A112" TargetMode="External" Id="rId1059"/><Relationship Type="http://schemas.openxmlformats.org/officeDocument/2006/relationships/hyperlink" Target="https://www.youtube.com/watch?v=cOJi7hOCbVA" TargetMode="External" Id="rId1060"/><Relationship Type="http://schemas.openxmlformats.org/officeDocument/2006/relationships/hyperlink" Target="https://scholar.google.com/scholar?q=Baker+et+al.+2001+PNAS+98%3A10037+APBS+Jurrus+et+al.+2018+Protein+Sci+27%3A112" TargetMode="External" Id="rId1061"/><Relationship Type="http://schemas.openxmlformats.org/officeDocument/2006/relationships/hyperlink" Target="https://www.youtube.com/watch?v=LJuMVsunaGU" TargetMode="External" Id="rId1062"/><Relationship Type="http://schemas.openxmlformats.org/officeDocument/2006/relationships/hyperlink" Target="https://scholar.google.com/scholar?q=Baker+et+al.+2001+PNAS+98%3A10037+APBS+Jurrus+et+al.+2018+Protein+Sci+27%3A112" TargetMode="External" Id="rId1063"/><Relationship Type="http://schemas.openxmlformats.org/officeDocument/2006/relationships/hyperlink" Target="https://www.youtube.com/watch?v=2Ha68tt78Fg" TargetMode="External" Id="rId1064"/><Relationship Type="http://schemas.openxmlformats.org/officeDocument/2006/relationships/hyperlink" Target="https://scholar.google.com/scholar?q=Baker+et+al.+2001+PNAS+98%3A10037+APBS+Jurrus+et+al.+2018+Protein+Sci+27%3A112" TargetMode="External" Id="rId1065"/><Relationship Type="http://schemas.openxmlformats.org/officeDocument/2006/relationships/hyperlink" Target="https://www.youtube.com/watch?v=8RI9OSOftUE" TargetMode="External" Id="rId1066"/><Relationship Type="http://schemas.openxmlformats.org/officeDocument/2006/relationships/hyperlink" Target="https://scholar.google.com/scholar?q=Baker+et+al.+2001+PNAS+98%3A10037+APBS+Jurrus+et+al.+2018+Protein+Sci+27%3A112" TargetMode="External" Id="rId1067"/><Relationship Type="http://schemas.openxmlformats.org/officeDocument/2006/relationships/hyperlink" Target="https://www.youtube.com/watch?v=ZSLzucWe424" TargetMode="External" Id="rId1068"/><Relationship Type="http://schemas.openxmlformats.org/officeDocument/2006/relationships/hyperlink" Target="https://scholar.google.com/scholar?q=Baker+et+al.+2001+PNAS+98%3A10037+APBS+Jurrus+et+al.+2018+Protein+Sci+27%3A112" TargetMode="External" Id="rId1069"/><Relationship Type="http://schemas.openxmlformats.org/officeDocument/2006/relationships/hyperlink" Target="https://www.youtube.com/watch?v=YtK-b5I3lXA" TargetMode="External" Id="rId1070"/><Relationship Type="http://schemas.openxmlformats.org/officeDocument/2006/relationships/hyperlink" Target="https://scholar.google.com/scholar?q=Baker+et+al.+2001+PNAS+98%3A10037+APBS+Jurrus+et+al.+2018+Protein+Sci+27%3A112" TargetMode="External" Id="rId1071"/><Relationship Type="http://schemas.openxmlformats.org/officeDocument/2006/relationships/hyperlink" Target="https://www.youtube.com/watch?v=OvjhZ0Z-rw0" TargetMode="External" Id="rId1072"/><Relationship Type="http://schemas.openxmlformats.org/officeDocument/2006/relationships/hyperlink" Target="https://scholar.google.com/scholar?q=Baker+et+al.+2001+PNAS+98%3A10037+APBS+Jurrus+et+al.+2018+Protein+Sci+27%3A112" TargetMode="External" Id="rId1073"/><Relationship Type="http://schemas.openxmlformats.org/officeDocument/2006/relationships/hyperlink" Target="https://www.youtube.com/watch?v=vgvBkre4xEM" TargetMode="External" Id="rId1074"/><Relationship Type="http://schemas.openxmlformats.org/officeDocument/2006/relationships/hyperlink" Target="https://scholar.google.com/scholar?q=Shakhnovich+%26+Gutin+1993+PNAS+90%3A7195" TargetMode="External" Id="rId1075"/><Relationship Type="http://schemas.openxmlformats.org/officeDocument/2006/relationships/hyperlink" Target="https://www.youtube.com/watch?v=_R1e3SAzxyg" TargetMode="External" Id="rId1076"/><Relationship Type="http://schemas.openxmlformats.org/officeDocument/2006/relationships/hyperlink" Target="https://scholar.google.com/scholar?q=Baker+et+al.+2001+PNAS+98%3A10037+APBS+Jurrus+et+al.+2018+Protein+Sci+27%3A112" TargetMode="External" Id="rId1077"/><Relationship Type="http://schemas.openxmlformats.org/officeDocument/2006/relationships/hyperlink" Target="https://www.youtube.com/watch?v=18wGzbIoI84" TargetMode="External" Id="rId1078"/><Relationship Type="http://schemas.openxmlformats.org/officeDocument/2006/relationships/hyperlink" Target="https://scholar.google.com/scholar?q=Baker+et+al.+2001+PNAS+98%3A10037+APBS+Jurrus+et+al.+2018+Protein+Sci+27%3A112" TargetMode="External" Id="rId1079"/><Relationship Type="http://schemas.openxmlformats.org/officeDocument/2006/relationships/hyperlink" Target="https://www.youtube.com/watch?v=IxFSc0Slb5s" TargetMode="External" Id="rId1080"/><Relationship Type="http://schemas.openxmlformats.org/officeDocument/2006/relationships/hyperlink" Target="https://scholar.google.com/scholar?q=Baker+et+al.+2001+PNAS+98%3A10037+APBS+Jurrus+et+al.+2018+Protein+Sci+27%3A112" TargetMode="External" Id="rId1081"/><Relationship Type="http://schemas.openxmlformats.org/officeDocument/2006/relationships/hyperlink" Target="https://www.youtube.com/watch?v=V43cK1Vnjmc" TargetMode="External" Id="rId1082"/><Relationship Type="http://schemas.openxmlformats.org/officeDocument/2006/relationships/hyperlink" Target="https://scholar.google.com/scholar?q=Baker+et+al.+2001+PNAS+98%3A10037+APBS+Jurrus+et+al.+2018+Protein+Sci+27%3A112" TargetMode="External" Id="rId1083"/><Relationship Type="http://schemas.openxmlformats.org/officeDocument/2006/relationships/hyperlink" Target="https://www.youtube.com/watch?v=opjgbmVN_2Y" TargetMode="External" Id="rId1084"/><Relationship Type="http://schemas.openxmlformats.org/officeDocument/2006/relationships/hyperlink" Target="https://scholar.google.com/scholar?q=Baker+et+al.+2001+PNAS+98%3A10037+APBS+Jurrus+et+al.+2018+Protein+Sci+27%3A112" TargetMode="External" Id="rId1085"/><Relationship Type="http://schemas.openxmlformats.org/officeDocument/2006/relationships/hyperlink" Target="https://www.youtube.com/watch?v=xddTjeHfEwM" TargetMode="External" Id="rId1086"/><Relationship Type="http://schemas.openxmlformats.org/officeDocument/2006/relationships/hyperlink" Target="https://scholar.google.com/scholar?q=Baker+et+al.+2001+PNAS+98%3A10037+APBS+Jurrus+et+al.+2018+Protein+Sci+27%3A112" TargetMode="External" Id="rId1087"/><Relationship Type="http://schemas.openxmlformats.org/officeDocument/2006/relationships/hyperlink" Target="https://www.youtube.com/watch?v=xIu-QtbiRZc" TargetMode="External" Id="rId1088"/><Relationship Type="http://schemas.openxmlformats.org/officeDocument/2006/relationships/hyperlink" Target="https://scholar.google.com/scholar?q=Baker+et+al.+2001+PNAS+98%3A10037+APBS+Jurrus+et+al.+2018+Protein+Sci+27%3A112" TargetMode="External" Id="rId1089"/><Relationship Type="http://schemas.openxmlformats.org/officeDocument/2006/relationships/hyperlink" Target="https://www.youtube.com/watch?v=HV05W8TqALs" TargetMode="External" Id="rId1090"/><Relationship Type="http://schemas.openxmlformats.org/officeDocument/2006/relationships/hyperlink" Target="https://scholar.google.com/scholar?q=Bastolla+et+al.+2005+Proteins+58%3A22" TargetMode="External" Id="rId1091"/><Relationship Type="http://schemas.openxmlformats.org/officeDocument/2006/relationships/hyperlink" Target="https://www.youtube.com/watch?v=i2RKVrwKbO4" TargetMode="External" Id="rId1092"/><Relationship Type="http://schemas.openxmlformats.org/officeDocument/2006/relationships/hyperlink" Target="https://scholar.google.com/scholar?q=Baker+et+al.+2001+PNAS+98%3A10037+APBS+Jurrus+et+al.+2018+Protein+Sci+27%3A112" TargetMode="External" Id="rId1093"/><Relationship Type="http://schemas.openxmlformats.org/officeDocument/2006/relationships/hyperlink" Target="https://www.youtube.com/watch?v=uFbvFMtowjE" TargetMode="External" Id="rId1094"/><Relationship Type="http://schemas.openxmlformats.org/officeDocument/2006/relationships/hyperlink" Target="https://scholar.google.com/scholar?q=Baker+et+al.+2001+PNAS+98%3A10037+APBS+Jurrus+et+al.+2018+Protein+Sci+27%3A112" TargetMode="External" Id="rId1095"/><Relationship Type="http://schemas.openxmlformats.org/officeDocument/2006/relationships/hyperlink" Target="https://www.youtube.com/watch?v=um8XA58I3pE" TargetMode="External" Id="rId1096"/><Relationship Type="http://schemas.openxmlformats.org/officeDocument/2006/relationships/hyperlink" Target="https://scholar.google.com/scholar?q=Baker+et+al.+2001+PNAS+98%3A10037+APBS+Jurrus+et+al.+2018+Protein+Sci+27%3A112" TargetMode="External" Id="rId1097"/><Relationship Type="http://schemas.openxmlformats.org/officeDocument/2006/relationships/hyperlink" Target="https://www.youtube.com/watch?v=bhQc14lkfG0" TargetMode="External" Id="rId1098"/><Relationship Type="http://schemas.openxmlformats.org/officeDocument/2006/relationships/hyperlink" Target="https://scholar.google.com/scholar?q=Baker+et+al.+2001+PNAS+98%3A10037+APBS+Jurrus+et+al.+2018+Protein+Sci+27%3A112" TargetMode="External" Id="rId1099"/><Relationship Type="http://schemas.openxmlformats.org/officeDocument/2006/relationships/hyperlink" Target="https://www.youtube.com/watch?v=HNtOUAc2u7I" TargetMode="External" Id="rId1100"/><Relationship Type="http://schemas.openxmlformats.org/officeDocument/2006/relationships/hyperlink" Target="https://scholar.google.com/scholar?q=Baker+et+al.+2001+PNAS+98%3A10037+APBS+Jurrus+et+al.+2018+Protein+Sci+27%3A112" TargetMode="External" Id="rId1101"/><Relationship Type="http://schemas.openxmlformats.org/officeDocument/2006/relationships/hyperlink" Target="https://www.youtube.com/watch?v=xh6FQ5Pf-AY" TargetMode="External" Id="rId1102"/><Relationship Type="http://schemas.openxmlformats.org/officeDocument/2006/relationships/hyperlink" Target="https://scholar.google.com/scholar?q=Baker+et+al.+2001+PNAS+98%3A10037+APBS+Jurrus+et+al.+2018+Protein+Sci+27%3A112" TargetMode="External" Id="rId1103"/><Relationship Type="http://schemas.openxmlformats.org/officeDocument/2006/relationships/hyperlink" Target="https://www.youtube.com/watch?v=ma_e32OYQoI" TargetMode="External" Id="rId1104"/><Relationship Type="http://schemas.openxmlformats.org/officeDocument/2006/relationships/hyperlink" Target="https://scholar.google.com/scholar?q=Baker+et+al.+2001+PNAS+98%3A10037+APBS+Jurrus+et+al.+2018+Protein+Sci+27%3A112" TargetMode="External" Id="rId1105"/><Relationship Type="http://schemas.openxmlformats.org/officeDocument/2006/relationships/hyperlink" Target="https://www.youtube.com/watch?v=pS1oBWB2wbk" TargetMode="External" Id="rId1106"/><Relationship Type="http://schemas.openxmlformats.org/officeDocument/2006/relationships/hyperlink" Target="https://scholar.google.com/scholar?q=Baker+et+al.+2001+PNAS+98%3A10037+APBS+Jurrus+et+al.+2018+Protein+Sci+27%3A112" TargetMode="External" Id="rId1107"/><Relationship Type="http://schemas.openxmlformats.org/officeDocument/2006/relationships/hyperlink" Target="https://www.youtube.com/watch?v=W9J294X4FbY" TargetMode="External" Id="rId1108"/><Relationship Type="http://schemas.openxmlformats.org/officeDocument/2006/relationships/hyperlink" Target="https://scholar.google.com/scholar?q=Baker+et+al.+2001+PNAS+98%3A10037+APBS+Jurrus+et+al.+2018+Protein+Sci+27%3A112" TargetMode="External" Id="rId1109"/><Relationship Type="http://schemas.openxmlformats.org/officeDocument/2006/relationships/hyperlink" Target="https://www.youtube.com/watch?v=jJ3aQaDCoHc" TargetMode="External" Id="rId1110"/><Relationship Type="http://schemas.openxmlformats.org/officeDocument/2006/relationships/hyperlink" Target="https://scholar.google.com/scholar?q=Baker+et+al.+2001+PNAS+98%3A10037+APBS+Jurrus+et+al.+2018+Protein+Sci+27%3A112" TargetMode="External" Id="rId1111"/><Relationship Type="http://schemas.openxmlformats.org/officeDocument/2006/relationships/hyperlink" Target="https://www.youtube.com/watch?v=8DBAlYsvlbI" TargetMode="External" Id="rId1112"/><Relationship Type="http://schemas.openxmlformats.org/officeDocument/2006/relationships/hyperlink" Target="https://scholar.google.com/scholar?q=Baker+et+al.+2001+PNAS+98%3A10037+APBS+Jurrus+et+al.+2018+Protein+Sci+27%3A112" TargetMode="External" Id="rId1113"/><Relationship Type="http://schemas.openxmlformats.org/officeDocument/2006/relationships/hyperlink" Target="https://www.youtube.com/watch?v=CzqBLKIWiCM" TargetMode="External" Id="rId1114"/><Relationship Type="http://schemas.openxmlformats.org/officeDocument/2006/relationships/hyperlink" Target="https://scholar.google.com/scholar?q=Baker+et+al.+2001+PNAS+98%3A10037+APBS+Jurrus+et+al.+2018+Protein+Sci+27%3A112" TargetMode="External" Id="rId1115"/><Relationship Type="http://schemas.openxmlformats.org/officeDocument/2006/relationships/hyperlink" Target="https://www.youtube.com/watch?v=P1n2NBrIO8o" TargetMode="External" Id="rId1116"/><Relationship Type="http://schemas.openxmlformats.org/officeDocument/2006/relationships/hyperlink" Target="https://scholar.google.com/scholar?q=Baker+et+al.+2001+PNAS+98%3A10037+APBS+Jurrus+et+al.+2018+Protein+Sci+27%3A112" TargetMode="External" Id="rId1117"/><Relationship Type="http://schemas.openxmlformats.org/officeDocument/2006/relationships/hyperlink" Target="https://www.youtube.com/watch?v=3z6pE_CBwxg" TargetMode="External" Id="rId1118"/><Relationship Type="http://schemas.openxmlformats.org/officeDocument/2006/relationships/hyperlink" Target="https://scholar.google.com/scholar?q=Baker+et+al.+2001+PNAS+98%3A10037+APBS+Jurrus+et+al.+2018+Protein+Sci+27%3A112" TargetMode="External" Id="rId1119"/><Relationship Type="http://schemas.openxmlformats.org/officeDocument/2006/relationships/hyperlink" Target="https://www.youtube.com/watch?v=QFogxyLK4zs" TargetMode="External" Id="rId1120"/><Relationship Type="http://schemas.openxmlformats.org/officeDocument/2006/relationships/hyperlink" Target="https://scholar.google.com/scholar?q=Baker+et+al.+2001+PNAS+98%3A10037+APBS+Jurrus+et+al.+2018+Protein+Sci+27%3A112" TargetMode="External" Id="rId1121"/><Relationship Type="http://schemas.openxmlformats.org/officeDocument/2006/relationships/hyperlink" Target="https://www.youtube.com/watch?v=8JwRC4Dcj_M" TargetMode="External" Id="rId1122"/><Relationship Type="http://schemas.openxmlformats.org/officeDocument/2006/relationships/hyperlink" Target="https://scholar.google.com/scholar?q=Baker+et+al.+2001+PNAS+98%3A10037+APBS+Jurrus+et+al.+2018+Protein+Sci+27%3A112" TargetMode="External" Id="rId1123"/><Relationship Type="http://schemas.openxmlformats.org/officeDocument/2006/relationships/hyperlink" Target="https://www.youtube.com/watch?v=IWMK_AHyi48" TargetMode="External" Id="rId1124"/><Relationship Type="http://schemas.openxmlformats.org/officeDocument/2006/relationships/hyperlink" Target="https://scholar.google.com/scholar?q=Baker+et+al.+2001+PNAS+98%3A10037+APBS+Jurrus+et+al.+2018+Protein+Sci+27%3A112" TargetMode="External" Id="rId1125"/><Relationship Type="http://schemas.openxmlformats.org/officeDocument/2006/relationships/hyperlink" Target="https://www.youtube.com/watch?v=RbOu1Vjp3Mc" TargetMode="External" Id="rId1126"/><Relationship Type="http://schemas.openxmlformats.org/officeDocument/2006/relationships/hyperlink" Target="https://scholar.google.com/scholar?q=Baker+et+al.+2001+PNAS+98%3A10037+APBS+Jurrus+et+al.+2018+Protein+Sci+27%3A112" TargetMode="External" Id="rId1127"/><Relationship Type="http://schemas.openxmlformats.org/officeDocument/2006/relationships/hyperlink" Target="https://www.youtube.com/watch?v=caYDOlXt5AA" TargetMode="External" Id="rId1128"/><Relationship Type="http://schemas.openxmlformats.org/officeDocument/2006/relationships/hyperlink" Target="https://scholar.google.com/scholar?q=Baker+et+al.+2001+PNAS+98%3A10037+APBS+Jurrus+et+al.+2018+Protein+Sci+27%3A112" TargetMode="External" Id="rId1129"/><Relationship Type="http://schemas.openxmlformats.org/officeDocument/2006/relationships/hyperlink" Target="https://www.youtube.com/watch?v=0e12cEe_C9U" TargetMode="External" Id="rId1130"/><Relationship Type="http://schemas.openxmlformats.org/officeDocument/2006/relationships/hyperlink" Target="https://scholar.google.com/scholar?q=Baker+et+al.+2001+PNAS+98%3A10037+APBS+Jurrus+et+al.+2018+Protein+Sci+27%3A112" TargetMode="External" Id="rId1131"/><Relationship Type="http://schemas.openxmlformats.org/officeDocument/2006/relationships/hyperlink" Target="https://www.youtube.com/watch?v=Bt48OqVSEGw" TargetMode="External" Id="rId1132"/><Relationship Type="http://schemas.openxmlformats.org/officeDocument/2006/relationships/hyperlink" Target="https://scholar.google.com/scholar?q=Baker+et+al.+2001+PNAS+98%3A10037+APBS+Jurrus+et+al.+2018+Protein+Sci+27%3A112" TargetMode="External" Id="rId1133"/><Relationship Type="http://schemas.openxmlformats.org/officeDocument/2006/relationships/hyperlink" Target="https://www.youtube.com/watch?v=j1TfBDvHCco" TargetMode="External" Id="rId1134"/><Relationship Type="http://schemas.openxmlformats.org/officeDocument/2006/relationships/hyperlink" Target="https://scholar.google.com/scholar?q=Baker+et+al.+2001+PNAS+98%3A10037+APBS+Jurrus+et+al.+2018+Protein+Sci+27%3A112" TargetMode="External" Id="rId1135"/><Relationship Type="http://schemas.openxmlformats.org/officeDocument/2006/relationships/hyperlink" Target="https://www.youtube.com/watch?v=cIi38IZLLKw" TargetMode="External" Id="rId1136"/><Relationship Type="http://schemas.openxmlformats.org/officeDocument/2006/relationships/hyperlink" Target="https://scholar.google.com/scholar?q=Baker+et+al.+2001+PNAS+98%3A10037+APBS+Jurrus+et+al.+2018+Protein+Sci+27%3A112" TargetMode="External" Id="rId1137"/><Relationship Type="http://schemas.openxmlformats.org/officeDocument/2006/relationships/hyperlink" Target="https://www.youtube.com/watch?v=l1nW5xTcgg0" TargetMode="External" Id="rId1138"/><Relationship Type="http://schemas.openxmlformats.org/officeDocument/2006/relationships/hyperlink" Target="https://scholar.google.com/scholar?q=Baker+et+al.+2001+PNAS+98%3A10037+APBS+Jurrus+et+al.+2018+Protein+Sci+27%3A112" TargetMode="External" Id="rId1139"/><Relationship Type="http://schemas.openxmlformats.org/officeDocument/2006/relationships/hyperlink" Target="https://www.youtube.com/watch?v=s-E7E8rwdpY" TargetMode="External" Id="rId1140"/><Relationship Type="http://schemas.openxmlformats.org/officeDocument/2006/relationships/hyperlink" Target="https://scholar.google.com/scholar?q=Baker+et+al.+2001+PNAS+98%3A10037+APBS+Jurrus+et+al.+2018+Protein+Sci+27%3A112" TargetMode="External" Id="rId1141"/><Relationship Type="http://schemas.openxmlformats.org/officeDocument/2006/relationships/hyperlink" Target="https://www.youtube.com/watch?v=7ZVh0lSamyg" TargetMode="External" Id="rId1142"/><Relationship Type="http://schemas.openxmlformats.org/officeDocument/2006/relationships/hyperlink" Target="https://scholar.google.com/scholar?q=Baker+et+al.+2001+PNAS+98%3A10037+APBS+Jurrus+et+al.+2018+Protein+Sci+27%3A112" TargetMode="External" Id="rId1143"/><Relationship Type="http://schemas.openxmlformats.org/officeDocument/2006/relationships/hyperlink" Target="https://www.youtube.com/watch?v=P-4va_F5U_s" TargetMode="External" Id="rId1144"/><Relationship Type="http://schemas.openxmlformats.org/officeDocument/2006/relationships/hyperlink" Target="https://scholar.google.com/scholar?q=Baker+et+al.+2001+PNAS+98%3A10037+APBS+Jurrus+et+al.+2018+Protein+Sci+27%3A112" TargetMode="External" Id="rId1145"/><Relationship Type="http://schemas.openxmlformats.org/officeDocument/2006/relationships/hyperlink" Target="https://www.youtube.com/watch?v=AZfDRtWYseM" TargetMode="External" Id="rId1146"/><Relationship Type="http://schemas.openxmlformats.org/officeDocument/2006/relationships/hyperlink" Target="https://scholar.google.com/scholar?q=Baker+et+al.+2001+PNAS+98%3A10037+APBS+Jurrus+et+al.+2018+Protein+Sci+27%3A112" TargetMode="External" Id="rId1147"/><Relationship Type="http://schemas.openxmlformats.org/officeDocument/2006/relationships/hyperlink" Target="https://www.youtube.com/watch?v=fXZCoa9KlaE" TargetMode="External" Id="rId1148"/><Relationship Type="http://schemas.openxmlformats.org/officeDocument/2006/relationships/hyperlink" Target="https://scholar.google.com/scholar?q=Baker+et+al.+2001+PNAS+98%3A10037+APBS+Jurrus+et+al.+2018+Protein+Sci+27%3A112" TargetMode="External" Id="rId1149"/><Relationship Type="http://schemas.openxmlformats.org/officeDocument/2006/relationships/hyperlink" Target="https://www.youtube.com/watch?v=NebAz0YVPhU" TargetMode="External" Id="rId1150"/><Relationship Type="http://schemas.openxmlformats.org/officeDocument/2006/relationships/hyperlink" Target="https://scholar.google.com/scholar?q=Baker+et+al.+2001+PNAS+98%3A10037+APBS+Jurrus+et+al.+2018+Protein+Sci+27%3A112" TargetMode="External" Id="rId1151"/><Relationship Type="http://schemas.openxmlformats.org/officeDocument/2006/relationships/hyperlink" Target="https://www.youtube.com/watch?v=4vgBUXW5mn8" TargetMode="External" Id="rId1152"/><Relationship Type="http://schemas.openxmlformats.org/officeDocument/2006/relationships/hyperlink" Target="https://scholar.google.com/scholar?q=Baker+et+al.+2001+PNAS+98%3A10037+APBS+Jurrus+et+al.+2018+Protein+Sci+27%3A112" TargetMode="External" Id="rId1153"/><Relationship Type="http://schemas.openxmlformats.org/officeDocument/2006/relationships/hyperlink" Target="https://www.youtube.com/watch?v=T4Q0M0TuUZ4" TargetMode="External" Id="rId1154"/><Relationship Type="http://schemas.openxmlformats.org/officeDocument/2006/relationships/hyperlink" Target="https://scholar.google.com/scholar?q=Baker+et+al.+2001+PNAS+98%3A10037+APBS+Jurrus+et+al.+2018+Protein+Sci+27%3A112" TargetMode="External" Id="rId1155"/><Relationship Type="http://schemas.openxmlformats.org/officeDocument/2006/relationships/hyperlink" Target="https://www.youtube.com/watch?v=xoNHt_8wmr4" TargetMode="External" Id="rId1156"/><Relationship Type="http://schemas.openxmlformats.org/officeDocument/2006/relationships/hyperlink" Target="https://scholar.google.com/scholar?q=Baker+et+al.+2001+PNAS+98%3A10037+APBS+Jurrus+et+al.+2018+Protein+Sci+27%3A112" TargetMode="External" Id="rId1157"/><Relationship Type="http://schemas.openxmlformats.org/officeDocument/2006/relationships/hyperlink" Target="https://www.youtube.com/watch?v=oCC6WEDO7O4" TargetMode="External" Id="rId1158"/><Relationship Type="http://schemas.openxmlformats.org/officeDocument/2006/relationships/hyperlink" Target="https://scholar.google.com/scholar?q=Baker+et+al.+2001+PNAS+98%3A10037+APBS+Jurrus+et+al.+2018+Protein+Sci+27%3A112" TargetMode="External" Id="rId1159"/><Relationship Type="http://schemas.openxmlformats.org/officeDocument/2006/relationships/hyperlink" Target="https://www.youtube.com/watch?v=_V9gxfRgDPM" TargetMode="External" Id="rId1160"/><Relationship Type="http://schemas.openxmlformats.org/officeDocument/2006/relationships/hyperlink" Target="https://scholar.google.com/scholar?q=Baker+et+al.+2001+PNAS+98%3A10037+APBS+Jurrus+et+al.+2018+Protein+Sci+27%3A112" TargetMode="External" Id="rId1161"/><Relationship Type="http://schemas.openxmlformats.org/officeDocument/2006/relationships/hyperlink" Target="https://www.youtube.com/watch?v=K_ygoVWBpkc" TargetMode="External" Id="rId1162"/><Relationship Type="http://schemas.openxmlformats.org/officeDocument/2006/relationships/hyperlink" Target="https://scholar.google.com/scholar?q=Baker+et+al.+2001+PNAS+98%3A10037+APBS+Jurrus+et+al.+2018+Protein+Sci+27%3A112" TargetMode="External" Id="rId1163"/><Relationship Type="http://schemas.openxmlformats.org/officeDocument/2006/relationships/hyperlink" Target="https://www.youtube.com/watch?v=Ld5tK-fxJQE" TargetMode="External" Id="rId1164"/><Relationship Type="http://schemas.openxmlformats.org/officeDocument/2006/relationships/hyperlink" Target="https://scholar.google.com/scholar?q=Baker+et+al.+2001+PNAS+98%3A10037+APBS+Jurrus+et+al.+2018+Protein+Sci+27%3A112" TargetMode="External" Id="rId1165"/><Relationship Type="http://schemas.openxmlformats.org/officeDocument/2006/relationships/hyperlink" Target="https://www.youtube.com/watch?v=wrTJOzMrH2w" TargetMode="External" Id="rId1166"/><Relationship Type="http://schemas.openxmlformats.org/officeDocument/2006/relationships/hyperlink" Target="https://scholar.google.com/scholar?q=Baker+et+al.+2001+PNAS+98%3A10037+APBS+Jurrus+et+al.+2018+Protein+Sci+27%3A112" TargetMode="External" Id="rId1167"/><Relationship Type="http://schemas.openxmlformats.org/officeDocument/2006/relationships/hyperlink" Target="https://www.youtube.com/watch?v=4naf2YVBkzo" TargetMode="External" Id="rId1168"/><Relationship Type="http://schemas.openxmlformats.org/officeDocument/2006/relationships/hyperlink" Target="https://scholar.google.com/scholar?q=Baker+et+al.+2001+PNAS+98%3A10037+APBS+Jurrus+et+al.+2018+Protein+Sci+27%3A112" TargetMode="External" Id="rId1169"/><Relationship Type="http://schemas.openxmlformats.org/officeDocument/2006/relationships/hyperlink" Target="https://www.youtube.com/watch?v=9Eby8N28qSM" TargetMode="External" Id="rId1170"/><Relationship Type="http://schemas.openxmlformats.org/officeDocument/2006/relationships/hyperlink" Target="https://scholar.google.com/scholar?q=Baker+et+al.+2001+PNAS+98%3A10037+APBS+Jurrus+et+al.+2018+Protein+Sci+27%3A112" TargetMode="External" Id="rId1171"/><Relationship Type="http://schemas.openxmlformats.org/officeDocument/2006/relationships/hyperlink" Target="https://www.youtube.com/watch?v=tbtLAtBy7do" TargetMode="External" Id="rId1172"/><Relationship Type="http://schemas.openxmlformats.org/officeDocument/2006/relationships/hyperlink" Target="https://scholar.google.com/scholar?q=Baker+et+al.+2001+PNAS+98%3A10037+APBS+Jurrus+et+al.+2018+Protein+Sci+27%3A112" TargetMode="External" Id="rId1173"/><Relationship Type="http://schemas.openxmlformats.org/officeDocument/2006/relationships/hyperlink" Target="https://www.youtube.com/watch?v=uLQbaiTYIQY" TargetMode="External" Id="rId1174"/><Relationship Type="http://schemas.openxmlformats.org/officeDocument/2006/relationships/hyperlink" Target="https://scholar.google.com/scholar?q=Baker+et+al.+2001+PNAS+98%3A10037+APBS+Jurrus+et+al.+2018+Protein+Sci+27%3A112" TargetMode="External" Id="rId1175"/><Relationship Type="http://schemas.openxmlformats.org/officeDocument/2006/relationships/hyperlink" Target="https://www.youtube.com/watch?v=EhZqF0-VaJ8" TargetMode="External" Id="rId1176"/><Relationship Type="http://schemas.openxmlformats.org/officeDocument/2006/relationships/hyperlink" Target="https://scholar.google.com/scholar?q=Baker+et+al.+2001+PNAS+98%3A10037+APBS+Jurrus+et+al.+2018+Protein+Sci+27%3A112" TargetMode="External" Id="rId1177"/><Relationship Type="http://schemas.openxmlformats.org/officeDocument/2006/relationships/hyperlink" Target="https://www.youtube.com/watch?v=nn6ZWTYqrx4" TargetMode="External" Id="rId1178"/><Relationship Type="http://schemas.openxmlformats.org/officeDocument/2006/relationships/hyperlink" Target="https://scholar.google.com/scholar?q=Baker+et+al.+2001+PNAS+98%3A10037+APBS+Jurrus+et+al.+2018+Protein+Sci+27%3A112" TargetMode="External" Id="rId1179"/><Relationship Type="http://schemas.openxmlformats.org/officeDocument/2006/relationships/hyperlink" Target="https://www.youtube.com/watch?v=go43vprvPHM" TargetMode="External" Id="rId1180"/><Relationship Type="http://schemas.openxmlformats.org/officeDocument/2006/relationships/hyperlink" Target="https://scholar.google.com/scholar?q=Baker+et+al.+2001+PNAS+98%3A10037+APBS+Jurrus+et+al.+2018+Protein+Sci+27%3A112" TargetMode="External" Id="rId1181"/><Relationship Type="http://schemas.openxmlformats.org/officeDocument/2006/relationships/hyperlink" Target="https://www.youtube.com/watch?v=5TriwKQcVJY" TargetMode="External" Id="rId1182"/><Relationship Type="http://schemas.openxmlformats.org/officeDocument/2006/relationships/hyperlink" Target="https://scholar.google.com/scholar?q=Baker+et+al.+2001+PNAS+98%3A10037+APBS+Jurrus+et+al.+2018+Protein+Sci+27%3A112" TargetMode="External" Id="rId1183"/><Relationship Type="http://schemas.openxmlformats.org/officeDocument/2006/relationships/hyperlink" Target="https://www.youtube.com/watch?v=s31yC7nQqDs" TargetMode="External" Id="rId1184"/><Relationship Type="http://schemas.openxmlformats.org/officeDocument/2006/relationships/hyperlink" Target="https://scholar.google.com/scholar?q=Baker+et+al.+2001+PNAS+98%3A10037+APBS+Jurrus+et+al.+2018+Protein+Sci+27%3A112" TargetMode="External" Id="rId1185"/><Relationship Type="http://schemas.openxmlformats.org/officeDocument/2006/relationships/hyperlink" Target="https://www.youtube.com/watch?v=Pzdxsr8LmaA" TargetMode="External" Id="rId1186"/><Relationship Type="http://schemas.openxmlformats.org/officeDocument/2006/relationships/hyperlink" Target="https://scholar.google.com/scholar?q=Baker+et+al.+2001+PNAS+98%3A10037+APBS+Jurrus+et+al.+2018+Protein+Sci+27%3A112" TargetMode="External" Id="rId1187"/><Relationship Type="http://schemas.openxmlformats.org/officeDocument/2006/relationships/hyperlink" Target="https://www.youtube.com/watch?v=KKXe8a_h88c" TargetMode="External" Id="rId1188"/><Relationship Type="http://schemas.openxmlformats.org/officeDocument/2006/relationships/hyperlink" Target="https://scholar.google.com/scholar?q=Baker+et+al.+2001+PNAS+98%3A10037+APBS+Jurrus+et+al.+2018+Protein+Sci+27%3A112" TargetMode="External" Id="rId1189"/><Relationship Type="http://schemas.openxmlformats.org/officeDocument/2006/relationships/hyperlink" Target="https://www.youtube.com/watch?v=z2kaGqtY5UI" TargetMode="External" Id="rId1190"/><Relationship Type="http://schemas.openxmlformats.org/officeDocument/2006/relationships/hyperlink" Target="https://scholar.google.com/scholar?q=Baker+et+al.+2001+PNAS+98%3A10037+APBS+Jurrus+et+al.+2018+Protein+Sci+27%3A112" TargetMode="External" Id="rId1191"/><Relationship Type="http://schemas.openxmlformats.org/officeDocument/2006/relationships/hyperlink" Target="https://www.youtube.com/watch?v=xrPu1WQ8Q7A" TargetMode="External" Id="rId1192"/><Relationship Type="http://schemas.openxmlformats.org/officeDocument/2006/relationships/hyperlink" Target="https://scholar.google.com/scholar?q=Baker+et+al.+2001+PNAS+98%3A10037+APBS+Jurrus+et+al.+2018+Protein+Sci+27%3A112" TargetMode="External" Id="rId1193"/><Relationship Type="http://schemas.openxmlformats.org/officeDocument/2006/relationships/hyperlink" Target="https://www.youtube.com/watch?v=p3OUUnHXQjU" TargetMode="External" Id="rId1194"/><Relationship Type="http://schemas.openxmlformats.org/officeDocument/2006/relationships/hyperlink" Target="https://scholar.google.com/scholar?q=Baker+et+al.+2001+PNAS+98%3A10037+APBS+Jurrus+et+al.+2018+Protein+Sci+27%3A112" TargetMode="External" Id="rId1195"/><Relationship Type="http://schemas.openxmlformats.org/officeDocument/2006/relationships/hyperlink" Target="https://www.youtube.com/watch?v=njzoNzOwR78" TargetMode="External" Id="rId1196"/><Relationship Type="http://schemas.openxmlformats.org/officeDocument/2006/relationships/hyperlink" Target="https://scholar.google.com/scholar?q=Baker+et+al.+2001+PNAS+98%3A10037+APBS+Jurrus+et+al.+2018+Protein+Sci+27%3A112" TargetMode="External" Id="rId1197"/><Relationship Type="http://schemas.openxmlformats.org/officeDocument/2006/relationships/hyperlink" Target="https://www.youtube.com/watch?v=fjBTvnEADGs" TargetMode="External" Id="rId1198"/><Relationship Type="http://schemas.openxmlformats.org/officeDocument/2006/relationships/hyperlink" Target="https://scholar.google.com/scholar?q=Baker+et+al.+2001+PNAS+98%3A10037+APBS+Jurrus+et+al.+2018+Protein+Sci+27%3A112" TargetMode="External" Id="rId1199"/><Relationship Type="http://schemas.openxmlformats.org/officeDocument/2006/relationships/hyperlink" Target="https://www.youtube.com/watch?v=3zKBjnRnAMg" TargetMode="External" Id="rId1200"/><Relationship Type="http://schemas.openxmlformats.org/officeDocument/2006/relationships/hyperlink" Target="https://scholar.google.com/scholar?q=Baker+et+al.+2001+PNAS+98%3A10037+APBS+Jurrus+et+al.+2018+Protein+Sci+27%3A112" TargetMode="External" Id="rId1201"/><Relationship Type="http://schemas.openxmlformats.org/officeDocument/2006/relationships/hyperlink" Target="https://www.youtube.com/watch?v=ADI3QODT6SY" TargetMode="External" Id="rId1202"/><Relationship Type="http://schemas.openxmlformats.org/officeDocument/2006/relationships/hyperlink" Target="https://scholar.google.com/scholar?q=Baker+et+al.+2001+PNAS+98%3A10037+APBS+Jurrus+et+al.+2018+Protein+Sci+27%3A112" TargetMode="External" Id="rId1203"/><Relationship Type="http://schemas.openxmlformats.org/officeDocument/2006/relationships/hyperlink" Target="https://www.youtube.com/watch?v=OfMKr-2EtwA" TargetMode="External" Id="rId1204"/><Relationship Type="http://schemas.openxmlformats.org/officeDocument/2006/relationships/hyperlink" Target="https://scholar.google.com/scholar?q=Baker+et+al.+2001+PNAS+98%3A10037+APBS+Jurrus+et+al.+2018+Protein+Sci+27%3A112" TargetMode="External" Id="rId1205"/><Relationship Type="http://schemas.openxmlformats.org/officeDocument/2006/relationships/hyperlink" Target="https://www.youtube.com/watch?v=jySOUCZqq-M" TargetMode="External" Id="rId1206"/><Relationship Type="http://schemas.openxmlformats.org/officeDocument/2006/relationships/hyperlink" Target="https://scholar.google.com/scholar?q=Baker+et+al.+2001+PNAS+98%3A10037+APBS+Jurrus+et+al.+2018+Protein+Sci+27%3A112" TargetMode="External" Id="rId1207"/><Relationship Type="http://schemas.openxmlformats.org/officeDocument/2006/relationships/hyperlink" Target="https://www.youtube.com/watch?v=ZpPW3MKq3iE" TargetMode="External" Id="rId1208"/><Relationship Type="http://schemas.openxmlformats.org/officeDocument/2006/relationships/hyperlink" Target="https://scholar.google.com/scholar?q=Baker+et+al.+2001+PNAS+98%3A10037+APBS+Jurrus+et+al.+2018+Protein+Sci+27%3A112" TargetMode="External" Id="rId1209"/><Relationship Type="http://schemas.openxmlformats.org/officeDocument/2006/relationships/hyperlink" Target="https://www.youtube.com/watch?v=YXppP_QTut8" TargetMode="External" Id="rId1210"/><Relationship Type="http://schemas.openxmlformats.org/officeDocument/2006/relationships/hyperlink" Target="https://scholar.google.com/scholar?q=Baker+et+al.+2001+PNAS+98%3A10037+APBS+Jurrus+et+al.+2018+Protein+Sci+27%3A112" TargetMode="External" Id="rId1211"/><Relationship Type="http://schemas.openxmlformats.org/officeDocument/2006/relationships/hyperlink" Target="https://www.youtube.com/watch?v=95uyk-xMlT0" TargetMode="External" Id="rId1212"/><Relationship Type="http://schemas.openxmlformats.org/officeDocument/2006/relationships/hyperlink" Target="https://scholar.google.com/scholar?q=Baker+et+al.+2001+PNAS+98%3A10037+APBS+Jurrus+et+al.+2018+Protein+Sci+27%3A112" TargetMode="External" Id="rId1213"/><Relationship Type="http://schemas.openxmlformats.org/officeDocument/2006/relationships/hyperlink" Target="https://www.youtube.com/watch?v=A3AUWXqqONc" TargetMode="External" Id="rId1214"/><Relationship Type="http://schemas.openxmlformats.org/officeDocument/2006/relationships/hyperlink" Target="https://scholar.google.com/scholar?q=Baker+et+al.+2001+PNAS+98%3A10037+APBS+Jurrus+et+al.+2018+Protein+Sci+27%3A112" TargetMode="External" Id="rId1215"/><Relationship Type="http://schemas.openxmlformats.org/officeDocument/2006/relationships/hyperlink" Target="https://www.youtube.com/watch?v=pVl7TPFuHwk" TargetMode="External" Id="rId1216"/><Relationship Type="http://schemas.openxmlformats.org/officeDocument/2006/relationships/hyperlink" Target="https://scholar.google.com/scholar?q=Baker+et+al.+2001+PNAS+98%3A10037+APBS+Jurrus+et+al.+2018+Protein+Sci+27%3A112" TargetMode="External" Id="rId1217"/><Relationship Type="http://schemas.openxmlformats.org/officeDocument/2006/relationships/hyperlink" Target="https://www.youtube.com/watch?v=QHQBVmVq-Vo" TargetMode="External" Id="rId1218"/><Relationship Type="http://schemas.openxmlformats.org/officeDocument/2006/relationships/hyperlink" Target="https://scholar.google.com/scholar?q=Baker+et+al.+2001+PNAS+98%3A10037+APBS+Jurrus+et+al.+2018+Protein+Sci+27%3A112" TargetMode="External" Id="rId1219"/><Relationship Type="http://schemas.openxmlformats.org/officeDocument/2006/relationships/hyperlink" Target="https://www.youtube.com/watch?v=gSR2xp2NFIc" TargetMode="External" Id="rId1220"/><Relationship Type="http://schemas.openxmlformats.org/officeDocument/2006/relationships/hyperlink" Target="https://scholar.google.com/scholar?q=Baker+et+al.+2001+PNAS+98%3A10037+APBS+Jurrus+et+al.+2018+Protein+Sci+27%3A112" TargetMode="External" Id="rId1221"/><Relationship Type="http://schemas.openxmlformats.org/officeDocument/2006/relationships/hyperlink" Target="https://www.youtube.com/watch?v=C5KfGWV5dAw" TargetMode="External" Id="rId1222"/><Relationship Type="http://schemas.openxmlformats.org/officeDocument/2006/relationships/hyperlink" Target="https://scholar.google.com/scholar?q=Baker+et+al.+2001+PNAS+98%3A10037+APBS+Jurrus+et+al.+2018+Protein+Sci+27%3A112" TargetMode="External" Id="rId1223"/><Relationship Type="http://schemas.openxmlformats.org/officeDocument/2006/relationships/hyperlink" Target="https://www.youtube.com/watch?v=Sat_27wkyQ0" TargetMode="External" Id="rId1224"/><Relationship Type="http://schemas.openxmlformats.org/officeDocument/2006/relationships/hyperlink" Target="https://scholar.google.com/scholar?q=Baker+et+al.+2001+PNAS+98%3A10037+APBS+Jurrus+et+al.+2018+Protein+Sci+27%3A112" TargetMode="External" Id="rId1225"/><Relationship Type="http://schemas.openxmlformats.org/officeDocument/2006/relationships/hyperlink" Target="https://www.youtube.com/watch?v=LOrjQJaJ6Gk" TargetMode="External" Id="rId1226"/><Relationship Type="http://schemas.openxmlformats.org/officeDocument/2006/relationships/hyperlink" Target="https://scholar.google.com/scholar?q=Baker+et+al.+2001+PNAS+98%3A10037+APBS+Jurrus+et+al.+2018+Protein+Sci+27%3A112" TargetMode="External" Id="rId1227"/><Relationship Type="http://schemas.openxmlformats.org/officeDocument/2006/relationships/hyperlink" Target="https://www.youtube.com/watch?v=HlZjvw-DJIg" TargetMode="External" Id="rId1228"/><Relationship Type="http://schemas.openxmlformats.org/officeDocument/2006/relationships/hyperlink" Target="https://scholar.google.com/scholar?q=Baker+et+al.+2001+PNAS+98%3A10037+APBS+Jurrus+et+al.+2018+Protein+Sci+27%3A112" TargetMode="External" Id="rId1229"/><Relationship Type="http://schemas.openxmlformats.org/officeDocument/2006/relationships/hyperlink" Target="https://www.youtube.com/watch?v=-Zxvi7EQwE4" TargetMode="External" Id="rId1230"/><Relationship Type="http://schemas.openxmlformats.org/officeDocument/2006/relationships/hyperlink" Target="https://scholar.google.com/scholar?q=Grossfield+et+al.+2019+LiveCoMS+1%3A5067" TargetMode="External" Id="rId1231"/><Relationship Type="http://schemas.openxmlformats.org/officeDocument/2006/relationships/hyperlink" Target="https://www.youtube.com/watch?v=C3ptGf22Xiw" TargetMode="External" Id="rId1232"/><Relationship Type="http://schemas.openxmlformats.org/officeDocument/2006/relationships/hyperlink" Target="https://scholar.google.com/scholar?q=Baker+et+al.+2001+PNAS+98%3A10037+APBS+Jurrus+et+al.+2018+Protein+Sci+27%3A112" TargetMode="External" Id="rId1233"/><Relationship Type="http://schemas.openxmlformats.org/officeDocument/2006/relationships/hyperlink" Target="https://www.youtube.com/watch?v=JBYfQ9mUFo8" TargetMode="External" Id="rId1234"/><Relationship Type="http://schemas.openxmlformats.org/officeDocument/2006/relationships/hyperlink" Target="https://scholar.google.com/scholar?q=Baker+et+al.+2001+PNAS+98%3A10037+APBS+Jurrus+et+al.+2018+Protein+Sci+27%3A112" TargetMode="External" Id="rId1235"/><Relationship Type="http://schemas.openxmlformats.org/officeDocument/2006/relationships/hyperlink" Target="https://www.youtube.com/watch?v=PHoVyqBYqIU" TargetMode="External" Id="rId1236"/><Relationship Type="http://schemas.openxmlformats.org/officeDocument/2006/relationships/hyperlink" Target="https://scholar.google.com/scholar?q=Baker+et+al.+2001+PNAS+98%3A10037+APBS+Jurrus+et+al.+2018+Protein+Sci+27%3A112" TargetMode="External" Id="rId1237"/><Relationship Type="http://schemas.openxmlformats.org/officeDocument/2006/relationships/hyperlink" Target="https://www.youtube.com/watch?v=C0z_89ClQrM" TargetMode="External" Id="rId1238"/><Relationship Type="http://schemas.openxmlformats.org/officeDocument/2006/relationships/hyperlink" Target="https://scholar.google.com/scholar?q=Baker+et+al.+2001+PNAS+98%3A10037+APBS+Jurrus+et+al.+2018+Protein+Sci+27%3A112" TargetMode="External" Id="rId1239"/><Relationship Type="http://schemas.openxmlformats.org/officeDocument/2006/relationships/hyperlink" Target="https://www.youtube.com/watch?v=a15IlXIhz1k" TargetMode="External" Id="rId1240"/><Relationship Type="http://schemas.openxmlformats.org/officeDocument/2006/relationships/hyperlink" Target="https://scholar.google.com/scholar?q=Baker+et+al.+2001+PNAS+98%3A10037+APBS+Jurrus+et+al.+2018+Protein+Sci+27%3A112" TargetMode="External" Id="rId1241"/><Relationship Type="http://schemas.openxmlformats.org/officeDocument/2006/relationships/hyperlink" Target="https://www.youtube.com/watch?v=uIVR9EDNJAc" TargetMode="External" Id="rId1242"/><Relationship Type="http://schemas.openxmlformats.org/officeDocument/2006/relationships/hyperlink" Target="https://scholar.google.com/scholar?q=Baker+et+al.+2001+PNAS+98%3A10037+APBS+Jurrus+et+al.+2018+Protein+Sci+27%3A112" TargetMode="External" Id="rId1243"/><Relationship Type="http://schemas.openxmlformats.org/officeDocument/2006/relationships/hyperlink" Target="https://www.youtube.com/watch?v=0cP6Q93TbWY" TargetMode="External" Id="rId1244"/><Relationship Type="http://schemas.openxmlformats.org/officeDocument/2006/relationships/hyperlink" Target="https://scholar.google.com/scholar?q=Baker+et+al.+2001+PNAS+98%3A10037+APBS+Jurrus+et+al.+2018+Protein+Sci+27%3A112" TargetMode="External" Id="rId1245"/><Relationship Type="http://schemas.openxmlformats.org/officeDocument/2006/relationships/hyperlink" Target="https://www.youtube.com/watch?v=v7YqJVEswM0" TargetMode="External" Id="rId1246"/><Relationship Type="http://schemas.openxmlformats.org/officeDocument/2006/relationships/hyperlink" Target="https://scholar.google.com/scholar?q=Baker+et+al.+2001+PNAS+98%3A10037+APBS+Jurrus+et+al.+2018+Protein+Sci+27%3A112" TargetMode="External" Id="rId1247"/><Relationship Type="http://schemas.openxmlformats.org/officeDocument/2006/relationships/hyperlink" Target="https://www.youtube.com/watch?v=bzCKeH6lBFk" TargetMode="External" Id="rId1248"/><Relationship Type="http://schemas.openxmlformats.org/officeDocument/2006/relationships/hyperlink" Target="https://scholar.google.com/scholar?q=Baker+et+al.+2001+PNAS+98%3A10037+APBS+Jurrus+et+al.+2018+Protein+Sci+27%3A112" TargetMode="External" Id="rId1249"/><Relationship Type="http://schemas.openxmlformats.org/officeDocument/2006/relationships/hyperlink" Target="https://www.youtube.com/watch?v=sR1A9SCj52Q" TargetMode="External" Id="rId1250"/><Relationship Type="http://schemas.openxmlformats.org/officeDocument/2006/relationships/hyperlink" Target="https://scholar.google.com/scholar?q=Baker+et+al.+2001+PNAS+98%3A10037+APBS+Jurrus+et+al.+2018+Protein+Sci+27%3A112" TargetMode="External" Id="rId1251"/><Relationship Type="http://schemas.openxmlformats.org/officeDocument/2006/relationships/hyperlink" Target="https://www.youtube.com/watch?v=Z6uAhzjeK_o" TargetMode="External" Id="rId1252"/><Relationship Type="http://schemas.openxmlformats.org/officeDocument/2006/relationships/hyperlink" Target="https://scholar.google.com/scholar?q=Baker+et+al.+2001+PNAS+98%3A10037+APBS+Jurrus+et+al.+2018+Protein+Sci+27%3A112" TargetMode="External" Id="rId1253"/><Relationship Type="http://schemas.openxmlformats.org/officeDocument/2006/relationships/hyperlink" Target="https://www.youtube.com/watch?v=CKsgv330V7Y" TargetMode="External" Id="rId1254"/><Relationship Type="http://schemas.openxmlformats.org/officeDocument/2006/relationships/hyperlink" Target="https://scholar.google.com/scholar?q=Baker+et+al.+2001+PNAS+98%3A10037+APBS+Jurrus+et+al.+2018+Protein+Sci+27%3A112" TargetMode="External" Id="rId1255"/><Relationship Type="http://schemas.openxmlformats.org/officeDocument/2006/relationships/hyperlink" Target="https://www.youtube.com/watch?v=UmNwzDyf0JQ" TargetMode="External" Id="rId1256"/><Relationship Type="http://schemas.openxmlformats.org/officeDocument/2006/relationships/hyperlink" Target="https://scholar.google.com/scholar?q=Baker+et+al.+2001+PNAS+98%3A10037+APBS+Jurrus+et+al.+2018+Protein+Sci+27%3A112" TargetMode="External" Id="rId1257"/><Relationship Type="http://schemas.openxmlformats.org/officeDocument/2006/relationships/hyperlink" Target="https://www.youtube.com/watch?v=Iftqku1ERWA" TargetMode="External" Id="rId1258"/><Relationship Type="http://schemas.openxmlformats.org/officeDocument/2006/relationships/hyperlink" Target="https://scholar.google.com/scholar?q=Baker+et+al.+2001+PNAS+98%3A10037+APBS+Jurrus+et+al.+2018+Protein+Sci+27%3A112" TargetMode="External" Id="rId1259"/><Relationship Type="http://schemas.openxmlformats.org/officeDocument/2006/relationships/hyperlink" Target="https://www.youtube.com/watch?v=TscSPW0Q0U0" TargetMode="External" Id="rId1260"/><Relationship Type="http://schemas.openxmlformats.org/officeDocument/2006/relationships/hyperlink" Target="https://scholar.google.com/scholar?q=Baker+et+al.+2001+PNAS+98%3A10037+APBS+Jurrus+et+al.+2018+Protein+Sci+27%3A112" TargetMode="External" Id="rId1261"/><Relationship Type="http://schemas.openxmlformats.org/officeDocument/2006/relationships/hyperlink" Target="https://www.youtube.com/watch?v=MNh-9lmFmt0" TargetMode="External" Id="rId1262"/><Relationship Type="http://schemas.openxmlformats.org/officeDocument/2006/relationships/hyperlink" Target="https://scholar.google.com/scholar?q=Baker+et+al.+2001+PNAS+98%3A10037+APBS+Jurrus+et+al.+2018+Protein+Sci+27%3A112" TargetMode="External" Id="rId1263"/><Relationship Type="http://schemas.openxmlformats.org/officeDocument/2006/relationships/hyperlink" Target="https://www.youtube.com/watch?v=XKcxFrpqvFg" TargetMode="External" Id="rId1264"/><Relationship Type="http://schemas.openxmlformats.org/officeDocument/2006/relationships/hyperlink" Target="https://scholar.google.com/scholar?q=Baker+et+al.+2001+PNAS+98%3A10037+APBS+Jurrus+et+al.+2018+Protein+Sci+27%3A112" TargetMode="External" Id="rId1265"/><Relationship Type="http://schemas.openxmlformats.org/officeDocument/2006/relationships/hyperlink" Target="https://www.youtube.com/watch?v=3n8xDFjRku0" TargetMode="External" Id="rId1266"/><Relationship Type="http://schemas.openxmlformats.org/officeDocument/2006/relationships/hyperlink" Target="https://scholar.google.com/scholar?q=Baker+et+al.+2001+PNAS+98%3A10037+APBS+Jurrus+et+al.+2018+Protein+Sci+27%3A112" TargetMode="External" Id="rId1267"/><Relationship Type="http://schemas.openxmlformats.org/officeDocument/2006/relationships/hyperlink" Target="https://www.youtube.com/watch?v=RuP-YyrW-mk" TargetMode="External" Id="rId1268"/><Relationship Type="http://schemas.openxmlformats.org/officeDocument/2006/relationships/hyperlink" Target="https://scholar.google.com/scholar?q=Baker+et+al.+2001+PNAS+98%3A10037+APBS+Jurrus+et+al.+2018+Protein+Sci+27%3A112" TargetMode="External" Id="rId1269"/><Relationship Type="http://schemas.openxmlformats.org/officeDocument/2006/relationships/hyperlink" Target="https://www.youtube.com/watch?v=nSjH5ow3VKk" TargetMode="External" Id="rId1270"/><Relationship Type="http://schemas.openxmlformats.org/officeDocument/2006/relationships/hyperlink" Target="https://scholar.google.com/scholar?q=Baker+et+al.+2001+PNAS+98%3A10037+APBS+Jurrus+et+al.+2018+Protein+Sci+27%3A112" TargetMode="External" Id="rId1271"/><Relationship Type="http://schemas.openxmlformats.org/officeDocument/2006/relationships/hyperlink" Target="https://www.youtube.com/watch?v=uKjVufjewFI" TargetMode="External" Id="rId1272"/><Relationship Type="http://schemas.openxmlformats.org/officeDocument/2006/relationships/hyperlink" Target="https://scholar.google.com/scholar?q=Baker+et+al.+2001+PNAS+98%3A10037+APBS+Jurrus+et+al.+2018+Protein+Sci+27%3A112" TargetMode="External" Id="rId1273"/><Relationship Type="http://schemas.openxmlformats.org/officeDocument/2006/relationships/hyperlink" Target="https://www.youtube.com/watch?v=mUxMUj21QTI" TargetMode="External" Id="rId1274"/><Relationship Type="http://schemas.openxmlformats.org/officeDocument/2006/relationships/hyperlink" Target="https://scholar.google.com/scholar?q=Baker+et+al.+2001+PNAS+98%3A10037+APBS+Jurrus+et+al.+2018+Protein+Sci+27%3A112" TargetMode="External" Id="rId1275"/><Relationship Type="http://schemas.openxmlformats.org/officeDocument/2006/relationships/hyperlink" Target="https://www.youtube.com/watch?v=gExgG4qfEQI" TargetMode="External" Id="rId1276"/><Relationship Type="http://schemas.openxmlformats.org/officeDocument/2006/relationships/hyperlink" Target="https://scholar.google.com/scholar?q=Baker+et+al.+2001+PNAS+98%3A10037+APBS+Jurrus+et+al.+2018+Protein+Sci+27%3A112" TargetMode="External" Id="rId1277"/><Relationship Type="http://schemas.openxmlformats.org/officeDocument/2006/relationships/hyperlink" Target="https://www.youtube.com/watch?v=WpbKjN7KUWc" TargetMode="External" Id="rId1278"/><Relationship Type="http://schemas.openxmlformats.org/officeDocument/2006/relationships/hyperlink" Target="https://scholar.google.com/scholar?q=Baker+et+al.+2001+PNAS+98%3A10037+APBS+Jurrus+et+al.+2018+Protein+Sci+27%3A112" TargetMode="External" Id="rId1279"/><Relationship Type="http://schemas.openxmlformats.org/officeDocument/2006/relationships/hyperlink" Target="https://www.youtube.com/watch?v=nKH42kSTzo0" TargetMode="External" Id="rId1280"/><Relationship Type="http://schemas.openxmlformats.org/officeDocument/2006/relationships/hyperlink" Target="https://scholar.google.com/scholar?q=Keedy+et+al.+2015+eLife+4%3Ae07574" TargetMode="External" Id="rId1281"/><Relationship Type="http://schemas.openxmlformats.org/officeDocument/2006/relationships/hyperlink" Target="https://www.youtube.com/watch?v=_Wp0oSIZKJI" TargetMode="External" Id="rId1282"/><Relationship Type="http://schemas.openxmlformats.org/officeDocument/2006/relationships/hyperlink" Target="https://scholar.google.com/scholar?q=Baker+et+al.+2001+PNAS+98%3A10037+APBS+Jurrus+et+al.+2018+Protein+Sci+27%3A112" TargetMode="External" Id="rId1283"/><Relationship Type="http://schemas.openxmlformats.org/officeDocument/2006/relationships/hyperlink" Target="https://www.youtube.com/watch?v=MUZJStEyHbs" TargetMode="External" Id="rId1284"/><Relationship Type="http://schemas.openxmlformats.org/officeDocument/2006/relationships/hyperlink" Target="https://scholar.google.com/scholar?q=Baker+et+al.+2001+PNAS+98%3A10037+APBS+Jurrus+et+al.+2018+Protein+Sci+27%3A112" TargetMode="External" Id="rId1285"/><Relationship Type="http://schemas.openxmlformats.org/officeDocument/2006/relationships/hyperlink" Target="https://www.youtube.com/watch?v=bK8SMtxhDPY" TargetMode="External" Id="rId1286"/><Relationship Type="http://schemas.openxmlformats.org/officeDocument/2006/relationships/hyperlink" Target="https://scholar.google.com/scholar?q=Baker+et+al.+2001+PNAS+98%3A10037+APBS+Jurrus+et+al.+2018+Protein+Sci+27%3A112" TargetMode="External" Id="rId1287"/><Relationship Type="http://schemas.openxmlformats.org/officeDocument/2006/relationships/hyperlink" Target="https://www.youtube.com/watch?v=M-hr9RNgLn4" TargetMode="External" Id="rId1288"/><Relationship Type="http://schemas.openxmlformats.org/officeDocument/2006/relationships/hyperlink" Target="https://scholar.google.com/scholar?q=Baker+et+al.+2001+PNAS+98%3A10037+APBS+Jurrus+et+al.+2018+Protein+Sci+27%3A112" TargetMode="External" Id="rId1289"/><Relationship Type="http://schemas.openxmlformats.org/officeDocument/2006/relationships/hyperlink" Target="https://www.youtube.com/watch?v=cvMxXWRUR3w" TargetMode="External" Id="rId1290"/><Relationship Type="http://schemas.openxmlformats.org/officeDocument/2006/relationships/hyperlink" Target="https://scholar.google.com/scholar?q=Baker+et+al.+2001+PNAS+98%3A10037+APBS+Jurrus+et+al.+2018+Protein+Sci+27%3A112" TargetMode="External" Id="rId1291"/><Relationship Type="http://schemas.openxmlformats.org/officeDocument/2006/relationships/hyperlink" Target="https://www.youtube.com/watch?v=XAdtBNiGxW0" TargetMode="External" Id="rId1292"/><Relationship Type="http://schemas.openxmlformats.org/officeDocument/2006/relationships/hyperlink" Target="https://scholar.google.com/scholar?q=Baker+et+al.+2001+PNAS+98%3A10037+APBS+Jurrus+et+al.+2018+Protein+Sci+27%3A112" TargetMode="External" Id="rId1293"/><Relationship Type="http://schemas.openxmlformats.org/officeDocument/2006/relationships/hyperlink" Target="https://www.youtube.com/watch?v=cPat3E5JtbY" TargetMode="External" Id="rId1294"/><Relationship Type="http://schemas.openxmlformats.org/officeDocument/2006/relationships/hyperlink" Target="https://scholar.google.com/scholar?q=Baker+et+al.+2001+PNAS+98%3A10037+APBS+Jurrus+et+al.+2018+Protein+Sci+27%3A112" TargetMode="External" Id="rId1295"/><Relationship Type="http://schemas.openxmlformats.org/officeDocument/2006/relationships/hyperlink" Target="https://www.youtube.com/watch?v=zKP-8qViTQ4" TargetMode="External" Id="rId1296"/><Relationship Type="http://schemas.openxmlformats.org/officeDocument/2006/relationships/hyperlink" Target="https://scholar.google.com/scholar?q=Baker+et+al.+2001+PNAS+98%3A10037+APBS+Jurrus+et+al.+2018+Protein+Sci+27%3A112" TargetMode="External" Id="rId1297"/><Relationship Type="http://schemas.openxmlformats.org/officeDocument/2006/relationships/hyperlink" Target="https://www.youtube.com/watch?v=96KHjQ3Vv3g" TargetMode="External" Id="rId1298"/><Relationship Type="http://schemas.openxmlformats.org/officeDocument/2006/relationships/hyperlink" Target="https://scholar.google.com/scholar?q=Baker+et+al.+2001+PNAS+98%3A10037+APBS+Jurrus+et+al.+2018+Protein+Sci+27%3A112" TargetMode="External" Id="rId1299"/><Relationship Type="http://schemas.openxmlformats.org/officeDocument/2006/relationships/hyperlink" Target="https://www.youtube.com/watch?v=TfLFCeehfjM" TargetMode="External" Id="rId1300"/><Relationship Type="http://schemas.openxmlformats.org/officeDocument/2006/relationships/hyperlink" Target="https://scholar.google.com/scholar?q=Baker+et+al.+2001+PNAS+98%3A10037+APBS+Jurrus+et+al.+2018+Protein+Sci+27%3A112" TargetMode="External" Id="rId1301"/><Relationship Type="http://schemas.openxmlformats.org/officeDocument/2006/relationships/hyperlink" Target="https://www.youtube.com/watch?v=78fARw2jAvk" TargetMode="External" Id="rId1302"/><Relationship Type="http://schemas.openxmlformats.org/officeDocument/2006/relationships/hyperlink" Target="https://scholar.google.com/scholar?q=Baker+et+al.+2001+PNAS+98%3A10037+APBS+Jurrus+et+al.+2018+Protein+Sci+27%3A112" TargetMode="External" Id="rId1303"/><Relationship Type="http://schemas.openxmlformats.org/officeDocument/2006/relationships/hyperlink" Target="https://www.youtube.com/watch?v=LfxnwGZZXLE" TargetMode="External" Id="rId1304"/><Relationship Type="http://schemas.openxmlformats.org/officeDocument/2006/relationships/hyperlink" Target="https://scholar.google.com/scholar?q=Baker+et+al.+2001+PNAS+98%3A10037+APBS+Jurrus+et+al.+2018+Protein+Sci+27%3A112" TargetMode="External" Id="rId1305"/><Relationship Type="http://schemas.openxmlformats.org/officeDocument/2006/relationships/hyperlink" Target="https://www.youtube.com/watch?v=3Y-ztr53WUg" TargetMode="External" Id="rId1306"/><Relationship Type="http://schemas.openxmlformats.org/officeDocument/2006/relationships/hyperlink" Target="https://scholar.google.com/scholar?q=Baker+et+al.+2001+PNAS+98%3A10037+APBS+Jurrus+et+al.+2018+Protein+Sci+27%3A112" TargetMode="External" Id="rId1307"/><Relationship Type="http://schemas.openxmlformats.org/officeDocument/2006/relationships/hyperlink" Target="https://www.youtube.com/watch?v=mASM02JNmjI" TargetMode="External" Id="rId1308"/><Relationship Type="http://schemas.openxmlformats.org/officeDocument/2006/relationships/hyperlink" Target="https://scholar.google.com/scholar?q=Baker+et+al.+2001+PNAS+98%3A10037+APBS+Jurrus+et+al.+2018+Protein+Sci+27%3A112" TargetMode="External" Id="rId1309"/><Relationship Type="http://schemas.openxmlformats.org/officeDocument/2006/relationships/hyperlink" Target="https://www.youtube.com/watch?v=iGreXoFqS3s" TargetMode="External" Id="rId1310"/><Relationship Type="http://schemas.openxmlformats.org/officeDocument/2006/relationships/hyperlink" Target="https://scholar.google.com/scholar?q=Baker+et+al.+2001+PNAS+98%3A10037+APBS+Jurrus+et+al.+2018+Protein+Sci+27%3A112" TargetMode="External" Id="rId1311"/><Relationship Type="http://schemas.openxmlformats.org/officeDocument/2006/relationships/hyperlink" Target="https://www.youtube.com/watch?v=ElWsgWfxp8I" TargetMode="External" Id="rId1312"/><Relationship Type="http://schemas.openxmlformats.org/officeDocument/2006/relationships/hyperlink" Target="https://scholar.google.com/scholar?q=Baker+et+al.+2001+PNAS+98%3A10037+APBS+Jurrus+et+al.+2018+Protein+Sci+27%3A112" TargetMode="External" Id="rId1313"/><Relationship Type="http://schemas.openxmlformats.org/officeDocument/2006/relationships/hyperlink" Target="https://www.youtube.com/watch?v=YL6I-QDdAi8" TargetMode="External" Id="rId1314"/><Relationship Type="http://schemas.openxmlformats.org/officeDocument/2006/relationships/hyperlink" Target="https://scholar.google.com/scholar?q=Baker+et+al.+2001+PNAS+98%3A10037+APBS+Jurrus+et+al.+2018+Protein+Sci+27%3A112" TargetMode="External" Id="rId1315"/><Relationship Type="http://schemas.openxmlformats.org/officeDocument/2006/relationships/hyperlink" Target="https://www.youtube.com/watch?v=WkYLgj_D6dM" TargetMode="External" Id="rId1316"/><Relationship Type="http://schemas.openxmlformats.org/officeDocument/2006/relationships/hyperlink" Target="https://scholar.google.com/scholar?q=Baker+et+al.+2001+PNAS+98%3A10037+APBS+Jurrus+et+al.+2018+Protein+Sci+27%3A112" TargetMode="External" Id="rId1317"/><Relationship Type="http://schemas.openxmlformats.org/officeDocument/2006/relationships/hyperlink" Target="https://www.youtube.com/watch?v=GYDLhg49UQA" TargetMode="External" Id="rId1318"/><Relationship Type="http://schemas.openxmlformats.org/officeDocument/2006/relationships/hyperlink" Target="https://scholar.google.com/scholar?q=Baker+et+al.+2001+PNAS+98%3A10037+APBS+Jurrus+et+al.+2018+Protein+Sci+27%3A112" TargetMode="External" Id="rId1319"/><Relationship Type="http://schemas.openxmlformats.org/officeDocument/2006/relationships/hyperlink" Target="https://www.youtube.com/watch?v=mRrM0cus1HE" TargetMode="External" Id="rId1320"/><Relationship Type="http://schemas.openxmlformats.org/officeDocument/2006/relationships/hyperlink" Target="https://scholar.google.com/scholar?q=Baker+et+al.+2001+PNAS+98%3A10037+APBS+Jurrus+et+al.+2018+Protein+Sci+27%3A112" TargetMode="External" Id="rId1321"/><Relationship Type="http://schemas.openxmlformats.org/officeDocument/2006/relationships/hyperlink" Target="https://www.youtube.com/watch?v=rD6qYsCUHfE" TargetMode="External" Id="rId1322"/><Relationship Type="http://schemas.openxmlformats.org/officeDocument/2006/relationships/hyperlink" Target="https://scholar.google.com/scholar?q=Baker+et+al.+2001+PNAS+98%3A10037+APBS+Jurrus+et+al.+2018+Protein+Sci+27%3A112" TargetMode="External" Id="rId1323"/><Relationship Type="http://schemas.openxmlformats.org/officeDocument/2006/relationships/hyperlink" Target="https://www.youtube.com/watch?v=aHhmnxD6RCI" TargetMode="External" Id="rId1324"/><Relationship Type="http://schemas.openxmlformats.org/officeDocument/2006/relationships/hyperlink" Target="https://scholar.google.com/scholar?q=Rosenthal+%26+Henderson+2003" TargetMode="External" Id="rId1325"/><Relationship Type="http://schemas.openxmlformats.org/officeDocument/2006/relationships/hyperlink" Target="https://www.youtube.com/watch?v=Bs4Ygpo9kLU" TargetMode="External" Id="rId1326"/><Relationship Type="http://schemas.openxmlformats.org/officeDocument/2006/relationships/hyperlink" Target="https://scholar.google.com/scholar?q=Baker+et+al.+2001+PNAS+98%3A10037+APBS+Jurrus+et+al.+2018+Protein+Sci+27%3A112" TargetMode="External" Id="rId1327"/><Relationship Type="http://schemas.openxmlformats.org/officeDocument/2006/relationships/hyperlink" Target="https://www.youtube.com/watch?v=cdIuLguRi8Q" TargetMode="External" Id="rId1328"/><Relationship Type="http://schemas.openxmlformats.org/officeDocument/2006/relationships/hyperlink" Target="https://scholar.google.com/scholar?q=Baker+et+al.+2001+PNAS+98%3A10037+APBS+Jurrus+et+al.+2018+Protein+Sci+27%3A112" TargetMode="External" Id="rId1329"/><Relationship Type="http://schemas.openxmlformats.org/officeDocument/2006/relationships/hyperlink" Target="https://www.youtube.com/watch?v=gglZdNEskJs" TargetMode="External" Id="rId1330"/><Relationship Type="http://schemas.openxmlformats.org/officeDocument/2006/relationships/hyperlink" Target="https://scholar.google.com/scholar?q=Baker+et+al.+2001+PNAS+98%3A10037+APBS+Jurrus+et+al.+2018+Protein+Sci+27%3A112" TargetMode="External" Id="rId1331"/><Relationship Type="http://schemas.openxmlformats.org/officeDocument/2006/relationships/hyperlink" Target="https://www.youtube.com/watch?v=MCPDR_gjCTA" TargetMode="External" Id="rId1332"/><Relationship Type="http://schemas.openxmlformats.org/officeDocument/2006/relationships/hyperlink" Target="https://scholar.google.com/scholar?q=Baker+et+al.+2001+PNAS+98%3A10037+APBS+Jurrus+et+al.+2018+Protein+Sci+27%3A112" TargetMode="External" Id="rId1333"/><Relationship Type="http://schemas.openxmlformats.org/officeDocument/2006/relationships/hyperlink" Target="https://www.youtube.com/watch?v=x7uDEDaiWQk" TargetMode="External" Id="rId1334"/><Relationship Type="http://schemas.openxmlformats.org/officeDocument/2006/relationships/hyperlink" Target="https://scholar.google.com/scholar?q=Baker+et+al.+2001+PNAS+98%3A10037+APBS+Jurrus+et+al.+2018+Protein+Sci+27%3A112" TargetMode="External" Id="rId1335"/><Relationship Type="http://schemas.openxmlformats.org/officeDocument/2006/relationships/hyperlink" Target="https://www.youtube.com/watch?v=876Mc4oopxo" TargetMode="External" Id="rId1336"/><Relationship Type="http://schemas.openxmlformats.org/officeDocument/2006/relationships/hyperlink" Target="https://scholar.google.com/scholar?q=Baker+et+al.+2001+PNAS+98%3A10037+APBS+Jurrus+et+al.+2018+Protein+Sci+27%3A112" TargetMode="External" Id="rId1337"/><Relationship Type="http://schemas.openxmlformats.org/officeDocument/2006/relationships/hyperlink" Target="https://www.youtube.com/watch?v=HeW8a059HxQ" TargetMode="External" Id="rId1338"/><Relationship Type="http://schemas.openxmlformats.org/officeDocument/2006/relationships/hyperlink" Target="https://scholar.google.com/scholar?q=Baker+et+al.+2001+PNAS+98%3A10037+APBS+Jurrus+et+al.+2018+Protein+Sci+27%3A112" TargetMode="External" Id="rId1339"/><Relationship Type="http://schemas.openxmlformats.org/officeDocument/2006/relationships/hyperlink" Target="https://www.youtube.com/watch?v=I6PUxeVBQt8" TargetMode="External" Id="rId1340"/><Relationship Type="http://schemas.openxmlformats.org/officeDocument/2006/relationships/hyperlink" Target="https://scholar.google.com/scholar?q=Baker+et+al.+2001+PNAS+98%3A10037+APBS+Jurrus+et+al.+2018+Protein+Sci+27%3A112" TargetMode="External" Id="rId1341"/><Relationship Type="http://schemas.openxmlformats.org/officeDocument/2006/relationships/hyperlink" Target="https://www.youtube.com/watch?v=JTgldM4wAAk" TargetMode="External" Id="rId1342"/><Relationship Type="http://schemas.openxmlformats.org/officeDocument/2006/relationships/hyperlink" Target="https://scholar.google.com/scholar?q=Baker+et+al.+2001+PNAS+98%3A10037+APBS+Jurrus+et+al.+2018+Protein+Sci+27%3A112" TargetMode="External" Id="rId1343"/><Relationship Type="http://schemas.openxmlformats.org/officeDocument/2006/relationships/hyperlink" Target="https://www.youtube.com/watch?v=2bRiPO1Ah6w" TargetMode="External" Id="rId1344"/><Relationship Type="http://schemas.openxmlformats.org/officeDocument/2006/relationships/hyperlink" Target="https://scholar.google.com/scholar?q=Baker+et+al.+2001+PNAS+98%3A10037+APBS+Jurrus+et+al.+2018+Protein+Sci+27%3A112" TargetMode="External" Id="rId1345"/><Relationship Type="http://schemas.openxmlformats.org/officeDocument/2006/relationships/hyperlink" Target="https://www.youtube.com/watch?v=0O781Od1z_E" TargetMode="External" Id="rId1346"/><Relationship Type="http://schemas.openxmlformats.org/officeDocument/2006/relationships/hyperlink" Target="https://scholar.google.com/scholar?q=Baker+et+al.+2001+PNAS+98%3A10037+APBS+Jurrus+et+al.+2018+Protein+Sci+27%3A112" TargetMode="External" Id="rId1347"/><Relationship Type="http://schemas.openxmlformats.org/officeDocument/2006/relationships/hyperlink" Target="https://www.youtube.com/watch?v=o1srM6PkIP0" TargetMode="External" Id="rId1348"/><Relationship Type="http://schemas.openxmlformats.org/officeDocument/2006/relationships/hyperlink" Target="https://scholar.google.com/scholar?q=Baker+et+al.+2001+PNAS+98%3A10037+APBS+Jurrus+et+al.+2018+Protein+Sci+27%3A112" TargetMode="External" Id="rId1349"/><Relationship Type="http://schemas.openxmlformats.org/officeDocument/2006/relationships/hyperlink" Target="https://www.youtube.com/watch?v=RilgeYTy7IU" TargetMode="External" Id="rId1350"/><Relationship Type="http://schemas.openxmlformats.org/officeDocument/2006/relationships/hyperlink" Target="https://scholar.google.com/scholar?q=Baker+et+al.+2001+PNAS+98%3A10037+APBS+Jurrus+et+al.+2018+Protein+Sci+27%3A112" TargetMode="External" Id="rId1351"/><Relationship Type="http://schemas.openxmlformats.org/officeDocument/2006/relationships/hyperlink" Target="https://www.youtube.com/watch?v=ejV1Qur00pU" TargetMode="External" Id="rId1352"/><Relationship Type="http://schemas.openxmlformats.org/officeDocument/2006/relationships/hyperlink" Target="https://scholar.google.com/scholar?q=Baker+et+al.+2001+PNAS+98%3A10037+APBS+Jurrus+et+al.+2018+Protein+Sci+27%3A112" TargetMode="External" Id="rId1353"/><Relationship Type="http://schemas.openxmlformats.org/officeDocument/2006/relationships/hyperlink" Target="https://www.youtube.com/watch?v=iXb5qrtiYbo" TargetMode="External" Id="rId1354"/><Relationship Type="http://schemas.openxmlformats.org/officeDocument/2006/relationships/hyperlink" Target="https://scholar.google.com/scholar?q=Baker+et+al.+2001+PNAS+98%3A10037+APBS+Jurrus+et+al.+2018+Protein+Sci+27%3A112" TargetMode="External" Id="rId1355"/><Relationship Type="http://schemas.openxmlformats.org/officeDocument/2006/relationships/hyperlink" Target="https://www.youtube.com/watch?v=SQDLlZkoCJU" TargetMode="External" Id="rId1356"/><Relationship Type="http://schemas.openxmlformats.org/officeDocument/2006/relationships/hyperlink" Target="https://scholar.google.com/scholar?q=Baker+et+al.+2001+PNAS+98%3A10037+APBS+Jurrus+et+al.+2018+Protein+Sci+27%3A112" TargetMode="External" Id="rId1357"/><Relationship Type="http://schemas.openxmlformats.org/officeDocument/2006/relationships/hyperlink" Target="https://www.youtube.com/watch?v=zd6YcUyDhPE" TargetMode="External" Id="rId1358"/><Relationship Type="http://schemas.openxmlformats.org/officeDocument/2006/relationships/hyperlink" Target="https://scholar.google.com/scholar?q=Baker+et+al.+2001+PNAS+98%3A10037+APBS+Jurrus+et+al.+2018+Protein+Sci+27%3A112" TargetMode="External" Id="rId1359"/><Relationship Type="http://schemas.openxmlformats.org/officeDocument/2006/relationships/hyperlink" Target="https://www.youtube.com/watch?v=TOia5lEwaQ4" TargetMode="External" Id="rId1360"/><Relationship Type="http://schemas.openxmlformats.org/officeDocument/2006/relationships/hyperlink" Target="https://scholar.google.com/scholar?q=Baker+et+al.+2001+PNAS+98%3A10037+APBS+Jurrus+et+al.+2018+Protein+Sci+27%3A112" TargetMode="External" Id="rId1361"/><Relationship Type="http://schemas.openxmlformats.org/officeDocument/2006/relationships/hyperlink" Target="https://www.youtube.com/watch?v=P9c1dUO3-Hg" TargetMode="External" Id="rId1362"/><Relationship Type="http://schemas.openxmlformats.org/officeDocument/2006/relationships/hyperlink" Target="https://scholar.google.com/scholar?q=Baker+et+al.+2001+PNAS+98%3A10037+APBS+Jurrus+et+al.+2018+Protein+Sci+27%3A112" TargetMode="External" Id="rId1363"/><Relationship Type="http://schemas.openxmlformats.org/officeDocument/2006/relationships/hyperlink" Target="https://www.youtube.com/watch?v=HcxoaEEWjII" TargetMode="External" Id="rId1364"/><Relationship Type="http://schemas.openxmlformats.org/officeDocument/2006/relationships/hyperlink" Target="https://scholar.google.com/scholar?q=Baker+et+al.+2001+PNAS+98%3A10037+APBS+Jurrus+et+al.+2018+Protein+Sci+27%3A112" TargetMode="External" Id="rId1365"/><Relationship Type="http://schemas.openxmlformats.org/officeDocument/2006/relationships/hyperlink" Target="https://www.youtube.com/watch?v=TFcTP33TKUo" TargetMode="External" Id="rId1366"/><Relationship Type="http://schemas.openxmlformats.org/officeDocument/2006/relationships/hyperlink" Target="https://scholar.google.com/scholar?q=Baker+et+al.+2001+PNAS+98%3A10037+APBS+Jurrus+et+al.+2018+Protein+Sci+27%3A112" TargetMode="External" Id="rId1367"/><Relationship Type="http://schemas.openxmlformats.org/officeDocument/2006/relationships/hyperlink" Target="https://www.youtube.com/watch?v=Fa0Vl_aH5Og" TargetMode="External" Id="rId1368"/><Relationship Type="http://schemas.openxmlformats.org/officeDocument/2006/relationships/hyperlink" Target="https://scholar.google.com/scholar?q=Zivanov+et+al.+2019+IUCrJ+6%3A5" TargetMode="External" Id="rId1369"/><Relationship Type="http://schemas.openxmlformats.org/officeDocument/2006/relationships/hyperlink" Target="https://www.youtube.com/watch?v=cPNoxLsMeqQ" TargetMode="External" Id="rId1370"/><Relationship Type="http://schemas.openxmlformats.org/officeDocument/2006/relationships/hyperlink" Target="https://scholar.google.com/scholar?q=Baker+et+al.+2001+PNAS+98%3A10037+APBS+Jurrus+et+al.+2018+Protein+Sci+27%3A112" TargetMode="External" Id="rId1371"/><Relationship Type="http://schemas.openxmlformats.org/officeDocument/2006/relationships/hyperlink" Target="https://www.youtube.com/watch?v=gnM_IvJShwY" TargetMode="External" Id="rId1372"/><Relationship Type="http://schemas.openxmlformats.org/officeDocument/2006/relationships/hyperlink" Target="https://scholar.google.com/scholar?q=Baker+et+al.+2001+PNAS+98%3A10037+APBS+Jurrus+et+al.+2018+Protein+Sci+27%3A112" TargetMode="External" Id="rId1373"/><Relationship Type="http://schemas.openxmlformats.org/officeDocument/2006/relationships/hyperlink" Target="https://www.youtube.com/watch?v=mbNk6hRGMdU" TargetMode="External" Id="rId1374"/><Relationship Type="http://schemas.openxmlformats.org/officeDocument/2006/relationships/hyperlink" Target="https://scholar.google.com/scholar?q=Baker+et+al.+2001+PNAS+98%3A10037+APBS+Jurrus+et+al.+2018+Protein+Sci+27%3A112" TargetMode="External" Id="rId1375"/><Relationship Type="http://schemas.openxmlformats.org/officeDocument/2006/relationships/hyperlink" Target="https://www.youtube.com/watch?v=csg5p2Oo6HI" TargetMode="External" Id="rId1376"/><Relationship Type="http://schemas.openxmlformats.org/officeDocument/2006/relationships/hyperlink" Target="https://scholar.google.com/scholar?q=Baker+et+al.+2001+PNAS+98%3A10037+APBS+Jurrus+et+al.+2018+Protein+Sci+27%3A112" TargetMode="External" Id="rId1377"/><Relationship Type="http://schemas.openxmlformats.org/officeDocument/2006/relationships/hyperlink" Target="https://www.youtube.com/watch?v=7ycfzGcWOVI" TargetMode="External" Id="rId1378"/><Relationship Type="http://schemas.openxmlformats.org/officeDocument/2006/relationships/hyperlink" Target="https://scholar.google.com/scholar?q=Baker+et+al.+2001+PNAS+98%3A10037+APBS+Jurrus+et+al.+2018+Protein+Sci+27%3A112" TargetMode="External" Id="rId1379"/><Relationship Type="http://schemas.openxmlformats.org/officeDocument/2006/relationships/hyperlink" Target="https://www.youtube.com/watch?v=5CEPxPuG5pU" TargetMode="External" Id="rId1380"/><Relationship Type="http://schemas.openxmlformats.org/officeDocument/2006/relationships/hyperlink" Target="https://scholar.google.com/scholar?q=Baker+et+al.+2001+PNAS+98%3A10037+APBS+Jurrus+et+al.+2018+Protein+Sci+27%3A112" TargetMode="External" Id="rId1381"/><Relationship Type="http://schemas.openxmlformats.org/officeDocument/2006/relationships/hyperlink" Target="https://www.youtube.com/watch?v=o8LlPB0Vy10" TargetMode="External" Id="rId1382"/><Relationship Type="http://schemas.openxmlformats.org/officeDocument/2006/relationships/hyperlink" Target="https://scholar.google.com/scholar?q=Baker+et+al.+2001+PNAS+98%3A10037+APBS+Jurrus+et+al.+2018+Protein+Sci+27%3A112" TargetMode="External" Id="rId1383"/><Relationship Type="http://schemas.openxmlformats.org/officeDocument/2006/relationships/hyperlink" Target="https://www.youtube.com/watch?v=hRK-e09YyUc" TargetMode="External" Id="rId1384"/><Relationship Type="http://schemas.openxmlformats.org/officeDocument/2006/relationships/hyperlink" Target="https://scholar.google.com/scholar?q=Baker+et+al.+2001+PNAS+98%3A10037+APBS+Jurrus+et+al.+2018+Protein+Sci+27%3A112" TargetMode="External" Id="rId1385"/><Relationship Type="http://schemas.openxmlformats.org/officeDocument/2006/relationships/hyperlink" Target="https://www.youtube.com/watch?v=A3jxb7BCvVU" TargetMode="External" Id="rId1386"/><Relationship Type="http://schemas.openxmlformats.org/officeDocument/2006/relationships/hyperlink" Target="https://scholar.google.com/scholar?q=Baker+et+al.+2001+PNAS+98%3A10037+APBS+Jurrus+et+al.+2018+Protein+Sci+27%3A112" TargetMode="External" Id="rId1387"/><Relationship Type="http://schemas.openxmlformats.org/officeDocument/2006/relationships/hyperlink" Target="https://www.youtube.com/watch?v=Z5KzEk-5pMI" TargetMode="External" Id="rId1388"/><Relationship Type="http://schemas.openxmlformats.org/officeDocument/2006/relationships/hyperlink" Target="https://scholar.google.com/scholar?q=Baker+et+al.+2001+PNAS+98%3A10037+APBS+Jurrus+et+al.+2018+Protein+Sci+27%3A112" TargetMode="External" Id="rId1389"/><Relationship Type="http://schemas.openxmlformats.org/officeDocument/2006/relationships/hyperlink" Target="https://www.youtube.com/watch?v=9GszV5W4riI" TargetMode="External" Id="rId1390"/><Relationship Type="http://schemas.openxmlformats.org/officeDocument/2006/relationships/hyperlink" Target="https://scholar.google.com/scholar?q=Baker+et+al.+2001+PNAS+98%3A10037+APBS+Jurrus+et+al.+2018+Protein+Sci+27%3A112" TargetMode="External" Id="rId1391"/><Relationship Type="http://schemas.openxmlformats.org/officeDocument/2006/relationships/hyperlink" Target="https://www.youtube.com/watch?v=poToOzOObEw" TargetMode="External" Id="rId1392"/><Relationship Type="http://schemas.openxmlformats.org/officeDocument/2006/relationships/hyperlink" Target="https://scholar.google.com/scholar?q=Baker+et+al.+2001+PNAS+98%3A10037+APBS+Jurrus+et+al.+2018+Protein+Sci+27%3A112" TargetMode="External" Id="rId1393"/><Relationship Type="http://schemas.openxmlformats.org/officeDocument/2006/relationships/hyperlink" Target="https://www.youtube.com/watch?v=kZTX4K4KeOY" TargetMode="External" Id="rId1394"/><Relationship Type="http://schemas.openxmlformats.org/officeDocument/2006/relationships/hyperlink" Target="https://scholar.google.com/scholar?q=Baker+et+al.+2001+PNAS+98%3A10037+APBS+Jurrus+et+al.+2018+Protein+Sci+27%3A112" TargetMode="External" Id="rId1395"/><Relationship Type="http://schemas.openxmlformats.org/officeDocument/2006/relationships/hyperlink" Target="https://www.youtube.com/watch?v=az7WERpdVtY" TargetMode="External" Id="rId1396"/><Relationship Type="http://schemas.openxmlformats.org/officeDocument/2006/relationships/hyperlink" Target="https://scholar.google.com/scholar?q=Baker+et+al.+2001+PNAS+98%3A10037+APBS+Jurrus+et+al.+2018+Protein+Sci+27%3A112" TargetMode="External" Id="rId1397"/><Relationship Type="http://schemas.openxmlformats.org/officeDocument/2006/relationships/hyperlink" Target="https://www.youtube.com/watch?v=_iDI2f7Q2Sc" TargetMode="External" Id="rId1398"/><Relationship Type="http://schemas.openxmlformats.org/officeDocument/2006/relationships/hyperlink" Target="https://scholar.google.com/scholar?q=Baker+et+al.+2001+PNAS+98%3A10037+APBS+Jurrus+et+al.+2018+Protein+Sci+27%3A112" TargetMode="External" Id="rId1399"/><Relationship Type="http://schemas.openxmlformats.org/officeDocument/2006/relationships/hyperlink" Target="https://www.youtube.com/watch?v=T3fiMcXgKuU" TargetMode="External" Id="rId1400"/><Relationship Type="http://schemas.openxmlformats.org/officeDocument/2006/relationships/hyperlink" Target="https://scholar.google.com/scholar?q=Baker+et+al.+2001+PNAS+98%3A10037+APBS+Jurrus+et+al.+2018+Protein+Sci+27%3A112" TargetMode="External" Id="rId1401"/><Relationship Type="http://schemas.openxmlformats.org/officeDocument/2006/relationships/hyperlink" Target="https://www.youtube.com/watch?v=JT0hogC6zNA" TargetMode="External" Id="rId1402"/><Relationship Type="http://schemas.openxmlformats.org/officeDocument/2006/relationships/hyperlink" Target="https://scholar.google.com/scholar?q=Baker+et+al.+2001+PNAS+98%3A10037+APBS+Jurrus+et+al.+2018+Protein+Sci+27%3A112" TargetMode="External" Id="rId1403"/><Relationship Type="http://schemas.openxmlformats.org/officeDocument/2006/relationships/hyperlink" Target="https://www.youtube.com/watch?v=k9xz7Vbpe_c" TargetMode="External" Id="rId1404"/><Relationship Type="http://schemas.openxmlformats.org/officeDocument/2006/relationships/hyperlink" Target="https://scholar.google.com/scholar?q=Baker+et+al.+2001+PNAS+98%3A10037+APBS+Jurrus+et+al.+2018+Protein+Sci+27%3A112" TargetMode="External" Id="rId1405"/><Relationship Type="http://schemas.openxmlformats.org/officeDocument/2006/relationships/hyperlink" Target="https://www.youtube.com/watch?v=FQ5ChzckzmE" TargetMode="External" Id="rId1406"/><Relationship Type="http://schemas.openxmlformats.org/officeDocument/2006/relationships/hyperlink" Target="https://scholar.google.com/scholar?q=Baker+et+al.+2001+PNAS+98%3A10037+APBS+Jurrus+et+al.+2018+Protein+Sci+27%3A112" TargetMode="External" Id="rId1407"/><Relationship Type="http://schemas.openxmlformats.org/officeDocument/2006/relationships/hyperlink" Target="https://www.youtube.com/watch?v=byAFhhDt-f4" TargetMode="External" Id="rId1408"/><Relationship Type="http://schemas.openxmlformats.org/officeDocument/2006/relationships/hyperlink" Target="https://scholar.google.com/scholar?q=Baker+et+al.+2001+PNAS+98%3A10037+APBS+Jurrus+et+al.+2018+Protein+Sci+27%3A112" TargetMode="External" Id="rId1409"/><Relationship Type="http://schemas.openxmlformats.org/officeDocument/2006/relationships/hyperlink" Target="https://www.youtube.com/watch?v=cSOZ6Hu0hZk" TargetMode="External" Id="rId1410"/><Relationship Type="http://schemas.openxmlformats.org/officeDocument/2006/relationships/hyperlink" Target="https://scholar.google.com/scholar?q=Baker+et+al.+2001+PNAS+98%3A10037+APBS+Jurrus+et+al.+2018+Protein+Sci+27%3A112" TargetMode="External" Id="rId1411"/><Relationship Type="http://schemas.openxmlformats.org/officeDocument/2006/relationships/hyperlink" Target="https://www.youtube.com/watch?v=1aPA5H0wEnU" TargetMode="External" Id="rId1412"/><Relationship Type="http://schemas.openxmlformats.org/officeDocument/2006/relationships/hyperlink" Target="https://scholar.google.com/scholar?q=Baker+et+al.+2001+PNAS+98%3A10037+APBS+Jurrus+et+al.+2018+Protein+Sci+27%3A112" TargetMode="External" Id="rId1413"/><Relationship Type="http://schemas.openxmlformats.org/officeDocument/2006/relationships/hyperlink" Target="https://www.youtube.com/watch?v=4Z0sQ_GhBkk" TargetMode="External" Id="rId1414"/><Relationship Type="http://schemas.openxmlformats.org/officeDocument/2006/relationships/hyperlink" Target="https://scholar.google.com/scholar?q=Baker+et+al.+2001+PNAS+98%3A10037+APBS+Jurrus+et+al.+2018+Protein+Sci+27%3A112" TargetMode="External" Id="rId1415"/><Relationship Type="http://schemas.openxmlformats.org/officeDocument/2006/relationships/hyperlink" Target="https://www.youtube.com/watch?v=o3NGxOk0Eog" TargetMode="External" Id="rId1416"/><Relationship Type="http://schemas.openxmlformats.org/officeDocument/2006/relationships/hyperlink" Target="https://scholar.google.com/scholar?q=Baker+et+al.+2001+PNAS+98%3A10037+APBS+Jurrus+et+al.+2018+Protein+Sci+27%3A112" TargetMode="External" Id="rId1417"/><Relationship Type="http://schemas.openxmlformats.org/officeDocument/2006/relationships/hyperlink" Target="https://www.youtube.com/watch?v=jWrldrOsnbY" TargetMode="External" Id="rId1418"/><Relationship Type="http://schemas.openxmlformats.org/officeDocument/2006/relationships/hyperlink" Target="https://scholar.google.com/scholar?q=Baker+et+al.+2001+PNAS+98%3A10037+APBS+Jurrus+et+al.+2018+Protein+Sci+27%3A112" TargetMode="External" Id="rId1419"/><Relationship Type="http://schemas.openxmlformats.org/officeDocument/2006/relationships/hyperlink" Target="https://www.youtube.com/watch?v=IBPlVZj9N2w" TargetMode="External" Id="rId1420"/><Relationship Type="http://schemas.openxmlformats.org/officeDocument/2006/relationships/hyperlink" Target="https://scholar.google.com/scholar?q=Baker+et+al.+2001+PNAS+98%3A10037+APBS+Jurrus+et+al.+2018+Protein+Sci+27%3A112" TargetMode="External" Id="rId1421"/><Relationship Type="http://schemas.openxmlformats.org/officeDocument/2006/relationships/hyperlink" Target="https://www.youtube.com/watch?v=rrdI58wBqGM" TargetMode="External" Id="rId1422"/><Relationship Type="http://schemas.openxmlformats.org/officeDocument/2006/relationships/hyperlink" Target="https://scholar.google.com/scholar?q=Baker+et+al.+2001+PNAS+98%3A10037+APBS+Jurrus+et+al.+2018+Protein+Sci+27%3A112" TargetMode="External" Id="rId1423"/><Relationship Type="http://schemas.openxmlformats.org/officeDocument/2006/relationships/hyperlink" Target="https://www.youtube.com/watch?v=5aaBtzh-D2g" TargetMode="External" Id="rId1424"/><Relationship Type="http://schemas.openxmlformats.org/officeDocument/2006/relationships/hyperlink" Target="https://scholar.google.com/scholar?q=Baker+et+al.+2001+PNAS+98%3A10037+APBS+Jurrus+et+al.+2018+Protein+Sci+27%3A112" TargetMode="External" Id="rId1425"/><Relationship Type="http://schemas.openxmlformats.org/officeDocument/2006/relationships/hyperlink" Target="https://www.youtube.com/watch?v=tAbjwZl5fqU" TargetMode="External" Id="rId1426"/><Relationship Type="http://schemas.openxmlformats.org/officeDocument/2006/relationships/hyperlink" Target="https://scholar.google.com/scholar?q=Baker+et+al.+2001+PNAS+98%3A10037+APBS+Jurrus+et+al.+2018+Protein+Sci+27%3A112" TargetMode="External" Id="rId1427"/><Relationship Type="http://schemas.openxmlformats.org/officeDocument/2006/relationships/hyperlink" Target="https://www.youtube.com/watch?v=wns4QTwSeoE" TargetMode="External" Id="rId1428"/><Relationship Type="http://schemas.openxmlformats.org/officeDocument/2006/relationships/hyperlink" Target="https://scholar.google.com/scholar?q=Baker+et+al.+2001+PNAS+98%3A10037+APBS+Jurrus+et+al.+2018+Protein+Sci+27%3A112" TargetMode="External" Id="rId1429"/><Relationship Type="http://schemas.openxmlformats.org/officeDocument/2006/relationships/hyperlink" Target="https://www.youtube.com/watch?v=k9jiepXvfwU" TargetMode="External" Id="rId1430"/><Relationship Type="http://schemas.openxmlformats.org/officeDocument/2006/relationships/hyperlink" Target="https://scholar.google.com/scholar?q=Baker+et+al.+2001+PNAS+98%3A10037+APBS+Jurrus+et+al.+2018+Protein+Sci+27%3A112" TargetMode="External" Id="rId1431"/><Relationship Type="http://schemas.openxmlformats.org/officeDocument/2006/relationships/hyperlink" Target="https://www.youtube.com/watch?v=he7MP6LNs2Y" TargetMode="External" Id="rId1432"/><Relationship Type="http://schemas.openxmlformats.org/officeDocument/2006/relationships/hyperlink" Target="https://scholar.google.com/scholar?q=Baker+et+al.+2001+PNAS+98%3A10037+APBS+Jurrus+et+al.+2018+Protein+Sci+27%3A112" TargetMode="External" Id="rId1433"/><Relationship Type="http://schemas.openxmlformats.org/officeDocument/2006/relationships/hyperlink" Target="https://www.youtube.com/watch?v=iHomjhpo2NI" TargetMode="External" Id="rId1434"/><Relationship Type="http://schemas.openxmlformats.org/officeDocument/2006/relationships/hyperlink" Target="https://scholar.google.com/scholar?q=Baker+et+al.+2001+PNAS+98%3A10037+APBS+Jurrus+et+al.+2018+Protein+Sci+27%3A112" TargetMode="External" Id="rId1435"/><Relationship Type="http://schemas.openxmlformats.org/officeDocument/2006/relationships/hyperlink" Target="https://www.youtube.com/watch?v=tAh4cNfKq3k" TargetMode="External" Id="rId1436"/><Relationship Type="http://schemas.openxmlformats.org/officeDocument/2006/relationships/hyperlink" Target="https://scholar.google.com/scholar?q=Baker+et+al.+2001+PNAS+98%3A10037+APBS+Jurrus+et+al.+2018+Protein+Sci+27%3A112" TargetMode="External" Id="rId1437"/><Relationship Type="http://schemas.openxmlformats.org/officeDocument/2006/relationships/hyperlink" Target="https://www.youtube.com/watch?v=f5tjUX8EP_c" TargetMode="External" Id="rId1438"/><Relationship Type="http://schemas.openxmlformats.org/officeDocument/2006/relationships/hyperlink" Target="https://scholar.google.com/scholar?q=Baker+et+al.+2001+PNAS+98%3A10037+APBS+Jurrus+et+al.+2018+Protein+Sci+27%3A112" TargetMode="External" Id="rId1439"/><Relationship Type="http://schemas.openxmlformats.org/officeDocument/2006/relationships/hyperlink" Target="https://www.youtube.com/watch?v=HX-wc-ygFnM" TargetMode="External" Id="rId1440"/><Relationship Type="http://schemas.openxmlformats.org/officeDocument/2006/relationships/hyperlink" Target="https://scholar.google.com/scholar?q=Baker+et+al.+2001+PNAS+98%3A10037+APBS+Jurrus+et+al.+2018+Protein+Sci+27%3A112" TargetMode="External" Id="rId1441"/><Relationship Type="http://schemas.openxmlformats.org/officeDocument/2006/relationships/hyperlink" Target="https://www.youtube.com/watch?v=aMfZX4rKkVo" TargetMode="External" Id="rId1442"/><Relationship Type="http://schemas.openxmlformats.org/officeDocument/2006/relationships/hyperlink" Target="https://scholar.google.com/scholar?q=Baker+et+al.+2001+PNAS+98%3A10037+APBS+Jurrus+et+al.+2018+Protein+Sci+27%3A112" TargetMode="External" Id="rId1443"/><Relationship Type="http://schemas.openxmlformats.org/officeDocument/2006/relationships/hyperlink" Target="https://www.youtube.com/watch?v=PUsEvtBVIUs" TargetMode="External" Id="rId1444"/><Relationship Type="http://schemas.openxmlformats.org/officeDocument/2006/relationships/hyperlink" Target="https://scholar.google.com/scholar?q=Baker+et+al.+2001+PNAS+98%3A10037+APBS+Jurrus+et+al.+2018+Protein+Sci+27%3A112" TargetMode="External" Id="rId1445"/><Relationship Type="http://schemas.openxmlformats.org/officeDocument/2006/relationships/hyperlink" Target="https://www.youtube.com/watch?v=h1TfsVaGKT0" TargetMode="External" Id="rId1446"/><Relationship Type="http://schemas.openxmlformats.org/officeDocument/2006/relationships/hyperlink" Target="https://scholar.google.com/scholar?q=Baker+et+al.+2001+PNAS+98%3A10037+APBS+Jurrus+et+al.+2018+Protein+Sci+27%3A112" TargetMode="External" Id="rId1447"/><Relationship Type="http://schemas.openxmlformats.org/officeDocument/2006/relationships/hyperlink" Target="https://www.youtube.com/watch?v=akk8Q17gRgg" TargetMode="External" Id="rId1448"/><Relationship Type="http://schemas.openxmlformats.org/officeDocument/2006/relationships/hyperlink" Target="https://scholar.google.com/scholar?q=Baker+et+al.+2001+PNAS+98%3A10037+APBS+Jurrus+et+al.+2018+Protein+Sci+27%3A112" TargetMode="External" Id="rId1449"/><Relationship Type="http://schemas.openxmlformats.org/officeDocument/2006/relationships/hyperlink" Target="https://www.youtube.com/watch?v=r3f__K8aoIE" TargetMode="External" Id="rId1450"/><Relationship Type="http://schemas.openxmlformats.org/officeDocument/2006/relationships/hyperlink" Target="https://scholar.google.com/scholar?q=Baker+et+al.+2001+PNAS+98%3A10037+APBS+Jurrus+et+al.+2018+Protein+Sci+27%3A112" TargetMode="External" Id="rId1451"/><Relationship Type="http://schemas.openxmlformats.org/officeDocument/2006/relationships/hyperlink" Target="https://www.youtube.com/watch?v=_BK2ETHuZhU" TargetMode="External" Id="rId1452"/><Relationship Type="http://schemas.openxmlformats.org/officeDocument/2006/relationships/hyperlink" Target="https://scholar.google.com/scholar?q=Baker+et+al.+2001+PNAS+98%3A10037+APBS+Jurrus+et+al.+2018+Protein+Sci+27%3A112" TargetMode="External" Id="rId1453"/><Relationship Type="http://schemas.openxmlformats.org/officeDocument/2006/relationships/hyperlink" Target="https://www.youtube.com/watch?v=EuAJd7YUlCw" TargetMode="External" Id="rId1454"/><Relationship Type="http://schemas.openxmlformats.org/officeDocument/2006/relationships/hyperlink" Target="https://scholar.google.com/scholar?q=Baker+et+al.+2001+PNAS+98%3A10037+APBS+Jurrus+et+al.+2018+Protein+Sci+27%3A112" TargetMode="External" Id="rId1455"/><Relationship Type="http://schemas.openxmlformats.org/officeDocument/2006/relationships/hyperlink" Target="https://www.youtube.com/watch?v=2EQxQzv0C1M" TargetMode="External" Id="rId1456"/><Relationship Type="http://schemas.openxmlformats.org/officeDocument/2006/relationships/hyperlink" Target="https://scholar.google.com/scholar?q=Baker+et+al.+2001+PNAS+98%3A10037+APBS+Jurrus+et+al.+2018+Protein+Sci+27%3A112" TargetMode="External" Id="rId1457"/><Relationship Type="http://schemas.openxmlformats.org/officeDocument/2006/relationships/hyperlink" Target="https://www.youtube.com/watch?v=KuG85T77AYM" TargetMode="External" Id="rId1458"/><Relationship Type="http://schemas.openxmlformats.org/officeDocument/2006/relationships/hyperlink" Target="https://scholar.google.com/scholar?q=Baker+et+al.+2001+PNAS+98%3A10037+APBS+Jurrus+et+al.+2018+Protein+Sci+27%3A112" TargetMode="External" Id="rId1459"/><Relationship Type="http://schemas.openxmlformats.org/officeDocument/2006/relationships/hyperlink" Target="https://www.youtube.com/watch?v=LirxJIcQ6T0" TargetMode="External" Id="rId1460"/><Relationship Type="http://schemas.openxmlformats.org/officeDocument/2006/relationships/hyperlink" Target="https://scholar.google.com/scholar?q=Baker+et+al.+2001+PNAS+98%3A10037+APBS+Jurrus+et+al.+2018+Protein+Sci+27%3A112" TargetMode="External" Id="rId1461"/><Relationship Type="http://schemas.openxmlformats.org/officeDocument/2006/relationships/hyperlink" Target="https://www.youtube.com/watch?v=mOwFkoJG7BQ" TargetMode="External" Id="rId1462"/><Relationship Type="http://schemas.openxmlformats.org/officeDocument/2006/relationships/hyperlink" Target="https://scholar.google.com/scholar?q=Baker+et+al.+2001+PNAS+98%3A10037+APBS+Jurrus+et+al.+2018+Protein+Sci+27%3A112" TargetMode="External" Id="rId1463"/><Relationship Type="http://schemas.openxmlformats.org/officeDocument/2006/relationships/hyperlink" Target="https://www.youtube.com/watch?v=WF7j94sUi1w" TargetMode="External" Id="rId1464"/><Relationship Type="http://schemas.openxmlformats.org/officeDocument/2006/relationships/hyperlink" Target="https://scholar.google.com/scholar?q=Baker+et+al.+2001+PNAS+98%3A10037+APBS+Jurrus+et+al.+2018+Protein+Sci+27%3A112" TargetMode="External" Id="rId1465"/><Relationship Type="http://schemas.openxmlformats.org/officeDocument/2006/relationships/hyperlink" Target="https://www.youtube.com/watch?v=CqgR_HgqRWY" TargetMode="External" Id="rId1466"/><Relationship Type="http://schemas.openxmlformats.org/officeDocument/2006/relationships/hyperlink" Target="https://scholar.google.com/scholar?q=Baker+et+al.+2001+PNAS+98%3A10037+APBS+Jurrus+et+al.+2018+Protein+Sci+27%3A112" TargetMode="External" Id="rId1467"/><Relationship Type="http://schemas.openxmlformats.org/officeDocument/2006/relationships/hyperlink" Target="https://www.youtube.com/watch?v=pXurebQliSY" TargetMode="External" Id="rId1468"/><Relationship Type="http://schemas.openxmlformats.org/officeDocument/2006/relationships/hyperlink" Target="https://scholar.google.com/scholar?q=Baker+et+al.+2001+PNAS+98%3A10037+APBS+Jurrus+et+al.+2018+Protein+Sci+27%3A112" TargetMode="External" Id="rId1469"/><Relationship Type="http://schemas.openxmlformats.org/officeDocument/2006/relationships/hyperlink" Target="https://www.youtube.com/watch?v=moeaBbg2ewg" TargetMode="External" Id="rId1470"/><Relationship Type="http://schemas.openxmlformats.org/officeDocument/2006/relationships/hyperlink" Target="https://scholar.google.com/scholar?q=Baker+et+al.+2001+PNAS+98%3A10037+APBS+Jurrus+et+al.+2018+Protein+Sci+27%3A112" TargetMode="External" Id="rId1471"/><Relationship Type="http://schemas.openxmlformats.org/officeDocument/2006/relationships/hyperlink" Target="https://www.youtube.com/watch?v=RXFPojFrz7I" TargetMode="External" Id="rId1472"/><Relationship Type="http://schemas.openxmlformats.org/officeDocument/2006/relationships/hyperlink" Target="https://scholar.google.com/scholar?q=Baker+et+al.+2001+PNAS+98%3A10037+APBS+Jurrus+et+al.+2018+Protein+Sci+27%3A112" TargetMode="External" Id="rId1473"/><Relationship Type="http://schemas.openxmlformats.org/officeDocument/2006/relationships/hyperlink" Target="https://www.youtube.com/watch?v=NbktfxlSu2I" TargetMode="External" Id="rId1474"/><Relationship Type="http://schemas.openxmlformats.org/officeDocument/2006/relationships/hyperlink" Target="https://scholar.google.com/scholar?q=Baker+et+al.+2001+PNAS+98%3A10037+APBS+Jurrus+et+al.+2018+Protein+Sci+27%3A112" TargetMode="External" Id="rId1475"/><Relationship Type="http://schemas.openxmlformats.org/officeDocument/2006/relationships/hyperlink" Target="https://www.youtube.com/watch?v=F_t4mTvuMPw" TargetMode="External" Id="rId1476"/><Relationship Type="http://schemas.openxmlformats.org/officeDocument/2006/relationships/hyperlink" Target="https://scholar.google.com/scholar?q=Keedy+et+al.+2015+eLife+4%3Ae07574" TargetMode="External" Id="rId1477"/><Relationship Type="http://schemas.openxmlformats.org/officeDocument/2006/relationships/hyperlink" Target="https://www.youtube.com/watch?v=328z3CBfZN8" TargetMode="External" Id="rId1478"/><Relationship Type="http://schemas.openxmlformats.org/officeDocument/2006/relationships/hyperlink" Target="https://scholar.google.com/scholar?q=Baker+et+al.+2001+PNAS+98%3A10037+APBS+Jurrus+et+al.+2018+Protein+Sci+27%3A112" TargetMode="External" Id="rId1479"/><Relationship Type="http://schemas.openxmlformats.org/officeDocument/2006/relationships/hyperlink" Target="https://www.youtube.com/watch?v=IUgFg0X7GDY" TargetMode="External" Id="rId1480"/><Relationship Type="http://schemas.openxmlformats.org/officeDocument/2006/relationships/hyperlink" Target="https://scholar.google.com/scholar?q=Baker+et+al.+2001+PNAS+98%3A10037+APBS+Jurrus+et+al.+2018+Protein+Sci+27%3A112" TargetMode="External" Id="rId1481"/><Relationship Type="http://schemas.openxmlformats.org/officeDocument/2006/relationships/hyperlink" Target="https://www.youtube.com/watch?v=UJADAEIq_jg" TargetMode="External" Id="rId1482"/><Relationship Type="http://schemas.openxmlformats.org/officeDocument/2006/relationships/hyperlink" Target="https://scholar.google.com/scholar?q=Baker+et+al.+2001+PNAS+98%3A10037+APBS+Jurrus+et+al.+2018+Protein+Sci+27%3A112" TargetMode="External" Id="rId1483"/><Relationship Type="http://schemas.openxmlformats.org/officeDocument/2006/relationships/hyperlink" Target="https://www.youtube.com/watch?v=LtUCgHG2r-c" TargetMode="External" Id="rId1484"/><Relationship Type="http://schemas.openxmlformats.org/officeDocument/2006/relationships/hyperlink" Target="https://scholar.google.com/scholar?q=Baker+et+al.+2001+PNAS+98%3A10037+APBS+Jurrus+et+al.+2018+Protein+Sci+27%3A112" TargetMode="External" Id="rId1485"/><Relationship Type="http://schemas.openxmlformats.org/officeDocument/2006/relationships/hyperlink" Target="https://www.youtube.com/watch?v=kb60I14ru4E" TargetMode="External" Id="rId1486"/><Relationship Type="http://schemas.openxmlformats.org/officeDocument/2006/relationships/hyperlink" Target="https://scholar.google.com/scholar?q=Baker+et+al.+2001+PNAS+98%3A10037+APBS+Jurrus+et+al.+2018+Protein+Sci+27%3A112" TargetMode="External" Id="rId1487"/><Relationship Type="http://schemas.openxmlformats.org/officeDocument/2006/relationships/hyperlink" Target="https://www.youtube.com/watch?v=MlxiHqUlWr0" TargetMode="External" Id="rId1488"/><Relationship Type="http://schemas.openxmlformats.org/officeDocument/2006/relationships/hyperlink" Target="https://scholar.google.com/scholar?q=Baker+et+al.+2001+PNAS+98%3A10037+APBS+Jurrus+et+al.+2018+Protein+Sci+27%3A112" TargetMode="External" Id="rId1489"/><Relationship Type="http://schemas.openxmlformats.org/officeDocument/2006/relationships/hyperlink" Target="https://www.youtube.com/watch?v=Wx-l2yWQsnM" TargetMode="External" Id="rId1490"/><Relationship Type="http://schemas.openxmlformats.org/officeDocument/2006/relationships/hyperlink" Target="https://scholar.google.com/scholar?q=Baker+et+al.+2001+PNAS+98%3A10037+APBS+Jurrus+et+al.+2018+Protein+Sci+27%3A112" TargetMode="External" Id="rId1491"/><Relationship Type="http://schemas.openxmlformats.org/officeDocument/2006/relationships/hyperlink" Target="https://www.youtube.com/watch?v=yhYxAZbMrsc" TargetMode="External" Id="rId1492"/><Relationship Type="http://schemas.openxmlformats.org/officeDocument/2006/relationships/hyperlink" Target="https://scholar.google.com/scholar?q=Baker+et+al.+2001+PNAS+98%3A10037+APBS+Jurrus+et+al.+2018+Protein+Sci+27%3A112" TargetMode="External" Id="rId1493"/><Relationship Type="http://schemas.openxmlformats.org/officeDocument/2006/relationships/hyperlink" Target="https://www.youtube.com/watch?v=cjXgUPsJjgQ" TargetMode="External" Id="rId1494"/><Relationship Type="http://schemas.openxmlformats.org/officeDocument/2006/relationships/hyperlink" Target="https://scholar.google.com/scholar?q=Baker+et+al.+2001+PNAS+98%3A10037+APBS+Jurrus+et+al.+2018+Protein+Sci+27%3A112" TargetMode="External" Id="rId1495"/><Relationship Type="http://schemas.openxmlformats.org/officeDocument/2006/relationships/hyperlink" Target="https://www.youtube.com/watch?v=bmx56Fjv8Hc" TargetMode="External" Id="rId1496"/><Relationship Type="http://schemas.openxmlformats.org/officeDocument/2006/relationships/hyperlink" Target="https://scholar.google.com/scholar?q=Baker+et+al.+2001+PNAS+98%3A10037+APBS+Jurrus+et+al.+2018+Protein+Sci+27%3A112" TargetMode="External" Id="rId1497"/><Relationship Type="http://schemas.openxmlformats.org/officeDocument/2006/relationships/hyperlink" Target="https://www.youtube.com/watch?v=4BRCKnI64JQ" TargetMode="External" Id="rId1498"/><Relationship Type="http://schemas.openxmlformats.org/officeDocument/2006/relationships/hyperlink" Target="https://scholar.google.com/scholar?q=Baker+et+al.+2001+PNAS+98%3A10037+APBS+Jurrus+et+al.+2018+Protein+Sci+27%3A112" TargetMode="External" Id="rId1499"/><Relationship Type="http://schemas.openxmlformats.org/officeDocument/2006/relationships/hyperlink" Target="https://www.youtube.com/watch?v=XkOtziPJBZc" TargetMode="External" Id="rId1500"/><Relationship Type="http://schemas.openxmlformats.org/officeDocument/2006/relationships/hyperlink" Target="https://scholar.google.com/scholar?q=Baker+et+al.+2001+PNAS+98%3A10037+APBS+Jurrus+et+al.+2018+Protein+Sci+27%3A112" TargetMode="External" Id="rId1501"/><Relationship Type="http://schemas.openxmlformats.org/officeDocument/2006/relationships/hyperlink" Target="https://www.youtube.com/watch?v=gL4AlPWlQJ0" TargetMode="External" Id="rId1502"/><Relationship Type="http://schemas.openxmlformats.org/officeDocument/2006/relationships/hyperlink" Target="https://scholar.google.com/scholar?q=Baker+et+al.+2001+PNAS+98%3A10037+APBS+Jurrus+et+al.+2018+Protein+Sci+27%3A112" TargetMode="External" Id="rId1503"/><Relationship Type="http://schemas.openxmlformats.org/officeDocument/2006/relationships/hyperlink" Target="https://www.youtube.com/watch?v=VLDhefrUyms" TargetMode="External" Id="rId1504"/><Relationship Type="http://schemas.openxmlformats.org/officeDocument/2006/relationships/hyperlink" Target="https://scholar.google.com/scholar?q=Baker+et+al.+2001+PNAS+98%3A10037+APBS+Jurrus+et+al.+2018+Protein+Sci+27%3A112" TargetMode="External" Id="rId1505"/><Relationship Type="http://schemas.openxmlformats.org/officeDocument/2006/relationships/hyperlink" Target="https://www.youtube.com/watch?v=zbx8exkZOgQ" TargetMode="External" Id="rId1506"/><Relationship Type="http://schemas.openxmlformats.org/officeDocument/2006/relationships/hyperlink" Target="https://scholar.google.com/scholar?q=Korzhnev+et+al.+2004+Nature+430%3A586" TargetMode="External" Id="rId1507"/><Relationship Type="http://schemas.openxmlformats.org/officeDocument/2006/relationships/hyperlink" Target="https://www.youtube.com/watch?v=2E0BIHnZHuk" TargetMode="External" Id="rId1508"/><Relationship Type="http://schemas.openxmlformats.org/officeDocument/2006/relationships/hyperlink" Target="https://scholar.google.com/scholar?q=Baker+et+al.+2001+PNAS+98%3A10037+APBS+Jurrus+et+al.+2018+Protein+Sci+27%3A112" TargetMode="External" Id="rId1509"/><Relationship Type="http://schemas.openxmlformats.org/officeDocument/2006/relationships/hyperlink" Target="https://www.youtube.com/watch?v=xjnOCvvPNms" TargetMode="External" Id="rId1510"/><Relationship Type="http://schemas.openxmlformats.org/officeDocument/2006/relationships/hyperlink" Target="https://scholar.google.com/scholar?q=Baker+et+al.+2001+PNAS+98%3A10037+APBS+Jurrus+et+al.+2018+Protein+Sci+27%3A112" TargetMode="External" Id="rId1511"/><Relationship Type="http://schemas.openxmlformats.org/officeDocument/2006/relationships/hyperlink" Target="https://www.youtube.com/watch?v=uURuKtYfLWI" TargetMode="External" Id="rId1512"/><Relationship Type="http://schemas.openxmlformats.org/officeDocument/2006/relationships/hyperlink" Target="https://scholar.google.com/scholar?q=Baker+et+al.+2001+PNAS+98%3A10037+APBS+Jurrus+et+al.+2018+Protein+Sci+27%3A112" TargetMode="External" Id="rId1513"/><Relationship Type="http://schemas.openxmlformats.org/officeDocument/2006/relationships/hyperlink" Target="https://www.youtube.com/watch?v=OOtp6nr8qmg" TargetMode="External" Id="rId1514"/><Relationship Type="http://schemas.openxmlformats.org/officeDocument/2006/relationships/hyperlink" Target="https://scholar.google.com/scholar?q=Baker+et+al.+2001+PNAS+98%3A10037+APBS+Jurrus+et+al.+2018+Protein+Sci+27%3A112" TargetMode="External" Id="rId1515"/><Relationship Type="http://schemas.openxmlformats.org/officeDocument/2006/relationships/hyperlink" Target="https://www.youtube.com/watch?v=SevPRumWqsE" TargetMode="External" Id="rId1516"/><Relationship Type="http://schemas.openxmlformats.org/officeDocument/2006/relationships/hyperlink" Target="https://scholar.google.com/scholar?q=Baker+et+al.+2001+PNAS+98%3A10037+APBS+Jurrus+et+al.+2018+Protein+Sci+27%3A112" TargetMode="External" Id="rId1517"/><Relationship Type="http://schemas.openxmlformats.org/officeDocument/2006/relationships/hyperlink" Target="https://www.youtube.com/watch?v=mPoshDWJucI" TargetMode="External" Id="rId1518"/><Relationship Type="http://schemas.openxmlformats.org/officeDocument/2006/relationships/hyperlink" Target="https://scholar.google.com/scholar?q=Baker+et+al.+2001+PNAS+98%3A10037+APBS+Jurrus+et+al.+2018+Protein+Sci+27%3A112" TargetMode="External" Id="rId1519"/><Relationship Type="http://schemas.openxmlformats.org/officeDocument/2006/relationships/hyperlink" Target="https://www.youtube.com/watch?v=ABnxBq18ozo" TargetMode="External" Id="rId1520"/><Relationship Type="http://schemas.openxmlformats.org/officeDocument/2006/relationships/hyperlink" Target="https://scholar.google.com/scholar?q=Baker+et+al.+2001+PNAS+98%3A10037+APBS+Jurrus+et+al.+2018+Protein+Sci+27%3A112" TargetMode="External" Id="rId1521"/><Relationship Type="http://schemas.openxmlformats.org/officeDocument/2006/relationships/hyperlink" Target="https://www.youtube.com/watch?v=VO3n918l76Y" TargetMode="External" Id="rId1522"/><Relationship Type="http://schemas.openxmlformats.org/officeDocument/2006/relationships/hyperlink" Target="https://scholar.google.com/scholar?q=Baker+et+al.+2001+PNAS+98%3A10037+APBS+Jurrus+et+al.+2018+Protein+Sci+27%3A112" TargetMode="External" Id="rId1523"/><Relationship Type="http://schemas.openxmlformats.org/officeDocument/2006/relationships/hyperlink" Target="https://www.youtube.com/watch?v=6k_-l8OHaPw" TargetMode="External" Id="rId1524"/><Relationship Type="http://schemas.openxmlformats.org/officeDocument/2006/relationships/hyperlink" Target="https://scholar.google.com/scholar?q=Baker+et+al.+2001+PNAS+98%3A10037+APBS+Jurrus+et+al.+2018+Protein+Sci+27%3A112" TargetMode="External" Id="rId1525"/><Relationship Type="http://schemas.openxmlformats.org/officeDocument/2006/relationships/hyperlink" Target="https://www.youtube.com/watch?v=y09Vd2sKBFQ" TargetMode="External" Id="rId1526"/><Relationship Type="http://schemas.openxmlformats.org/officeDocument/2006/relationships/hyperlink" Target="https://scholar.google.com/scholar?q=Baker+et+al.+2001+PNAS+98%3A10037+APBS+Jurrus+et+al.+2018+Protein+Sci+27%3A112" TargetMode="External" Id="rId1527"/><Relationship Type="http://schemas.openxmlformats.org/officeDocument/2006/relationships/hyperlink" Target="https://www.youtube.com/watch?v=MTPtm5KpJnc" TargetMode="External" Id="rId1528"/><Relationship Type="http://schemas.openxmlformats.org/officeDocument/2006/relationships/hyperlink" Target="https://scholar.google.com/scholar?q=Baker+et+al.+2001+PNAS+98%3A10037+APBS+Jurrus+et+al.+2018+Protein+Sci+27%3A112" TargetMode="External" Id="rId1529"/><Relationship Type="http://schemas.openxmlformats.org/officeDocument/2006/relationships/hyperlink" Target="https://www.youtube.com/watch?v=U2AlN_8ed3E" TargetMode="External" Id="rId1530"/><Relationship Type="http://schemas.openxmlformats.org/officeDocument/2006/relationships/hyperlink" Target="https://scholar.google.com/scholar?q=Baker+et+al.+2001+PNAS+98%3A10037+APBS+Jurrus+et+al.+2018+Protein+Sci+27%3A112" TargetMode="External" Id="rId1531"/><Relationship Type="http://schemas.openxmlformats.org/officeDocument/2006/relationships/hyperlink" Target="https://www.youtube.com/watch?v=rATz6D3aNZY" TargetMode="External" Id="rId1532"/><Relationship Type="http://schemas.openxmlformats.org/officeDocument/2006/relationships/hyperlink" Target="https://scholar.google.com/scholar?q=Baker+et+al.+2001+PNAS+98%3A10037+APBS+Jurrus+et+al.+2018+Protein+Sci+27%3A112" TargetMode="External" Id="rId1533"/><Relationship Type="http://schemas.openxmlformats.org/officeDocument/2006/relationships/hyperlink" Target="https://www.youtube.com/watch?v=4oDfUM6nw5I" TargetMode="External" Id="rId1534"/><Relationship Type="http://schemas.openxmlformats.org/officeDocument/2006/relationships/hyperlink" Target="https://scholar.google.com/scholar?q=Baker+et+al.+2001+PNAS+98%3A10037+APBS+Jurrus+et+al.+2018+Protein+Sci+27%3A112" TargetMode="External" Id="rId1535"/><Relationship Type="http://schemas.openxmlformats.org/officeDocument/2006/relationships/hyperlink" Target="https://www.youtube.com/watch?v=70XWhwSUFk0" TargetMode="External" Id="rId1536"/><Relationship Type="http://schemas.openxmlformats.org/officeDocument/2006/relationships/hyperlink" Target="https://scholar.google.com/scholar?q=Baker+et+al.+2001+PNAS+98%3A10037+APBS+Jurrus+et+al.+2018+Protein+Sci+27%3A112" TargetMode="External" Id="rId1537"/><Relationship Type="http://schemas.openxmlformats.org/officeDocument/2006/relationships/hyperlink" Target="https://www.youtube.com/watch?v=C3l4P5aTfhk" TargetMode="External" Id="rId1538"/><Relationship Type="http://schemas.openxmlformats.org/officeDocument/2006/relationships/hyperlink" Target="https://scholar.google.com/scholar?q=Baker+et+al.+2001+PNAS+98%3A10037+APBS+Jurrus+et+al.+2018+Protein+Sci+27%3A112" TargetMode="External" Id="rId1539"/><Relationship Type="http://schemas.openxmlformats.org/officeDocument/2006/relationships/hyperlink" Target="https://www.youtube.com/watch?v=u_zJJpr2wlA" TargetMode="External" Id="rId1540"/><Relationship Type="http://schemas.openxmlformats.org/officeDocument/2006/relationships/hyperlink" Target="https://scholar.google.com/scholar?q=Baker+et+al.+2001+PNAS+98%3A10037+APBS+Jurrus+et+al.+2018+Protein+Sci+27%3A112" TargetMode="External" Id="rId1541"/><Relationship Type="http://schemas.openxmlformats.org/officeDocument/2006/relationships/hyperlink" Target="https://www.youtube.com/watch?v=jqw6yVp8SUc" TargetMode="External" Id="rId1542"/><Relationship Type="http://schemas.openxmlformats.org/officeDocument/2006/relationships/hyperlink" Target="https://scholar.google.com/scholar?q=Baker+et+al.+2001+PNAS+98%3A10037+APBS+Jurrus+et+al.+2018+Protein+Sci+27%3A112" TargetMode="External" Id="rId1543"/><Relationship Type="http://schemas.openxmlformats.org/officeDocument/2006/relationships/hyperlink" Target="https://www.youtube.com/watch?v=Ty1UgvlMDCk" TargetMode="External" Id="rId1544"/><Relationship Type="http://schemas.openxmlformats.org/officeDocument/2006/relationships/hyperlink" Target="https://scholar.google.com/scholar?q=Baker+et+al.+2001+PNAS+98%3A10037+APBS+Jurrus+et+al.+2018+Protein+Sci+27%3A112" TargetMode="External" Id="rId1545"/><Relationship Type="http://schemas.openxmlformats.org/officeDocument/2006/relationships/hyperlink" Target="https://www.youtube.com/watch?v=dxMbd_Qlh04" TargetMode="External" Id="rId1546"/><Relationship Type="http://schemas.openxmlformats.org/officeDocument/2006/relationships/hyperlink" Target="https://scholar.google.com/scholar?q=Baker+et+al.+2001+PNAS+98%3A10037+APBS+Jurrus+et+al.+2018+Protein+Sci+27%3A112" TargetMode="External" Id="rId1547"/><Relationship Type="http://schemas.openxmlformats.org/officeDocument/2006/relationships/hyperlink" Target="https://www.youtube.com/watch?v=CUd9t6n6TAI" TargetMode="External" Id="rId1548"/><Relationship Type="http://schemas.openxmlformats.org/officeDocument/2006/relationships/hyperlink" Target="https://scholar.google.com/scholar?q=Baker+et+al.+2001+PNAS+98%3A10037+APBS+Jurrus+et+al.+2018+Protein+Sci+27%3A112" TargetMode="External" Id="rId1549"/><Relationship Type="http://schemas.openxmlformats.org/officeDocument/2006/relationships/hyperlink" Target="https://www.youtube.com/watch?v=tyRfaqjJL4w" TargetMode="External" Id="rId1550"/><Relationship Type="http://schemas.openxmlformats.org/officeDocument/2006/relationships/hyperlink" Target="https://scholar.google.com/scholar?q=Baker+et+al.+2001+PNAS+98%3A10037+APBS+Jurrus+et+al.+2018+Protein+Sci+27%3A112" TargetMode="External" Id="rId1551"/><Relationship Type="http://schemas.openxmlformats.org/officeDocument/2006/relationships/hyperlink" Target="https://www.youtube.com/watch?v=nO7hfoWEJNk" TargetMode="External" Id="rId1552"/><Relationship Type="http://schemas.openxmlformats.org/officeDocument/2006/relationships/hyperlink" Target="https://scholar.google.com/scholar?q=Baker+et+al.+2001+PNAS+98%3A10037+APBS+Jurrus+et+al.+2018+Protein+Sci+27%3A112" TargetMode="External" Id="rId1553"/><Relationship Type="http://schemas.openxmlformats.org/officeDocument/2006/relationships/hyperlink" Target="https://www.youtube.com/watch?v=CRcqjuG-jGE" TargetMode="External" Id="rId1554"/><Relationship Type="http://schemas.openxmlformats.org/officeDocument/2006/relationships/hyperlink" Target="https://scholar.google.com/scholar?q=Baker+et+al.+2001+PNAS+98%3A10037+APBS+Jurrus+et+al.+2018+Protein+Sci+27%3A112" TargetMode="External" Id="rId1555"/><Relationship Type="http://schemas.openxmlformats.org/officeDocument/2006/relationships/hyperlink" Target="https://www.youtube.com/watch?v=ec9kuIa2GR4" TargetMode="External" Id="rId1556"/><Relationship Type="http://schemas.openxmlformats.org/officeDocument/2006/relationships/hyperlink" Target="https://scholar.google.com/scholar?q=Baker+et+al.+2001+PNAS+98%3A10037+APBS+Jurrus+et+al.+2018+Protein+Sci+27%3A112" TargetMode="External" Id="rId1557"/><Relationship Type="http://schemas.openxmlformats.org/officeDocument/2006/relationships/hyperlink" Target="https://www.youtube.com/watch?v=T3UuWAAlxnU" TargetMode="External" Id="rId1558"/><Relationship Type="http://schemas.openxmlformats.org/officeDocument/2006/relationships/hyperlink" Target="https://scholar.google.com/scholar?q=Baker+et+al.+2001+PNAS+98%3A10037+APBS+Jurrus+et+al.+2018+Protein+Sci+27%3A112" TargetMode="External" Id="rId1559"/><Relationship Type="http://schemas.openxmlformats.org/officeDocument/2006/relationships/hyperlink" Target="https://www.youtube.com/watch?v=MYAC8joRAoE" TargetMode="External" Id="rId1560"/><Relationship Type="http://schemas.openxmlformats.org/officeDocument/2006/relationships/hyperlink" Target="https://scholar.google.com/scholar?q=Baker+et+al.+2001+PNAS+98%3A10037+APBS+Jurrus+et+al.+2018+Protein+Sci+27%3A112" TargetMode="External" Id="rId1561"/><Relationship Type="http://schemas.openxmlformats.org/officeDocument/2006/relationships/hyperlink" Target="https://www.youtube.com/watch?v=D_ZllHnTL2w" TargetMode="External" Id="rId1562"/><Relationship Type="http://schemas.openxmlformats.org/officeDocument/2006/relationships/hyperlink" Target="https://scholar.google.com/scholar?q=Baker+et+al.+2001+PNAS+98%3A10037+APBS+Jurrus+et+al.+2018+Protein+Sci+27%3A112" TargetMode="External" Id="rId1563"/><Relationship Type="http://schemas.openxmlformats.org/officeDocument/2006/relationships/hyperlink" Target="https://www.youtube.com/watch?v=3Tome3TF1HM" TargetMode="External" Id="rId1564"/><Relationship Type="http://schemas.openxmlformats.org/officeDocument/2006/relationships/hyperlink" Target="https://scholar.google.com/scholar?q=Baker+et+al.+2001+PNAS+98%3A10037+APBS+Jurrus+et+al.+2018+Protein+Sci+27%3A112" TargetMode="External" Id="rId1565"/><Relationship Type="http://schemas.openxmlformats.org/officeDocument/2006/relationships/hyperlink" Target="https://www.youtube.com/watch?v=XYkDL8Dl-2Q" TargetMode="External" Id="rId1566"/><Relationship Type="http://schemas.openxmlformats.org/officeDocument/2006/relationships/hyperlink" Target="https://scholar.google.com/scholar?q=Baker+et+al.+2001+PNAS+98%3A10037+APBS+Jurrus+et+al.+2018+Protein+Sci+27%3A112" TargetMode="External" Id="rId1567"/><Relationship Type="http://schemas.openxmlformats.org/officeDocument/2006/relationships/hyperlink" Target="https://www.youtube.com/watch?v=pmlg4HXOoXQ" TargetMode="External" Id="rId1568"/><Relationship Type="http://schemas.openxmlformats.org/officeDocument/2006/relationships/hyperlink" Target="https://scholar.google.com/scholar?q=Baker+et+al.+2001+PNAS+98%3A10037+APBS+Jurrus+et+al.+2018+Protein+Sci+27%3A112" TargetMode="External" Id="rId1569"/><Relationship Type="http://schemas.openxmlformats.org/officeDocument/2006/relationships/hyperlink" Target="https://www.youtube.com/watch?v=jmFxZDTmEBo" TargetMode="External" Id="rId1570"/><Relationship Type="http://schemas.openxmlformats.org/officeDocument/2006/relationships/hyperlink" Target="https://scholar.google.com/scholar?q=Baker+et+al.+2001+PNAS+98%3A10037+APBS+Jurrus+et+al.+2018+Protein+Sci+27%3A112" TargetMode="External" Id="rId1571"/><Relationship Type="http://schemas.openxmlformats.org/officeDocument/2006/relationships/hyperlink" Target="https://www.youtube.com/watch?v=cN_VdUHDdNA" TargetMode="External" Id="rId1572"/><Relationship Type="http://schemas.openxmlformats.org/officeDocument/2006/relationships/hyperlink" Target="https://scholar.google.com/scholar?q=Baker+et+al.+2001+PNAS+98%3A10037+APBS+Jurrus+et+al.+2018+Protein+Sci+27%3A112" TargetMode="External" Id="rId1573"/><Relationship Type="http://schemas.openxmlformats.org/officeDocument/2006/relationships/hyperlink" Target="https://www.youtube.com/watch?v=AULTBI3BqRY" TargetMode="External" Id="rId1574"/><Relationship Type="http://schemas.openxmlformats.org/officeDocument/2006/relationships/hyperlink" Target="https://scholar.google.com/scholar?q=Baker+et+al.+2001+PNAS+98%3A10037+APBS+Jurrus+et+al.+2018+Protein+Sci+27%3A112" TargetMode="External" Id="rId1575"/><Relationship Type="http://schemas.openxmlformats.org/officeDocument/2006/relationships/hyperlink" Target="https://www.youtube.com/watch?v=qpx6bQZhWrU" TargetMode="External" Id="rId1576"/><Relationship Type="http://schemas.openxmlformats.org/officeDocument/2006/relationships/hyperlink" Target="https://scholar.google.com/scholar?q=Baker+et+al.+2001+PNAS+98%3A10037+APBS+Jurrus+et+al.+2018+Protein+Sci+27%3A112" TargetMode="External" Id="rId1577"/><Relationship Type="http://schemas.openxmlformats.org/officeDocument/2006/relationships/hyperlink" Target="https://www.youtube.com/watch?v=1AWPWKJQzi4" TargetMode="External" Id="rId1578"/><Relationship Type="http://schemas.openxmlformats.org/officeDocument/2006/relationships/hyperlink" Target="https://scholar.google.com/scholar?q=Baker+et+al.+2001+PNAS+98%3A10037+APBS+Jurrus+et+al.+2018+Protein+Sci+27%3A112" TargetMode="External" Id="rId1579"/><Relationship Type="http://schemas.openxmlformats.org/officeDocument/2006/relationships/hyperlink" Target="https://www.youtube.com/watch?v=LME7_CT6Ig0" TargetMode="External" Id="rId1580"/><Relationship Type="http://schemas.openxmlformats.org/officeDocument/2006/relationships/hyperlink" Target="https://scholar.google.com/scholar?q=Baker+et+al.+2001+PNAS+98%3A10037+APBS+Jurrus+et+al.+2018+Protein+Sci+27%3A112" TargetMode="External" Id="rId1581"/><Relationship Type="http://schemas.openxmlformats.org/officeDocument/2006/relationships/hyperlink" Target="https://www.youtube.com/watch?v=SOLtITFLBk8" TargetMode="External" Id="rId1582"/><Relationship Type="http://schemas.openxmlformats.org/officeDocument/2006/relationships/hyperlink" Target="https://scholar.google.com/scholar?q=Baker+et+al.+2001+PNAS+98%3A10037+APBS+Jurrus+et+al.+2018+Protein+Sci+27%3A112" TargetMode="External" Id="rId1583"/><Relationship Type="http://schemas.openxmlformats.org/officeDocument/2006/relationships/hyperlink" Target="https://www.youtube.com/watch?v=SJz4iCcquvk" TargetMode="External" Id="rId1584"/><Relationship Type="http://schemas.openxmlformats.org/officeDocument/2006/relationships/hyperlink" Target="https://scholar.google.com/scholar?q=Baker+et+al.+2001+PNAS+98%3A10037+APBS+Jurrus+et+al.+2018+Protein+Sci+27%3A112" TargetMode="External" Id="rId1585"/><Relationship Type="http://schemas.openxmlformats.org/officeDocument/2006/relationships/hyperlink" Target="https://www.youtube.com/watch?v=eDXDa7ah9Bg" TargetMode="External" Id="rId1586"/><Relationship Type="http://schemas.openxmlformats.org/officeDocument/2006/relationships/hyperlink" Target="https://scholar.google.com/scholar?q=Baker+et+al.+2001+PNAS+98%3A10037+APBS+Jurrus+et+al.+2018+Protein+Sci+27%3A112" TargetMode="External" Id="rId1587"/><Relationship Type="http://schemas.openxmlformats.org/officeDocument/2006/relationships/hyperlink" Target="https://www.youtube.com/watch?v=ftsKVIPFDRQ" TargetMode="External" Id="rId1588"/><Relationship Type="http://schemas.openxmlformats.org/officeDocument/2006/relationships/hyperlink" Target="https://scholar.google.com/scholar?q=Baker+et+al.+2001+PNAS+98%3A10037+APBS+Jurrus+et+al.+2018+Protein+Sci+27%3A112" TargetMode="External" Id="rId1589"/><Relationship Type="http://schemas.openxmlformats.org/officeDocument/2006/relationships/hyperlink" Target="https://www.youtube.com/watch?v=oZj-oYPEwhA" TargetMode="External" Id="rId1590"/><Relationship Type="http://schemas.openxmlformats.org/officeDocument/2006/relationships/hyperlink" Target="https://scholar.google.com/scholar?q=Baker+et+al.+2001+PNAS+98%3A10037+APBS+Jurrus+et+al.+2018+Protein+Sci+27%3A112" TargetMode="External" Id="rId1591"/><Relationship Type="http://schemas.openxmlformats.org/officeDocument/2006/relationships/hyperlink" Target="https://www.youtube.com/watch?v=rp2c7c_wgp8" TargetMode="External" Id="rId1592"/><Relationship Type="http://schemas.openxmlformats.org/officeDocument/2006/relationships/hyperlink" Target="https://scholar.google.com/scholar?q=Baker+et+al.+2001+PNAS+98%3A10037+APBS+Jurrus+et+al.+2018+Protein+Sci+27%3A112" TargetMode="External" Id="rId1593"/><Relationship Type="http://schemas.openxmlformats.org/officeDocument/2006/relationships/hyperlink" Target="https://www.youtube.com/watch?v=X-zZvgoOG1U" TargetMode="External" Id="rId1594"/><Relationship Type="http://schemas.openxmlformats.org/officeDocument/2006/relationships/hyperlink" Target="https://scholar.google.com/scholar?q=Baker+et+al.+2001+PNAS+98%3A10037+APBS+Jurrus+et+al.+2018+Protein+Sci+27%3A112" TargetMode="External" Id="rId1595"/><Relationship Type="http://schemas.openxmlformats.org/officeDocument/2006/relationships/hyperlink" Target="https://www.youtube.com/watch?v=ZL81ZxN_eo0" TargetMode="External" Id="rId1596"/><Relationship Type="http://schemas.openxmlformats.org/officeDocument/2006/relationships/hyperlink" Target="https://scholar.google.com/scholar?q=Baker+et+al.+2001+PNAS+98%3A10037+APBS+Jurrus+et+al.+2018+Protein+Sci+27%3A112" TargetMode="External" Id="rId1597"/><Relationship Type="http://schemas.openxmlformats.org/officeDocument/2006/relationships/hyperlink" Target="https://www.youtube.com/watch?v=IrccZxgaJ_8" TargetMode="External" Id="rId1598"/><Relationship Type="http://schemas.openxmlformats.org/officeDocument/2006/relationships/hyperlink" Target="https://scholar.google.com/scholar?q=Baker+et+al.+2001+PNAS+98%3A10037+APBS+Jurrus+et+al.+2018+Protein+Sci+27%3A112" TargetMode="External" Id="rId1599"/><Relationship Type="http://schemas.openxmlformats.org/officeDocument/2006/relationships/hyperlink" Target="https://www.youtube.com/watch?v=-KJiH_WF65s" TargetMode="External" Id="rId1600"/><Relationship Type="http://schemas.openxmlformats.org/officeDocument/2006/relationships/hyperlink" Target="https://scholar.google.com/scholar?q=Baker+et+al.+2001+PNAS+98%3A10037+APBS+Jurrus+et+al.+2018+Protein+Sci+27%3A112" TargetMode="External" Id="rId1601"/><Relationship Type="http://schemas.openxmlformats.org/officeDocument/2006/relationships/hyperlink" Target="https://www.youtube.com/watch?v=GBadIxFfcRE" TargetMode="External" Id="rId1602"/><Relationship Type="http://schemas.openxmlformats.org/officeDocument/2006/relationships/hyperlink" Target="https://scholar.google.com/scholar?q=Baker+et+al.+2001+PNAS+98%3A10037+APBS+Jurrus+et+al.+2018+Protein+Sci+27%3A112" TargetMode="External" Id="rId1603"/><Relationship Type="http://schemas.openxmlformats.org/officeDocument/2006/relationships/hyperlink" Target="https://www.youtube.com/watch?v=zLYn9X5fuyQ" TargetMode="External" Id="rId1604"/><Relationship Type="http://schemas.openxmlformats.org/officeDocument/2006/relationships/hyperlink" Target="https://scholar.google.com/scholar?q=Baker+et+al.+2001+PNAS+98%3A10037+APBS+Jurrus+et+al.+2018+Protein+Sci+27%3A112" TargetMode="External" Id="rId1605"/><Relationship Type="http://schemas.openxmlformats.org/officeDocument/2006/relationships/hyperlink" Target="https://www.youtube.com/watch?v=D8Cu06HVHe0" TargetMode="External" Id="rId1606"/><Relationship Type="http://schemas.openxmlformats.org/officeDocument/2006/relationships/hyperlink" Target="https://scholar.google.com/scholar?q=Baker+et+al.+2001+PNAS+98%3A10037+APBS+Jurrus+et+al.+2018+Protein+Sci+27%3A112" TargetMode="External" Id="rId1607"/><Relationship Type="http://schemas.openxmlformats.org/officeDocument/2006/relationships/hyperlink" Target="https://www.youtube.com/watch?v=1Jul3KE1hoU" TargetMode="External" Id="rId1608"/><Relationship Type="http://schemas.openxmlformats.org/officeDocument/2006/relationships/hyperlink" Target="https://scholar.google.com/scholar?q=Baker+et+al.+2001+PNAS+98%3A10037+APBS+Jurrus+et+al.+2018+Protein+Sci+27%3A112" TargetMode="External" Id="rId1609"/><Relationship Type="http://schemas.openxmlformats.org/officeDocument/2006/relationships/hyperlink" Target="https://www.youtube.com/watch?v=BFJ0ekvAE-w" TargetMode="External" Id="rId1610"/><Relationship Type="http://schemas.openxmlformats.org/officeDocument/2006/relationships/hyperlink" Target="https://scholar.google.com/scholar?q=Baker+et+al.+2001+PNAS+98%3A10037+APBS+Jurrus+et+al.+2018+Protein+Sci+27%3A112" TargetMode="External" Id="rId1611"/><Relationship Type="http://schemas.openxmlformats.org/officeDocument/2006/relationships/hyperlink" Target="https://www.youtube.com/watch?v=ZW4mzOCoJDU" TargetMode="External" Id="rId1612"/><Relationship Type="http://schemas.openxmlformats.org/officeDocument/2006/relationships/hyperlink" Target="https://scholar.google.com/scholar?q=Baker+et+al.+2001+PNAS+98%3A10037+APBS+Jurrus+et+al.+2018+Protein+Sci+27%3A112" TargetMode="External" Id="rId1613"/><Relationship Type="http://schemas.openxmlformats.org/officeDocument/2006/relationships/hyperlink" Target="https://www.youtube.com/watch?v=xVKB1hP5kJc" TargetMode="External" Id="rId1614"/><Relationship Type="http://schemas.openxmlformats.org/officeDocument/2006/relationships/hyperlink" Target="https://scholar.google.com/scholar?q=Baker+et+al.+2001+PNAS+98%3A10037+APBS+Jurrus+et+al.+2018+Protein+Sci+27%3A112" TargetMode="External" Id="rId1615"/><Relationship Type="http://schemas.openxmlformats.org/officeDocument/2006/relationships/hyperlink" Target="https://www.youtube.com/watch?v=vV7msRgC4XI" TargetMode="External" Id="rId1616"/><Relationship Type="http://schemas.openxmlformats.org/officeDocument/2006/relationships/hyperlink" Target="https://scholar.google.com/scholar?q=Baker+et+al.+2001+PNAS+98%3A10037+APBS+Jurrus+et+al.+2018+Protein+Sci+27%3A112" TargetMode="External" Id="rId1617"/><Relationship Type="http://schemas.openxmlformats.org/officeDocument/2006/relationships/hyperlink" Target="https://www.youtube.com/watch?v=MA9sDo7bR3I" TargetMode="External" Id="rId1618"/><Relationship Type="http://schemas.openxmlformats.org/officeDocument/2006/relationships/hyperlink" Target="https://scholar.google.com/scholar?q=Baker+et+al.+2001+PNAS+98%3A10037+APBS+Jurrus+et+al.+2018+Protein+Sci+27%3A112" TargetMode="External" Id="rId1619"/><Relationship Type="http://schemas.openxmlformats.org/officeDocument/2006/relationships/hyperlink" Target="https://www.youtube.com/watch?v=_ZYCBUnH-5Y" TargetMode="External" Id="rId1620"/><Relationship Type="http://schemas.openxmlformats.org/officeDocument/2006/relationships/hyperlink" Target="https://scholar.google.com/scholar?q=Baker+et+al.+2001+PNAS+98%3A10037+APBS+Jurrus+et+al.+2018+Protein+Sci+27%3A112" TargetMode="External" Id="rId1621"/><Relationship Type="http://schemas.openxmlformats.org/officeDocument/2006/relationships/hyperlink" Target="https://www.youtube.com/watch?v=6lUCO-xXkb0" TargetMode="External" Id="rId1622"/><Relationship Type="http://schemas.openxmlformats.org/officeDocument/2006/relationships/hyperlink" Target="https://scholar.google.com/scholar?q=Schneidman-Duhovny+et+al.+2016+NAR+44%3AW424+FoXS+MultiFoXS+Bernad%C3%B3+et+al.+2007+JACS+129%3A5656+EOM" TargetMode="External" Id="rId1623"/><Relationship Type="http://schemas.openxmlformats.org/officeDocument/2006/relationships/hyperlink" Target="https://www.youtube.com/watch?v=mckbwfxc5-A" TargetMode="External" Id="rId1624"/><Relationship Type="http://schemas.openxmlformats.org/officeDocument/2006/relationships/hyperlink" Target="https://scholar.google.com/scholar?q=Schneidman-Duhovny+et+al.+2016+NAR+44%3AW424+FoXS+MultiFoXS+Bernad%C3%B3+et+al.+2007+JACS+129%3A5656+EOM" TargetMode="External" Id="rId1625"/><Relationship Type="http://schemas.openxmlformats.org/officeDocument/2006/relationships/hyperlink" Target="https://www.youtube.com/watch?v=o0CpKeWfITY" TargetMode="External" Id="rId1626"/><Relationship Type="http://schemas.openxmlformats.org/officeDocument/2006/relationships/hyperlink" Target="https://scholar.google.com/scholar?q=Schneidman-Duhovny+et+al.+2016+NAR+44%3AW424+FoXS+MultiFoXS+Bernad%C3%B3+et+al.+2007+JACS+129%3A5656+EOM" TargetMode="External" Id="rId1627"/><Relationship Type="http://schemas.openxmlformats.org/officeDocument/2006/relationships/hyperlink" Target="https://www.youtube.com/watch?v=693Aanfe3mw" TargetMode="External" Id="rId1628"/><Relationship Type="http://schemas.openxmlformats.org/officeDocument/2006/relationships/hyperlink" Target="https://scholar.google.com/scholar?q=Schneidman-Duhovny+et+al.+2016+NAR+44%3AW424+FoXS+MultiFoXS+Bernad%C3%B3+et+al.+2007+JACS+129%3A5656+EOM" TargetMode="External" Id="rId1629"/><Relationship Type="http://schemas.openxmlformats.org/officeDocument/2006/relationships/hyperlink" Target="https://www.youtube.com/watch?v=0r25eXy-Bgc" TargetMode="External" Id="rId1630"/><Relationship Type="http://schemas.openxmlformats.org/officeDocument/2006/relationships/hyperlink" Target="https://scholar.google.com/scholar?q=Hummer+%26+K%C3%B6finger+2015+JCP+143%3A243150+Bayesian+inference+of+ensembles+-+the+correct+way+to+combine+simulation+with+averaged+data+Bonomi+et+al.+2017+Curr+Opin+Struct+Biol+42%3A106+metainference" TargetMode="External" Id="rId1631"/><Relationship Type="http://schemas.openxmlformats.org/officeDocument/2006/relationships/hyperlink" Target="https://www.youtube.com/watch?v=UM4Iff_jUXI" TargetMode="External" Id="rId1632"/><Relationship Type="http://schemas.openxmlformats.org/officeDocument/2006/relationships/hyperlink" Target="https://scholar.google.com/scholar?q=Hummer+%26+K%C3%B6finger+2015+JCP+143%3A243150+Bayesian+inference+of+ensembles+-+the+correct+way+to+combine+simulation+with+averaged+data+Bonomi+et+al.+2017+Curr+Opin+Struct+Biol+42%3A106+metainference" TargetMode="External" Id="rId1633"/><Relationship Type="http://schemas.openxmlformats.org/officeDocument/2006/relationships/hyperlink" Target="https://www.youtube.com/watch?v=I-utRMS84E8" TargetMode="External" Id="rId1634"/><Relationship Type="http://schemas.openxmlformats.org/officeDocument/2006/relationships/hyperlink" Target="https://scholar.google.com/scholar?q=Hummer+%26+K%C3%B6finger+2015+JCP+143%3A243150+Bayesian+inference+of+ensembles+-+the+correct+way+to+combine+simulation+with+averaged+data+Bonomi+et+al.+2017+Curr+Opin+Struct+Biol+42%3A106+metainference" TargetMode="External" Id="rId1635"/><Relationship Type="http://schemas.openxmlformats.org/officeDocument/2006/relationships/hyperlink" Target="https://www.youtube.com/watch?v=Vrh2dNevlW4" TargetMode="External" Id="rId1636"/><Relationship Type="http://schemas.openxmlformats.org/officeDocument/2006/relationships/hyperlink" Target="https://scholar.google.com/scholar?q=Hummer+%26+K%C3%B6finger+2015+JCP+143%3A243150+Bayesian+inference+of+ensembles+-+the+correct+way+to+combine+simulation+with+averaged+data+Bonomi+et+al.+2017+Curr+Opin+Struct+Biol+42%3A106+metainference" TargetMode="External" Id="rId1637"/><Relationship Type="http://schemas.openxmlformats.org/officeDocument/2006/relationships/hyperlink" Target="https://www.youtube.com/watch?v=wrFIklZObR8" TargetMode="External" Id="rId1638"/><Relationship Type="http://schemas.openxmlformats.org/officeDocument/2006/relationships/hyperlink" Target="https://scholar.google.com/scholar?q=Hummer+%26+K%C3%B6finger+2015+JCP+143%3A243150+Bayesian+inference+of+ensembles+-+the+correct+way+to+combine+simulation+with+averaged+data+Bonomi+et+al.+2017+Curr+Opin+Struct+Biol+42%3A106+metainference" TargetMode="External" Id="rId1639"/><Relationship Type="http://schemas.openxmlformats.org/officeDocument/2006/relationships/hyperlink" Target="https://www.youtube.com/watch?v=ZfPgjP2if50" TargetMode="External" Id="rId1640"/><Relationship Type="http://schemas.openxmlformats.org/officeDocument/2006/relationships/hyperlink" Target="https://scholar.google.com/scholar?q=Hummer+%26+K%C3%B6finger+2015+JCP+143%3A243150+Bayesian+inference+of+ensembles+-+the+correct+way+to+combine+simulation+with+averaged+data+Bonomi+et+al.+2017+Curr+Opin+Struct+Biol+42%3A106+metainference" TargetMode="External" Id="rId1641"/><Relationship Type="http://schemas.openxmlformats.org/officeDocument/2006/relationships/hyperlink" Target="https://www.youtube.com/watch?v=m1Y9TfhYtDc" TargetMode="External" Id="rId1642"/><Relationship Type="http://schemas.openxmlformats.org/officeDocument/2006/relationships/hyperlink" Target="https://scholar.google.com/scholar?q=Hummer+%26+K%C3%B6finger+2015+JCP+143%3A243150+Bayesian+inference+of+ensembles+-+the+correct+way+to+combine+simulation+with+averaged+data+Bonomi+et+al.+2017+Curr+Opin+Struct+Biol+42%3A106+metainference" TargetMode="External" Id="rId1643"/><Relationship Type="http://schemas.openxmlformats.org/officeDocument/2006/relationships/hyperlink" Target="https://www.youtube.com/watch?v=4IrifI8LXo0" TargetMode="External" Id="rId1644"/><Relationship Type="http://schemas.openxmlformats.org/officeDocument/2006/relationships/hyperlink" Target="https://scholar.google.com/scholar?q=Hummer+%26+K%C3%B6finger+2015+JCP+143%3A243150+Bayesian+inference+of+ensembles+-+the+correct+way+to+combine+simulation+with+averaged+data+Bonomi+et+al.+2017+Curr+Opin+Struct+Biol+42%3A106+metainference" TargetMode="External" Id="rId1645"/><Relationship Type="http://schemas.openxmlformats.org/officeDocument/2006/relationships/hyperlink" Target="https://www.youtube.com/watch?v=t31YFwwIxfA" TargetMode="External" Id="rId1646"/><Relationship Type="http://schemas.openxmlformats.org/officeDocument/2006/relationships/hyperlink" Target="https://scholar.google.com/scholar?q=Hummer+%26+K%C3%B6finger+2015+JCP+143%3A243150+Bayesian+inference+of+ensembles+-+the+correct+way+to+combine+simulation+with+averaged+data+Bonomi+et+al.+2017+Curr+Opin+Struct+Biol+42%3A106+metainference" TargetMode="External" Id="rId1647"/><Relationship Type="http://schemas.openxmlformats.org/officeDocument/2006/relationships/hyperlink" Target="https://www.youtube.com/watch?v=Hz7oHd1mu8k" TargetMode="External" Id="rId1648"/><Relationship Type="http://schemas.openxmlformats.org/officeDocument/2006/relationships/hyperlink" Target="https://scholar.google.com/scholar?q=Gray+et+al.+2003+JMB+331%3A281+RosettaDock" TargetMode="External" Id="rId1649"/><Relationship Type="http://schemas.openxmlformats.org/officeDocument/2006/relationships/hyperlink" Target="https://www.youtube.com/watch?v=0tkBPa0hkR8" TargetMode="External" Id="rId1650"/><Relationship Type="http://schemas.openxmlformats.org/officeDocument/2006/relationships/hyperlink" Target="https://scholar.google.com/scholar?q=Hummer+%26+K%C3%B6finger+2015+JCP+143%3A243150+Bayesian+inference+of+ensembles+-+the+correct+way+to+combine+simulation+with+averaged+data+Bonomi+et+al.+2017+Curr+Opin+Struct+Biol+42%3A106+metainference" TargetMode="External" Id="rId1651"/><Relationship Type="http://schemas.openxmlformats.org/officeDocument/2006/relationships/hyperlink" Target="https://www.youtube.com/watch?v=tzkhQqSgakQ" TargetMode="External" Id="rId1652"/><Relationship Type="http://schemas.openxmlformats.org/officeDocument/2006/relationships/hyperlink" Target="https://scholar.google.com/scholar?q=Hummer+%26+K%C3%B6finger+2015+JCP+143%3A243150+Bayesian+inference+of+ensembles+-+the+correct+way+to+combine+simulation+with+averaged+data+Bonomi+et+al.+2017+Curr+Opin+Struct+Biol+42%3A106+metainference" TargetMode="External" Id="rId1653"/><Relationship Type="http://schemas.openxmlformats.org/officeDocument/2006/relationships/hyperlink" Target="https://www.youtube.com/watch?v=723iG1V-K8U" TargetMode="External" Id="rId1654"/><Relationship Type="http://schemas.openxmlformats.org/officeDocument/2006/relationships/hyperlink" Target="https://scholar.google.com/scholar?q=Hummer+%26+K%C3%B6finger+2015+JCP+143%3A243150+Bayesian+inference+of+ensembles+-+the+correct+way+to+combine+simulation+with+averaged+data+Bonomi+et+al.+2017+Curr+Opin+Struct+Biol+42%3A106+metainference" TargetMode="External" Id="rId1655"/><Relationship Type="http://schemas.openxmlformats.org/officeDocument/2006/relationships/hyperlink" Target="https://www.youtube.com/watch?v=hJqgu2amqI0" TargetMode="External" Id="rId1656"/><Relationship Type="http://schemas.openxmlformats.org/officeDocument/2006/relationships/hyperlink" Target="https://scholar.google.com/scholar?q=Hummer+%26+K%C3%B6finger+2015+JCP+143%3A243150+Bayesian+inference+of+ensembles+-+the+correct+way+to+combine+simulation+with+averaged+data+Bonomi+et+al.+2017+Curr+Opin+Struct+Biol+42%3A106+metainference" TargetMode="External" Id="rId1657"/><Relationship Type="http://schemas.openxmlformats.org/officeDocument/2006/relationships/hyperlink" Target="https://www.youtube.com/watch?v=yj6w8-DOySI" TargetMode="External" Id="rId1658"/><Relationship Type="http://schemas.openxmlformats.org/officeDocument/2006/relationships/hyperlink" Target="https://scholar.google.com/scholar?q=Alford+et+al.+2017+JCTC+13%3A3031" TargetMode="External" Id="rId1659"/><Relationship Type="http://schemas.openxmlformats.org/officeDocument/2006/relationships/hyperlink" Target="https://www.youtube.com/watch?v=hkzNlgacGfM" TargetMode="External" Id="rId1660"/><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61"/><Relationship Type="http://schemas.openxmlformats.org/officeDocument/2006/relationships/hyperlink" Target="https://www.youtube.com/watch?v=p560AAScWeg" TargetMode="External" Id="rId1662"/><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63"/><Relationship Type="http://schemas.openxmlformats.org/officeDocument/2006/relationships/hyperlink" Target="https://www.youtube.com/watch?v=AYluwsUjZb4" TargetMode="External" Id="rId1664"/><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65"/><Relationship Type="http://schemas.openxmlformats.org/officeDocument/2006/relationships/hyperlink" Target="https://www.youtube.com/watch?v=tU_Sr0H0jH8" TargetMode="External" Id="rId1666"/><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67"/><Relationship Type="http://schemas.openxmlformats.org/officeDocument/2006/relationships/hyperlink" Target="https://www.youtube.com/watch?v=Cyk6W6YtWUQ" TargetMode="External" Id="rId1668"/><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69"/><Relationship Type="http://schemas.openxmlformats.org/officeDocument/2006/relationships/hyperlink" Target="https://www.youtube.com/watch?v=B68HeAqk_L8" TargetMode="External" Id="rId1670"/><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71"/><Relationship Type="http://schemas.openxmlformats.org/officeDocument/2006/relationships/hyperlink" Target="https://www.youtube.com/watch?v=ah--5sDF_wE" TargetMode="External" Id="rId1672"/><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73"/><Relationship Type="http://schemas.openxmlformats.org/officeDocument/2006/relationships/hyperlink" Target="https://www.youtube.com/watch?v=jKHqH_tuLqI" TargetMode="External" Id="rId1674"/><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75"/><Relationship Type="http://schemas.openxmlformats.org/officeDocument/2006/relationships/hyperlink" Target="https://www.youtube.com/watch?v=rMl3ukxTt3A" TargetMode="External" Id="rId1676"/><Relationship Type="http://schemas.openxmlformats.org/officeDocument/2006/relationships/hyperlink" Target="https://scholar.google.com/scholar?q=Any+docking-power+vs+scoring-power+assessment" TargetMode="External" Id="rId1677"/><Relationship Type="http://schemas.openxmlformats.org/officeDocument/2006/relationships/hyperlink" Target="https://www.youtube.com/watch?v=WAGwhVf4QnA" TargetMode="External" Id="rId1678"/><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79"/><Relationship Type="http://schemas.openxmlformats.org/officeDocument/2006/relationships/hyperlink" Target="https://www.youtube.com/watch?v=-9SlV7_AL2Q" TargetMode="External" Id="rId1680"/><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81"/><Relationship Type="http://schemas.openxmlformats.org/officeDocument/2006/relationships/hyperlink" Target="https://www.youtube.com/watch?v=5di4Ua1pMaU" TargetMode="External" Id="rId1682"/><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83"/><Relationship Type="http://schemas.openxmlformats.org/officeDocument/2006/relationships/hyperlink" Target="https://www.youtube.com/watch?v=qj_QAp3GHSw" TargetMode="External" Id="rId1684"/><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85"/><Relationship Type="http://schemas.openxmlformats.org/officeDocument/2006/relationships/hyperlink" Target="https://www.youtube.com/watch?v=4CXGGs0YSC8" TargetMode="External" Id="rId1686"/><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87"/><Relationship Type="http://schemas.openxmlformats.org/officeDocument/2006/relationships/hyperlink" Target="https://www.youtube.com/watch?v=AoJc0qq7mP4" TargetMode="External" Id="rId1688"/><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89"/><Relationship Type="http://schemas.openxmlformats.org/officeDocument/2006/relationships/hyperlink" Target="https://www.youtube.com/watch?v=-4wgIuMfr_w" TargetMode="External" Id="rId1690"/><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91"/><Relationship Type="http://schemas.openxmlformats.org/officeDocument/2006/relationships/hyperlink" Target="https://www.youtube.com/watch?v=ugRpgp-8sY4" TargetMode="External" Id="rId1692"/><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93"/><Relationship Type="http://schemas.openxmlformats.org/officeDocument/2006/relationships/hyperlink" Target="https://www.youtube.com/watch?v=I-MOQPC-Snc" TargetMode="External" Id="rId1694"/><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95"/><Relationship Type="http://schemas.openxmlformats.org/officeDocument/2006/relationships/hyperlink" Target="https://www.youtube.com/watch?v=PiiEyRyO07g" TargetMode="External" Id="rId1696"/><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97"/><Relationship Type="http://schemas.openxmlformats.org/officeDocument/2006/relationships/hyperlink" Target="https://www.youtube.com/watch?v=InwxoiVy3QQ" TargetMode="External" Id="rId1698"/><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699"/><Relationship Type="http://schemas.openxmlformats.org/officeDocument/2006/relationships/hyperlink" Target="https://www.youtube.com/watch?v=KUbEwGv21n8" TargetMode="External" Id="rId1700"/><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01"/><Relationship Type="http://schemas.openxmlformats.org/officeDocument/2006/relationships/hyperlink" Target="https://www.youtube.com/watch?v=9dWdaJ5jBqo" TargetMode="External" Id="rId1702"/><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03"/><Relationship Type="http://schemas.openxmlformats.org/officeDocument/2006/relationships/hyperlink" Target="https://www.youtube.com/watch?v=V7uwFbVDKFE" TargetMode="External" Id="rId1704"/><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05"/><Relationship Type="http://schemas.openxmlformats.org/officeDocument/2006/relationships/hyperlink" Target="https://www.youtube.com/watch?v=0pLOPev3ni0" TargetMode="External" Id="rId1706"/><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07"/><Relationship Type="http://schemas.openxmlformats.org/officeDocument/2006/relationships/hyperlink" Target="https://www.youtube.com/watch?v=kxEidXfUUB4" TargetMode="External" Id="rId1708"/><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09"/><Relationship Type="http://schemas.openxmlformats.org/officeDocument/2006/relationships/hyperlink" Target="https://www.youtube.com/watch?v=yFV8-Tbjs5w" TargetMode="External" Id="rId1710"/><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11"/><Relationship Type="http://schemas.openxmlformats.org/officeDocument/2006/relationships/hyperlink" Target="https://www.youtube.com/watch?v=xYlFARWGd88" TargetMode="External" Id="rId1712"/><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13"/><Relationship Type="http://schemas.openxmlformats.org/officeDocument/2006/relationships/hyperlink" Target="https://www.youtube.com/watch?v=6XV3Qnslk5Y" TargetMode="External" Id="rId1714"/><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15"/><Relationship Type="http://schemas.openxmlformats.org/officeDocument/2006/relationships/hyperlink" Target="https://www.youtube.com/watch?v=yvH8-1kg94Y" TargetMode="External" Id="rId1716"/><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17"/><Relationship Type="http://schemas.openxmlformats.org/officeDocument/2006/relationships/hyperlink" Target="https://www.youtube.com/watch?v=eSaqHvn0f5c" TargetMode="External" Id="rId1718"/><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19"/><Relationship Type="http://schemas.openxmlformats.org/officeDocument/2006/relationships/hyperlink" Target="https://www.youtube.com/watch?v=oj_kKetKUgo" TargetMode="External" Id="rId1720"/><Relationship Type="http://schemas.openxmlformats.org/officeDocument/2006/relationships/hyperlink" Target="https://scholar.google.com/scholar?q=Tropsha+2010+Mol+Inform+29%3A476" TargetMode="External" Id="rId1721"/><Relationship Type="http://schemas.openxmlformats.org/officeDocument/2006/relationships/hyperlink" Target="https://www.youtube.com/watch?v=ssYDstsZKNo" TargetMode="External" Id="rId1722"/><Relationship Type="http://schemas.openxmlformats.org/officeDocument/2006/relationships/hyperlink" Target="https://scholar.google.com/scholar?q=Any+pharmacophore+methods+paper" TargetMode="External" Id="rId1723"/><Relationship Type="http://schemas.openxmlformats.org/officeDocument/2006/relationships/hyperlink" Target="https://www.youtube.com/watch?v=9dyXbom-EJs" TargetMode="External" Id="rId1724"/><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25"/><Relationship Type="http://schemas.openxmlformats.org/officeDocument/2006/relationships/hyperlink" Target="https://www.youtube.com/watch?v=eJCelzzRo14" TargetMode="External" Id="rId1726"/><Relationship Type="http://schemas.openxmlformats.org/officeDocument/2006/relationships/hyperlink" Target="https://scholar.google.com/scholar?q=Gentile+et+al.+2020+ACS+Cent+Sci+6%3A939+Deep+Docking" TargetMode="External" Id="rId1727"/><Relationship Type="http://schemas.openxmlformats.org/officeDocument/2006/relationships/hyperlink" Target="https://www.youtube.com/watch?v=R1ss6CkELuQ" TargetMode="External" Id="rId1728"/><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29"/><Relationship Type="http://schemas.openxmlformats.org/officeDocument/2006/relationships/hyperlink" Target="https://www.youtube.com/watch?v=x8BudRNrY2s" TargetMode="External" Id="rId1730"/><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31"/><Relationship Type="http://schemas.openxmlformats.org/officeDocument/2006/relationships/hyperlink" Target="https://www.youtube.com/watch?v=BecixQzoYP4" TargetMode="External" Id="rId1732"/><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33"/><Relationship Type="http://schemas.openxmlformats.org/officeDocument/2006/relationships/hyperlink" Target="https://www.youtube.com/watch?v=m2cbh2R9iU0" TargetMode="External" Id="rId1734"/><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35"/><Relationship Type="http://schemas.openxmlformats.org/officeDocument/2006/relationships/hyperlink" Target="https://www.youtube.com/watch?v=QsjyKuazFlA" TargetMode="External" Id="rId1736"/><Relationship Type="http://schemas.openxmlformats.org/officeDocument/2006/relationships/hyperlink" Target="https://scholar.google.com/scholar?q=Any+active-learning+screening+paper" TargetMode="External" Id="rId1737"/><Relationship Type="http://schemas.openxmlformats.org/officeDocument/2006/relationships/hyperlink" Target="https://www.youtube.com/watch?v=MYITNRw3nag" TargetMode="External" Id="rId1738"/><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39"/><Relationship Type="http://schemas.openxmlformats.org/officeDocument/2006/relationships/hyperlink" Target="https://www.youtube.com/watch?v=wYrlHm7dBgE" TargetMode="External" Id="rId1740"/><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41"/><Relationship Type="http://schemas.openxmlformats.org/officeDocument/2006/relationships/hyperlink" Target="https://www.youtube.com/watch?v=ee1UlmhKKww" TargetMode="External" Id="rId1742"/><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43"/><Relationship Type="http://schemas.openxmlformats.org/officeDocument/2006/relationships/hyperlink" Target="https://www.youtube.com/watch?v=FWUPXG8U3UE" TargetMode="External" Id="rId1744"/><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45"/><Relationship Type="http://schemas.openxmlformats.org/officeDocument/2006/relationships/hyperlink" Target="https://www.youtube.com/watch?v=_lQQNpmcUCg" TargetMode="External" Id="rId1746"/><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47"/><Relationship Type="http://schemas.openxmlformats.org/officeDocument/2006/relationships/hyperlink" Target="https://www.youtube.com/watch?v=LdLVM4ZbW_o" TargetMode="External" Id="rId1748"/><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49"/><Relationship Type="http://schemas.openxmlformats.org/officeDocument/2006/relationships/hyperlink" Target="https://www.youtube.com/watch?v=ExUA8AGCj9k" TargetMode="External" Id="rId1750"/><Relationship Type="http://schemas.openxmlformats.org/officeDocument/2006/relationships/hyperlink" Target="https://scholar.google.com/scholar?q=Simons+et+al.+1997+J+Mol+Biol+268%3A209+fragment+assembly+-+the+founding+paper+Rohl+et+al.+2004+Methods+Enzymol+383%3A66+protein+structure+prediction+using+Rosetta" TargetMode="External" Id="rId1751"/><Relationship Type="http://schemas.openxmlformats.org/officeDocument/2006/relationships/hyperlink" Target="https://www.youtube.com/watch?v=lHNeBIGkroM" TargetMode="External" Id="rId1752"/><Relationship Type="http://schemas.openxmlformats.org/officeDocument/2006/relationships/hyperlink" Target="https://scholar.google.com/scholar?q=Steinegger+%26+S%C3%B6ding+2017+Nat+Biotechnol+35%3A1026+MMseqs2" TargetMode="External" Id="rId1753"/><Relationship Type="http://schemas.openxmlformats.org/officeDocument/2006/relationships/hyperlink" Target="https://www.youtube.com/watch?v=BJdRvODiDnk" TargetMode="External" Id="rId1754"/><Relationship Type="http://schemas.openxmlformats.org/officeDocument/2006/relationships/hyperlink" Target="https://scholar.google.com/scholar?q=Needleman+%26+Wunsch+1970+Smith+%26+Waterman+1981+Eddy+1998+Bioinformatics+14%3A755+profile+HMMs+and+Eddy+2011+PLoS+Comput+Biol+7%3Ae1002195+HMMER3" TargetMode="External" Id="rId1755"/><Relationship Type="http://schemas.openxmlformats.org/officeDocument/2006/relationships/hyperlink" Target="https://www.youtube.com/watch?v=0QWfV3aOTVI" TargetMode="External" Id="rId1756"/><Relationship Type="http://schemas.openxmlformats.org/officeDocument/2006/relationships/hyperlink" Target="https://scholar.google.com/scholar?q=Felsenstein+1981+J+Mol+Evol+17%3A368+ML+phylogeny+Felsenstein+1985+Evolution+39%3A783+phylogenies+and+the+comparative+method+-+the+non-independence+paper" TargetMode="External" Id="rId1757"/><Relationship Type="http://schemas.openxmlformats.org/officeDocument/2006/relationships/hyperlink" Target="https://www.youtube.com/watch?v=vlwdbPFr2kU" TargetMode="External" Id="rId1758"/><Relationship Type="http://schemas.openxmlformats.org/officeDocument/2006/relationships/hyperlink" Target="https://scholar.google.com/scholar?q=Felsenstein+1981+J+Mol+Evol+17%3A368+ML+phylogeny+Felsenstein+1985+Evolution+39%3A783+phylogenies+and+the+comparative+method+-+the+non-independence+paper" TargetMode="External" Id="rId1759"/><Relationship Type="http://schemas.openxmlformats.org/officeDocument/2006/relationships/hyperlink" Target="https://www.youtube.com/watch?v=PuECCmT1Ioo" TargetMode="External" Id="rId1760"/><Relationship Type="http://schemas.openxmlformats.org/officeDocument/2006/relationships/hyperlink" Target="https://scholar.google.com/scholar?q=Nowak+2006+book+ch.+1+4" TargetMode="External" Id="rId1761"/><Relationship Type="http://schemas.openxmlformats.org/officeDocument/2006/relationships/hyperlink" Target="https://www.youtube.com/watch?v=gxYd1cHmbl8" TargetMode="External" Id="rId1762"/><Relationship Type="http://schemas.openxmlformats.org/officeDocument/2006/relationships/hyperlink" Target="https://scholar.google.com/scholar?q=Morcos+et+al.+2011+PNAS+108%3AE1293+Figliuzzi+et+al.+2016+Mol+Biol+Evol+33%3A268+DCA+for+fitness" TargetMode="External" Id="rId1763"/><Relationship Type="http://schemas.openxmlformats.org/officeDocument/2006/relationships/hyperlink" Target="https://www.youtube.com/watch?v=r5TB1d_rUxg" TargetMode="External" Id="rId1764"/><Relationship Type="http://schemas.openxmlformats.org/officeDocument/2006/relationships/hyperlink" Target="https://arxiv.org/abs/2104.13478" TargetMode="External" Id="rId1765"/><Relationship Type="http://schemas.openxmlformats.org/officeDocument/2006/relationships/hyperlink" Target="https://www.youtube.com/watch?v=pDp-uxR4JDI" TargetMode="External" Id="rId1766"/><Relationship Type="http://schemas.openxmlformats.org/officeDocument/2006/relationships/hyperlink" Target="https://arxiv.org/abs/2104.13478" TargetMode="External" Id="rId1767"/><Relationship Type="http://schemas.openxmlformats.org/officeDocument/2006/relationships/hyperlink" Target="https://www.youtube.com/watch?v=zsIyzLtwAHY" TargetMode="External" Id="rId1768"/><Relationship Type="http://schemas.openxmlformats.org/officeDocument/2006/relationships/hyperlink" Target="https://arxiv.org/abs/2104.13478" TargetMode="External" Id="rId1769"/><Relationship Type="http://schemas.openxmlformats.org/officeDocument/2006/relationships/hyperlink" Target="https://www.youtube.com/watch?v=SXVtHu5ZnN4" TargetMode="External" Id="rId1770"/><Relationship Type="http://schemas.openxmlformats.org/officeDocument/2006/relationships/hyperlink" Target="https://scholar.google.com/scholar?q=Satorras+et+al.+2021+ICML+EGNN" TargetMode="External" Id="rId1771"/><Relationship Type="http://schemas.openxmlformats.org/officeDocument/2006/relationships/hyperlink" Target="https://www.youtube.com/watch?v=R3N6BocbknM" TargetMode="External" Id="rId1772"/><Relationship Type="http://schemas.openxmlformats.org/officeDocument/2006/relationships/hyperlink" Target="https://arxiv.org/abs/1802.08219" TargetMode="External" Id="rId1773"/><Relationship Type="http://schemas.openxmlformats.org/officeDocument/2006/relationships/hyperlink" Target="https://www.youtube.com/watch?v=Iah-YIFdmbs" TargetMode="External" Id="rId1774"/><Relationship Type="http://schemas.openxmlformats.org/officeDocument/2006/relationships/hyperlink" Target="https://arxiv.org/abs/1802.08219" TargetMode="External" Id="rId1775"/><Relationship Type="http://schemas.openxmlformats.org/officeDocument/2006/relationships/hyperlink" Target="https://www.youtube.com/watch?v=q9EwZsHY1sk" TargetMode="External" Id="rId1776"/><Relationship Type="http://schemas.openxmlformats.org/officeDocument/2006/relationships/hyperlink" Target="https://arxiv.org/abs/1802.08219" TargetMode="External" Id="rId1777"/><Relationship Type="http://schemas.openxmlformats.org/officeDocument/2006/relationships/hyperlink" Target="https://www.youtube.com/watch?v=YihnfamwA_s" TargetMode="External" Id="rId1778"/><Relationship Type="http://schemas.openxmlformats.org/officeDocument/2006/relationships/hyperlink" Target="https://scholar.google.com/scholar?q=His+argument+for+data+efficiency" TargetMode="External" Id="rId1779"/><Relationship Type="http://schemas.openxmlformats.org/officeDocument/2006/relationships/hyperlink" Target="https://www.youtube.com/watch?v=Qom83crI4NE" TargetMode="External" Id="rId1780"/><Relationship Type="http://schemas.openxmlformats.org/officeDocument/2006/relationships/hyperlink" Target="https://arxiv.org/abs/1802.08219" TargetMode="External" Id="rId1781"/><Relationship Type="http://schemas.openxmlformats.org/officeDocument/2006/relationships/hyperlink" Target="https://www.youtube.com/watch?v=-CfhsOT983w" TargetMode="External" Id="rId1782"/><Relationship Type="http://schemas.openxmlformats.org/officeDocument/2006/relationships/hyperlink" Target="https://arxiv.org/abs/1802.08219" TargetMode="External" Id="rId1783"/><Relationship Type="http://schemas.openxmlformats.org/officeDocument/2006/relationships/hyperlink" Target="https://www.youtube.com/watch?v=Oil_yd-AR0U" TargetMode="External" Id="rId1784"/><Relationship Type="http://schemas.openxmlformats.org/officeDocument/2006/relationships/hyperlink" Target="https://arxiv.org/abs/1802.08219" TargetMode="External" Id="rId1785"/><Relationship Type="http://schemas.openxmlformats.org/officeDocument/2006/relationships/hyperlink" Target="https://www.youtube.com/watch?v=29veWh5Ls5s" TargetMode="External" Id="rId1786"/><Relationship Type="http://schemas.openxmlformats.org/officeDocument/2006/relationships/hyperlink" Target="https://arxiv.org/abs/1802.08219" TargetMode="External" Id="rId1787"/><Relationship Type="http://schemas.openxmlformats.org/officeDocument/2006/relationships/hyperlink" Target="https://www.youtube.com/watch?v=N99M9_YF9vA" TargetMode="External" Id="rId1788"/><Relationship Type="http://schemas.openxmlformats.org/officeDocument/2006/relationships/hyperlink" Target="https://arxiv.org/abs/1802.08219" TargetMode="External" Id="rId1789"/><Relationship Type="http://schemas.openxmlformats.org/officeDocument/2006/relationships/hyperlink" Target="https://www.youtube.com/watch?v=qjFgthkKxcA" TargetMode="External" Id="rId1790"/><Relationship Type="http://schemas.openxmlformats.org/officeDocument/2006/relationships/hyperlink" Target="https://scholar.google.com/scholar?q=Abramson+et+al.+2024+Nature+630%3A493+AlphaFold3+-+which+dropped+the+equivariant+frame+machinery+for+a+diffusion+module+with+data+augmentation" TargetMode="External" Id="rId1791"/><Relationship Type="http://schemas.openxmlformats.org/officeDocument/2006/relationships/hyperlink" Target="https://www.youtube.com/watch?v=uQ1uVbrIv-Q" TargetMode="External" Id="rId1792"/><Relationship Type="http://schemas.openxmlformats.org/officeDocument/2006/relationships/hyperlink" Target="https://scholar.google.com/scholar?q=Senior+et+al.+2020+Nature+577+AF1+Jumper+et+al.+2021+Nature+596+-+and+the+Supplementary+Information+which+is+the+real+paper" TargetMode="External" Id="rId1793"/><Relationship Type="http://schemas.openxmlformats.org/officeDocument/2006/relationships/hyperlink" Target="https://www.youtube.com/watch?v=oaUIQfuV6FU" TargetMode="External" Id="rId1794"/><Relationship Type="http://schemas.openxmlformats.org/officeDocument/2006/relationships/hyperlink" Target="https://scholar.google.com/scholar?q=Senior+et+al.+2020+Nature+577+AF1+Jumper+et+al.+2021+Nature+596+-+and+the+Supplementary+Information+which+is+the+real+paper" TargetMode="External" Id="rId1795"/><Relationship Type="http://schemas.openxmlformats.org/officeDocument/2006/relationships/hyperlink" Target="https://www.youtube.com/watch?v=jTO6odQNp90" TargetMode="External" Id="rId1796"/><Relationship Type="http://schemas.openxmlformats.org/officeDocument/2006/relationships/hyperlink" Target="https://scholar.google.com/scholar?q=Senior+et+al.+2020+Nature+577+AF1+Jumper+et+al.+2021+Nature+596+-+and+the+Supplementary+Information+which+is+the+real+paper" TargetMode="External" Id="rId1797"/><Relationship Type="http://schemas.openxmlformats.org/officeDocument/2006/relationships/hyperlink" Target="https://www.youtube.com/watch?v=uejO0Af3eQc" TargetMode="External" Id="rId1798"/><Relationship Type="http://schemas.openxmlformats.org/officeDocument/2006/relationships/hyperlink" Target="https://scholar.google.com/scholar?q=Senior+et+al.+2020+Nature+577+AF1+Jumper+et+al.+2021+Nature+596+-+and+the+Supplementary+Information+which+is+the+real+paper" TargetMode="External" Id="rId1799"/><Relationship Type="http://schemas.openxmlformats.org/officeDocument/2006/relationships/hyperlink" Target="https://www.youtube.com/watch?v=ri39B0Voujc" TargetMode="External" Id="rId1800"/><Relationship Type="http://schemas.openxmlformats.org/officeDocument/2006/relationships/hyperlink" Target="https://scholar.google.com/scholar?q=Senior+et+al.+2020+Nature+577+AF1+Jumper+et+al.+2021+Nature+596+-+and+the+Supplementary+Information+which+is+the+real+paper" TargetMode="External" Id="rId1801"/><Relationship Type="http://schemas.openxmlformats.org/officeDocument/2006/relationships/hyperlink" Target="https://www.youtube.com/watch?v=yqeUH4RsJp8" TargetMode="External" Id="rId1802"/><Relationship Type="http://schemas.openxmlformats.org/officeDocument/2006/relationships/hyperlink" Target="https://scholar.google.com/scholar?q=Senior+et+al.+2020+Nature+577+AF1+Jumper+et+al.+2021+Nature+596+-+and+the+Supplementary+Information+which+is+the+real+paper" TargetMode="External" Id="rId1803"/><Relationship Type="http://schemas.openxmlformats.org/officeDocument/2006/relationships/hyperlink" Target="https://www.youtube.com/watch?v=kIkn5DGEJJw" TargetMode="External" Id="rId1804"/><Relationship Type="http://schemas.openxmlformats.org/officeDocument/2006/relationships/hyperlink" Target="https://scholar.google.com/scholar?q=Senior+et+al.+2020+Nature+577+AF1+Jumper+et+al.+2021+Nature+596+-+and+the+Supplementary+Information+which+is+the+real+paper" TargetMode="External" Id="rId1805"/><Relationship Type="http://schemas.openxmlformats.org/officeDocument/2006/relationships/hyperlink" Target="https://www.youtube.com/watch?v=C0QJcy84W3s" TargetMode="External" Id="rId1806"/><Relationship Type="http://schemas.openxmlformats.org/officeDocument/2006/relationships/hyperlink" Target="https://scholar.google.com/scholar?q=Senior+et+al.+2020+Nature+577+AF1+Jumper+et+al.+2021+Nature+596+-+and+the+Supplementary+Information+which+is+the+real+paper" TargetMode="External" Id="rId1807"/><Relationship Type="http://schemas.openxmlformats.org/officeDocument/2006/relationships/hyperlink" Target="https://www.youtube.com/watch?v=y7uhfjq3KhU" TargetMode="External" Id="rId1808"/><Relationship Type="http://schemas.openxmlformats.org/officeDocument/2006/relationships/hyperlink" Target="https://scholar.google.com/scholar?q=Senior+et+al.+2020+Nature+577+AF1+Jumper+et+al.+2021+Nature+596+-+and+the+Supplementary+Information+which+is+the+real+paper" TargetMode="External" Id="rId1809"/><Relationship Type="http://schemas.openxmlformats.org/officeDocument/2006/relationships/hyperlink" Target="https://www.youtube.com/watch?v=1Y9n7g6xX4Q" TargetMode="External" Id="rId1810"/><Relationship Type="http://schemas.openxmlformats.org/officeDocument/2006/relationships/hyperlink" Target="https://scholar.google.com/scholar?q=Ahdritz+et+al.+2024+Nature+Methods+21+-+landmark+.+The+only+systematic+account+of+what+AF2+actually+learns+in+what+order+and+how+much+training+data+it+needs.+Retraining+is+the+one+experiment+that+turns+a+black+box+into+a" TargetMode="External" Id="rId1811"/><Relationship Type="http://schemas.openxmlformats.org/officeDocument/2006/relationships/hyperlink" Target="https://www.youtube.com/watch?v=KvCvdFQ4Mrk" TargetMode="External" Id="rId1812"/><Relationship Type="http://schemas.openxmlformats.org/officeDocument/2006/relationships/hyperlink" Target="https://scholar.google.com/scholar?q=Ahdritz+et+al.+2024+Nature+Methods+21+-+landmark+.+The+only+systematic+account+of+what+AF2+actually+learns+in+what+order+and+how+much+training+data+it+needs.+Retraining+is+the+one+experiment+that+turns+a+black+box+into+a" TargetMode="External" Id="rId1813"/><Relationship Type="http://schemas.openxmlformats.org/officeDocument/2006/relationships/hyperlink" Target="https://www.youtube.com/watch?v=W92xVnUMkU0" TargetMode="External" Id="rId1814"/><Relationship Type="http://schemas.openxmlformats.org/officeDocument/2006/relationships/hyperlink" Target="https://scholar.google.com/scholar?q=Ahdritz+et+al.+2024+Nature+Methods+21+-+landmark+.+The+only+systematic+account+of+what+AF2+actually+learns+in+what+order+and+how+much+training+data+it+needs.+Retraining+is+the+one+experiment+that+turns+a+black+box+into+a" TargetMode="External" Id="rId1815"/><Relationship Type="http://schemas.openxmlformats.org/officeDocument/2006/relationships/hyperlink" Target="https://www.youtube.com/watch?v=EnKqDD8fSZY" TargetMode="External" Id="rId1816"/><Relationship Type="http://schemas.openxmlformats.org/officeDocument/2006/relationships/hyperlink" Target="https://scholar.google.com/scholar?q=Ahdritz+et+al.+2024+Nature+Methods+21+-+landmark+.+The+only+systematic+account+of+what+AF2+actually+learns+in+what+order+and+how+much+training+data+it+needs.+Retraining+is+the+one+experiment+that+turns+a+black+box+into+a" TargetMode="External" Id="rId1817"/><Relationship Type="http://schemas.openxmlformats.org/officeDocument/2006/relationships/hyperlink" Target="https://www.youtube.com/watch?v=_DUzHDwDX9Q" TargetMode="External" Id="rId1818"/><Relationship Type="http://schemas.openxmlformats.org/officeDocument/2006/relationships/hyperlink" Target="https://scholar.google.com/scholar?q=Ahdritz+et+al.+2024+Nature+Methods+21+-+landmark+.+The+only+systematic+account+of+what+AF2+actually+learns+in+what+order+and+how+much+training+data+it+needs.+Retraining+is+the+one+experiment+that+turns+a+black+box+into+a" TargetMode="External" Id="rId1819"/><Relationship Type="http://schemas.openxmlformats.org/officeDocument/2006/relationships/hyperlink" Target="https://www.youtube.com/watch?v=S6H_INT5hzc" TargetMode="External" Id="rId1820"/><Relationship Type="http://schemas.openxmlformats.org/officeDocument/2006/relationships/hyperlink" Target="https://scholar.google.com/scholar?q=Ahdritz+et+al.+2024+Nature+Methods+21+-+landmark+.+The+only+systematic+account+of+what+AF2+actually+learns+in+what+order+and+how+much+training+data+it+needs.+Retraining+is+the+one+experiment+that+turns+a+black+box+into+a" TargetMode="External" Id="rId1821"/><Relationship Type="http://schemas.openxmlformats.org/officeDocument/2006/relationships/hyperlink" Target="https://www.youtube.com/watch?v=VIdElYuWDAQ" TargetMode="External" Id="rId1822"/><Relationship Type="http://schemas.openxmlformats.org/officeDocument/2006/relationships/hyperlink" Target="https://scholar.google.com/scholar?q=Baek+et+al.+2021+Science+373+Baek+et+al.+2023+bioRxiv+RF2" TargetMode="External" Id="rId1823"/><Relationship Type="http://schemas.openxmlformats.org/officeDocument/2006/relationships/hyperlink" Target="https://www.youtube.com/watch?v=e-LcY3a2uK0" TargetMode="External" Id="rId1824"/><Relationship Type="http://schemas.openxmlformats.org/officeDocument/2006/relationships/hyperlink" Target="https://scholar.google.com/scholar?q=Baek+et+al.+2021+Science+373+Baek+et+al.+2023+bioRxiv+RF2" TargetMode="External" Id="rId1825"/><Relationship Type="http://schemas.openxmlformats.org/officeDocument/2006/relationships/hyperlink" Target="https://www.youtube.com/watch?v=LAQ4-E0Cd8Q" TargetMode="External" Id="rId1826"/><Relationship Type="http://schemas.openxmlformats.org/officeDocument/2006/relationships/hyperlink" Target="https://scholar.google.com/scholar?q=Krishna+et+al.+2024+Science+384+RFAA" TargetMode="External" Id="rId1827"/><Relationship Type="http://schemas.openxmlformats.org/officeDocument/2006/relationships/hyperlink" Target="https://www.youtube.com/watch?v=PARZP6GWJ0w" TargetMode="External" Id="rId1828"/><Relationship Type="http://schemas.openxmlformats.org/officeDocument/2006/relationships/hyperlink" Target="https://scholar.google.com/scholar?q=Baek+et+al.+2021+Science+373+Baek+et+al.+2023+bioRxiv+RF2" TargetMode="External" Id="rId1829"/><Relationship Type="http://schemas.openxmlformats.org/officeDocument/2006/relationships/hyperlink" Target="https://www.youtube.com/watch?v=ux6TxDO3GSY" TargetMode="External" Id="rId1830"/><Relationship Type="http://schemas.openxmlformats.org/officeDocument/2006/relationships/hyperlink" Target="https://scholar.google.com/scholar?q=Baek+et+al.+2021+Science+373+Baek+et+al.+2023+bioRxiv+RF2" TargetMode="External" Id="rId1831"/><Relationship Type="http://schemas.openxmlformats.org/officeDocument/2006/relationships/hyperlink" Target="https://www.youtube.com/watch?v=dIgoaPoIolg" TargetMode="External" Id="rId1832"/><Relationship Type="http://schemas.openxmlformats.org/officeDocument/2006/relationships/hyperlink" Target="https://scholar.google.com/scholar?q=Baek+et+al.+2021+Science+373+Baek+et+al.+2023+bioRxiv+RF2" TargetMode="External" Id="rId1833"/><Relationship Type="http://schemas.openxmlformats.org/officeDocument/2006/relationships/hyperlink" Target="https://www.youtube.com/watch?v=AE35XCN5NuU" TargetMode="External" Id="rId1834"/><Relationship Type="http://schemas.openxmlformats.org/officeDocument/2006/relationships/hyperlink" Target="https://scholar.google.com/scholar?q=Abramson+et+al.+2024+Nature+630+AF3+landmark+Evans+et+al.+2021+bioRxiv+AF-Multimer" TargetMode="External" Id="rId1835"/><Relationship Type="http://schemas.openxmlformats.org/officeDocument/2006/relationships/hyperlink" Target="https://www.youtube.com/watch?v=97K0_b65oto" TargetMode="External" Id="rId1836"/><Relationship Type="http://schemas.openxmlformats.org/officeDocument/2006/relationships/hyperlink" Target="https://scholar.google.com/scholar?q=Abramson+et+al.+2024+Nature+630+AF3+landmark+Evans+et+al.+2021+bioRxiv+AF-Multimer" TargetMode="External" Id="rId1837"/><Relationship Type="http://schemas.openxmlformats.org/officeDocument/2006/relationships/hyperlink" Target="https://www.youtube.com/watch?v=P6sHA0EmzY8" TargetMode="External" Id="rId1838"/><Relationship Type="http://schemas.openxmlformats.org/officeDocument/2006/relationships/hyperlink" Target="https://scholar.google.com/scholar?q=Abramson+et+al.+2024+Nature+630+AF3+landmark+Evans+et+al.+2021+bioRxiv+AF-Multimer" TargetMode="External" Id="rId1839"/><Relationship Type="http://schemas.openxmlformats.org/officeDocument/2006/relationships/hyperlink" Target="https://www.youtube.com/watch?v=mN5pXxRW4bA" TargetMode="External" Id="rId1840"/><Relationship Type="http://schemas.openxmlformats.org/officeDocument/2006/relationships/hyperlink" Target="https://scholar.google.com/scholar?q=Abramson+et+al.+2024+Nature+630+AF3+landmark+Evans+et+al.+2021+bioRxiv+AF-Multimer" TargetMode="External" Id="rId1841"/><Relationship Type="http://schemas.openxmlformats.org/officeDocument/2006/relationships/hyperlink" Target="https://www.youtube.com/watch?v=K-gzTJMy1ag" TargetMode="External" Id="rId1842"/><Relationship Type="http://schemas.openxmlformats.org/officeDocument/2006/relationships/hyperlink" Target="https://scholar.google.com/scholar?q=Abramson+et+al.+2024+Nature+630+AF3+landmark+Evans+et+al.+2021+bioRxiv+AF-Multimer" TargetMode="External" Id="rId1843"/><Relationship Type="http://schemas.openxmlformats.org/officeDocument/2006/relationships/hyperlink" Target="https://www.youtube.com/watch?v=wv53mDmY-k0" TargetMode="External" Id="rId1844"/><Relationship Type="http://schemas.openxmlformats.org/officeDocument/2006/relationships/hyperlink" Target="https://scholar.google.com/scholar?q=Abramson+et+al.+2024+Nature+630+AF3+landmark+Evans+et+al.+2021+bioRxiv+AF-Multimer" TargetMode="External" Id="rId1845"/><Relationship Type="http://schemas.openxmlformats.org/officeDocument/2006/relationships/hyperlink" Target="https://www.youtube.com/watch?v=rFFi2Guv2nU" TargetMode="External" Id="rId1846"/><Relationship Type="http://schemas.openxmlformats.org/officeDocument/2006/relationships/hyperlink" Target="https://scholar.google.com/scholar?q=Abramson+et+al.+2024+Nature+630+AF3+landmark+Evans+et+al.+2021+bioRxiv+AF-Multimer" TargetMode="External" Id="rId1847"/><Relationship Type="http://schemas.openxmlformats.org/officeDocument/2006/relationships/hyperlink" Target="https://www.youtube.com/watch?v=qyxftQJdE3I" TargetMode="External" Id="rId1848"/><Relationship Type="http://schemas.openxmlformats.org/officeDocument/2006/relationships/hyperlink" Target="https://scholar.google.com/scholar?q=Abramson+et+al.+2024+Nature+630+AF3+landmark+Evans+et+al.+2021+bioRxiv+AF-Multimer" TargetMode="External" Id="rId1849"/><Relationship Type="http://schemas.openxmlformats.org/officeDocument/2006/relationships/hyperlink" Target="https://www.youtube.com/watch?v=WW_XPhY6I60" TargetMode="External" Id="rId1850"/><Relationship Type="http://schemas.openxmlformats.org/officeDocument/2006/relationships/hyperlink" Target="https://scholar.google.com/scholar?q=Abramson+et+al.+2024+Nature+630+AF3+landmark+Evans+et+al.+2021+bioRxiv+AF-Multimer" TargetMode="External" Id="rId1851"/><Relationship Type="http://schemas.openxmlformats.org/officeDocument/2006/relationships/hyperlink" Target="https://www.youtube.com/watch?v=70o6okX06no" TargetMode="External" Id="rId1852"/><Relationship Type="http://schemas.openxmlformats.org/officeDocument/2006/relationships/hyperlink" Target="https://scholar.google.com/scholar?q=Yang+et+al.+2020+PNAS+117+trRosetta+Yang+et+al.+2015+Nat+Methods+12+I-TASSER" TargetMode="External" Id="rId1853"/><Relationship Type="http://schemas.openxmlformats.org/officeDocument/2006/relationships/hyperlink" Target="https://www.youtube.com/watch?v=zdSsTiXQhKI" TargetMode="External" Id="rId1854"/><Relationship Type="http://schemas.openxmlformats.org/officeDocument/2006/relationships/hyperlink" Target="https://scholar.google.com/scholar?q=Yang+et+al.+2020+PNAS+117+trRosetta+Yang+et+al.+2015+Nat+Methods+12+I-TASSER" TargetMode="External" Id="rId1855"/><Relationship Type="http://schemas.openxmlformats.org/officeDocument/2006/relationships/hyperlink" Target="https://www.youtube.com/watch?v=qGuOjYqWED4" TargetMode="External" Id="rId1856"/><Relationship Type="http://schemas.openxmlformats.org/officeDocument/2006/relationships/hyperlink" Target="https://scholar.google.com/scholar?q=Yang+et+al.+2020+PNAS+117+trRosetta+Yang+et+al.+2015+Nat+Methods+12+I-TASSER" TargetMode="External" Id="rId1857"/><Relationship Type="http://schemas.openxmlformats.org/officeDocument/2006/relationships/hyperlink" Target="https://www.youtube.com/watch?v=ysB23pawlIE" TargetMode="External" Id="rId1858"/><Relationship Type="http://schemas.openxmlformats.org/officeDocument/2006/relationships/hyperlink" Target="https://scholar.google.com/scholar?q=Yang+et+al.+2020+PNAS+117+trRosetta+Yang+et+al.+2015+Nat+Methods+12+I-TASSER" TargetMode="External" Id="rId1859"/><Relationship Type="http://schemas.openxmlformats.org/officeDocument/2006/relationships/hyperlink" Target="https://www.youtube.com/watch?v=IkckNa6fVXo" TargetMode="External" Id="rId1860"/><Relationship Type="http://schemas.openxmlformats.org/officeDocument/2006/relationships/hyperlink" Target="https://scholar.google.com/scholar?q=Lin+et+al.+2023+Science+379+ESMFold" TargetMode="External" Id="rId1861"/><Relationship Type="http://schemas.openxmlformats.org/officeDocument/2006/relationships/hyperlink" Target="https://www.youtube.com/watch?v=3Efk1Du4v6I" TargetMode="External" Id="rId1862"/><Relationship Type="http://schemas.openxmlformats.org/officeDocument/2006/relationships/hyperlink" Target="https://scholar.google.com/scholar?q=Yang+et+al.+2020+PNAS+117+trRosetta+Yang+et+al.+2015+Nat+Methods+12+I-TASSER" TargetMode="External" Id="rId1863"/><Relationship Type="http://schemas.openxmlformats.org/officeDocument/2006/relationships/hyperlink" Target="https://www.youtube.com/watch?v=eobc7cMMpeY" TargetMode="External" Id="rId1864"/><Relationship Type="http://schemas.openxmlformats.org/officeDocument/2006/relationships/hyperlink" Target="https://scholar.google.com/scholar?q=Yang+et+al.+2020+PNAS+117+trRosetta+Yang+et+al.+2015+Nat+Methods+12+I-TASSER" TargetMode="External" Id="rId1865"/><Relationship Type="http://schemas.openxmlformats.org/officeDocument/2006/relationships/hyperlink" Target="https://www.youtube.com/watch?v=HOVdHAnC8LI" TargetMode="External" Id="rId1866"/><Relationship Type="http://schemas.openxmlformats.org/officeDocument/2006/relationships/hyperlink" Target="https://scholar.google.com/scholar?q=AlQuraishi+2019+Cell+Systems+8+RGN" TargetMode="External" Id="rId1867"/><Relationship Type="http://schemas.openxmlformats.org/officeDocument/2006/relationships/hyperlink" Target="https://www.youtube.com/watch?v=Rfw7thgGTwI" TargetMode="External" Id="rId1868"/><Relationship Type="http://schemas.openxmlformats.org/officeDocument/2006/relationships/hyperlink" Target="https://scholar.google.com/scholar?q=Mirdita+et+al.+2022+Nat+Methods+19+ColabFold" TargetMode="External" Id="rId1869"/><Relationship Type="http://schemas.openxmlformats.org/officeDocument/2006/relationships/hyperlink" Target="https://www.youtube.com/watch?v=Y5-lhdwdJC0" TargetMode="External" Id="rId1870"/><Relationship Type="http://schemas.openxmlformats.org/officeDocument/2006/relationships/hyperlink" Target="https://scholar.google.com/scholar?q=Yang+et+al.+2020+PNAS+117+trRosetta+Yang+et+al.+2015+Nat+Methods+12+I-TASSER" TargetMode="External" Id="rId1871"/><Relationship Type="http://schemas.openxmlformats.org/officeDocument/2006/relationships/hyperlink" Target="https://www.youtube.com/watch?v=rgGceDDnIEo" TargetMode="External" Id="rId1872"/><Relationship Type="http://schemas.openxmlformats.org/officeDocument/2006/relationships/hyperlink" Target="https://scholar.google.com/scholar?q=Wayment-Steele+et+al.+2024+Nature+625+landmark+Wallner+2023+Bioinformatics+39" TargetMode="External" Id="rId1873"/><Relationship Type="http://schemas.openxmlformats.org/officeDocument/2006/relationships/hyperlink" Target="https://www.youtube.com/watch?v=T5yknC0tr50" TargetMode="External" Id="rId1874"/><Relationship Type="http://schemas.openxmlformats.org/officeDocument/2006/relationships/hyperlink" Target="https://scholar.google.com/scholar?q=Wayment-Steele+et+al.+2024+Nature+625+landmark+Wallner+2023+Bioinformatics+39" TargetMode="External" Id="rId1875"/><Relationship Type="http://schemas.openxmlformats.org/officeDocument/2006/relationships/hyperlink" Target="https://www.youtube.com/watch?v=fomZv3SYnz8" TargetMode="External" Id="rId1876"/><Relationship Type="http://schemas.openxmlformats.org/officeDocument/2006/relationships/hyperlink" Target="https://scholar.google.com/scholar?q=Wayment-Steele+et+al.+2024+Nature+625+landmark+Wallner+2023+Bioinformatics+39" TargetMode="External" Id="rId1877"/><Relationship Type="http://schemas.openxmlformats.org/officeDocument/2006/relationships/hyperlink" Target="https://www.youtube.com/watch?v=8vsTsb-m7u4" TargetMode="External" Id="rId1878"/><Relationship Type="http://schemas.openxmlformats.org/officeDocument/2006/relationships/hyperlink" Target="https://scholar.google.com/scholar?q=Wayment-Steele+et+al.+2024+Nature+625+landmark+Wallner+2023+Bioinformatics+39" TargetMode="External" Id="rId1879"/><Relationship Type="http://schemas.openxmlformats.org/officeDocument/2006/relationships/hyperlink" Target="https://www.youtube.com/watch?v=e38r-xW2lM0" TargetMode="External" Id="rId1880"/><Relationship Type="http://schemas.openxmlformats.org/officeDocument/2006/relationships/hyperlink" Target="https://scholar.google.com/scholar?q=Wayment-Steele+et+al.+2024+Nature+625+landmark+Wallner+2023+Bioinformatics+39" TargetMode="External" Id="rId1881"/><Relationship Type="http://schemas.openxmlformats.org/officeDocument/2006/relationships/hyperlink" Target="https://www.youtube.com/watch?v=n-v5eckx2eg" TargetMode="External" Id="rId1882"/><Relationship Type="http://schemas.openxmlformats.org/officeDocument/2006/relationships/hyperlink" Target="https://scholar.google.com/scholar?q=Wayment-Steele+et+al.+2024+Nature+625+landmark+Wallner+2023+Bioinformatics+39" TargetMode="External" Id="rId1883"/><Relationship Type="http://schemas.openxmlformats.org/officeDocument/2006/relationships/hyperlink" Target="https://www.youtube.com/watch?v=JZjeFBH0Jl4" TargetMode="External" Id="rId1884"/><Relationship Type="http://schemas.openxmlformats.org/officeDocument/2006/relationships/hyperlink" Target="https://scholar.google.com/scholar?q=Wayment-Steele+et+al.+2024+Nature+625+landmark+Wallner+2023+Bioinformatics+39" TargetMode="External" Id="rId1885"/><Relationship Type="http://schemas.openxmlformats.org/officeDocument/2006/relationships/hyperlink" Target="https://www.youtube.com/watch?v=ndDxc8VdYKE" TargetMode="External" Id="rId1886"/><Relationship Type="http://schemas.openxmlformats.org/officeDocument/2006/relationships/hyperlink" Target="https://scholar.google.com/scholar?q=Wayment-Steele+et+al.+2024+Nature+625+landmark+Wallner+2023+Bioinformatics+39" TargetMode="External" Id="rId1887"/><Relationship Type="http://schemas.openxmlformats.org/officeDocument/2006/relationships/hyperlink" Target="https://www.youtube.com/watch?v=gAmTGw601dA" TargetMode="External" Id="rId1888"/><Relationship Type="http://schemas.openxmlformats.org/officeDocument/2006/relationships/hyperlink" Target="https://scholar.google.com/scholar?q=Corso+et+al.+2023+ICLR+DiffDock+Buttenschoen+Morris+%26+Deane+2024+Chem+Sci+15+PoseBusters+landmark" TargetMode="External" Id="rId1889"/><Relationship Type="http://schemas.openxmlformats.org/officeDocument/2006/relationships/hyperlink" Target="https://www.youtube.com/watch?v=_KBqVh6YbgI" TargetMode="External" Id="rId1890"/><Relationship Type="http://schemas.openxmlformats.org/officeDocument/2006/relationships/hyperlink" Target="https://scholar.google.com/scholar?q=Corso+et+al.+2023+ICLR+DiffDock" TargetMode="External" Id="rId1891"/><Relationship Type="http://schemas.openxmlformats.org/officeDocument/2006/relationships/hyperlink" Target="https://www.youtube.com/watch?v=_S-WbbyUUbo" TargetMode="External" Id="rId1892"/><Relationship Type="http://schemas.openxmlformats.org/officeDocument/2006/relationships/hyperlink" Target="https://scholar.google.com/scholar?q=Corso+et+al.+2023+ICLR+DiffDock" TargetMode="External" Id="rId1893"/><Relationship Type="http://schemas.openxmlformats.org/officeDocument/2006/relationships/hyperlink" Target="https://www.youtube.com/watch?v=HSOscmos6nE" TargetMode="External" Id="rId1894"/><Relationship Type="http://schemas.openxmlformats.org/officeDocument/2006/relationships/hyperlink" Target="https://scholar.google.com/scholar?q=Corso+et+al.+2023+ICLR+DiffDock" TargetMode="External" Id="rId1895"/><Relationship Type="http://schemas.openxmlformats.org/officeDocument/2006/relationships/hyperlink" Target="https://www.youtube.com/watch?v=MiZzRQt-5q8" TargetMode="External" Id="rId1896"/><Relationship Type="http://schemas.openxmlformats.org/officeDocument/2006/relationships/hyperlink" Target="https://scholar.google.com/scholar?q=Corso+et+al.+2023+ICLR+DiffDock+Buttenschoen+Morris+%26+Deane+2024+Chem+Sci+15+PoseBusters+landmark" TargetMode="External" Id="rId1897"/><Relationship Type="http://schemas.openxmlformats.org/officeDocument/2006/relationships/hyperlink" Target="https://www.youtube.com/watch?v=DLniEFBhkWA" TargetMode="External" Id="rId1898"/><Relationship Type="http://schemas.openxmlformats.org/officeDocument/2006/relationships/hyperlink" Target="https://scholar.google.com/scholar?q=Corso+et+al.+2023+ICLR+DiffDock+Buttenschoen+Morris+%26+Deane+2024+Chem+Sci+15+PoseBusters+landmark" TargetMode="External" Id="rId1899"/><Relationship Type="http://schemas.openxmlformats.org/officeDocument/2006/relationships/hyperlink" Target="https://www.youtube.com/watch?v=7-auGX9Z9Nw" TargetMode="External" Id="rId1900"/><Relationship Type="http://schemas.openxmlformats.org/officeDocument/2006/relationships/hyperlink" Target="https://scholar.google.com/scholar?q=Durairaj+et+al.+2024+ICML+ML4LMS+PLINDER" TargetMode="External" Id="rId1901"/><Relationship Type="http://schemas.openxmlformats.org/officeDocument/2006/relationships/hyperlink" Target="https://www.youtube.com/watch?v=flsNV36AtAU" TargetMode="External" Id="rId1902"/><Relationship Type="http://schemas.openxmlformats.org/officeDocument/2006/relationships/hyperlink" Target="https://scholar.google.com/scholar?q=Corso+et+al.+2023+ICLR+DiffDock+Buttenschoen+Morris+%26+Deane+2024+Chem+Sci+15+PoseBusters+landmark" TargetMode="External" Id="rId1903"/><Relationship Type="http://schemas.openxmlformats.org/officeDocument/2006/relationships/hyperlink" Target="https://www.youtube.com/watch?v=73blwIx9QUg" TargetMode="External" Id="rId1904"/><Relationship Type="http://schemas.openxmlformats.org/officeDocument/2006/relationships/hyperlink" Target="https://scholar.google.com/scholar?q=Corso+et+al.+2023+ICLR+DiffDock+Buttenschoen+Morris+%26+Deane+2024+Chem+Sci+15+PoseBusters+landmark" TargetMode="External" Id="rId1905"/><Relationship Type="http://schemas.openxmlformats.org/officeDocument/2006/relationships/hyperlink" Target="https://www.youtube.com/watch?v=Xl7YNR1-CN8" TargetMode="External" Id="rId1906"/><Relationship Type="http://schemas.openxmlformats.org/officeDocument/2006/relationships/hyperlink" Target="https://scholar.google.com/scholar?q=Corso+et+al.+2023+ICLR+DiffDock+Buttenschoen+Morris+%26+Deane+2024+Chem+Sci+15+PoseBusters+landmark" TargetMode="External" Id="rId1907"/><Relationship Type="http://schemas.openxmlformats.org/officeDocument/2006/relationships/hyperlink" Target="https://www.youtube.com/watch?v=R87pmoB3QF0" TargetMode="External" Id="rId1908"/><Relationship Type="http://schemas.openxmlformats.org/officeDocument/2006/relationships/hyperlink" Target="https://scholar.google.com/scholar?q=Corso+et+al.+2023+ICLR+DiffDock+Buttenschoen+Morris+%26+Deane+2024+Chem+Sci+15+PoseBusters+landmark" TargetMode="External" Id="rId1909"/><Relationship Type="http://schemas.openxmlformats.org/officeDocument/2006/relationships/hyperlink" Target="https://www.youtube.com/watch?v=SDxy5E8fvXY" TargetMode="External" Id="rId1910"/><Relationship Type="http://schemas.openxmlformats.org/officeDocument/2006/relationships/hyperlink" Target="https://scholar.google.com/scholar?q=Corso+et+al.+2023+ICLR+DiffDock+Buttenschoen+Morris+%26+Deane+2024+Chem+Sci+15+PoseBusters+landmark" TargetMode="External" Id="rId1911"/><Relationship Type="http://schemas.openxmlformats.org/officeDocument/2006/relationships/hyperlink" Target="https://www.youtube.com/watch?v=oh_EnlACfiw" TargetMode="External" Id="rId1912"/><Relationship Type="http://schemas.openxmlformats.org/officeDocument/2006/relationships/hyperlink" Target="https://scholar.google.com/scholar?q=Corso+et+al.+2023+ICLR+DiffDock+Buttenschoen+Morris+%26+Deane+2024+Chem+Sci+15+PoseBusters+landmark" TargetMode="External" Id="rId1913"/><Relationship Type="http://schemas.openxmlformats.org/officeDocument/2006/relationships/hyperlink" Target="https://www.youtube.com/watch?v=sdNwwzW3o4Y" TargetMode="External" Id="rId1914"/><Relationship Type="http://schemas.openxmlformats.org/officeDocument/2006/relationships/hyperlink" Target="https://scholar.google.com/scholar?q=Corso+et+al.+2023+ICLR+DiffDock+Buttenschoen+Morris+%26+Deane+2024+Chem+Sci+15+PoseBusters+landmark" TargetMode="External" Id="rId1915"/><Relationship Type="http://schemas.openxmlformats.org/officeDocument/2006/relationships/hyperlink" Target="https://www.youtube.com/watch?v=6_RFXNxy62c" TargetMode="External" Id="rId1916"/><Relationship Type="http://schemas.openxmlformats.org/officeDocument/2006/relationships/hyperlink" Target="https://scholar.google.com/scholar?q=Corso+et+al.+2023+ICLR+DiffDock+Buttenschoen+Morris+%26+Deane+2024+Chem+Sci+15+PoseBusters+landmark" TargetMode="External" Id="rId1917"/><Relationship Type="http://schemas.openxmlformats.org/officeDocument/2006/relationships/hyperlink" Target="https://www.youtube.com/watch?v=kNDdAWy7sRk" TargetMode="External" Id="rId1918"/><Relationship Type="http://schemas.openxmlformats.org/officeDocument/2006/relationships/hyperlink" Target="https://scholar.google.com/scholar?q=Corso+et+al.+2023+ICLR+DiffDock+Buttenschoen+Morris+%26+Deane+2024+Chem+Sci+15+PoseBusters+landmark" TargetMode="External" Id="rId1919"/><Relationship Type="http://schemas.openxmlformats.org/officeDocument/2006/relationships/hyperlink" Target="https://www.youtube.com/watch?v=VGL-Jq50268" TargetMode="External" Id="rId1920"/><Relationship Type="http://schemas.openxmlformats.org/officeDocument/2006/relationships/hyperlink" Target="https://scholar.google.com/scholar?q=Corso+et+al.+2023+ICLR+DiffDock+Buttenschoen+Morris+%26+Deane+2024+Chem+Sci+15+PoseBusters+landmark" TargetMode="External" Id="rId1921"/><Relationship Type="http://schemas.openxmlformats.org/officeDocument/2006/relationships/hyperlink" Target="https://www.youtube.com/watch?v=j9UHcxucKZE" TargetMode="External" Id="rId1922"/><Relationship Type="http://schemas.openxmlformats.org/officeDocument/2006/relationships/hyperlink" Target="https://scholar.google.com/scholar?q=Corso+et+al.+2023+ICLR+DiffDock+Buttenschoen+Morris+%26+Deane+2024+Chem+Sci+15+PoseBusters+landmark" TargetMode="External" Id="rId1923"/><Relationship Type="http://schemas.openxmlformats.org/officeDocument/2006/relationships/hyperlink" Target="https://www.youtube.com/watch?v=19fy0we14XM" TargetMode="External" Id="rId1924"/><Relationship Type="http://schemas.openxmlformats.org/officeDocument/2006/relationships/hyperlink" Target="https://scholar.google.com/scholar?q=Corso+et+al.+2023+ICLR+DiffDock+Buttenschoen+Morris+%26+Deane+2024+Chem+Sci+15+PoseBusters+landmark" TargetMode="External" Id="rId1925"/><Relationship Type="http://schemas.openxmlformats.org/officeDocument/2006/relationships/hyperlink" Target="https://www.youtube.com/watch?v=uPoFdCUqBWk" TargetMode="External" Id="rId1926"/><Relationship Type="http://schemas.openxmlformats.org/officeDocument/2006/relationships/hyperlink" Target="https://scholar.google.com/scholar?q=Corso+et+al.+2023+ICLR+DiffDock+Buttenschoen+Morris+%26+Deane+2024+Chem+Sci+15+PoseBusters+landmark" TargetMode="External" Id="rId1927"/><Relationship Type="http://schemas.openxmlformats.org/officeDocument/2006/relationships/hyperlink" Target="https://www.youtube.com/watch?v=TiDo7xXMbUI" TargetMode="External" Id="rId1928"/><Relationship Type="http://schemas.openxmlformats.org/officeDocument/2006/relationships/hyperlink" Target="https://scholar.google.com/scholar?q=Rives+et+al.+2021+PNAS+118%3Ae2016239118+ESM-1b+Lin+et+al.+2023+Science+379%3A1123+ESM-2+ESMFold" TargetMode="External" Id="rId1929"/><Relationship Type="http://schemas.openxmlformats.org/officeDocument/2006/relationships/hyperlink" Target="https://www.youtube.com/watch?v=qeqbm8a1-ZA" TargetMode="External" Id="rId1930"/><Relationship Type="http://schemas.openxmlformats.org/officeDocument/2006/relationships/hyperlink" Target="https://scholar.google.com/scholar?q=Hayes+et+al.+2025+Science+387%3A850+ESM3" TargetMode="External" Id="rId1931"/><Relationship Type="http://schemas.openxmlformats.org/officeDocument/2006/relationships/hyperlink" Target="https://www.youtube.com/watch?v=WF_9YPYS4V8" TargetMode="External" Id="rId1932"/><Relationship Type="http://schemas.openxmlformats.org/officeDocument/2006/relationships/hyperlink" Target="https://scholar.google.com/scholar?q=Rives+et+al.+2021+PNAS+118%3Ae2016239118+ESM-1b+Lin+et+al.+2023+Science+379%3A1123+ESM-2+ESMFold" TargetMode="External" Id="rId1933"/><Relationship Type="http://schemas.openxmlformats.org/officeDocument/2006/relationships/hyperlink" Target="https://www.youtube.com/watch?v=7szFo_IPUcE" TargetMode="External" Id="rId1934"/><Relationship Type="http://schemas.openxmlformats.org/officeDocument/2006/relationships/hyperlink" Target="https://scholar.google.com/scholar?q=Rives+et+al.+2021+PNAS+118%3Ae2016239118+ESM-1b+Lin+et+al.+2023+Science+379%3A1123+ESM-2+ESMFold" TargetMode="External" Id="rId1935"/><Relationship Type="http://schemas.openxmlformats.org/officeDocument/2006/relationships/hyperlink" Target="https://www.youtube.com/watch?v=dPNqe5uUOMM" TargetMode="External" Id="rId1936"/><Relationship Type="http://schemas.openxmlformats.org/officeDocument/2006/relationships/hyperlink" Target="https://scholar.google.com/scholar?q=Rives+et+al.+2021+PNAS+118%3Ae2016239118+ESM-1b+Lin+et+al.+2023+Science+379%3A1123+ESM-2+ESMFold" TargetMode="External" Id="rId1937"/><Relationship Type="http://schemas.openxmlformats.org/officeDocument/2006/relationships/hyperlink" Target="https://www.youtube.com/watch?v=qFSVVWcCRHs" TargetMode="External" Id="rId1938"/><Relationship Type="http://schemas.openxmlformats.org/officeDocument/2006/relationships/hyperlink" Target="https://scholar.google.com/scholar?q=Rives+et+al.+2021+PNAS+118%3Ae2016239118+ESM-1b+Lin+et+al.+2023+Science+379%3A1123+ESM-2+ESMFold" TargetMode="External" Id="rId1939"/><Relationship Type="http://schemas.openxmlformats.org/officeDocument/2006/relationships/hyperlink" Target="https://www.youtube.com/watch?v=9DL1aX5fM_I" TargetMode="External" Id="rId1940"/><Relationship Type="http://schemas.openxmlformats.org/officeDocument/2006/relationships/hyperlink" Target="https://scholar.google.com/scholar?q=Rives+et+al.+2021+PNAS+118%3Ae2016239118+ESM-1b+Lin+et+al.+2023+Science+379%3A1123+ESM-2+ESMFold" TargetMode="External" Id="rId1941"/><Relationship Type="http://schemas.openxmlformats.org/officeDocument/2006/relationships/hyperlink" Target="https://www.youtube.com/watch?v=Lcmo8wo54Uc" TargetMode="External" Id="rId1942"/><Relationship Type="http://schemas.openxmlformats.org/officeDocument/2006/relationships/hyperlink" Target="https://scholar.google.com/scholar?q=Rives+et+al.+2021+PNAS+118%3Ae2016239118+ESM-1b+Lin+et+al.+2023+Science+379%3A1123+ESM-2+ESMFold" TargetMode="External" Id="rId1943"/><Relationship Type="http://schemas.openxmlformats.org/officeDocument/2006/relationships/hyperlink" Target="https://www.youtube.com/watch?v=poYqZ7Ml88E" TargetMode="External" Id="rId1944"/><Relationship Type="http://schemas.openxmlformats.org/officeDocument/2006/relationships/hyperlink" Target="https://scholar.google.com/scholar?q=Rives+et+al.+2021+PNAS+118%3Ae2016239118+ESM-1b+Lin+et+al.+2023+Science+379%3A1123+ESM-2+ESMFold" TargetMode="External" Id="rId1945"/><Relationship Type="http://schemas.openxmlformats.org/officeDocument/2006/relationships/hyperlink" Target="https://www.youtube.com/watch?v=BA5C0kLcErM" TargetMode="External" Id="rId1946"/><Relationship Type="http://schemas.openxmlformats.org/officeDocument/2006/relationships/hyperlink" Target="https://scholar.google.com/scholar?q=Ferruz+et+al.+2022+Nat+Commun+13%3A4348+ProtGPT2+Madani+et+al.+2023+Nat+Biotechnol+41%3A1099+ProGen" TargetMode="External" Id="rId1947"/><Relationship Type="http://schemas.openxmlformats.org/officeDocument/2006/relationships/hyperlink" Target="https://www.youtube.com/watch?v=cwYuJfqzyRk" TargetMode="External" Id="rId1948"/><Relationship Type="http://schemas.openxmlformats.org/officeDocument/2006/relationships/hyperlink" Target="https://scholar.google.com/scholar?q=Ferruz+et+al.+2022+Nat+Commun+13%3A4348+ProtGPT2+Madani+et+al.+2023+Nat+Biotechnol+41%3A1099+ProGen" TargetMode="External" Id="rId1949"/><Relationship Type="http://schemas.openxmlformats.org/officeDocument/2006/relationships/hyperlink" Target="https://www.youtube.com/watch?v=843BIibICpU" TargetMode="External" Id="rId1950"/><Relationship Type="http://schemas.openxmlformats.org/officeDocument/2006/relationships/hyperlink" Target="https://scholar.google.com/scholar?q=Ferruz+et+al.+2022+Nat+Commun+13%3A4348+ProtGPT2+Madani+et+al.+2023+Nat+Biotechnol+41%3A1099+ProGen" TargetMode="External" Id="rId1951"/><Relationship Type="http://schemas.openxmlformats.org/officeDocument/2006/relationships/hyperlink" Target="https://www.youtube.com/watch?v=Xa2yksdpUrI" TargetMode="External" Id="rId1952"/><Relationship Type="http://schemas.openxmlformats.org/officeDocument/2006/relationships/hyperlink" Target="https://scholar.google.com/scholar?q=Ferruz+et+al.+2022+Nat+Commun+13%3A4348+ProtGPT2+Madani+et+al.+2023+Nat+Biotechnol+41%3A1099+ProGen" TargetMode="External" Id="rId1953"/><Relationship Type="http://schemas.openxmlformats.org/officeDocument/2006/relationships/hyperlink" Target="https://www.youtube.com/watch?v=ke8IJIOtV_Y" TargetMode="External" Id="rId1954"/><Relationship Type="http://schemas.openxmlformats.org/officeDocument/2006/relationships/hyperlink" Target="https://scholar.google.com/scholar?q=Ferruz+et+al.+2022+Nat+Commun+13%3A4348+ProtGPT2+Madani+et+al.+2023+Nat+Biotechnol+41%3A1099+ProGen" TargetMode="External" Id="rId1955"/><Relationship Type="http://schemas.openxmlformats.org/officeDocument/2006/relationships/hyperlink" Target="https://www.youtube.com/watch?v=JXrJavEJi80" TargetMode="External" Id="rId1956"/><Relationship Type="http://schemas.openxmlformats.org/officeDocument/2006/relationships/hyperlink" Target="https://scholar.google.com/scholar?q=Ferruz+et+al.+2022+Nat+Commun+13%3A4348+ProtGPT2+Madani+et+al.+2023+Nat+Biotechnol+41%3A1099+ProGen" TargetMode="External" Id="rId1957"/><Relationship Type="http://schemas.openxmlformats.org/officeDocument/2006/relationships/hyperlink" Target="https://www.youtube.com/watch?v=e1e-_SkyNjw" TargetMode="External" Id="rId1958"/><Relationship Type="http://schemas.openxmlformats.org/officeDocument/2006/relationships/hyperlink" Target="https://scholar.google.com/scholar?q=Ferruz+et+al.+2022+Nat+Commun+13%3A4348+ProtGPT2+Madani+et+al.+2023+Nat+Biotechnol+41%3A1099+ProGen" TargetMode="External" Id="rId1959"/><Relationship Type="http://schemas.openxmlformats.org/officeDocument/2006/relationships/hyperlink" Target="https://www.youtube.com/watch?v=iV_7mgxe4OI" TargetMode="External" Id="rId1960"/><Relationship Type="http://schemas.openxmlformats.org/officeDocument/2006/relationships/hyperlink" Target="https://scholar.google.com/scholar?q=Ferruz+et+al.+2022+Nat+Commun+13%3A4348+ProtGPT2+Madani+et+al.+2023+Nat+Biotechnol+41%3A1099+ProGen" TargetMode="External" Id="rId1961"/><Relationship Type="http://schemas.openxmlformats.org/officeDocument/2006/relationships/hyperlink" Target="https://www.youtube.com/watch?v=O3YBEnvvPZY" TargetMode="External" Id="rId1962"/><Relationship Type="http://schemas.openxmlformats.org/officeDocument/2006/relationships/hyperlink" Target="https://scholar.google.com/scholar?q=Ferruz+et+al.+2022+Nat+Commun+13%3A4348+ProtGPT2+Madani+et+al.+2023+Nat+Biotechnol+41%3A1099+ProGen" TargetMode="External" Id="rId1963"/><Relationship Type="http://schemas.openxmlformats.org/officeDocument/2006/relationships/hyperlink" Target="https://www.youtube.com/watch?v=Hm8Z0SIyLqw" TargetMode="External" Id="rId1964"/><Relationship Type="http://schemas.openxmlformats.org/officeDocument/2006/relationships/hyperlink" Target="https://scholar.google.com/scholar?q=Ferruz+et+al.+2022+Nat+Commun+13%3A4348+ProtGPT2+Madani+et+al.+2023+Nat+Biotechnol+41%3A1099+ProGen" TargetMode="External" Id="rId1965"/><Relationship Type="http://schemas.openxmlformats.org/officeDocument/2006/relationships/hyperlink" Target="https://www.youtube.com/watch?v=vDX3we6sim8" TargetMode="External" Id="rId1966"/><Relationship Type="http://schemas.openxmlformats.org/officeDocument/2006/relationships/hyperlink" Target="https://scholar.google.com/scholar?q=Ferruz+et+al.+2022+Nat+Commun+13%3A4348+ProtGPT2+Madani+et+al.+2023+Nat+Biotechnol+41%3A1099+ProGen" TargetMode="External" Id="rId1967"/><Relationship Type="http://schemas.openxmlformats.org/officeDocument/2006/relationships/hyperlink" Target="https://www.youtube.com/watch?v=wCvtjoON45E" TargetMode="External" Id="rId1968"/><Relationship Type="http://schemas.openxmlformats.org/officeDocument/2006/relationships/hyperlink" Target="https://scholar.google.com/scholar?q=Ferruz+et+al.+2022+Nat+Commun+13%3A4348+ProtGPT2+Madani+et+al.+2023+Nat+Biotechnol+41%3A1099+ProGen" TargetMode="External" Id="rId1969"/><Relationship Type="http://schemas.openxmlformats.org/officeDocument/2006/relationships/hyperlink" Target="https://www.youtube.com/watch?v=pRhjVfCo1KU" TargetMode="External" Id="rId1970"/><Relationship Type="http://schemas.openxmlformats.org/officeDocument/2006/relationships/hyperlink" Target="https://scholar.google.com/scholar?q=Ferruz+et+al.+2022+Nat+Commun+13%3A4348+ProtGPT2+Madani+et+al.+2023+Nat+Biotechnol+41%3A1099+ProGen" TargetMode="External" Id="rId1971"/><Relationship Type="http://schemas.openxmlformats.org/officeDocument/2006/relationships/hyperlink" Target="https://www.youtube.com/watch?v=gyn7UsSfc68" TargetMode="External" Id="rId1972"/><Relationship Type="http://schemas.openxmlformats.org/officeDocument/2006/relationships/hyperlink" Target="https://scholar.google.com/scholar?q=Ferruz+et+al.+2022+Nat+Commun+13%3A4348+ProtGPT2+Madani+et+al.+2023+Nat+Biotechnol+41%3A1099+ProGen" TargetMode="External" Id="rId1973"/><Relationship Type="http://schemas.openxmlformats.org/officeDocument/2006/relationships/hyperlink" Target="https://www.youtube.com/watch?v=97q2wtoquQk" TargetMode="External" Id="rId1974"/><Relationship Type="http://schemas.openxmlformats.org/officeDocument/2006/relationships/hyperlink" Target="https://scholar.google.com/scholar?q=Hopf+et+al.+2017+Nat+Biotechnol+35%3A128+Riesselman+et+al.+2018+Nat+Methods+15%3A816" TargetMode="External" Id="rId1975"/><Relationship Type="http://schemas.openxmlformats.org/officeDocument/2006/relationships/hyperlink" Target="https://www.youtube.com/watch?v=GUt9NQcll5c" TargetMode="External" Id="rId1976"/><Relationship Type="http://schemas.openxmlformats.org/officeDocument/2006/relationships/hyperlink" Target="https://scholar.google.com/scholar?q=Riesselman+et+al.+2018+Nat+Methods+15%3A816+DeepSequence+Frazer+et+al.+2021+Nature+599%3A91+EVE" TargetMode="External" Id="rId1977"/><Relationship Type="http://schemas.openxmlformats.org/officeDocument/2006/relationships/hyperlink" Target="https://www.youtube.com/watch?v=KVzm0jN7Kfk" TargetMode="External" Id="rId1978"/><Relationship Type="http://schemas.openxmlformats.org/officeDocument/2006/relationships/hyperlink" Target="https://scholar.google.com/scholar?q=Riesselman+et+al.+2018+Nat+Methods+15%3A816+DeepSequence+Frazer+et+al.+2021+Nature+599%3A91+EVE" TargetMode="External" Id="rId1979"/><Relationship Type="http://schemas.openxmlformats.org/officeDocument/2006/relationships/hyperlink" Target="https://www.youtube.com/watch?v=m0QVNWcRi8Y" TargetMode="External" Id="rId1980"/><Relationship Type="http://schemas.openxmlformats.org/officeDocument/2006/relationships/hyperlink" Target="https://scholar.google.com/scholar?q=Riesselman+et+al.+2018+Nat+Methods+15%3A816+DeepSequence+Frazer+et+al.+2021+Nature+599%3A91+EVE" TargetMode="External" Id="rId1981"/><Relationship Type="http://schemas.openxmlformats.org/officeDocument/2006/relationships/hyperlink" Target="https://www.youtube.com/watch?v=38M6kOTR5gI" TargetMode="External" Id="rId1982"/><Relationship Type="http://schemas.openxmlformats.org/officeDocument/2006/relationships/hyperlink" Target="https://scholar.google.com/scholar?q=Riesselman+et+al.+2018+Nat+Methods+15%3A816+DeepSequence+Frazer+et+al.+2021+Nature+599%3A91+EVE" TargetMode="External" Id="rId1983"/><Relationship Type="http://schemas.openxmlformats.org/officeDocument/2006/relationships/hyperlink" Target="https://www.youtube.com/watch?v=UfeXApKTufQ" TargetMode="External" Id="rId1984"/><Relationship Type="http://schemas.openxmlformats.org/officeDocument/2006/relationships/hyperlink" Target="https://scholar.google.com/scholar?q=Riesselman+et+al.+2018+Nat+Methods+15%3A816+DeepSequence+Frazer+et+al.+2021+Nature+599%3A91+EVE" TargetMode="External" Id="rId1985"/><Relationship Type="http://schemas.openxmlformats.org/officeDocument/2006/relationships/hyperlink" Target="https://www.youtube.com/watch?v=zV_yhnCxjuM" TargetMode="External" Id="rId1986"/><Relationship Type="http://schemas.openxmlformats.org/officeDocument/2006/relationships/hyperlink" Target="https://scholar.google.com/scholar?q=Riesselman+et+al.+2018+Nat+Methods+15%3A816+DeepSequence+Frazer+et+al.+2021+Nature+599%3A91+EVE" TargetMode="External" Id="rId1987"/><Relationship Type="http://schemas.openxmlformats.org/officeDocument/2006/relationships/hyperlink" Target="https://www.youtube.com/watch?v=OaOj3znHPn0" TargetMode="External" Id="rId1988"/><Relationship Type="http://schemas.openxmlformats.org/officeDocument/2006/relationships/hyperlink" Target="https://scholar.google.com/scholar?q=Riesselman+et+al.+2018+Nat+Methods+15%3A816+DeepSequence+Frazer+et+al.+2021+Nature+599%3A91+EVE" TargetMode="External" Id="rId1989"/><Relationship Type="http://schemas.openxmlformats.org/officeDocument/2006/relationships/hyperlink" Target="https://www.youtube.com/watch?v=IuLuCbI5UG4" TargetMode="External" Id="rId1990"/><Relationship Type="http://schemas.openxmlformats.org/officeDocument/2006/relationships/hyperlink" Target="https://scholar.google.com/scholar?q=Cheng+et+al.+2023+Science+381%3Aeadg7492+AlphaMissense" TargetMode="External" Id="rId1991"/><Relationship Type="http://schemas.openxmlformats.org/officeDocument/2006/relationships/hyperlink" Target="https://www.youtube.com/watch?v=Gaoeipwx5p4" TargetMode="External" Id="rId1992"/><Relationship Type="http://schemas.openxmlformats.org/officeDocument/2006/relationships/hyperlink" Target="https://scholar.google.com/scholar?q=Riesselman+et+al.+2018+Nat+Methods+15%3A816+DeepSequence+Frazer+et+al.+2021+Nature+599%3A91+EVE" TargetMode="External" Id="rId1993"/><Relationship Type="http://schemas.openxmlformats.org/officeDocument/2006/relationships/hyperlink" Target="https://www.youtube.com/watch?v=AOyDjBSQjhk" TargetMode="External" Id="rId1994"/><Relationship Type="http://schemas.openxmlformats.org/officeDocument/2006/relationships/hyperlink" Target="https://scholar.google.com/scholar?q=Riesselman+et+al.+2018+Nat+Methods+15%3A816+DeepSequence+Frazer+et+al.+2021+Nature+599%3A91+EVE" TargetMode="External" Id="rId1995"/><Relationship Type="http://schemas.openxmlformats.org/officeDocument/2006/relationships/hyperlink" Target="https://www.youtube.com/watch?v=DeHt1LgtjyQ" TargetMode="External" Id="rId1996"/><Relationship Type="http://schemas.openxmlformats.org/officeDocument/2006/relationships/hyperlink" Target="https://scholar.google.com/scholar?q=Riesselman+et+al.+2018+Nat+Methods+15%3A816+DeepSequence+Frazer+et+al.+2021+Nature+599%3A91+EVE" TargetMode="External" Id="rId1997"/><Relationship Type="http://schemas.openxmlformats.org/officeDocument/2006/relationships/hyperlink" Target="https://www.youtube.com/watch?v=AqAiYfyuR6g" TargetMode="External" Id="rId1998"/><Relationship Type="http://schemas.openxmlformats.org/officeDocument/2006/relationships/hyperlink" Target="https://scholar.google.com/scholar?q=Riesselman+et+al.+2018+Nat+Methods+15%3A816+DeepSequence+Frazer+et+al.+2021+Nature+599%3A91+EVE" TargetMode="External" Id="rId1999"/><Relationship Type="http://schemas.openxmlformats.org/officeDocument/2006/relationships/hyperlink" Target="https://www.youtube.com/watch?v=o8vtTWjxrUQ" TargetMode="External" Id="rId2000"/><Relationship Type="http://schemas.openxmlformats.org/officeDocument/2006/relationships/hyperlink" Target="https://scholar.google.com/scholar?q=Riesselman+et+al.+2018+Nat+Methods+15%3A816+DeepSequence+Frazer+et+al.+2021+Nature+599%3A91+EVE" TargetMode="External" Id="rId2001"/><Relationship Type="http://schemas.openxmlformats.org/officeDocument/2006/relationships/hyperlink" Target="https://www.youtube.com/watch?v=JlTLUObdO1A" TargetMode="External" Id="rId2002"/><Relationship Type="http://schemas.openxmlformats.org/officeDocument/2006/relationships/hyperlink" Target="https://scholar.google.com/scholar?q=Simon+%26+Zou+2024+bioRxiv+InterPLM" TargetMode="External" Id="rId2003"/><Relationship Type="http://schemas.openxmlformats.org/officeDocument/2006/relationships/hyperlink" Target="https://www.youtube.com/watch?v=MZhEadNUSa4" TargetMode="External" Id="rId2004"/><Relationship Type="http://schemas.openxmlformats.org/officeDocument/2006/relationships/hyperlink" Target="https://scholar.google.com/scholar?q=Simon+%26+Zou+2024+bioRxiv+InterPLM+Rao+et+al.+2021+ICML+MSA+Transformer" TargetMode="External" Id="rId2005"/><Relationship Type="http://schemas.openxmlformats.org/officeDocument/2006/relationships/hyperlink" Target="https://www.youtube.com/watch?v=aBUjooyvdnk" TargetMode="External" Id="rId2006"/><Relationship Type="http://schemas.openxmlformats.org/officeDocument/2006/relationships/hyperlink" Target="https://scholar.google.com/scholar?q=Simon+%26+Zou+2024+bioRxiv+InterPLM+Rao+et+al.+2021+ICML+MSA+Transformer" TargetMode="External" Id="rId2007"/><Relationship Type="http://schemas.openxmlformats.org/officeDocument/2006/relationships/hyperlink" Target="https://www.youtube.com/watch?v=M5cgGPiTomY" TargetMode="External" Id="rId2008"/><Relationship Type="http://schemas.openxmlformats.org/officeDocument/2006/relationships/hyperlink" Target="https://scholar.google.com/scholar?q=Simon+%26+Zou+2024+bioRxiv+InterPLM+Rao+et+al.+2021+ICML+MSA+Transformer" TargetMode="External" Id="rId2009"/><Relationship Type="http://schemas.openxmlformats.org/officeDocument/2006/relationships/hyperlink" Target="https://www.youtube.com/watch?v=vJm31ewj9mw" TargetMode="External" Id="rId2010"/><Relationship Type="http://schemas.openxmlformats.org/officeDocument/2006/relationships/hyperlink" Target="https://scholar.google.com/scholar?q=Simon+%26+Zou+2024+bioRxiv+InterPLM+Rao+et+al.+2021+ICML+MSA+Transformer" TargetMode="External" Id="rId2011"/><Relationship Type="http://schemas.openxmlformats.org/officeDocument/2006/relationships/hyperlink" Target="https://www.youtube.com/watch?v=vGHrLbxyU-Y" TargetMode="External" Id="rId2012"/><Relationship Type="http://schemas.openxmlformats.org/officeDocument/2006/relationships/hyperlink" Target="https://scholar.google.com/scholar?q=Simon+%26+Zou+2024+bioRxiv+InterPLM+Rao+et+al.+2021+ICML+MSA+Transformer" TargetMode="External" Id="rId2013"/><Relationship Type="http://schemas.openxmlformats.org/officeDocument/2006/relationships/hyperlink" Target="https://www.youtube.com/watch?v=MrBl1w7XmgA" TargetMode="External" Id="rId2014"/><Relationship Type="http://schemas.openxmlformats.org/officeDocument/2006/relationships/hyperlink" Target="https://scholar.google.com/scholar?q=Simon+%26+Zou+2024+bioRxiv+InterPLM+Rao+et+al.+2021+ICML+MSA+Transformer" TargetMode="External" Id="rId2015"/><Relationship Type="http://schemas.openxmlformats.org/officeDocument/2006/relationships/hyperlink" Target="https://www.youtube.com/watch?v=4xdL067I0pw" TargetMode="External" Id="rId2016"/><Relationship Type="http://schemas.openxmlformats.org/officeDocument/2006/relationships/hyperlink" Target="https://scholar.google.com/scholar?q=Simon+%26+Zou+2024+bioRxiv+InterPLM+Rao+et+al.+2021+ICML+MSA+Transformer" TargetMode="External" Id="rId2017"/><Relationship Type="http://schemas.openxmlformats.org/officeDocument/2006/relationships/hyperlink" Target="https://www.youtube.com/watch?v=lT6cRbjD1C8" TargetMode="External" Id="rId2018"/><Relationship Type="http://schemas.openxmlformats.org/officeDocument/2006/relationships/hyperlink" Target="https://scholar.google.com/scholar?q=Simon+%26+Zou+2024+bioRxiv+InterPLM+Rao+et+al.+2021+ICML+MSA+Transformer" TargetMode="External" Id="rId2019"/><Relationship Type="http://schemas.openxmlformats.org/officeDocument/2006/relationships/hyperlink" Target="https://www.youtube.com/watch?v=VhRBYcCyXlA" TargetMode="External" Id="rId2020"/><Relationship Type="http://schemas.openxmlformats.org/officeDocument/2006/relationships/hyperlink" Target="https://scholar.google.com/scholar?q=Nguyen+et+al.+2024+Science+386%3Aeado9336+Evo+Brixi+et+al.+2025+bioRxiv+Evo+2" TargetMode="External" Id="rId2021"/><Relationship Type="http://schemas.openxmlformats.org/officeDocument/2006/relationships/hyperlink" Target="https://www.youtube.com/watch?v=VraBp8uACec" TargetMode="External" Id="rId2022"/><Relationship Type="http://schemas.openxmlformats.org/officeDocument/2006/relationships/hyperlink" Target="https://scholar.google.com/scholar?q=Nguyen+et+al.+2024+Science+386%3Aeado9336+Evo+Brixi+et+al.+2025+bioRxiv+Evo+2" TargetMode="External" Id="rId2023"/><Relationship Type="http://schemas.openxmlformats.org/officeDocument/2006/relationships/hyperlink" Target="https://www.youtube.com/watch?v=gBnwz6X9zYk" TargetMode="External" Id="rId2024"/><Relationship Type="http://schemas.openxmlformats.org/officeDocument/2006/relationships/hyperlink" Target="https://scholar.google.com/scholar?q=Nguyen+et+al.+2024+Science+386%3Aeado9336+Evo+Brixi+et+al.+2025+bioRxiv+Evo+2" TargetMode="External" Id="rId2025"/><Relationship Type="http://schemas.openxmlformats.org/officeDocument/2006/relationships/hyperlink" Target="https://www.youtube.com/watch?v=BROeb0GWecM" TargetMode="External" Id="rId2026"/><Relationship Type="http://schemas.openxmlformats.org/officeDocument/2006/relationships/hyperlink" Target="https://scholar.google.com/scholar?q=Nguyen+et+al.+2024+Science+386%3Aeado9336+Evo+Brixi+et+al.+2025+bioRxiv+Evo+2" TargetMode="External" Id="rId2027"/><Relationship Type="http://schemas.openxmlformats.org/officeDocument/2006/relationships/hyperlink" Target="https://www.youtube.com/watch?v=KKhtWU-eriY" TargetMode="External" Id="rId2028"/><Relationship Type="http://schemas.openxmlformats.org/officeDocument/2006/relationships/hyperlink" Target="https://scholar.google.com/scholar?q=Nguyen+et+al.+2024+Science+386%3Aeado9336+Evo+Brixi+et+al.+2025+bioRxiv+Evo+2" TargetMode="External" Id="rId2029"/><Relationship Type="http://schemas.openxmlformats.org/officeDocument/2006/relationships/hyperlink" Target="https://www.youtube.com/watch?v=0GFi-TrUPDM" TargetMode="External" Id="rId2030"/><Relationship Type="http://schemas.openxmlformats.org/officeDocument/2006/relationships/hyperlink" Target="https://scholar.google.com/scholar?q=Nguyen+et+al.+2024+Science+386%3Aeado9336+Evo+Brixi+et+al.+2025+bioRxiv+Evo+2" TargetMode="External" Id="rId2031"/><Relationship Type="http://schemas.openxmlformats.org/officeDocument/2006/relationships/hyperlink" Target="https://www.youtube.com/watch?v=G01tGkcw-OA" TargetMode="External" Id="rId2032"/><Relationship Type="http://schemas.openxmlformats.org/officeDocument/2006/relationships/hyperlink" Target="https://scholar.google.com/scholar?q=Nguyen+et+al.+2024+Science+386%3Aeado9336+Evo+Brixi+et+al.+2025+bioRxiv+Evo+2" TargetMode="External" Id="rId2033"/><Relationship Type="http://schemas.openxmlformats.org/officeDocument/2006/relationships/hyperlink" Target="https://www.youtube.com/watch?v=QW-9gdYxO9U" TargetMode="External" Id="rId2034"/><Relationship Type="http://schemas.openxmlformats.org/officeDocument/2006/relationships/hyperlink" Target="https://scholar.google.com/scholar?q=Nguyen+et+al.+2024+Science+386%3Aeado9336+Evo+Brixi+et+al.+2025+bioRxiv+Evo+2" TargetMode="External" Id="rId2035"/><Relationship Type="http://schemas.openxmlformats.org/officeDocument/2006/relationships/hyperlink" Target="https://www.youtube.com/watch?v=IN2UhYBeSx4" TargetMode="External" Id="rId2036"/><Relationship Type="http://schemas.openxmlformats.org/officeDocument/2006/relationships/hyperlink" Target="https://scholar.google.com/scholar?q=Nguyen+et+al.+2024+Science+386%3Aeado9336+Evo+Brixi+et+al.+2025+bioRxiv+Evo+2" TargetMode="External" Id="rId2037"/><Relationship Type="http://schemas.openxmlformats.org/officeDocument/2006/relationships/hyperlink" Target="https://www.youtube.com/watch?v=HDhU-MUB85o" TargetMode="External" Id="rId2038"/><Relationship Type="http://schemas.openxmlformats.org/officeDocument/2006/relationships/hyperlink" Target="https://scholar.google.com/scholar?q=Nguyen+et+al.+2024+Science+386%3Aeado9336+Evo+Brixi+et+al.+2025+bioRxiv+Evo+2" TargetMode="External" Id="rId2039"/><Relationship Type="http://schemas.openxmlformats.org/officeDocument/2006/relationships/hyperlink" Target="https://www.youtube.com/watch?v=rZXXdaGib-s" TargetMode="External" Id="rId2040"/><Relationship Type="http://schemas.openxmlformats.org/officeDocument/2006/relationships/hyperlink" Target="https://scholar.google.com/scholar?q=Nguyen+et+al.+2024+Science+386%3Aeado9336+Evo+Brixi+et+al.+2025+bioRxiv+Evo+2" TargetMode="External" Id="rId2041"/><Relationship Type="http://schemas.openxmlformats.org/officeDocument/2006/relationships/hyperlink" Target="https://www.youtube.com/watch?v=399s7HT9Db4" TargetMode="External" Id="rId2042"/><Relationship Type="http://schemas.openxmlformats.org/officeDocument/2006/relationships/hyperlink" Target="https://scholar.google.com/scholar?q=Nguyen+et+al.+2024+Science+386%3Aeado9336+Evo+Brixi+et+al.+2025+bioRxiv+Evo+2" TargetMode="External" Id="rId2043"/><Relationship Type="http://schemas.openxmlformats.org/officeDocument/2006/relationships/hyperlink" Target="https://www.youtube.com/watch?v=oS_Cb-YMymw" TargetMode="External" Id="rId2044"/><Relationship Type="http://schemas.openxmlformats.org/officeDocument/2006/relationships/hyperlink" Target="https://scholar.google.com/scholar?q=Nguyen+et+al.+2024+Science+386%3Aeado9336+Evo+Brixi+et+al.+2025+bioRxiv+Evo+2" TargetMode="External" Id="rId2045"/><Relationship Type="http://schemas.openxmlformats.org/officeDocument/2006/relationships/hyperlink" Target="https://www.youtube.com/watch?v=7JNhul_NSeo" TargetMode="External" Id="rId2046"/><Relationship Type="http://schemas.openxmlformats.org/officeDocument/2006/relationships/hyperlink" Target="https://scholar.google.com/scholar?q=Nguyen+et+al.+2024+Science+386%3Aeado9336+Evo+Brixi+et+al.+2025+bioRxiv+Evo+2" TargetMode="External" Id="rId2047"/><Relationship Type="http://schemas.openxmlformats.org/officeDocument/2006/relationships/hyperlink" Target="https://www.youtube.com/watch?v=0i1-ada-HmM" TargetMode="External" Id="rId2048"/><Relationship Type="http://schemas.openxmlformats.org/officeDocument/2006/relationships/hyperlink" Target="https://scholar.google.com/scholar?q=Nguyen+et+al.+2024+Science+386%3Aeado9336+Evo+Brixi+et+al.+2025+bioRxiv+Evo+2" TargetMode="External" Id="rId2049"/><Relationship Type="http://schemas.openxmlformats.org/officeDocument/2006/relationships/hyperlink" Target="https://www.youtube.com/watch?v=L70YMobBKL0" TargetMode="External" Id="rId2050"/><Relationship Type="http://schemas.openxmlformats.org/officeDocument/2006/relationships/hyperlink" Target="https://scholar.google.com/scholar?q=Nguyen+et+al.+2024+Science+386%3Aeado9336+Evo+Brixi+et+al.+2025+bioRxiv+Evo+2" TargetMode="External" Id="rId2051"/><Relationship Type="http://schemas.openxmlformats.org/officeDocument/2006/relationships/hyperlink" Target="https://www.youtube.com/watch?v=oHWT8OeAbJ8" TargetMode="External" Id="rId2052"/><Relationship Type="http://schemas.openxmlformats.org/officeDocument/2006/relationships/hyperlink" Target="https://scholar.google.com/scholar?q=Nguyen+et+al.+2024+Science+386%3Aeado9336+Evo+Brixi+et+al.+2025+bioRxiv+Evo+2" TargetMode="External" Id="rId2053"/><Relationship Type="http://schemas.openxmlformats.org/officeDocument/2006/relationships/hyperlink" Target="https://www.youtube.com/watch?v=JaDkn0cPzUE" TargetMode="External" Id="rId2054"/><Relationship Type="http://schemas.openxmlformats.org/officeDocument/2006/relationships/hyperlink" Target="https://scholar.google.com/scholar?q=Nguyen+et+al.+2024+Science+386%3Aeado9336+Evo+Brixi+et+al.+2025+bioRxiv+Evo+2" TargetMode="External" Id="rId2055"/><Relationship Type="http://schemas.openxmlformats.org/officeDocument/2006/relationships/hyperlink" Target="https://www.youtube.com/watch?v=-qmIL5IZ06g" TargetMode="External" Id="rId2056"/><Relationship Type="http://schemas.openxmlformats.org/officeDocument/2006/relationships/hyperlink" Target="https://scholar.google.com/scholar?q=Nguyen+et+al.+2024+Science+386%3Aeado9336+Evo+Brixi+et+al.+2025+bioRxiv+Evo+2" TargetMode="External" Id="rId2057"/><Relationship Type="http://schemas.openxmlformats.org/officeDocument/2006/relationships/hyperlink" Target="https://www.youtube.com/watch?v=0AkODFVvlfw" TargetMode="External" Id="rId2058"/><Relationship Type="http://schemas.openxmlformats.org/officeDocument/2006/relationships/hyperlink" Target="https://scholar.google.com/scholar?q=Nguyen+et+al.+2024+Science+386%3Aeado9336+Evo+Brixi+et+al.+2025+bioRxiv+Evo+2" TargetMode="External" Id="rId2059"/><Relationship Type="http://schemas.openxmlformats.org/officeDocument/2006/relationships/hyperlink" Target="https://www.youtube.com/watch?v=IG4SaU4jRJI" TargetMode="External" Id="rId2060"/><Relationship Type="http://schemas.openxmlformats.org/officeDocument/2006/relationships/hyperlink" Target="https://scholar.google.com/scholar?q=Nguyen+et+al.+2024+Science+386%3Aeado9336+Evo+Brixi+et+al.+2025+bioRxiv+Evo+2" TargetMode="External" Id="rId2061"/><Relationship Type="http://schemas.openxmlformats.org/officeDocument/2006/relationships/hyperlink" Target="https://www.youtube.com/watch?v=Iy7rX2uVOK0" TargetMode="External" Id="rId2062"/><Relationship Type="http://schemas.openxmlformats.org/officeDocument/2006/relationships/hyperlink" Target="https://scholar.google.com/scholar?q=Nguyen+et+al.+2024+Science+386%3Aeado9336+Evo+Brixi+et+al.+2025+bioRxiv+Evo+2" TargetMode="External" Id="rId2063"/><Relationship Type="http://schemas.openxmlformats.org/officeDocument/2006/relationships/hyperlink" Target="https://www.youtube.com/watch?v=DekVDA_25N4" TargetMode="External" Id="rId2064"/><Relationship Type="http://schemas.openxmlformats.org/officeDocument/2006/relationships/hyperlink" Target="https://scholar.google.com/scholar?q=Yu+et+al.+2023+Science+379%3A1358+CLEAN+van+Kempen+et+al.+2024+Nat+Biotechnol+42%3A243+Foldseek" TargetMode="External" Id="rId2065"/><Relationship Type="http://schemas.openxmlformats.org/officeDocument/2006/relationships/hyperlink" Target="https://www.youtube.com/watch?v=IZmIiIWbsjA" TargetMode="External" Id="rId2066"/><Relationship Type="http://schemas.openxmlformats.org/officeDocument/2006/relationships/hyperlink" Target="https://scholar.google.com/scholar?q=Yu+et+al.+2023+Science+379%3A1358+CLEAN+van+Kempen+et+al.+2024+Nat+Biotechnol+42%3A243+Foldseek" TargetMode="External" Id="rId2067"/><Relationship Type="http://schemas.openxmlformats.org/officeDocument/2006/relationships/hyperlink" Target="https://www.youtube.com/watch?v=FO7BI2Tud40" TargetMode="External" Id="rId2068"/><Relationship Type="http://schemas.openxmlformats.org/officeDocument/2006/relationships/hyperlink" Target="https://scholar.google.com/scholar?q=Radivojac+et+al.+2013+Nat+Methods+10%3A221+CAFA" TargetMode="External" Id="rId2069"/><Relationship Type="http://schemas.openxmlformats.org/officeDocument/2006/relationships/hyperlink" Target="https://www.youtube.com/watch?v=ZDi0Wx1O8U0" TargetMode="External" Id="rId2070"/><Relationship Type="http://schemas.openxmlformats.org/officeDocument/2006/relationships/hyperlink" Target="https://scholar.google.com/scholar?q=Yu+et+al.+2023+Science+379%3A1358+CLEAN+van+Kempen+et+al.+2024+Nat+Biotechnol+42%3A243+Foldseek" TargetMode="External" Id="rId2071"/><Relationship Type="http://schemas.openxmlformats.org/officeDocument/2006/relationships/hyperlink" Target="https://www.youtube.com/watch?v=cP2vH8mChzE" TargetMode="External" Id="rId2072"/><Relationship Type="http://schemas.openxmlformats.org/officeDocument/2006/relationships/hyperlink" Target="https://scholar.google.com/scholar?q=Yu+et+al.+2023+Science+379%3A1358+CLEAN+van+Kempen+et+al.+2024+Nat+Biotechnol+42%3A243+Foldseek" TargetMode="External" Id="rId2073"/><Relationship Type="http://schemas.openxmlformats.org/officeDocument/2006/relationships/hyperlink" Target="https://www.youtube.com/watch?v=wp0UirWDeMo" TargetMode="External" Id="rId2074"/><Relationship Type="http://schemas.openxmlformats.org/officeDocument/2006/relationships/hyperlink" Target="https://scholar.google.com/scholar?q=Yu+et+al.+2023+Science+379%3A1358+CLEAN+van+Kempen+et+al.+2024+Nat+Biotechnol+42%3A243+Foldseek" TargetMode="External" Id="rId2075"/><Relationship Type="http://schemas.openxmlformats.org/officeDocument/2006/relationships/hyperlink" Target="https://www.youtube.com/watch?v=LcLmvtXHI1s" TargetMode="External" Id="rId2076"/><Relationship Type="http://schemas.openxmlformats.org/officeDocument/2006/relationships/hyperlink" Target="https://scholar.google.com/scholar?q=Yu+et+al.+2023+Science+379%3A1358+CLEAN+van+Kempen+et+al.+2024+Nat+Biotechnol+42%3A243+Foldseek" TargetMode="External" Id="rId2077"/><Relationship Type="http://schemas.openxmlformats.org/officeDocument/2006/relationships/hyperlink" Target="https://www.youtube.com/watch?v=mjmw7rjxOs4" TargetMode="External" Id="rId2078"/><Relationship Type="http://schemas.openxmlformats.org/officeDocument/2006/relationships/hyperlink" Target="https://scholar.google.com/scholar?q=Yu+et+al.+2023+Science+379%3A1358+CLEAN+van+Kempen+et+al.+2024+Nat+Biotechnol+42%3A243+Foldseek" TargetMode="External" Id="rId2079"/><Relationship Type="http://schemas.openxmlformats.org/officeDocument/2006/relationships/hyperlink" Target="https://www.youtube.com/watch?v=8wy__P9oMKA" TargetMode="External" Id="rId2080"/><Relationship Type="http://schemas.openxmlformats.org/officeDocument/2006/relationships/hyperlink" Target="https://scholar.google.com/scholar?q=Yu+et+al.+2023+Science+379%3A1358+CLEAN+van+Kempen+et+al.+2024+Nat+Biotechnol+42%3A243+Foldseek" TargetMode="External" Id="rId2081"/><Relationship Type="http://schemas.openxmlformats.org/officeDocument/2006/relationships/hyperlink" Target="https://www.youtube.com/watch?v=aVQQuoToTJA" TargetMode="External" Id="rId2082"/><Relationship Type="http://schemas.openxmlformats.org/officeDocument/2006/relationships/hyperlink" Target="https://scholar.google.com/scholar?q=Dauparas+et+al.+2022+Science+378%3A49+ProteinMPNN+landmark" TargetMode="External" Id="rId2083"/><Relationship Type="http://schemas.openxmlformats.org/officeDocument/2006/relationships/hyperlink" Target="https://www.youtube.com/watch?v=zbpWFKjiXEk" TargetMode="External" Id="rId2084"/><Relationship Type="http://schemas.openxmlformats.org/officeDocument/2006/relationships/hyperlink" Target="https://scholar.google.com/scholar?q=Dauparas+et+al.+2022+Science+378%3A49+ProteinMPNN+landmark" TargetMode="External" Id="rId2085"/><Relationship Type="http://schemas.openxmlformats.org/officeDocument/2006/relationships/hyperlink" Target="https://www.youtube.com/watch?v=6z4XmUAwdNA" TargetMode="External" Id="rId2086"/><Relationship Type="http://schemas.openxmlformats.org/officeDocument/2006/relationships/hyperlink" Target="https://scholar.google.com/scholar?q=Dauparas+et+al.+2022+Science+378%3A49+ProteinMPNN+landmark" TargetMode="External" Id="rId2087"/><Relationship Type="http://schemas.openxmlformats.org/officeDocument/2006/relationships/hyperlink" Target="https://www.youtube.com/watch?v=o8JWPjSH1Ig" TargetMode="External" Id="rId2088"/><Relationship Type="http://schemas.openxmlformats.org/officeDocument/2006/relationships/hyperlink" Target="https://scholar.google.com/scholar?q=Dauparas+et+al.+2022+Science+378%3A49+ProteinMPNN+landmark" TargetMode="External" Id="rId2089"/><Relationship Type="http://schemas.openxmlformats.org/officeDocument/2006/relationships/hyperlink" Target="https://www.youtube.com/watch?v=5drpdgMtwu4" TargetMode="External" Id="rId2090"/><Relationship Type="http://schemas.openxmlformats.org/officeDocument/2006/relationships/hyperlink" Target="https://scholar.google.com/scholar?q=Dauparas+et+al.+2025+Nat+Methods+22%3A717+LigandMPNN" TargetMode="External" Id="rId2091"/><Relationship Type="http://schemas.openxmlformats.org/officeDocument/2006/relationships/hyperlink" Target="https://www.youtube.com/watch?v=MkwM3t80XpQ" TargetMode="External" Id="rId2092"/><Relationship Type="http://schemas.openxmlformats.org/officeDocument/2006/relationships/hyperlink" Target="https://scholar.google.com/scholar?q=Hsu+et+al.+2022+ICML+ESM-IF" TargetMode="External" Id="rId2093"/><Relationship Type="http://schemas.openxmlformats.org/officeDocument/2006/relationships/hyperlink" Target="https://www.youtube.com/watch?v=Hge5FHsC_h4" TargetMode="External" Id="rId2094"/><Relationship Type="http://schemas.openxmlformats.org/officeDocument/2006/relationships/hyperlink" Target="https://scholar.google.com/scholar?q=Dauparas+et+al.+2022+Science+378%3A49+ProteinMPNN+landmark+Dauparas+et+al.+2025+Nat+Methods+22%3A717+LigandMPNN" TargetMode="External" Id="rId2095"/><Relationship Type="http://schemas.openxmlformats.org/officeDocument/2006/relationships/hyperlink" Target="https://www.youtube.com/watch?v=a975ZPy4tdw" TargetMode="External" Id="rId2096"/><Relationship Type="http://schemas.openxmlformats.org/officeDocument/2006/relationships/hyperlink" Target="https://scholar.google.com/scholar?q=Dauparas+et+al.+2022+Science+378%3A49+ProteinMPNN+landmark+Dauparas+et+al.+2025+Nat+Methods+22%3A717+LigandMPNN" TargetMode="External" Id="rId2097"/><Relationship Type="http://schemas.openxmlformats.org/officeDocument/2006/relationships/hyperlink" Target="https://www.youtube.com/watch?v=BuJGTn7OhxQ" TargetMode="External" Id="rId2098"/><Relationship Type="http://schemas.openxmlformats.org/officeDocument/2006/relationships/hyperlink" Target="https://scholar.google.com/scholar?q=Dauparas+et+al.+2022+Science+378%3A49+ProteinMPNN+landmark+Dauparas+et+al.+2025+Nat+Methods+22%3A717+LigandMPNN" TargetMode="External" Id="rId2099"/><Relationship Type="http://schemas.openxmlformats.org/officeDocument/2006/relationships/hyperlink" Target="https://www.youtube.com/watch?v=_9xOtXiZbGM" TargetMode="External" Id="rId2100"/><Relationship Type="http://schemas.openxmlformats.org/officeDocument/2006/relationships/hyperlink" Target="https://scholar.google.com/scholar?q=Dauparas+et+al.+2022+Science+378%3A49+ProteinMPNN+landmark+Dauparas+et+al.+2025+Nat+Methods+22%3A717+LigandMPNN" TargetMode="External" Id="rId2101"/><Relationship Type="http://schemas.openxmlformats.org/officeDocument/2006/relationships/hyperlink" Target="https://www.youtube.com/watch?v=3iH9n6iAwVc" TargetMode="External" Id="rId2102"/><Relationship Type="http://schemas.openxmlformats.org/officeDocument/2006/relationships/hyperlink" Target="https://scholar.google.com/scholar?q=Dauparas+et+al.+2022+Science+378%3A49+ProteinMPNN+landmark+Dauparas+et+al.+2025+Nat+Methods+22%3A717+LigandMPNN" TargetMode="External" Id="rId2103"/><Relationship Type="http://schemas.openxmlformats.org/officeDocument/2006/relationships/hyperlink" Target="https://www.youtube.com/watch?v=w-NddBw2FJk" TargetMode="External" Id="rId2104"/><Relationship Type="http://schemas.openxmlformats.org/officeDocument/2006/relationships/hyperlink" Target="https://scholar.google.com/scholar?q=Dauparas+et+al.+2022+Science+378%3A49+ProteinMPNN+landmark+Dauparas+et+al.+2025+Nat+Methods+22%3A717+LigandMPNN" TargetMode="External" Id="rId2105"/><Relationship Type="http://schemas.openxmlformats.org/officeDocument/2006/relationships/hyperlink" Target="https://www.youtube.com/watch?v=wIHwHDt2NoI" TargetMode="External" Id="rId2106"/><Relationship Type="http://schemas.openxmlformats.org/officeDocument/2006/relationships/hyperlink" Target="https://scholar.google.com/scholar?q=Watson+et+al.+2023+Nature+620%3A1089+RFdiffusion+landmark+Krishna+et+al.+2024+Science+384%3Aeadl2528+RFAA" TargetMode="External" Id="rId2107"/><Relationship Type="http://schemas.openxmlformats.org/officeDocument/2006/relationships/hyperlink" Target="https://www.youtube.com/watch?v=agiHi6hOE3Q" TargetMode="External" Id="rId2108"/><Relationship Type="http://schemas.openxmlformats.org/officeDocument/2006/relationships/hyperlink" Target="https://scholar.google.com/scholar?q=Watson+et+al.+2023+Nature+620%3A1089+RFdiffusion+landmark" TargetMode="External" Id="rId2109"/><Relationship Type="http://schemas.openxmlformats.org/officeDocument/2006/relationships/hyperlink" Target="https://www.youtube.com/watch?v=gYJLw40UojU" TargetMode="External" Id="rId2110"/><Relationship Type="http://schemas.openxmlformats.org/officeDocument/2006/relationships/hyperlink" Target="https://scholar.google.com/scholar?q=Watson+et+al.+2023+Nature+620%3A1089+RFdiffusion+landmark" TargetMode="External" Id="rId2111"/><Relationship Type="http://schemas.openxmlformats.org/officeDocument/2006/relationships/hyperlink" Target="https://www.youtube.com/watch?v=6imf4vFmtbo" TargetMode="External" Id="rId2112"/><Relationship Type="http://schemas.openxmlformats.org/officeDocument/2006/relationships/hyperlink" Target="https://scholar.google.com/scholar?q=Watson+et+al.+2023+Nature+620%3A1089+RFdiffusion+landmark" TargetMode="External" Id="rId2113"/><Relationship Type="http://schemas.openxmlformats.org/officeDocument/2006/relationships/hyperlink" Target="https://www.youtube.com/watch?v=2FHNM6USHw0" TargetMode="External" Id="rId2114"/><Relationship Type="http://schemas.openxmlformats.org/officeDocument/2006/relationships/hyperlink" Target="https://scholar.google.com/scholar?q=Watson+et+al.+2023+Nature+620%3A1089+RFdiffusion+landmark" TargetMode="External" Id="rId2115"/><Relationship Type="http://schemas.openxmlformats.org/officeDocument/2006/relationships/hyperlink" Target="https://www.youtube.com/watch?v=F7dcrWKaHrs" TargetMode="External" Id="rId2116"/><Relationship Type="http://schemas.openxmlformats.org/officeDocument/2006/relationships/hyperlink" Target="https://scholar.google.com/scholar?q=Watson+et+al.+2023+Nature+620%3A1089+RFdiffusion+landmark+Krishna+et+al.+2024+Science+384%3Aeadl2528+RFAA" TargetMode="External" Id="rId2117"/><Relationship Type="http://schemas.openxmlformats.org/officeDocument/2006/relationships/hyperlink" Target="https://www.youtube.com/watch?v=bd6bFXRmEGA" TargetMode="External" Id="rId2118"/><Relationship Type="http://schemas.openxmlformats.org/officeDocument/2006/relationships/hyperlink" Target="https://scholar.google.com/scholar?q=Ahern+et+al.+2026+Nat+Methods+23%3A96+RFdiffusion2" TargetMode="External" Id="rId2119"/><Relationship Type="http://schemas.openxmlformats.org/officeDocument/2006/relationships/hyperlink" Target="https://www.youtube.com/watch?v=0JyPWQ1FBow" TargetMode="External" Id="rId2120"/><Relationship Type="http://schemas.openxmlformats.org/officeDocument/2006/relationships/hyperlink" Target="https://scholar.google.com/scholar?q=Butcher+et+al.+2025+bioRxiv+RFdiffusion3+preprint" TargetMode="External" Id="rId2121"/><Relationship Type="http://schemas.openxmlformats.org/officeDocument/2006/relationships/hyperlink" Target="https://www.youtube.com/watch?v=LVN2l587C3M" TargetMode="External" Id="rId2122"/><Relationship Type="http://schemas.openxmlformats.org/officeDocument/2006/relationships/hyperlink" Target="https://scholar.google.com/scholar?q=Butcher+et+al.+2025+bioRxiv+RFdiffusion3+preprint" TargetMode="External" Id="rId2123"/><Relationship Type="http://schemas.openxmlformats.org/officeDocument/2006/relationships/hyperlink" Target="https://www.youtube.com/watch?v=bFSW4x96vEk" TargetMode="External" Id="rId2124"/><Relationship Type="http://schemas.openxmlformats.org/officeDocument/2006/relationships/hyperlink" Target="https://scholar.google.com/scholar?q=Butcher+et+al.+2025+bioRxiv+RFdiffusion3+preprint" TargetMode="External" Id="rId2125"/><Relationship Type="http://schemas.openxmlformats.org/officeDocument/2006/relationships/hyperlink" Target="https://www.youtube.com/watch?v=yIt8vgfGyog" TargetMode="External" Id="rId2126"/><Relationship Type="http://schemas.openxmlformats.org/officeDocument/2006/relationships/hyperlink" Target="https://scholar.google.com/scholar?q=Watson+et+al.+2023+Nature+620%3A1089+RFdiffusion+landmark+Krishna+et+al.+2024+Science+384%3Aeadl2528+RFAA" TargetMode="External" Id="rId2127"/><Relationship Type="http://schemas.openxmlformats.org/officeDocument/2006/relationships/hyperlink" Target="https://www.youtube.com/watch?v=UymQ-iE23MY" TargetMode="External" Id="rId2128"/><Relationship Type="http://schemas.openxmlformats.org/officeDocument/2006/relationships/hyperlink" Target="https://scholar.google.com/scholar?q=Watson+et+al.+2023+Nature+620%3A1089+RFdiffusion+landmark+Krishna+et+al.+2024+Science+384%3Aeadl2528+RFAA" TargetMode="External" Id="rId2129"/><Relationship Type="http://schemas.openxmlformats.org/officeDocument/2006/relationships/hyperlink" Target="https://www.youtube.com/watch?v=xgA8T9h8mm0" TargetMode="External" Id="rId2130"/><Relationship Type="http://schemas.openxmlformats.org/officeDocument/2006/relationships/hyperlink" Target="https://scholar.google.com/scholar?q=Watson+et+al.+2023+Nature+620%3A1089+RFdiffusion+landmark+Krishna+et+al.+2024+Science+384%3Aeadl2528+RFAA" TargetMode="External" Id="rId2131"/><Relationship Type="http://schemas.openxmlformats.org/officeDocument/2006/relationships/hyperlink" Target="https://www.youtube.com/watch?v=t1Pqdl6RB2I" TargetMode="External" Id="rId2132"/><Relationship Type="http://schemas.openxmlformats.org/officeDocument/2006/relationships/hyperlink" Target="https://scholar.google.com/scholar?q=Watson+et+al.+2023+Nature+620%3A1089+RFdiffusion+landmark+Krishna+et+al.+2024+Science+384%3Aeadl2528+RFAA" TargetMode="External" Id="rId2133"/><Relationship Type="http://schemas.openxmlformats.org/officeDocument/2006/relationships/hyperlink" Target="https://www.youtube.com/watch?v=ATYtM_by0w0" TargetMode="External" Id="rId2134"/><Relationship Type="http://schemas.openxmlformats.org/officeDocument/2006/relationships/hyperlink" Target="https://scholar.google.com/scholar?q=Watson+et+al.+2023+Nature+620%3A1089+RFdiffusion+landmark+Krishna+et+al.+2024+Science+384%3Aeadl2528+RFAA" TargetMode="External" Id="rId2135"/><Relationship Type="http://schemas.openxmlformats.org/officeDocument/2006/relationships/hyperlink" Target="https://www.youtube.com/watch?v=jYMkxHD4-34" TargetMode="External" Id="rId2136"/><Relationship Type="http://schemas.openxmlformats.org/officeDocument/2006/relationships/hyperlink" Target="https://scholar.google.com/scholar?q=Watson+et+al.+2023+Nature+620%3A1089+RFdiffusion+landmark+Krishna+et+al.+2024+Science+384%3Aeadl2528+RFAA" TargetMode="External" Id="rId2137"/><Relationship Type="http://schemas.openxmlformats.org/officeDocument/2006/relationships/hyperlink" Target="https://www.youtube.com/watch?v=f4hhZYeAgPU" TargetMode="External" Id="rId2138"/><Relationship Type="http://schemas.openxmlformats.org/officeDocument/2006/relationships/hyperlink" Target="https://scholar.google.com/scholar?q=Trippe+et+al.+2023+ICLR+SMCDiff" TargetMode="External" Id="rId2139"/><Relationship Type="http://schemas.openxmlformats.org/officeDocument/2006/relationships/hyperlink" Target="https://www.youtube.com/watch?v=GrtWwD8pPWY" TargetMode="External" Id="rId2140"/><Relationship Type="http://schemas.openxmlformats.org/officeDocument/2006/relationships/hyperlink" Target="https://scholar.google.com/scholar?q=Watson+et+al.+2023+Nature+620%3A1089+RFdiffusion+landmark+Krishna+et+al.+2024+Science+384%3Aeadl2528+RFAA" TargetMode="External" Id="rId2141"/><Relationship Type="http://schemas.openxmlformats.org/officeDocument/2006/relationships/hyperlink" Target="https://www.youtube.com/watch?v=i8fGzddGbU8" TargetMode="External" Id="rId2142"/><Relationship Type="http://schemas.openxmlformats.org/officeDocument/2006/relationships/hyperlink" Target="https://scholar.google.com/scholar?q=Watson+et+al.+2023+Nature+620%3A1089+RFdiffusion+landmark+Krishna+et+al.+2024+Science+384%3Aeadl2528+RFAA" TargetMode="External" Id="rId2143"/><Relationship Type="http://schemas.openxmlformats.org/officeDocument/2006/relationships/hyperlink" Target="https://www.youtube.com/watch?v=zdF86-TfkY0" TargetMode="External" Id="rId2144"/><Relationship Type="http://schemas.openxmlformats.org/officeDocument/2006/relationships/hyperlink" Target="https://scholar.google.com/scholar?q=Watson+et+al.+2023+Nature+620%3A1089+RFdiffusion+landmark+Krishna+et+al.+2024+Science+384%3Aeadl2528+RFAA" TargetMode="External" Id="rId2145"/><Relationship Type="http://schemas.openxmlformats.org/officeDocument/2006/relationships/hyperlink" Target="https://www.youtube.com/watch?v=hbkDL_vxGKE" TargetMode="External" Id="rId2146"/><Relationship Type="http://schemas.openxmlformats.org/officeDocument/2006/relationships/hyperlink" Target="https://scholar.google.com/scholar?q=Watson+et+al.+2023+Nature+620%3A1089+RFdiffusion+landmark+Krishna+et+al.+2024+Science+384%3Aeadl2528+RFAA" TargetMode="External" Id="rId2147"/><Relationship Type="http://schemas.openxmlformats.org/officeDocument/2006/relationships/hyperlink" Target="https://www.youtube.com/watch?v=2LnJFJGKS7E" TargetMode="External" Id="rId2148"/><Relationship Type="http://schemas.openxmlformats.org/officeDocument/2006/relationships/hyperlink" Target="https://scholar.google.com/scholar?q=Watson+et+al.+2023+Nature+620%3A1089+RFdiffusion+landmark+Krishna+et+al.+2024+Science+384%3Aeadl2528+RFAA" TargetMode="External" Id="rId2149"/><Relationship Type="http://schemas.openxmlformats.org/officeDocument/2006/relationships/hyperlink" Target="https://www.youtube.com/watch?v=yzc29vhM2Aw" TargetMode="External" Id="rId2150"/><Relationship Type="http://schemas.openxmlformats.org/officeDocument/2006/relationships/hyperlink" Target="https://scholar.google.com/scholar?q=Watson+et+al.+2023+Nature+620%3A1089+RFdiffusion+landmark+Krishna+et+al.+2024+Science+384%3Aeadl2528+RFAA" TargetMode="External" Id="rId2151"/><Relationship Type="http://schemas.openxmlformats.org/officeDocument/2006/relationships/hyperlink" Target="https://www.youtube.com/watch?v=-L9ekyTI21k" TargetMode="External" Id="rId2152"/><Relationship Type="http://schemas.openxmlformats.org/officeDocument/2006/relationships/hyperlink" Target="https://scholar.google.com/scholar?q=Watson+et+al.+2023+Nature+620%3A1089+RFdiffusion+landmark+Krishna+et+al.+2024+Science+384%3Aeadl2528+RFAA" TargetMode="External" Id="rId2153"/><Relationship Type="http://schemas.openxmlformats.org/officeDocument/2006/relationships/hyperlink" Target="https://www.youtube.com/watch?v=Y2dRj9_ZEHw" TargetMode="External" Id="rId2154"/><Relationship Type="http://schemas.openxmlformats.org/officeDocument/2006/relationships/hyperlink" Target="https://scholar.google.com/scholar?q=Watson+et+al.+2023+Nature+620%3A1089+RFdiffusion+landmark+Krishna+et+al.+2024+Science+384%3Aeadl2528+RFAA" TargetMode="External" Id="rId2155"/><Relationship Type="http://schemas.openxmlformats.org/officeDocument/2006/relationships/hyperlink" Target="https://www.youtube.com/watch?v=-Qlc4dNj4e8" TargetMode="External" Id="rId2156"/><Relationship Type="http://schemas.openxmlformats.org/officeDocument/2006/relationships/hyperlink" Target="https://scholar.google.com/scholar?q=Watson+et+al.+2023+Nature+620%3A1089+RFdiffusion+landmark+Krishna+et+al.+2024+Science+384%3Aeadl2528+RFAA" TargetMode="External" Id="rId2157"/><Relationship Type="http://schemas.openxmlformats.org/officeDocument/2006/relationships/hyperlink" Target="https://www.youtube.com/watch?v=kA6-x5CpJIU" TargetMode="External" Id="rId2158"/><Relationship Type="http://schemas.openxmlformats.org/officeDocument/2006/relationships/hyperlink" Target="https://scholar.google.com/scholar?q=Watson+et+al.+2023+Nature+620%3A1089+RFdiffusion+landmark+Krishna+et+al.+2024+Science+384%3Aeadl2528+RFAA" TargetMode="External" Id="rId2159"/><Relationship Type="http://schemas.openxmlformats.org/officeDocument/2006/relationships/hyperlink" Target="https://www.youtube.com/watch?v=P5rUgHrLpt4" TargetMode="External" Id="rId2160"/><Relationship Type="http://schemas.openxmlformats.org/officeDocument/2006/relationships/hyperlink" Target="https://scholar.google.com/scholar?q=Watson+et+al.+2023+Nature+620%3A1089+RFdiffusion+landmark+Krishna+et+al.+2024+Science+384%3Aeadl2528+RFAA" TargetMode="External" Id="rId2161"/><Relationship Type="http://schemas.openxmlformats.org/officeDocument/2006/relationships/hyperlink" Target="https://www.youtube.com/watch?v=etV20qEpXrk" TargetMode="External" Id="rId2162"/><Relationship Type="http://schemas.openxmlformats.org/officeDocument/2006/relationships/hyperlink" Target="https://scholar.google.com/scholar?q=Watson+et+al.+2023+Nature+620%3A1089+RFdiffusion+landmark" TargetMode="External" Id="rId2163"/><Relationship Type="http://schemas.openxmlformats.org/officeDocument/2006/relationships/hyperlink" Target="https://www.youtube.com/watch?v=OPRMfRnlx1k" TargetMode="External" Id="rId2164"/><Relationship Type="http://schemas.openxmlformats.org/officeDocument/2006/relationships/hyperlink" Target="https://scholar.google.com/scholar?q=Watson+et+al.+2023+Nature+620%3A1089+RFdiffusion+landmark+Krishna+et+al.+2024+Science+384%3Aeadl2528+RFAA" TargetMode="External" Id="rId2165"/><Relationship Type="http://schemas.openxmlformats.org/officeDocument/2006/relationships/hyperlink" Target="https://www.youtube.com/watch?v=OEnY2yA3jy8" TargetMode="External" Id="rId2166"/><Relationship Type="http://schemas.openxmlformats.org/officeDocument/2006/relationships/hyperlink" Target="https://scholar.google.com/scholar?q=Watson+et+al.+2023+Nature+620%3A1089+RFdiffusion+landmark+Krishna+et+al.+2024+Science+384%3Aeadl2528+RFAA" TargetMode="External" Id="rId2167"/><Relationship Type="http://schemas.openxmlformats.org/officeDocument/2006/relationships/hyperlink" Target="https://www.youtube.com/watch?v=smjYJSudwr0" TargetMode="External" Id="rId2168"/><Relationship Type="http://schemas.openxmlformats.org/officeDocument/2006/relationships/hyperlink" Target="https://scholar.google.com/scholar?q=Watson+et+al.+2023+Nature+620%3A1089+RFdiffusion+landmark+Krishna+et+al.+2024+Science+384%3Aeadl2528+RFAA" TargetMode="External" Id="rId2169"/><Relationship Type="http://schemas.openxmlformats.org/officeDocument/2006/relationships/hyperlink" Target="https://www.youtube.com/watch?v=YLIBvA1dsQ4" TargetMode="External" Id="rId2170"/><Relationship Type="http://schemas.openxmlformats.org/officeDocument/2006/relationships/hyperlink" Target="https://scholar.google.com/scholar?q=Watson+et+al.+2023+Nature+620%3A1089+RFdiffusion+landmark+Krishna+et+al.+2024+Science+384%3Aeadl2528+RFAA" TargetMode="External" Id="rId2171"/><Relationship Type="http://schemas.openxmlformats.org/officeDocument/2006/relationships/hyperlink" Target="https://www.youtube.com/watch?v=2HmXwlKWMVs" TargetMode="External" Id="rId2172"/><Relationship Type="http://schemas.openxmlformats.org/officeDocument/2006/relationships/hyperlink" Target="https://scholar.google.com/scholar?q=Anishchenko+et+al.+2021+Nature+600%3A547+hallucination+Wang+et+al.+2022+Science+377%3A387+motif+scaffolding+-+note+Wang+is+first+author+not+Tischer" TargetMode="External" Id="rId2173"/><Relationship Type="http://schemas.openxmlformats.org/officeDocument/2006/relationships/hyperlink" Target="https://www.youtube.com/watch?v=-EJ8SXTBin0" TargetMode="External" Id="rId2174"/><Relationship Type="http://schemas.openxmlformats.org/officeDocument/2006/relationships/hyperlink" Target="https://scholar.google.com/scholar?q=Anishchenko+et+al.+2021+Nature+600%3A547+hallucination+Wang+et+al.+2022+Science+377%3A387+motif+scaffolding+-+note+Wang+is+first+author+not+Tischer" TargetMode="External" Id="rId2175"/><Relationship Type="http://schemas.openxmlformats.org/officeDocument/2006/relationships/hyperlink" Target="https://www.youtube.com/watch?v=_H3XfzGGJGI" TargetMode="External" Id="rId2176"/><Relationship Type="http://schemas.openxmlformats.org/officeDocument/2006/relationships/hyperlink" Target="https://scholar.google.com/scholar?q=Anishchenko+et+al.+2021+Nature+600%3A547+hallucination+Wang+et+al.+2022+Science+377%3A387+motif+scaffolding+-+note+Wang+is+first+author+not+Tischer" TargetMode="External" Id="rId2177"/><Relationship Type="http://schemas.openxmlformats.org/officeDocument/2006/relationships/hyperlink" Target="https://www.youtube.com/watch?v=vmY37lrdnGk" TargetMode="External" Id="rId2178"/><Relationship Type="http://schemas.openxmlformats.org/officeDocument/2006/relationships/hyperlink" Target="https://scholar.google.com/scholar?q=Anishchenko+et+al.+2021+Nature+600%3A547+hallucination+Wang+et+al.+2022+Science+377%3A387+motif+scaffolding+-+note+Wang+is+first+author+not+Tischer" TargetMode="External" Id="rId2179"/><Relationship Type="http://schemas.openxmlformats.org/officeDocument/2006/relationships/hyperlink" Target="https://www.youtube.com/watch?v=u5yijcBsonw" TargetMode="External" Id="rId2180"/><Relationship Type="http://schemas.openxmlformats.org/officeDocument/2006/relationships/hyperlink" Target="https://scholar.google.com/scholar?q=Anishchenko+et+al.+2021+Nature+600%3A547+hallucination+Wang+et+al.+2022+Science+377%3A387+motif+scaffolding+-+note+Wang+is+first+author+not+Tischer" TargetMode="External" Id="rId2181"/><Relationship Type="http://schemas.openxmlformats.org/officeDocument/2006/relationships/hyperlink" Target="https://www.youtube.com/watch?v=qQihl6If9vU" TargetMode="External" Id="rId2182"/><Relationship Type="http://schemas.openxmlformats.org/officeDocument/2006/relationships/hyperlink" Target="https://scholar.google.com/scholar?q=Pacesa+et+al.+2025+Nature+646%3A483+BindCraft" TargetMode="External" Id="rId2183"/><Relationship Type="http://schemas.openxmlformats.org/officeDocument/2006/relationships/hyperlink" Target="https://www.youtube.com/watch?v=vMfRRRqVBFE" TargetMode="External" Id="rId2184"/><Relationship Type="http://schemas.openxmlformats.org/officeDocument/2006/relationships/hyperlink" Target="https://scholar.google.com/scholar?q=Cho+et+al.+2025+bioRxiv+BoltzDesign1+preprint" TargetMode="External" Id="rId2185"/><Relationship Type="http://schemas.openxmlformats.org/officeDocument/2006/relationships/hyperlink" Target="https://www.youtube.com/watch?v=yCOlC_yj4kc" TargetMode="External" Id="rId2186"/><Relationship Type="http://schemas.openxmlformats.org/officeDocument/2006/relationships/hyperlink" Target="https://scholar.google.com/scholar?q=Cho+et+al.+2025+bioRxiv+BoltzDesign1+preprint" TargetMode="External" Id="rId2187"/><Relationship Type="http://schemas.openxmlformats.org/officeDocument/2006/relationships/hyperlink" Target="https://www.youtube.com/watch?v=GC5ouLbJ93E" TargetMode="External" Id="rId2188"/><Relationship Type="http://schemas.openxmlformats.org/officeDocument/2006/relationships/hyperlink" Target="https://scholar.google.com/scholar?q=Anishchenko+et+al.+2021+Nature+600%3A547+hallucination+Wang+et+al.+2022+Science+377%3A387+motif+scaffolding+-+note+Wang+is+first+author+not+Tischer" TargetMode="External" Id="rId2189"/><Relationship Type="http://schemas.openxmlformats.org/officeDocument/2006/relationships/hyperlink" Target="https://www.youtube.com/watch?v=JpLFhnVARVw" TargetMode="External" Id="rId2190"/><Relationship Type="http://schemas.openxmlformats.org/officeDocument/2006/relationships/hyperlink" Target="https://scholar.google.com/scholar?q=Anishchenko+et+al.+2021+Nature+600%3A547+hallucination+Wang+et+al.+2022+Science+377%3A387+motif+scaffolding+-+note+Wang+is+first+author+not+Tischer" TargetMode="External" Id="rId2191"/><Relationship Type="http://schemas.openxmlformats.org/officeDocument/2006/relationships/hyperlink" Target="https://www.youtube.com/watch?v=fRhhrfsszOU" TargetMode="External" Id="rId2192"/><Relationship Type="http://schemas.openxmlformats.org/officeDocument/2006/relationships/hyperlink" Target="https://scholar.google.com/scholar?q=Anishchenko+et+al.+2021+Nature+600%3A547+hallucination+Wang+et+al.+2022+Science+377%3A387+motif+scaffolding+-+note+Wang+is+first+author+not+Tischer" TargetMode="External" Id="rId2193"/><Relationship Type="http://schemas.openxmlformats.org/officeDocument/2006/relationships/hyperlink" Target="https://www.youtube.com/watch?v=T4b9YuMhchg" TargetMode="External" Id="rId2194"/><Relationship Type="http://schemas.openxmlformats.org/officeDocument/2006/relationships/hyperlink" Target="https://scholar.google.com/scholar?q=Anishchenko+et+al.+2021+Nature+600%3A547+hallucination+Wang+et+al.+2022+Science+377%3A387+motif+scaffolding+-+note+Wang+is+first+author+not+Tischer" TargetMode="External" Id="rId2195"/><Relationship Type="http://schemas.openxmlformats.org/officeDocument/2006/relationships/hyperlink" Target="https://www.youtube.com/watch?v=_IxJBt-Ym9g" TargetMode="External" Id="rId2196"/><Relationship Type="http://schemas.openxmlformats.org/officeDocument/2006/relationships/hyperlink" Target="https://scholar.google.com/scholar?q=Anishchenko+et+al.+2021+Nature+600%3A547+hallucination+Wang+et+al.+2022+Science+377%3A387+motif+scaffolding+-+note+Wang+is+first+author+not+Tischer" TargetMode="External" Id="rId2197"/><Relationship Type="http://schemas.openxmlformats.org/officeDocument/2006/relationships/hyperlink" Target="https://www.youtube.com/watch?v=6MwToW57YzQ" TargetMode="External" Id="rId2198"/><Relationship Type="http://schemas.openxmlformats.org/officeDocument/2006/relationships/hyperlink" Target="https://scholar.google.com/scholar?q=Anishchenko+et+al.+2021+Nature+600%3A547+hallucination+Wang+et+al.+2022+Science+377%3A387+motif+scaffolding+-+note+Wang+is+first+author+not+Tischer" TargetMode="External" Id="rId2199"/><Relationship Type="http://schemas.openxmlformats.org/officeDocument/2006/relationships/hyperlink" Target="https://www.youtube.com/watch?v=DaOlUqlVxik" TargetMode="External" Id="rId2200"/><Relationship Type="http://schemas.openxmlformats.org/officeDocument/2006/relationships/hyperlink" Target="https://scholar.google.com/scholar?q=Anishchenko+et+al.+2021+Nature+600%3A547+hallucination+Wang+et+al.+2022+Science+377%3A387+motif+scaffolding+-+note+Wang+is+first+author+not+Tischer" TargetMode="External" Id="rId2201"/><Relationship Type="http://schemas.openxmlformats.org/officeDocument/2006/relationships/hyperlink" Target="https://www.youtube.com/watch?v=-XNMSnFUPjk" TargetMode="External" Id="rId2202"/><Relationship Type="http://schemas.openxmlformats.org/officeDocument/2006/relationships/hyperlink" Target="https://scholar.google.com/scholar?q=Anishchenko+et+al.+2021+Nature+600%3A547+hallucination+Wang+et+al.+2022+Science+377%3A387+motif+scaffolding+-+note+Wang+is+first+author+not+Tischer" TargetMode="External" Id="rId2203"/><Relationship Type="http://schemas.openxmlformats.org/officeDocument/2006/relationships/hyperlink" Target="https://www.youtube.com/watch?v=eZEG3e6pRSk" TargetMode="External" Id="rId2204"/><Relationship Type="http://schemas.openxmlformats.org/officeDocument/2006/relationships/hyperlink" Target="https://scholar.google.com/scholar?q=Anishchenko+et+al.+2021+Nature+600%3A547+hallucination+Wang+et+al.+2022+Science+377%3A387+motif+scaffolding+-+note+Wang+is+first+author+not+Tischer" TargetMode="External" Id="rId2205"/><Relationship Type="http://schemas.openxmlformats.org/officeDocument/2006/relationships/hyperlink" Target="https://www.youtube.com/watch?v=setIzkcEAVs" TargetMode="External" Id="rId2206"/><Relationship Type="http://schemas.openxmlformats.org/officeDocument/2006/relationships/hyperlink" Target="https://scholar.google.com/scholar?q=Anishchenko+et+al.+2021+Nature+600%3A547+hallucination+Wang+et+al.+2022+Science+377%3A387+motif+scaffolding+-+note+Wang+is+first+author+not+Tischer" TargetMode="External" Id="rId2207"/><Relationship Type="http://schemas.openxmlformats.org/officeDocument/2006/relationships/hyperlink" Target="https://www.youtube.com/watch?v=BdILCc45TS8" TargetMode="External" Id="rId2208"/><Relationship Type="http://schemas.openxmlformats.org/officeDocument/2006/relationships/hyperlink" Target="https://scholar.google.com/scholar?q=Anishchenko+et+al.+2021+Nature+600%3A547+hallucination+Wang+et+al.+2022+Science+377%3A387+motif+scaffolding+-+note+Wang+is+first+author+not+Tischer" TargetMode="External" Id="rId2209"/><Relationship Type="http://schemas.openxmlformats.org/officeDocument/2006/relationships/hyperlink" Target="https://www.youtube.com/watch?v=e6oZgGWjD_0" TargetMode="External" Id="rId2210"/><Relationship Type="http://schemas.openxmlformats.org/officeDocument/2006/relationships/hyperlink" Target="https://scholar.google.com/scholar?q=Anishchenko+et+al.+2021+Nature+600%3A547+hallucination+Wang+et+al.+2022+Science+377%3A387+motif+scaffolding+-+note+Wang+is+first+author+not+Tischer" TargetMode="External" Id="rId2211"/><Relationship Type="http://schemas.openxmlformats.org/officeDocument/2006/relationships/hyperlink" Target="https://www.youtube.com/watch?v=AvBVGrBfaX0" TargetMode="External" Id="rId2212"/><Relationship Type="http://schemas.openxmlformats.org/officeDocument/2006/relationships/hyperlink" Target="https://scholar.google.com/scholar?q=Anishchenko+et+al.+2021+Nature+600%3A547+hallucination+Wang+et+al.+2022+Science+377%3A387+motif+scaffolding+-+note+Wang+is+first+author+not+Tischer" TargetMode="External" Id="rId2213"/><Relationship Type="http://schemas.openxmlformats.org/officeDocument/2006/relationships/hyperlink" Target="https://www.youtube.com/watch?v=eVRZjE3A5aQ" TargetMode="External" Id="rId2214"/><Relationship Type="http://schemas.openxmlformats.org/officeDocument/2006/relationships/hyperlink" Target="https://scholar.google.com/scholar?q=Any+binder+paper+s+supplement" TargetMode="External" Id="rId2215"/><Relationship Type="http://schemas.openxmlformats.org/officeDocument/2006/relationships/hyperlink" Target="https://www.youtube.com/watch?v=rSfSWc9wdDg" TargetMode="External" Id="rId2216"/><Relationship Type="http://schemas.openxmlformats.org/officeDocument/2006/relationships/hyperlink" Target="https://scholar.google.com/scholar?q=Chevalier+et+al.+2017+Nature+550%3A74+Cao+et+al.+2022+Nature+605%3A551" TargetMode="External" Id="rId2217"/><Relationship Type="http://schemas.openxmlformats.org/officeDocument/2006/relationships/hyperlink" Target="https://www.youtube.com/watch?v=9pQeQKXhS70" TargetMode="External" Id="rId2218"/><Relationship Type="http://schemas.openxmlformats.org/officeDocument/2006/relationships/hyperlink" Target="https://scholar.google.com/scholar?q=Chevalier+et+al.+2017+Nature+550%3A74+Cao+et+al.+2022+Nature+605%3A551" TargetMode="External" Id="rId2219"/><Relationship Type="http://schemas.openxmlformats.org/officeDocument/2006/relationships/hyperlink" Target="https://www.youtube.com/watch?v=wdbDo9FQ4ns" TargetMode="External" Id="rId2220"/><Relationship Type="http://schemas.openxmlformats.org/officeDocument/2006/relationships/hyperlink" Target="https://scholar.google.com/scholar?q=Lauko+et+al.+2025+Science+388%3Aeadu2454" TargetMode="External" Id="rId2221"/><Relationship Type="http://schemas.openxmlformats.org/officeDocument/2006/relationships/hyperlink" Target="https://www.youtube.com/watch?v=dtYDfaNK7z8" TargetMode="External" Id="rId2222"/><Relationship Type="http://schemas.openxmlformats.org/officeDocument/2006/relationships/hyperlink" Target="https://scholar.google.com/scholar?q=Lauko+Pellock+et+al.+2025+Science+388%3Aeadu2454+landmark+Ahern+et+al.+2026+Nat+Methods+23%3A96" TargetMode="External" Id="rId2223"/><Relationship Type="http://schemas.openxmlformats.org/officeDocument/2006/relationships/hyperlink" Target="https://www.youtube.com/watch?v=htA3HSXCkro" TargetMode="External" Id="rId2224"/><Relationship Type="http://schemas.openxmlformats.org/officeDocument/2006/relationships/hyperlink" Target="https://scholar.google.com/scholar?q=Lauko+Pellock+et+al.+2025+Science+388%3Aeadu2454+landmark+Ahern+et+al.+2026+Nat+Methods+23%3A96" TargetMode="External" Id="rId2225"/><Relationship Type="http://schemas.openxmlformats.org/officeDocument/2006/relationships/hyperlink" Target="https://www.youtube.com/watch?v=FsJUnABT01M" TargetMode="External" Id="rId2226"/><Relationship Type="http://schemas.openxmlformats.org/officeDocument/2006/relationships/hyperlink" Target="https://scholar.google.com/scholar?q=Lauko+Pellock+et+al.+2025+Science+388%3Aeadu2454+landmark+Ahern+et+al.+2026+Nat+Methods+23%3A96" TargetMode="External" Id="rId2227"/><Relationship Type="http://schemas.openxmlformats.org/officeDocument/2006/relationships/hyperlink" Target="https://www.youtube.com/watch?v=F8ZrkFfFWcM" TargetMode="External" Id="rId2228"/><Relationship Type="http://schemas.openxmlformats.org/officeDocument/2006/relationships/hyperlink" Target="https://scholar.google.com/scholar?q=Lauko+Pellock+et+al.+2025+Science+388%3Aeadu2454+landmark+Ahern+et+al.+2026+Nat+Methods+23%3A96" TargetMode="External" Id="rId2229"/><Relationship Type="http://schemas.openxmlformats.org/officeDocument/2006/relationships/hyperlink" Target="https://www.youtube.com/watch?v=9zm_WEHOSYg" TargetMode="External" Id="rId2230"/><Relationship Type="http://schemas.openxmlformats.org/officeDocument/2006/relationships/hyperlink" Target="https://scholar.google.com/scholar?q=Lauko+Pellock+et+al.+2025+Science+388%3Aeadu2454+landmark+Ahern+et+al.+2026+Nat+Methods+23%3A96" TargetMode="External" Id="rId2231"/><Relationship Type="http://schemas.openxmlformats.org/officeDocument/2006/relationships/hyperlink" Target="https://www.youtube.com/watch?v=naNpjhRDq0o" TargetMode="External" Id="rId2232"/><Relationship Type="http://schemas.openxmlformats.org/officeDocument/2006/relationships/hyperlink" Target="https://scholar.google.com/scholar?q=Lauko+Pellock+et+al.+2025+Science+388%3Aeadu2454+landmark+Ahern+et+al.+2026+Nat+Methods+23%3A96" TargetMode="External" Id="rId2233"/><Relationship Type="http://schemas.openxmlformats.org/officeDocument/2006/relationships/hyperlink" Target="https://www.youtube.com/watch?v=eGNERw_nKQM" TargetMode="External" Id="rId2234"/><Relationship Type="http://schemas.openxmlformats.org/officeDocument/2006/relationships/hyperlink" Target="https://scholar.google.com/scholar?q=Lauko+Pellock+et+al.+2025+Science+388%3Aeadu2454+landmark+Ahern+et+al.+2026+Nat+Methods+23%3A96" TargetMode="External" Id="rId2235"/><Relationship Type="http://schemas.openxmlformats.org/officeDocument/2006/relationships/hyperlink" Target="https://www.youtube.com/watch?v=ViPPdY93XYw" TargetMode="External" Id="rId2236"/><Relationship Type="http://schemas.openxmlformats.org/officeDocument/2006/relationships/hyperlink" Target="https://scholar.google.com/scholar?q=Lauko+Pellock+et+al.+2025+Science+388%3Aeadu2454+landmark+Ahern+et+al.+2026+Nat+Methods+23%3A96" TargetMode="External" Id="rId2237"/><Relationship Type="http://schemas.openxmlformats.org/officeDocument/2006/relationships/hyperlink" Target="https://www.youtube.com/watch?v=c5NowYLkFoI" TargetMode="External" Id="rId2238"/><Relationship Type="http://schemas.openxmlformats.org/officeDocument/2006/relationships/hyperlink" Target="https://scholar.google.com/scholar?q=Rettie+et+al.+2025+Nat+Commun+16%3A4730+AfCycDesign+Rettie+et+al.+2025+Nat+Chem+Biol+21%3A1948+RFpeptides" TargetMode="External" Id="rId2239"/><Relationship Type="http://schemas.openxmlformats.org/officeDocument/2006/relationships/hyperlink" Target="https://www.youtube.com/watch?v=IPsQH62cJ8g" TargetMode="External" Id="rId2240"/><Relationship Type="http://schemas.openxmlformats.org/officeDocument/2006/relationships/hyperlink" Target="https://scholar.google.com/scholar?q=Rettie+et+al.+2025+Nat+Commun+16%3A4730+AfCycDesign+Rettie+et+al.+2025+Nat+Chem+Biol+21%3A1948+RFpeptides" TargetMode="External" Id="rId2241"/><Relationship Type="http://schemas.openxmlformats.org/officeDocument/2006/relationships/hyperlink" Target="https://www.youtube.com/watch?v=kiKIj4gGY7o" TargetMode="External" Id="rId2242"/><Relationship Type="http://schemas.openxmlformats.org/officeDocument/2006/relationships/hyperlink" Target="https://scholar.google.com/scholar?q=Rettie+et+al.+2025+Nat+Commun+16%3A4730+AfCycDesign+Rettie+et+al.+2025+Nat+Chem+Biol+21%3A1948+RFpeptides" TargetMode="External" Id="rId2243"/><Relationship Type="http://schemas.openxmlformats.org/officeDocument/2006/relationships/hyperlink" Target="https://www.youtube.com/watch?v=CZn8BdvRYJU" TargetMode="External" Id="rId2244"/><Relationship Type="http://schemas.openxmlformats.org/officeDocument/2006/relationships/hyperlink" Target="https://scholar.google.com/scholar?q=Rettie+et+al.+2025+Nat+Commun+16%3A4730+AfCycDesign+Rettie+et+al.+2025+Nat+Chem+Biol+21%3A1948+RFpeptides" TargetMode="External" Id="rId2245"/><Relationship Type="http://schemas.openxmlformats.org/officeDocument/2006/relationships/hyperlink" Target="https://www.youtube.com/watch?v=KVr8ryclwdA" TargetMode="External" Id="rId2246"/><Relationship Type="http://schemas.openxmlformats.org/officeDocument/2006/relationships/hyperlink" Target="https://scholar.google.com/scholar?q=Rettie+et+al.+2025+Nat+Commun+16%3A4730+AfCycDesign+Rettie+et+al.+2025+Nat+Chem+Biol+21%3A1948+RFpeptides" TargetMode="External" Id="rId2247"/><Relationship Type="http://schemas.openxmlformats.org/officeDocument/2006/relationships/hyperlink" Target="https://www.youtube.com/watch?v=Mt6VMDG8NUA" TargetMode="External" Id="rId2248"/><Relationship Type="http://schemas.openxmlformats.org/officeDocument/2006/relationships/hyperlink" Target="https://scholar.google.com/scholar?q=Rettie+et+al.+2025+Nat+Commun+16%3A4730+AfCycDesign+Rettie+et+al.+2025+Nat+Chem+Biol+21%3A1948+RFpeptides" TargetMode="External" Id="rId2249"/><Relationship Type="http://schemas.openxmlformats.org/officeDocument/2006/relationships/hyperlink" Target="https://www.youtube.com/watch?v=wJjSCtZTsX8" TargetMode="External" Id="rId2250"/><Relationship Type="http://schemas.openxmlformats.org/officeDocument/2006/relationships/hyperlink" Target="https://scholar.google.com/scholar?q=Mille-Fragoso+et+al.+2026+Nat+Biotechnol+Germinal+Bennett+et+al.+2026+Nature+649%3A183+RFantibody" TargetMode="External" Id="rId2251"/><Relationship Type="http://schemas.openxmlformats.org/officeDocument/2006/relationships/hyperlink" Target="https://www.youtube.com/watch?v=wulNIgwXf8c" TargetMode="External" Id="rId2252"/><Relationship Type="http://schemas.openxmlformats.org/officeDocument/2006/relationships/hyperlink" Target="https://scholar.google.com/scholar?q=Mille-Fragoso+et+al.+2026+Nat+Biotechnol+Germinal+Bennett+et+al.+2026+Nature+649%3A183+RFantibody" TargetMode="External" Id="rId2253"/><Relationship Type="http://schemas.openxmlformats.org/officeDocument/2006/relationships/hyperlink" Target="https://www.youtube.com/watch?v=8cPv9yAcNpo" TargetMode="External" Id="rId2254"/><Relationship Type="http://schemas.openxmlformats.org/officeDocument/2006/relationships/hyperlink" Target="https://scholar.google.com/scholar?q=Mille-Fragoso+et+al.+2026+Nat+Biotechnol+Germinal+Bennett+et+al.+2026+Nature+649%3A183+RFantibody" TargetMode="External" Id="rId2255"/><Relationship Type="http://schemas.openxmlformats.org/officeDocument/2006/relationships/hyperlink" Target="https://www.youtube.com/watch?v=UdFevIESn9I" TargetMode="External" Id="rId2256"/><Relationship Type="http://schemas.openxmlformats.org/officeDocument/2006/relationships/hyperlink" Target="https://scholar.google.com/scholar?q=Mille-Fragoso+et+al.+2026+Nat+Biotechnol+Germinal+Bennett+et+al.+2026+Nature+649%3A183+RFantibody" TargetMode="External" Id="rId2257"/><Relationship Type="http://schemas.openxmlformats.org/officeDocument/2006/relationships/hyperlink" Target="https://www.youtube.com/watch?v=cQu6yUZINgo" TargetMode="External" Id="rId2258"/><Relationship Type="http://schemas.openxmlformats.org/officeDocument/2006/relationships/hyperlink" Target="https://scholar.google.com/scholar?q=Mille-Fragoso+et+al.+2026+Nat+Biotechnol+Germinal+Bennett+et+al.+2026+Nature+649%3A183+RFantibody" TargetMode="External" Id="rId2259"/><Relationship Type="http://schemas.openxmlformats.org/officeDocument/2006/relationships/hyperlink" Target="https://www.youtube.com/watch?v=u9dznMvcDs4" TargetMode="External" Id="rId2260"/><Relationship Type="http://schemas.openxmlformats.org/officeDocument/2006/relationships/hyperlink" Target="https://scholar.google.com/scholar?q=Mille-Fragoso+et+al.+2026+Nat+Biotechnol+Germinal+Bennett+et+al.+2026+Nature+649%3A183+RFantibody" TargetMode="External" Id="rId2261"/><Relationship Type="http://schemas.openxmlformats.org/officeDocument/2006/relationships/hyperlink" Target="https://www.youtube.com/watch?v=95w0Ht3m0JY" TargetMode="External" Id="rId2262"/><Relationship Type="http://schemas.openxmlformats.org/officeDocument/2006/relationships/hyperlink" Target="https://scholar.google.com/scholar?q=Mille-Fragoso+et+al.+2026+Nat+Biotechnol+Germinal+Bennett+et+al.+2026+Nature+649%3A183+RFantibody" TargetMode="External" Id="rId2263"/><Relationship Type="http://schemas.openxmlformats.org/officeDocument/2006/relationships/hyperlink" Target="https://www.youtube.com/watch?v=gcf5HiwLW2U" TargetMode="External" Id="rId2264"/><Relationship Type="http://schemas.openxmlformats.org/officeDocument/2006/relationships/hyperlink" Target="https://scholar.google.com/scholar?q=Mille-Fragoso+et+al.+2026+Nat+Biotechnol+Germinal+Bennett+et+al.+2026+Nature+649%3A183+RFantibody" TargetMode="External" Id="rId2265"/><Relationship Type="http://schemas.openxmlformats.org/officeDocument/2006/relationships/hyperlink" Target="https://www.youtube.com/watch?v=uDTccbg_Ai4" TargetMode="External" Id="rId2266"/><Relationship Type="http://schemas.openxmlformats.org/officeDocument/2006/relationships/hyperlink" Target="https://scholar.google.com/scholar?q=Mille-Fragoso+et+al.+2026+Nat+Biotechnol+Germinal+Bennett+et+al.+2026+Nature+649%3A183+RFantibody" TargetMode="External" Id="rId2267"/><Relationship Type="http://schemas.openxmlformats.org/officeDocument/2006/relationships/hyperlink" Target="https://www.youtube.com/watch?v=h9xZFRPDfk8" TargetMode="External" Id="rId2268"/><Relationship Type="http://schemas.openxmlformats.org/officeDocument/2006/relationships/hyperlink" Target="https://scholar.google.com/scholar?q=Mille-Fragoso+et+al.+2026+Nat+Biotechnol+Germinal+Bennett+et+al.+2026+Nature+649%3A183+RFantibody" TargetMode="External" Id="rId2269"/><Relationship Type="http://schemas.openxmlformats.org/officeDocument/2006/relationships/hyperlink" Target="https://www.youtube.com/watch?v=XeJ0SBLU9v0" TargetMode="External" Id="rId2270"/><Relationship Type="http://schemas.openxmlformats.org/officeDocument/2006/relationships/hyperlink" Target="https://scholar.google.com/scholar?q=Mille-Fragoso+et+al.+2026+Nat+Biotechnol+Germinal+Bennett+et+al.+2026+Nature+649%3A183+RFantibody" TargetMode="External" Id="rId2271"/><Relationship Type="http://schemas.openxmlformats.org/officeDocument/2006/relationships/hyperlink" Target="https://www.youtube.com/watch?v=hxCMaHnb8qE" TargetMode="External" Id="rId2272"/><Relationship Type="http://schemas.openxmlformats.org/officeDocument/2006/relationships/hyperlink" Target="https://scholar.google.com/scholar?q=Mille-Fragoso+et+al.+2026+Nat+Biotechnol+Germinal+Bennett+et+al.+2026+Nature+649%3A183+RFantibody" TargetMode="External" Id="rId2273"/><Relationship Type="http://schemas.openxmlformats.org/officeDocument/2006/relationships/hyperlink" Target="https://www.youtube.com/watch?v=rrukxu0ZGu4" TargetMode="External" Id="rId2274"/><Relationship Type="http://schemas.openxmlformats.org/officeDocument/2006/relationships/hyperlink" Target="https://scholar.google.com/scholar?q=Mille-Fragoso+et+al.+2026+Nat+Biotechnol+Germinal+Bennett+et+al.+2026+Nature+649%3A183+RFantibody" TargetMode="External" Id="rId2275"/><Relationship Type="http://schemas.openxmlformats.org/officeDocument/2006/relationships/hyperlink" Target="https://www.youtube.com/watch?v=Ib9dVOCy3j4" TargetMode="External" Id="rId2276"/><Relationship Type="http://schemas.openxmlformats.org/officeDocument/2006/relationships/hyperlink" Target="https://scholar.google.com/scholar?q=Mille-Fragoso+et+al.+2026+Nat+Biotechnol+Germinal+Bennett+et+al.+2026+Nature+649%3A183+RFantibody" TargetMode="External" Id="rId2277"/><Relationship Type="http://schemas.openxmlformats.org/officeDocument/2006/relationships/hyperlink" Target="https://www.youtube.com/watch?v=QAc90lI1AX4" TargetMode="External" Id="rId2278"/><Relationship Type="http://schemas.openxmlformats.org/officeDocument/2006/relationships/hyperlink" Target="https://scholar.google.com/scholar?q=Mille-Fragoso+et+al.+2026+Nat+Biotechnol+Germinal+Bennett+et+al.+2026+Nature+649%3A183+RFantibody" TargetMode="External" Id="rId2279"/><Relationship Type="http://schemas.openxmlformats.org/officeDocument/2006/relationships/hyperlink" Target="https://www.youtube.com/watch?v=qB7BJAj7jm0" TargetMode="External" Id="rId2280"/><Relationship Type="http://schemas.openxmlformats.org/officeDocument/2006/relationships/hyperlink" Target="https://scholar.google.com/scholar?q=Mille-Fragoso+et+al.+2026+Nat+Biotechnol+Germinal+Bennett+et+al.+2026+Nature+649%3A183+RFantibody" TargetMode="External" Id="rId2281"/><Relationship Type="http://schemas.openxmlformats.org/officeDocument/2006/relationships/hyperlink" Target="https://www.youtube.com/watch?v=q3Xn2-TIZEo" TargetMode="External" Id="rId2282"/><Relationship Type="http://schemas.openxmlformats.org/officeDocument/2006/relationships/hyperlink" Target="https://scholar.google.com/scholar?q=Praetorius+et+al.+2023+Science+381%3A754+two-state+hinges+Boyken+et+al.+2019+Science+364%3A658" TargetMode="External" Id="rId2283"/><Relationship Type="http://schemas.openxmlformats.org/officeDocument/2006/relationships/hyperlink" Target="https://www.youtube.com/watch?v=5a9PC5yOqnc" TargetMode="External" Id="rId2284"/><Relationship Type="http://schemas.openxmlformats.org/officeDocument/2006/relationships/hyperlink" Target="https://scholar.google.com/scholar?q=Praetorius+et+al.+2023+Science+381%3A754+two-state+hinges+Boyken+et+al.+2019+Science+364%3A658" TargetMode="External" Id="rId2285"/><Relationship Type="http://schemas.openxmlformats.org/officeDocument/2006/relationships/hyperlink" Target="https://www.youtube.com/watch?v=oO-uR_3fL1g" TargetMode="External" Id="rId2286"/><Relationship Type="http://schemas.openxmlformats.org/officeDocument/2006/relationships/hyperlink" Target="https://scholar.google.com/scholar?q=Praetorius+et+al.+2023+Science+381%3A754+two-state+hinges+Boyken+et+al.+2019+Science+364%3A658" TargetMode="External" Id="rId2287"/><Relationship Type="http://schemas.openxmlformats.org/officeDocument/2006/relationships/hyperlink" Target="https://www.youtube.com/watch?v=ogDxIN0ttZo" TargetMode="External" Id="rId2288"/><Relationship Type="http://schemas.openxmlformats.org/officeDocument/2006/relationships/hyperlink" Target="https://scholar.google.com/scholar?q=Praetorius+et+al.+2023+Science+381%3A754+two-state+hinges+Boyken+et+al.+2019+Science+364%3A658" TargetMode="External" Id="rId2289"/><Relationship Type="http://schemas.openxmlformats.org/officeDocument/2006/relationships/hyperlink" Target="https://www.youtube.com/watch?v=IgFgAYQrke4" TargetMode="External" Id="rId2290"/><Relationship Type="http://schemas.openxmlformats.org/officeDocument/2006/relationships/hyperlink" Target="https://scholar.google.com/scholar?q=Praetorius+et+al.+2023+Science+381%3A754+two-state+hinges+Boyken+et+al.+2019+Science+364%3A658" TargetMode="External" Id="rId2291"/><Relationship Type="http://schemas.openxmlformats.org/officeDocument/2006/relationships/hyperlink" Target="https://www.youtube.com/watch?v=ypZxGTefgSc" TargetMode="External" Id="rId2292"/><Relationship Type="http://schemas.openxmlformats.org/officeDocument/2006/relationships/hyperlink" Target="https://scholar.google.com/scholar?q=Praetorius+et+al.+2023+Science+381%3A754+two-state+hinges+Boyken+et+al.+2019+Science+364%3A658" TargetMode="External" Id="rId2293"/><Relationship Type="http://schemas.openxmlformats.org/officeDocument/2006/relationships/hyperlink" Target="https://www.youtube.com/watch?v=ojuJ9MomfQQ" TargetMode="External" Id="rId2294"/><Relationship Type="http://schemas.openxmlformats.org/officeDocument/2006/relationships/hyperlink" Target="https://scholar.google.com/scholar?q=Praetorius+et+al.+2023+Science+381%3A754+two-state+hinges+Boyken+et+al.+2019+Science+364%3A658" TargetMode="External" Id="rId2295"/><Relationship Type="http://schemas.openxmlformats.org/officeDocument/2006/relationships/hyperlink" Target="https://www.youtube.com/watch?v=-3yH6hR58io" TargetMode="External" Id="rId2296"/><Relationship Type="http://schemas.openxmlformats.org/officeDocument/2006/relationships/hyperlink" Target="https://scholar.google.com/scholar?q=Praetorius+et+al.+2023+Science+381%3A754+two-state+hinges+Boyken+et+al.+2019+Science+364%3A658" TargetMode="External" Id="rId2297"/><Relationship Type="http://schemas.openxmlformats.org/officeDocument/2006/relationships/hyperlink" Target="https://www.youtube.com/watch?v=ZtMw1MJyRdI" TargetMode="External" Id="rId2298"/><Relationship Type="http://schemas.openxmlformats.org/officeDocument/2006/relationships/hyperlink" Target="https://scholar.google.com/scholar?q=Praetorius+et+al.+2023+Science+381%3A754+two-state+hinges+Boyken+et+al.+2019+Science+364%3A658" TargetMode="External" Id="rId2299"/><Relationship Type="http://schemas.openxmlformats.org/officeDocument/2006/relationships/hyperlink" Target="https://www.youtube.com/watch?v=2uzfyVjMu5o" TargetMode="External" Id="rId2300"/><Relationship Type="http://schemas.openxmlformats.org/officeDocument/2006/relationships/hyperlink" Target="https://scholar.google.com/scholar?q=Praetorius+et+al.+2023+Science+381%3A754+two-state+hinges+Boyken+et+al.+2019+Science+364%3A658" TargetMode="External" Id="rId2301"/><Relationship Type="http://schemas.openxmlformats.org/officeDocument/2006/relationships/hyperlink" Target="https://www.youtube.com/watch?v=0PxJuKR9WCI" TargetMode="External" Id="rId2302"/><Relationship Type="http://schemas.openxmlformats.org/officeDocument/2006/relationships/hyperlink" Target="https://scholar.google.com/scholar?q=Praetorius+et+al.+2023+Science+381%3A754+two-state+hinges+Boyken+et+al.+2019+Science+364%3A658" TargetMode="External" Id="rId2303"/><Relationship Type="http://schemas.openxmlformats.org/officeDocument/2006/relationships/hyperlink" Target="https://www.youtube.com/watch?v=Jyv7a1LhBwE" TargetMode="External" Id="rId2304"/><Relationship Type="http://schemas.openxmlformats.org/officeDocument/2006/relationships/hyperlink" Target="https://scholar.google.com/scholar?q=Glasscock+et+al.+2025+Nat+Struct+Mol+Biol+32%3A2252+DNA-binding+design+-+NSMB+not+Nature+Favor+et+al.+2025+bioRxiv+RNA+and+nucleoprotein+design+preprint" TargetMode="External" Id="rId2305"/><Relationship Type="http://schemas.openxmlformats.org/officeDocument/2006/relationships/hyperlink" Target="https://www.youtube.com/watch?v=3K1J83Yle5Q" TargetMode="External" Id="rId2306"/><Relationship Type="http://schemas.openxmlformats.org/officeDocument/2006/relationships/hyperlink" Target="https://scholar.google.com/scholar?q=Glasscock+et+al.+2025+Nat+Struct+Mol+Biol+32%3A2252+DNA-binding+design+-+NSMB+not+Nature+Favor+et+al.+2025+bioRxiv+RNA+and+nucleoprotein+design+preprint" TargetMode="External" Id="rId2307"/><Relationship Type="http://schemas.openxmlformats.org/officeDocument/2006/relationships/hyperlink" Target="https://www.youtube.com/watch?v=-H27Kv5duYA" TargetMode="External" Id="rId2308"/><Relationship Type="http://schemas.openxmlformats.org/officeDocument/2006/relationships/hyperlink" Target="https://scholar.google.com/scholar?q=Glasscock+et+al.+2025+Nat+Struct+Mol+Biol+32%3A2252+DNA-binding+design+-+NSMB+not+Nature+Favor+et+al.+2025+bioRxiv+RNA+and+nucleoprotein+design+preprint" TargetMode="External" Id="rId2309"/><Relationship Type="http://schemas.openxmlformats.org/officeDocument/2006/relationships/hyperlink" Target="https://www.youtube.com/watch?v=EcPCQC1_4Ks" TargetMode="External" Id="rId2310"/><Relationship Type="http://schemas.openxmlformats.org/officeDocument/2006/relationships/hyperlink" Target="https://scholar.google.com/scholar?q=Glasscock+et+al.+2025+Nat+Struct+Mol+Biol+32%3A2252+DNA-binding+design+-+NSMB+not+Nature+Favor+et+al.+2025+bioRxiv+RNA+and+nucleoprotein+design+preprint" TargetMode="External" Id="rId2311"/><Relationship Type="http://schemas.openxmlformats.org/officeDocument/2006/relationships/hyperlink" Target="https://www.youtube.com/watch?v=PLrY9DrbOkQ" TargetMode="External" Id="rId2312"/><Relationship Type="http://schemas.openxmlformats.org/officeDocument/2006/relationships/hyperlink" Target="https://scholar.google.com/scholar?q=Glasscock+et+al.+2025+Nat+Struct+Mol+Biol+32%3A2252+DNA-binding+design+-+NSMB+not+Nature+Favor+et+al.+2025+bioRxiv+RNA+and+nucleoprotein+design+preprint" TargetMode="External" Id="rId2313"/><Relationship Type="http://schemas.openxmlformats.org/officeDocument/2006/relationships/hyperlink" Target="https://www.youtube.com/watch?v=0LetJMbu7uY" TargetMode="External" Id="rId2314"/><Relationship Type="http://schemas.openxmlformats.org/officeDocument/2006/relationships/hyperlink" Target="https://scholar.google.com/scholar?q=Glasscock+et+al.+2025+Nat+Struct+Mol+Biol+32%3A2252+DNA-binding+design+-+NSMB+not+Nature+Favor+et+al.+2025+bioRxiv+RNA+and+nucleoprotein+design+preprint" TargetMode="External" Id="rId2315"/><Relationship Type="http://schemas.openxmlformats.org/officeDocument/2006/relationships/hyperlink" Target="https://www.youtube.com/watch?v=cunuHYHadPw" TargetMode="External" Id="rId2316"/><Relationship Type="http://schemas.openxmlformats.org/officeDocument/2006/relationships/hyperlink" Target="https://scholar.google.com/scholar?q=Glasscock+et+al.+2025+Nat+Struct+Mol+Biol+32%3A2252+DNA-binding+design+-+NSMB+not+Nature+Favor+et+al.+2025+bioRxiv+RNA+and+nucleoprotein+design+preprint" TargetMode="External" Id="rId2317"/><Relationship Type="http://schemas.openxmlformats.org/officeDocument/2006/relationships/hyperlink" Target="https://www.youtube.com/watch?v=SLRbGHXKkTw" TargetMode="External" Id="rId2318"/><Relationship Type="http://schemas.openxmlformats.org/officeDocument/2006/relationships/hyperlink" Target="https://scholar.google.com/scholar?q=Glasscock+et+al.+2025+Nat+Struct+Mol+Biol+32%3A2252+DNA-binding+design+-+NSMB+not+Nature+Favor+et+al.+2025+bioRxiv+RNA+and+nucleoprotein+design+preprint" TargetMode="External" Id="rId2319"/><Relationship Type="http://schemas.openxmlformats.org/officeDocument/2006/relationships/hyperlink" Target="https://www.youtube.com/watch?v=A03qxNl_hkA" TargetMode="External" Id="rId2320"/><Relationship Type="http://schemas.openxmlformats.org/officeDocument/2006/relationships/hyperlink" Target="https://scholar.google.com/scholar?q=Glasscock+et+al.+2025+Nat+Struct+Mol+Biol+32%3A2252+DNA-binding+design+-+NSMB+not+Nature+Favor+et+al.+2025+bioRxiv+RNA+and+nucleoprotein+design+preprint" TargetMode="External" Id="rId2321"/><Relationship Type="http://schemas.openxmlformats.org/officeDocument/2006/relationships/hyperlink" Target="https://www.youtube.com/watch?v=SJtZpNb0lSE" TargetMode="External" Id="rId2322"/><Relationship Type="http://schemas.openxmlformats.org/officeDocument/2006/relationships/hyperlink" Target="https://scholar.google.com/scholar?q=Moult+et+al.+1995+Proteins+23%3Aii+CASP+s+founding+Kryshtafovych+et+al.+2021+Proteins+89%3A1607+CASP14+assessment" TargetMode="External" Id="rId2323"/><Relationship Type="http://schemas.openxmlformats.org/officeDocument/2006/relationships/hyperlink" Target="https://www.youtube.com/watch?v=KNefSdV5nSM" TargetMode="External" Id="rId2324"/><Relationship Type="http://schemas.openxmlformats.org/officeDocument/2006/relationships/hyperlink" Target="https://scholar.google.com/scholar?q=Moult+et+al.+1995+Proteins+23%3Aii+CASP+s+founding+Kryshtafovych+et+al.+2021+Proteins+89%3A1607+CASP14+assessment" TargetMode="External" Id="rId2325"/><Relationship Type="http://schemas.openxmlformats.org/officeDocument/2006/relationships/hyperlink" Target="https://www.youtube.com/watch?v=aY4duih4jMg" TargetMode="External" Id="rId2326"/><Relationship Type="http://schemas.openxmlformats.org/officeDocument/2006/relationships/hyperlink" Target="https://scholar.google.com/scholar?q=Fannjiang+et+al.+2022+NeurIPS+conformal+under+feedback+covariate+shift+Barber+%26+Cand%C3%A8s+2015+Ann+Stat+43%3A2055+knockoffs" TargetMode="External" Id="rId2327"/><Relationship Type="http://schemas.openxmlformats.org/officeDocument/2006/relationships/hyperlink" Target="https://www.youtube.com/watch?v=3-OHVKOd2bc" TargetMode="External" Id="rId2328"/><Relationship Type="http://schemas.openxmlformats.org/officeDocument/2006/relationships/hyperlink" Target="https://scholar.google.com/scholar?q=Fannjiang+et+al.+2022+NeurIPS+conformal+under+feedback+covariate+shift+Barber+%26+Cand%C3%A8s+2015+Ann+Stat+43%3A2055+knockoffs" TargetMode="External" Id="rId2329"/><Relationship Type="http://schemas.openxmlformats.org/officeDocument/2006/relationships/hyperlink" Target="https://www.youtube.com/watch?v=2OjjsGhomMs" TargetMode="External" Id="rId2330"/><Relationship Type="http://schemas.openxmlformats.org/officeDocument/2006/relationships/hyperlink" Target="https://scholar.google.com/scholar?q=Fannjiang+et+al.+2022+NeurIPS+conformal+under+feedback+covariate+shift+Barber+%26+Cand%C3%A8s+2015+Ann+Stat+43%3A2055+knockoffs" TargetMode="External" Id="rId2331"/><Relationship Type="http://schemas.openxmlformats.org/officeDocument/2006/relationships/hyperlink" Target="https://www.youtube.com/watch?v=hs37ze1j41A" TargetMode="External" Id="rId2332"/><Relationship Type="http://schemas.openxmlformats.org/officeDocument/2006/relationships/hyperlink" Target="https://scholar.google.com/scholar?q=Fannjiang+et+al.+2022+NeurIPS+conformal+under+feedback+covariate+shift+Barber+%26+Cand%C3%A8s+2015+Ann+Stat+43%3A2055+knockoffs" TargetMode="External" Id="rId2333"/><Relationship Type="http://schemas.openxmlformats.org/officeDocument/2006/relationships/hyperlink" Target="https://www.youtube.com/watch?v=HV8pugcFVO0" TargetMode="External" Id="rId2334"/><Relationship Type="http://schemas.openxmlformats.org/officeDocument/2006/relationships/hyperlink" Target="https://scholar.google.com/scholar?q=The+paper" TargetMode="External" Id="rId2335"/><Relationship Type="http://schemas.openxmlformats.org/officeDocument/2006/relationships/hyperlink" Target="https://www.youtube.com/watch?v=0DpJJFH9jvY" TargetMode="External" Id="rId2336"/><Relationship Type="http://schemas.openxmlformats.org/officeDocument/2006/relationships/hyperlink" Target="https://scholar.google.com/scholar?q=Fannjiang+et+al.+2022+NeurIPS+conformal+under+feedback+covariate+shift+Barber+%26+Cand%C3%A8s+2015+Ann+Stat+43%3A2055+knockoffs" TargetMode="External" Id="rId2337"/><Relationship Type="http://schemas.openxmlformats.org/officeDocument/2006/relationships/hyperlink" Target="https://www.youtube.com/watch?v=eGVDKegRdgM" TargetMode="External" Id="rId2338"/><Relationship Type="http://schemas.openxmlformats.org/officeDocument/2006/relationships/hyperlink" Target="https://scholar.google.com/scholar?q=Fannjiang+et+al.+2022+NeurIPS+conformal+under+feedback+covariate+shift+Barber+%26+Cand%C3%A8s+2015+Ann+Stat+43%3A2055+knockoffs" TargetMode="External" Id="rId2339"/><Relationship Type="http://schemas.openxmlformats.org/officeDocument/2006/relationships/hyperlink" Target="https://www.youtube.com/watch?v=wcPRW2YOqkA" TargetMode="External" Id="rId2340"/><Relationship Type="http://schemas.openxmlformats.org/officeDocument/2006/relationships/hyperlink" Target="https://scholar.google.com/scholar?q=Fannjiang+et+al.+2022+NeurIPS+conformal+under+feedback+covariate+shift+Barber+%26+Cand%C3%A8s+2015+Ann+Stat+43%3A2055+knockoffs" TargetMode="External" Id="rId2341"/><Relationship Type="http://schemas.openxmlformats.org/officeDocument/2006/relationships/hyperlink" Target="https://www.youtube.com/watch?v=XqFq_zYx7Vo" TargetMode="External" Id="rId2342"/><Relationship Type="http://schemas.openxmlformats.org/officeDocument/2006/relationships/hyperlink" Target="https://scholar.google.com/scholar?q=He+et+al.+2024+bioRxiv+Ribonanza+Das+et+al.+2023+Proteins+CASP15+RNA" TargetMode="External" Id="rId2343"/><Relationship Type="http://schemas.openxmlformats.org/officeDocument/2006/relationships/hyperlink" Target="https://www.youtube.com/watch?v=R6-MwrGkj7M" TargetMode="External" Id="rId2344"/><Relationship Type="http://schemas.openxmlformats.org/officeDocument/2006/relationships/hyperlink" Target="https://scholar.google.com/scholar?q=He+et+al.+2024+bioRxiv+Ribonanza+Das+et+al.+2023+Proteins+CASP15+RNA" TargetMode="External" Id="rId2345"/><Relationship Type="http://schemas.openxmlformats.org/officeDocument/2006/relationships/hyperlink" Target="https://www.youtube.com/watch?v=oe-w1Xx1p1g" TargetMode="External" Id="rId2346"/><Relationship Type="http://schemas.openxmlformats.org/officeDocument/2006/relationships/hyperlink" Target="https://scholar.google.com/scholar?q=Das+et+al.+2023+Proteins+CASP15+RNA" TargetMode="External" Id="rId2347"/><Relationship Type="http://schemas.openxmlformats.org/officeDocument/2006/relationships/hyperlink" Target="https://www.youtube.com/watch?v=kKC5WjAqWsc" TargetMode="External" Id="rId2348"/><Relationship Type="http://schemas.openxmlformats.org/officeDocument/2006/relationships/hyperlink" Target="https://scholar.google.com/scholar?q=He+et+al.+2024+bioRxiv+Ribonanza+Das+et+al.+2023+Proteins+CASP15+RNA" TargetMode="External" Id="rId2349"/><Relationship Type="http://schemas.openxmlformats.org/officeDocument/2006/relationships/hyperlink" Target="https://www.youtube.com/watch?v=2V09ne503V0" TargetMode="External" Id="rId2350"/><Relationship Type="http://schemas.openxmlformats.org/officeDocument/2006/relationships/hyperlink" Target="https://scholar.google.com/scholar?q=He+et+al.+2024+bioRxiv+Ribonanza+Das+et+al.+2023+Proteins+CASP15+RNA" TargetMode="External" Id="rId2351"/><Relationship Type="http://schemas.openxmlformats.org/officeDocument/2006/relationships/hyperlink" Target="https://www.youtube.com/watch?v=PDI7wsdjtt0" TargetMode="External" Id="rId2352"/><Relationship Type="http://schemas.openxmlformats.org/officeDocument/2006/relationships/hyperlink" Target="https://scholar.google.com/scholar?q=He+et+al.+2024+bioRxiv+Ribonanza+Das+et+al.+2023+Proteins+CASP15+RNA" TargetMode="External" Id="rId2353"/><Relationship Type="http://schemas.openxmlformats.org/officeDocument/2006/relationships/hyperlink" Target="https://www.youtube.com/watch?v=j8ixwnEAE38" TargetMode="External" Id="rId2354"/><Relationship Type="http://schemas.openxmlformats.org/officeDocument/2006/relationships/hyperlink" Target="https://scholar.google.com/scholar?q=He+et+al.+2024+bioRxiv+Ribonanza+Das+et+al.+2023+Proteins+CASP15+RNA" TargetMode="External" Id="rId2355"/><Relationship Type="http://schemas.openxmlformats.org/officeDocument/2006/relationships/hyperlink" Target="https://www.youtube.com/watch?v=JMAv0NS6gnI" TargetMode="External" Id="rId2356"/><Relationship Type="http://schemas.openxmlformats.org/officeDocument/2006/relationships/hyperlink" Target="https://scholar.google.com/scholar?q=He+et+al.+2024+bioRxiv+Ribonanza+Das+et+al.+2023+Proteins+CASP15+RNA" TargetMode="External" Id="rId2357"/><Relationship Type="http://schemas.openxmlformats.org/officeDocument/2006/relationships/hyperlink" Target="https://www.youtube.com/watch?v=qjT6oXAiasE" TargetMode="External" Id="rId2358"/><Relationship Type="http://schemas.openxmlformats.org/officeDocument/2006/relationships/hyperlink" Target="https://scholar.google.com/scholar?q=He+et+al.+2024+bioRxiv+Ribonanza+Das+et+al.+2023+Proteins+CASP15+RNA" TargetMode="External" Id="rId2359"/><Relationship Type="http://schemas.openxmlformats.org/officeDocument/2006/relationships/hyperlink" Target="https://www.youtube.com/watch?v=8n3CEtj9LaU" TargetMode="External" Id="rId2360"/><Relationship Type="http://schemas.openxmlformats.org/officeDocument/2006/relationships/hyperlink" Target="https://scholar.google.com/scholar?q=He+et+al.+2024+bioRxiv+Ribonanza+Das+et+al.+2023+Proteins+CASP15+RNA" TargetMode="External" Id="rId2361"/><Relationship Type="http://schemas.openxmlformats.org/officeDocument/2006/relationships/hyperlink" Target="https://www.youtube.com/watch?v=4mUAhtJAcrw" TargetMode="External" Id="rId2362"/><Relationship Type="http://schemas.openxmlformats.org/officeDocument/2006/relationships/hyperlink" Target="https://scholar.google.com/scholar?q=He+et+al.+2024+bioRxiv+Ribonanza+Das+et+al.+2023+Proteins+CASP15+RNA" TargetMode="External" Id="rId2363"/><Relationship Type="http://schemas.openxmlformats.org/officeDocument/2006/relationships/hyperlink" Target="https://www.youtube.com/watch?v=jV6ueodnZUk" TargetMode="External" Id="rId2364"/><Relationship Type="http://schemas.openxmlformats.org/officeDocument/2006/relationships/hyperlink" Target="https://scholar.google.com/scholar?q=He+et+al.+2024+bioRxiv+Ribonanza+Das+et+al.+2023+Proteins+CASP15+RNA" TargetMode="External" Id="rId2365"/><Relationship Type="http://schemas.openxmlformats.org/officeDocument/2006/relationships/hyperlink" Target="https://www.youtube.com/watch?v=a8a41m_iCek" TargetMode="External" Id="rId2366"/><Relationship Type="http://schemas.openxmlformats.org/officeDocument/2006/relationships/hyperlink" Target="https://scholar.google.com/scholar?q=He+et+al.+2024+bioRxiv+Ribonanza+Das+et+al.+2023+Proteins+CASP15+RNA" TargetMode="External" Id="rId2367"/><Relationship Type="http://schemas.openxmlformats.org/officeDocument/2006/relationships/hyperlink" Target="https://www.youtube.com/watch?v=WWPUvlOfx2U" TargetMode="External" Id="rId2368"/><Relationship Type="http://schemas.openxmlformats.org/officeDocument/2006/relationships/hyperlink" Target="https://scholar.google.com/scholar?q=Wayment-Steele+et+al.+2022+Nat+Methods+19%3A1234+EternaFold" TargetMode="External" Id="rId2369"/><Relationship Type="http://schemas.openxmlformats.org/officeDocument/2006/relationships/hyperlink" Target="https://www.youtube.com/watch?v=UA3ALXRkWSY" TargetMode="External" Id="rId2370"/><Relationship Type="http://schemas.openxmlformats.org/officeDocument/2006/relationships/hyperlink" Target="https://scholar.google.com/scholar?q=Wayment-Steele+et+al.+2022+Nat+Methods+19%3A1234+EternaFold" TargetMode="External" Id="rId2371"/><Relationship Type="http://schemas.openxmlformats.org/officeDocument/2006/relationships/hyperlink" Target="https://www.youtube.com/watch?v=HDe_S89z3Yc" TargetMode="External" Id="rId2372"/><Relationship Type="http://schemas.openxmlformats.org/officeDocument/2006/relationships/hyperlink" Target="https://scholar.google.com/scholar?q=Wayment-Steele+et+al.+2022+Nat+Methods+19%3A1234+EternaFold" TargetMode="External" Id="rId2373"/><Relationship Type="http://schemas.openxmlformats.org/officeDocument/2006/relationships/hyperlink" Target="https://www.youtube.com/watch?v=g-rOsECpH44" TargetMode="External" Id="rId2374"/><Relationship Type="http://schemas.openxmlformats.org/officeDocument/2006/relationships/hyperlink" Target="https://scholar.google.com/scholar?q=He+et+al.+2024+bioRxiv+Ribonanza+Das+et+al.+2023+Proteins+CASP15+RNA" TargetMode="External" Id="rId2375"/><Relationship Type="http://schemas.openxmlformats.org/officeDocument/2006/relationships/hyperlink" Target="https://www.youtube.com/watch?v=rE2Q_ewhMfY" TargetMode="External" Id="rId2376"/><Relationship Type="http://schemas.openxmlformats.org/officeDocument/2006/relationships/hyperlink" Target="https://scholar.google.com/scholar?q=Nussinov+%26+Jacobson+1980+PNAS+77%3A6309+Zuker+%26+Stiegler+1981+NAR+9%3A133" TargetMode="External" Id="rId2377"/><Relationship Type="http://schemas.openxmlformats.org/officeDocument/2006/relationships/hyperlink" Target="https://www.youtube.com/watch?v=bzJNFhBWNTg" TargetMode="External" Id="rId2378"/><Relationship Type="http://schemas.openxmlformats.org/officeDocument/2006/relationships/hyperlink" Target="https://scholar.google.com/scholar?q=Nussinov+%26+Jacobson+1980+PNAS+77%3A6309+Zuker+%26+Stiegler+1981+NAR+9%3A133" TargetMode="External" Id="rId2379"/><Relationship Type="http://schemas.openxmlformats.org/officeDocument/2006/relationships/hyperlink" Target="https://www.youtube.com/watch?v=h60raqnvm0s" TargetMode="External" Id="rId2380"/><Relationship Type="http://schemas.openxmlformats.org/officeDocument/2006/relationships/hyperlink" Target="https://scholar.google.com/scholar?q=Nussinov+%26+Jacobson+1980+PNAS+77%3A6309+Zuker+%26+Stiegler+1981+NAR+9%3A133" TargetMode="External" Id="rId2381"/><Relationship Type="http://schemas.openxmlformats.org/officeDocument/2006/relationships/hyperlink" Target="https://www.youtube.com/watch?v=BFdYqPrbyY0" TargetMode="External" Id="rId2382"/><Relationship Type="http://schemas.openxmlformats.org/officeDocument/2006/relationships/hyperlink" Target="https://scholar.google.com/scholar?q=Nussinov+%26+Jacobson+1980+PNAS+77%3A6309+Zuker+%26+Stiegler+1981+NAR+9%3A133" TargetMode="External" Id="rId2383"/><Relationship Type="http://schemas.openxmlformats.org/officeDocument/2006/relationships/hyperlink" Target="https://www.youtube.com/watch?v=VyAFDf7P6QM" TargetMode="External" Id="rId2384"/><Relationship Type="http://schemas.openxmlformats.org/officeDocument/2006/relationships/hyperlink" Target="https://scholar.google.com/scholar?q=Nussinov+%26+Jacobson+1980+PNAS+77%3A6309+Zuker+%26+Stiegler+1981+NAR+9%3A133" TargetMode="External" Id="rId2385"/><Relationship Type="http://schemas.openxmlformats.org/officeDocument/2006/relationships/hyperlink" Target="https://www.youtube.com/watch?v=kRHLx088hyo" TargetMode="External" Id="rId2386"/><Relationship Type="http://schemas.openxmlformats.org/officeDocument/2006/relationships/hyperlink" Target="https://scholar.google.com/scholar?q=Nussinov+%26+Jacobson+1980+PNAS+77%3A6309+Zuker+%26+Stiegler+1981+NAR+9%3A133" TargetMode="External" Id="rId2387"/><Relationship Type="http://schemas.openxmlformats.org/officeDocument/2006/relationships/hyperlink" Target="https://www.youtube.com/watch?v=6ExWx5FSqlk" TargetMode="External" Id="rId2388"/><Relationship Type="http://schemas.openxmlformats.org/officeDocument/2006/relationships/hyperlink" Target="https://scholar.google.com/scholar?q=Nussinov+%26+Jacobson+1980+PNAS+77%3A6309+Zuker+%26+Stiegler+1981+NAR+9%3A133" TargetMode="External" Id="rId2389"/><Relationship Type="http://schemas.openxmlformats.org/officeDocument/2006/relationships/hyperlink" Target="https://www.youtube.com/watch?v=Oqu6BHGl4y8" TargetMode="External" Id="rId2390"/><Relationship Type="http://schemas.openxmlformats.org/officeDocument/2006/relationships/hyperlink" Target="https://scholar.google.com/scholar?q=Nussinov+%26+Jacobson+1980+PNAS+77%3A6309+Zuker+%26+Stiegler+1981+NAR+9%3A133" TargetMode="External" Id="rId2391"/><Relationship Type="http://schemas.openxmlformats.org/officeDocument/2006/relationships/hyperlink" Target="https://www.youtube.com/watch?v=I59Xa58NzUg" TargetMode="External" Id="rId2392"/><Relationship Type="http://schemas.openxmlformats.org/officeDocument/2006/relationships/hyperlink" Target="https://scholar.google.com/scholar?q=Nussinov+%26+Jacobson+1980+PNAS+77%3A6309+Zuker+%26+Stiegler+1981+NAR+9%3A133" TargetMode="External" Id="rId2393"/><Relationship Type="http://schemas.openxmlformats.org/officeDocument/2006/relationships/hyperlink" Target="https://www.youtube.com/watch?v=1jNUCNYwzcI" TargetMode="External" Id="rId2394"/><Relationship Type="http://schemas.openxmlformats.org/officeDocument/2006/relationships/hyperlink" Target="https://scholar.google.com/scholar?q=McCaskill+1990+Biopolymers+29%3A1105" TargetMode="External" Id="rId2395"/><Relationship Type="http://schemas.openxmlformats.org/officeDocument/2006/relationships/hyperlink" Target="https://www.youtube.com/watch?v=hrxPBdmm36w" TargetMode="External" Id="rId2396"/><Relationship Type="http://schemas.openxmlformats.org/officeDocument/2006/relationships/hyperlink" Target="https://scholar.google.com/scholar?q=Nussinov+%26+Jacobson+1980+PNAS+77%3A6309+Zuker+%26+Stiegler+1981+NAR+9%3A133" TargetMode="External" Id="rId2397"/><Relationship Type="http://schemas.openxmlformats.org/officeDocument/2006/relationships/hyperlink" Target="https://www.youtube.com/watch?v=KW3Cz1IQPx8" TargetMode="External" Id="rId2398"/><Relationship Type="http://schemas.openxmlformats.org/officeDocument/2006/relationships/hyperlink" Target="https://scholar.google.com/scholar?q=Nussinov+%26+Jacobson+1980+PNAS+77%3A6309+Zuker+%26+Stiegler+1981+NAR+9%3A133" TargetMode="External" Id="rId2399"/><Relationship Type="http://schemas.openxmlformats.org/officeDocument/2006/relationships/hyperlink" Target="https://www.youtube.com/watch?v=k4hKRu8UpnA" TargetMode="External" Id="rId2400"/><Relationship Type="http://schemas.openxmlformats.org/officeDocument/2006/relationships/hyperlink" Target="https://scholar.google.com/scholar?q=Nussinov+%26+Jacobson+1980+PNAS+77%3A6309+Zuker+%26+Stiegler+1981+NAR+9%3A133" TargetMode="External" Id="rId2401"/><Relationship Type="http://schemas.openxmlformats.org/officeDocument/2006/relationships/hyperlink" Target="https://www.youtube.com/watch?v=mYsha_TONVs" TargetMode="External" Id="rId2402"/><Relationship Type="http://schemas.openxmlformats.org/officeDocument/2006/relationships/hyperlink" Target="https://scholar.google.com/scholar?q=Nussinov+%26+Jacobson+1980+PNAS+77%3A6309+Zuker+%26+Stiegler+1981+NAR+9%3A133" TargetMode="External" Id="rId2403"/><Relationship Type="http://schemas.openxmlformats.org/officeDocument/2006/relationships/hyperlink" Target="https://www.youtube.com/watch?v=XciIQulpGVY" TargetMode="External" Id="rId2404"/><Relationship Type="http://schemas.openxmlformats.org/officeDocument/2006/relationships/hyperlink" Target="https://scholar.google.com/scholar?q=Nussinov+%26+Jacobson+1980+PNAS+77%3A6309+Zuker+%26+Stiegler+1981+NAR+9%3A133" TargetMode="External" Id="rId2405"/><Relationship Type="http://schemas.openxmlformats.org/officeDocument/2006/relationships/hyperlink" Target="https://www.youtube.com/watch?v=kUN6rJ21Hno" TargetMode="External" Id="rId2406"/><Relationship Type="http://schemas.openxmlformats.org/officeDocument/2006/relationships/hyperlink" Target="https://scholar.google.com/scholar?q=Nussinov+%26+Jacobson+1980+PNAS+77%3A6309+Zuker+%26+Stiegler+1981+NAR+9%3A133" TargetMode="External" Id="rId2407"/><Relationship Type="http://schemas.openxmlformats.org/officeDocument/2006/relationships/hyperlink" Target="https://www.youtube.com/watch?v=s3nMNAa-CdQ" TargetMode="External" Id="rId2408"/><Relationship Type="http://schemas.openxmlformats.org/officeDocument/2006/relationships/hyperlink" Target="https://scholar.google.com/scholar?q=Nussinov+%26+Jacobson+1980+PNAS+77%3A6309+Zuker+%26+Stiegler+1981+NAR+9%3A133" TargetMode="External" Id="rId2409"/><Relationship Type="http://schemas.openxmlformats.org/officeDocument/2006/relationships/hyperlink" Target="https://www.youtube.com/watch?v=HaGNjmbvGKo" TargetMode="External" Id="rId2410"/><Relationship Type="http://schemas.openxmlformats.org/officeDocument/2006/relationships/hyperlink" Target="https://scholar.google.com/scholar?q=Nussinov+%26+Jacobson+1980+PNAS+77%3A6309+Zuker+%26+Stiegler+1981+NAR+9%3A133" TargetMode="External" Id="rId2411"/><Relationship Type="http://schemas.openxmlformats.org/officeDocument/2006/relationships/hyperlink" Target="https://www.youtube.com/watch?v=0jP77tZkyyU" TargetMode="External" Id="rId2412"/><Relationship Type="http://schemas.openxmlformats.org/officeDocument/2006/relationships/hyperlink" Target="https://scholar.google.com/scholar?q=Nussinov+%26+Jacobson+1980+PNAS+77%3A6309+Zuker+%26+Stiegler+1981+NAR+9%3A133" TargetMode="External" Id="rId2413"/><Relationship Type="http://schemas.openxmlformats.org/officeDocument/2006/relationships/hyperlink" Target="https://www.youtube.com/watch?v=nKaYyQGKsm4" TargetMode="External" Id="rId2414"/><Relationship Type="http://schemas.openxmlformats.org/officeDocument/2006/relationships/hyperlink" Target="https://scholar.google.com/scholar?q=Nussinov+%26+Jacobson+1980+PNAS+77%3A6309+Zuker+%26+Stiegler+1981+NAR+9%3A133" TargetMode="External" Id="rId2415"/><Relationship Type="http://schemas.openxmlformats.org/officeDocument/2006/relationships/hyperlink" Target="https://www.youtube.com/watch?v=nDobViWTsZo" TargetMode="External" Id="rId2416"/><Relationship Type="http://schemas.openxmlformats.org/officeDocument/2006/relationships/hyperlink" Target="https://scholar.google.com/scholar?q=Nussinov+%26+Jacobson+1980+PNAS+77%3A6309+Zuker+%26+Stiegler+1981+NAR+9%3A133" TargetMode="External" Id="rId2417"/><Relationship Type="http://schemas.openxmlformats.org/officeDocument/2006/relationships/hyperlink" Target="https://www.youtube.com/watch?v=FPoEVj-T9Bw" TargetMode="External" Id="rId2418"/><Relationship Type="http://schemas.openxmlformats.org/officeDocument/2006/relationships/hyperlink" Target="https://scholar.google.com/scholar?q=Huang+et+al.+2019" TargetMode="External" Id="rId2419"/><Relationship Type="http://schemas.openxmlformats.org/officeDocument/2006/relationships/hyperlink" Target="https://www.youtube.com/watch?v=NU63fazDZHs" TargetMode="External" Id="rId2420"/><Relationship Type="http://schemas.openxmlformats.org/officeDocument/2006/relationships/hyperlink" Target="https://scholar.google.com/scholar?q=Nussinov+%26+Jacobson+1980+PNAS+77%3A6309+Zuker+%26+Stiegler+1981+NAR+9%3A133" TargetMode="External" Id="rId2421"/><Relationship Type="http://schemas.openxmlformats.org/officeDocument/2006/relationships/hyperlink" Target="https://www.youtube.com/watch?v=WGe9OcFOiIw" TargetMode="External" Id="rId2422"/><Relationship Type="http://schemas.openxmlformats.org/officeDocument/2006/relationships/hyperlink" Target="https://scholar.google.com/scholar?q=Nussinov+%26+Jacobson+1980+PNAS+77%3A6309+Zuker+%26+Stiegler+1981+NAR+9%3A133" TargetMode="External" Id="rId2423"/><Relationship Type="http://schemas.openxmlformats.org/officeDocument/2006/relationships/hyperlink" Target="https://www.youtube.com/watch?v=p_SE6pVi9c4" TargetMode="External" Id="rId2424"/><Relationship Type="http://schemas.openxmlformats.org/officeDocument/2006/relationships/hyperlink" Target="https://scholar.google.com/scholar?q=Nussinov+%26+Jacobson+1980+PNAS+77%3A6309+Zuker+%26+Stiegler+1981+NAR+9%3A133" TargetMode="External" Id="rId2425"/><Relationship Type="http://schemas.openxmlformats.org/officeDocument/2006/relationships/hyperlink" Target="https://www.youtube.com/watch?v=Edz7ihsSZZ4" TargetMode="External" Id="rId2426"/><Relationship Type="http://schemas.openxmlformats.org/officeDocument/2006/relationships/hyperlink" Target="https://scholar.google.com/scholar?q=Nussinov+%26+Jacobson+1980+PNAS+77%3A6309+Zuker+%26+Stiegler+1981+NAR+9%3A133" TargetMode="External" Id="rId2427"/><Relationship Type="http://schemas.openxmlformats.org/officeDocument/2006/relationships/hyperlink" Target="https://www.youtube.com/watch?v=hpqWv7cyVYY" TargetMode="External" Id="rId2428"/><Relationship Type="http://schemas.openxmlformats.org/officeDocument/2006/relationships/hyperlink" Target="https://scholar.google.com/scholar?q=Nussinov+%26+Jacobson+1980+PNAS+77%3A6309+Zuker+%26+Stiegler+1981+NAR+9%3A133" TargetMode="External" Id="rId2429"/><Relationship Type="http://schemas.openxmlformats.org/officeDocument/2006/relationships/hyperlink" Target="https://www.youtube.com/watch?v=jy5h9NwBEgk" TargetMode="External" Id="rId2430"/><Relationship Type="http://schemas.openxmlformats.org/officeDocument/2006/relationships/hyperlink" Target="https://scholar.google.com/scholar?q=SantaLucia+1998+PNAS+95%3A1460" TargetMode="External" Id="rId2431"/><Relationship Type="http://schemas.openxmlformats.org/officeDocument/2006/relationships/hyperlink" Target="https://www.youtube.com/watch?v=TRVJ7Uxv7Q8" TargetMode="External" Id="rId2432"/><Relationship Type="http://schemas.openxmlformats.org/officeDocument/2006/relationships/hyperlink" Target="https://scholar.google.com/scholar?q=Nussinov+%26+Jacobson+1980+PNAS+77%3A6309+Zuker+%26+Stiegler+1981+NAR+9%3A133" TargetMode="External" Id="rId2433"/><Relationship Type="http://schemas.openxmlformats.org/officeDocument/2006/relationships/hyperlink" Target="https://www.youtube.com/watch?v=2bq4an3uHGs" TargetMode="External" Id="rId2434"/><Relationship Type="http://schemas.openxmlformats.org/officeDocument/2006/relationships/hyperlink" Target="https://scholar.google.com/scholar?q=Nussinov+%26+Jacobson+1980+PNAS+77%3A6309+Zuker+%26+Stiegler+1981+NAR+9%3A133" TargetMode="External" Id="rId2435"/><Relationship Type="http://schemas.openxmlformats.org/officeDocument/2006/relationships/hyperlink" Target="https://www.youtube.com/watch?v=mmdiGHgwYko" TargetMode="External" Id="rId2436"/><Relationship Type="http://schemas.openxmlformats.org/officeDocument/2006/relationships/hyperlink" Target="https://scholar.google.com/scholar?q=Nussinov+%26+Jacobson+1980+PNAS+77%3A6309+Zuker+%26+Stiegler+1981+NAR+9%3A133" TargetMode="External" Id="rId2437"/><Relationship Type="http://schemas.openxmlformats.org/officeDocument/2006/relationships/hyperlink" Target="https://www.youtube.com/watch?v=baRPkvAo0t0" TargetMode="External" Id="rId2438"/><Relationship Type="http://schemas.openxmlformats.org/officeDocument/2006/relationships/hyperlink" Target="https://scholar.google.com/scholar?q=Nussinov+%26+Jacobson+1980+PNAS+77%3A6309+Zuker+%26+Stiegler+1981+NAR+9%3A133" TargetMode="External" Id="rId2439"/><Relationship Type="http://schemas.openxmlformats.org/officeDocument/2006/relationships/hyperlink" Target="https://www.youtube.com/watch?v=35EmgGl-bZk" TargetMode="External" Id="rId2440"/><Relationship Type="http://schemas.openxmlformats.org/officeDocument/2006/relationships/hyperlink" Target="https://scholar.google.com/scholar?q=Nussinov+%26+Jacobson+1980+PNAS+77%3A6309+Zuker+%26+Stiegler+1981+NAR+9%3A133" TargetMode="External" Id="rId2441"/><Relationship Type="http://schemas.openxmlformats.org/officeDocument/2006/relationships/hyperlink" Target="https://www.youtube.com/watch?v=t--WnACI4cY" TargetMode="External" Id="rId2442"/><Relationship Type="http://schemas.openxmlformats.org/officeDocument/2006/relationships/hyperlink" Target="https://scholar.google.com/scholar?q=Merino+et+al.+2005+JACS+127%3A4223+SHAPE+Deigan+et+al.+2009+PNAS+106%3A97" TargetMode="External" Id="rId2443"/><Relationship Type="http://schemas.openxmlformats.org/officeDocument/2006/relationships/hyperlink" Target="https://www.youtube.com/watch?v=tZsvAwr6to8" TargetMode="External" Id="rId2444"/><Relationship Type="http://schemas.openxmlformats.org/officeDocument/2006/relationships/hyperlink" Target="https://scholar.google.com/scholar?q=Merino+et+al.+2005+JACS+127%3A4223+SHAPE+Deigan+et+al.+2009+PNAS+106%3A97" TargetMode="External" Id="rId2445"/><Relationship Type="http://schemas.openxmlformats.org/officeDocument/2006/relationships/hyperlink" Target="https://www.youtube.com/watch?v=DgZsPJ69_k0" TargetMode="External" Id="rId2446"/><Relationship Type="http://schemas.openxmlformats.org/officeDocument/2006/relationships/hyperlink" Target="https://scholar.google.com/scholar?q=Zubradt+et+al.+2017+Nat+Methods+14%3A75+DMS-MaPseq" TargetMode="External" Id="rId2447"/><Relationship Type="http://schemas.openxmlformats.org/officeDocument/2006/relationships/hyperlink" Target="https://www.youtube.com/watch?v=ITphUNFfnm4" TargetMode="External" Id="rId2448"/><Relationship Type="http://schemas.openxmlformats.org/officeDocument/2006/relationships/hyperlink" Target="https://scholar.google.com/scholar?q=Merino+et+al.+2005+JACS+127%3A4223+SHAPE+Deigan+et+al.+2009+PNAS+106%3A97" TargetMode="External" Id="rId2449"/><Relationship Type="http://schemas.openxmlformats.org/officeDocument/2006/relationships/hyperlink" Target="https://www.youtube.com/watch?v=bMVe8U5u6AA" TargetMode="External" Id="rId2450"/><Relationship Type="http://schemas.openxmlformats.org/officeDocument/2006/relationships/hyperlink" Target="https://scholar.google.com/scholar?q=Merino+et+al.+2005+JACS+127%3A4223+SHAPE+Deigan+et+al.+2009+PNAS+106%3A97" TargetMode="External" Id="rId2451"/><Relationship Type="http://schemas.openxmlformats.org/officeDocument/2006/relationships/hyperlink" Target="https://www.youtube.com/watch?v=yg_q9BCzGCk" TargetMode="External" Id="rId2452"/><Relationship Type="http://schemas.openxmlformats.org/officeDocument/2006/relationships/hyperlink" Target="https://scholar.google.com/scholar?q=Merino+et+al.+2005+JACS+127%3A4223+SHAPE+Deigan+et+al.+2009+PNAS+106%3A97" TargetMode="External" Id="rId2453"/><Relationship Type="http://schemas.openxmlformats.org/officeDocument/2006/relationships/hyperlink" Target="https://www.youtube.com/watch?v=pwinGjkcPtM" TargetMode="External" Id="rId2454"/><Relationship Type="http://schemas.openxmlformats.org/officeDocument/2006/relationships/hyperlink" Target="https://scholar.google.com/scholar?q=Merino+et+al.+2005+JACS+127%3A4223+SHAPE+Deigan+et+al.+2009+PNAS+106%3A97" TargetMode="External" Id="rId2455"/><Relationship Type="http://schemas.openxmlformats.org/officeDocument/2006/relationships/hyperlink" Target="https://www.youtube.com/watch?v=xRMv6r8jbAY" TargetMode="External" Id="rId2456"/><Relationship Type="http://schemas.openxmlformats.org/officeDocument/2006/relationships/hyperlink" Target="https://scholar.google.com/scholar?q=Merino+et+al.+2005+JACS+127%3A4223+SHAPE" TargetMode="External" Id="rId2457"/><Relationship Type="http://schemas.openxmlformats.org/officeDocument/2006/relationships/hyperlink" Target="https://www.youtube.com/watch?v=rvS2tC-uhMg" TargetMode="External" Id="rId2458"/><Relationship Type="http://schemas.openxmlformats.org/officeDocument/2006/relationships/hyperlink" Target="https://scholar.google.com/scholar?q=Merino+et+al.+2005+JACS+127%3A4223+SHAPE+Deigan+et+al.+2009+PNAS+106%3A97" TargetMode="External" Id="rId2459"/><Relationship Type="http://schemas.openxmlformats.org/officeDocument/2006/relationships/hyperlink" Target="https://www.youtube.com/watch?v=O6XtwSFIbnw" TargetMode="External" Id="rId2460"/><Relationship Type="http://schemas.openxmlformats.org/officeDocument/2006/relationships/hyperlink" Target="https://scholar.google.com/scholar?q=Merino+et+al.+2005+JACS+127%3A4223+SHAPE+Deigan+et+al.+2009+PNAS+106%3A97" TargetMode="External" Id="rId2461"/><Relationship Type="http://schemas.openxmlformats.org/officeDocument/2006/relationships/hyperlink" Target="https://www.youtube.com/watch?v=rvG-bTkQ6Dc" TargetMode="External" Id="rId2462"/><Relationship Type="http://schemas.openxmlformats.org/officeDocument/2006/relationships/hyperlink" Target="https://scholar.google.com/scholar?q=Merino+et+al.+2005+JACS+127%3A4223+SHAPE+Deigan+et+al.+2009+PNAS+106%3A97" TargetMode="External" Id="rId2463"/><Relationship Type="http://schemas.openxmlformats.org/officeDocument/2006/relationships/hyperlink" Target="https://www.youtube.com/watch?v=aIXvVCjfdzc" TargetMode="External" Id="rId2464"/><Relationship Type="http://schemas.openxmlformats.org/officeDocument/2006/relationships/hyperlink" Target="https://scholar.google.com/scholar?q=Merino+et+al.+2005+JACS+127%3A4223+SHAPE+Deigan+et+al.+2009+PNAS+106%3A97" TargetMode="External" Id="rId2465"/><Relationship Type="http://schemas.openxmlformats.org/officeDocument/2006/relationships/hyperlink" Target="https://www.youtube.com/watch?v=WAChisSiW3o" TargetMode="External" Id="rId2466"/><Relationship Type="http://schemas.openxmlformats.org/officeDocument/2006/relationships/hyperlink" Target="https://scholar.google.com/scholar?q=Kruger+et+al.+1982+Cell+31%3A147+Guerrier-Takada+et+al.+1983+Cell+35%3A849" TargetMode="External" Id="rId2467"/><Relationship Type="http://schemas.openxmlformats.org/officeDocument/2006/relationships/hyperlink" Target="https://www.youtube.com/watch?v=qJuGxHucqZk" TargetMode="External" Id="rId2468"/><Relationship Type="http://schemas.openxmlformats.org/officeDocument/2006/relationships/hyperlink" Target="https://scholar.google.com/scholar?q=Kruger+et+al.+1982+Cell+31%3A147+Guerrier-Takada+et+al.+1983+Cell+35%3A849" TargetMode="External" Id="rId2469"/><Relationship Type="http://schemas.openxmlformats.org/officeDocument/2006/relationships/hyperlink" Target="https://www.youtube.com/watch?v=UtQkoW8yQ4A" TargetMode="External" Id="rId2470"/><Relationship Type="http://schemas.openxmlformats.org/officeDocument/2006/relationships/hyperlink" Target="https://scholar.google.com/scholar?q=Kruger+et+al.+1982+Cell+31%3A147+Guerrier-Takada+et+al.+1983+Cell+35%3A849" TargetMode="External" Id="rId2471"/><Relationship Type="http://schemas.openxmlformats.org/officeDocument/2006/relationships/hyperlink" Target="https://www.youtube.com/watch?v=uVMTWaqtL4o" TargetMode="External" Id="rId2472"/><Relationship Type="http://schemas.openxmlformats.org/officeDocument/2006/relationships/hyperlink" Target="https://scholar.google.com/scholar?q=Kruger+et+al.+1982+Cell+31%3A147+Guerrier-Takada+et+al.+1983+Cell+35%3A849" TargetMode="External" Id="rId2473"/><Relationship Type="http://schemas.openxmlformats.org/officeDocument/2006/relationships/hyperlink" Target="https://www.youtube.com/watch?v=1qJ8Fs56X84" TargetMode="External" Id="rId2474"/><Relationship Type="http://schemas.openxmlformats.org/officeDocument/2006/relationships/hyperlink" Target="https://scholar.google.com/scholar?q=Lilley+2011+Phil+Trans+R+Soc+B+366%3A2910" TargetMode="External" Id="rId2475"/><Relationship Type="http://schemas.openxmlformats.org/officeDocument/2006/relationships/hyperlink" Target="https://www.youtube.com/watch?v=SQwO0qEbCQc" TargetMode="External" Id="rId2476"/><Relationship Type="http://schemas.openxmlformats.org/officeDocument/2006/relationships/hyperlink" Target="https://scholar.google.com/scholar?q=Kruger+et+al.+1982+Cell+31%3A147+Guerrier-Takada+et+al.+1983+Cell+35%3A849" TargetMode="External" Id="rId2477"/><Relationship Type="http://schemas.openxmlformats.org/officeDocument/2006/relationships/hyperlink" Target="https://www.youtube.com/watch?v=FgEeLRTGKwc" TargetMode="External" Id="rId2478"/><Relationship Type="http://schemas.openxmlformats.org/officeDocument/2006/relationships/hyperlink" Target="https://scholar.google.com/scholar?q=Kruger+et+al.+1982+Cell+31%3A147+Guerrier-Takada+et+al.+1983+Cell+35%3A849" TargetMode="External" Id="rId2479"/><Relationship Type="http://schemas.openxmlformats.org/officeDocument/2006/relationships/hyperlink" Target="https://www.youtube.com/watch?v=eliC9aM5BsA" TargetMode="External" Id="rId2480"/><Relationship Type="http://schemas.openxmlformats.org/officeDocument/2006/relationships/hyperlink" Target="https://scholar.google.com/scholar?q=Kruger+et+al.+1982+Cell+31%3A147+Guerrier-Takada+et+al.+1983+Cell+35%3A849" TargetMode="External" Id="rId2481"/><Relationship Type="http://schemas.openxmlformats.org/officeDocument/2006/relationships/hyperlink" Target="https://www.youtube.com/watch?v=rlFo77klWNg" TargetMode="External" Id="rId2482"/><Relationship Type="http://schemas.openxmlformats.org/officeDocument/2006/relationships/hyperlink" Target="https://scholar.google.com/scholar?q=Kruger+et+al.+1982+Cell+31%3A147+Guerrier-Takada+et+al.+1983+Cell+35%3A849" TargetMode="External" Id="rId2483"/><Relationship Type="http://schemas.openxmlformats.org/officeDocument/2006/relationships/hyperlink" Target="https://www.youtube.com/watch?v=RYVdDJ1cFrM" TargetMode="External" Id="rId2484"/><Relationship Type="http://schemas.openxmlformats.org/officeDocument/2006/relationships/hyperlink" Target="https://scholar.google.com/scholar?q=Kruger+et+al.+1982+Cell+31%3A147+Guerrier-Takada+et+al.+1983+Cell+35%3A849" TargetMode="External" Id="rId2485"/><Relationship Type="http://schemas.openxmlformats.org/officeDocument/2006/relationships/hyperlink" Target="https://www.youtube.com/watch?v=j8t4qoBi2lk" TargetMode="External" Id="rId2486"/><Relationship Type="http://schemas.openxmlformats.org/officeDocument/2006/relationships/hyperlink" Target="https://scholar.google.com/scholar?q=Kruger+et+al.+1982+Cell+31%3A147+Guerrier-Takada+et+al.+1983+Cell+35%3A849" TargetMode="External" Id="rId2487"/><Relationship Type="http://schemas.openxmlformats.org/officeDocument/2006/relationships/hyperlink" Target="https://www.youtube.com/watch?v=WCrlm18KQ48" TargetMode="External" Id="rId2488"/><Relationship Type="http://schemas.openxmlformats.org/officeDocument/2006/relationships/hyperlink" Target="https://scholar.google.com/scholar?q=Kruger+et+al.+1982+Cell+31%3A147+Guerrier-Takada+et+al.+1983+Cell+35%3A849" TargetMode="External" Id="rId2489"/><Relationship Type="http://schemas.openxmlformats.org/officeDocument/2006/relationships/hyperlink" Target="https://www.youtube.com/watch?v=ESXo3fTThBI" TargetMode="External" Id="rId2490"/><Relationship Type="http://schemas.openxmlformats.org/officeDocument/2006/relationships/hyperlink" Target="https://scholar.google.com/scholar?q=Kruger+et+al.+1982+Cell+31%3A147+Guerrier-Takada+et+al.+1983+Cell+35%3A849" TargetMode="External" Id="rId2491"/><Relationship Type="http://schemas.openxmlformats.org/officeDocument/2006/relationships/hyperlink" Target="https://www.youtube.com/watch?v=LjCDqL8n5F0" TargetMode="External" Id="rId2492"/><Relationship Type="http://schemas.openxmlformats.org/officeDocument/2006/relationships/hyperlink" Target="https://scholar.google.com/scholar?q=Kruger+et+al.+1982+Cell+31%3A147+Guerrier-Takada+et+al.+1983+Cell+35%3A849" TargetMode="External" Id="rId2493"/><Relationship Type="http://schemas.openxmlformats.org/officeDocument/2006/relationships/hyperlink" Target="https://www.youtube.com/watch?v=_ayLUyNixI0" TargetMode="External" Id="rId2494"/><Relationship Type="http://schemas.openxmlformats.org/officeDocument/2006/relationships/hyperlink" Target="https://scholar.google.com/scholar?q=Kruger+et+al.+1982+Cell+31%3A147+Guerrier-Takada+et+al.+1983+Cell+35%3A849" TargetMode="External" Id="rId2495"/><Relationship Type="http://schemas.openxmlformats.org/officeDocument/2006/relationships/hyperlink" Target="https://www.youtube.com/watch?v=xz9SqM5RHj8" TargetMode="External" Id="rId2496"/><Relationship Type="http://schemas.openxmlformats.org/officeDocument/2006/relationships/hyperlink" Target="https://scholar.google.com/scholar?q=Kruger+et+al.+1982+Cell+31%3A147+Guerrier-Takada+et+al.+1983+Cell+35%3A849" TargetMode="External" Id="rId2497"/><Relationship Type="http://schemas.openxmlformats.org/officeDocument/2006/relationships/hyperlink" Target="https://www.youtube.com/watch?v=WrygFFc8t8E" TargetMode="External" Id="rId2498"/><Relationship Type="http://schemas.openxmlformats.org/officeDocument/2006/relationships/hyperlink" Target="https://scholar.google.com/scholar?q=Kruger+et+al.+1982+Cell+31%3A147+Guerrier-Takada+et+al.+1983+Cell+35%3A849" TargetMode="External" Id="rId2499"/><Relationship Type="http://schemas.openxmlformats.org/officeDocument/2006/relationships/hyperlink" Target="https://www.youtube.com/watch?v=PqPGOhXoprU" TargetMode="External" Id="rId2500"/><Relationship Type="http://schemas.openxmlformats.org/officeDocument/2006/relationships/hyperlink" Target="https://scholar.google.com/scholar?q=Kruger+et+al.+1982+Cell+31%3A147+Guerrier-Takada+et+al.+1983+Cell+35%3A849" TargetMode="External" Id="rId2501"/><Relationship Type="http://schemas.openxmlformats.org/officeDocument/2006/relationships/hyperlink" Target="https://www.youtube.com/watch?v=jiK5taZEzyY" TargetMode="External" Id="rId2502"/><Relationship Type="http://schemas.openxmlformats.org/officeDocument/2006/relationships/hyperlink" Target="https://scholar.google.com/scholar?q=Kruger+et+al.+1982+Cell+31%3A147+Guerrier-Takada+et+al.+1983+Cell+35%3A849" TargetMode="External" Id="rId2503"/><Relationship Type="http://schemas.openxmlformats.org/officeDocument/2006/relationships/hyperlink" Target="https://www.youtube.com/watch?v=II1R3YV1whg" TargetMode="External" Id="rId2504"/><Relationship Type="http://schemas.openxmlformats.org/officeDocument/2006/relationships/hyperlink" Target="https://scholar.google.com/scholar?q=Winkler+Nahvi+%26+Breaker+2002+Nature+419%3A952+Weinberg+et+al.+2010+Genome+Biol+11%3AR31" TargetMode="External" Id="rId2505"/><Relationship Type="http://schemas.openxmlformats.org/officeDocument/2006/relationships/hyperlink" Target="https://www.youtube.com/watch?v=2dYabVyFFKo" TargetMode="External" Id="rId2506"/><Relationship Type="http://schemas.openxmlformats.org/officeDocument/2006/relationships/hyperlink" Target="https://scholar.google.com/scholar?q=Winkler+Nahvi+%26+Breaker+2002+Nature+419%3A952+Weinberg+et+al.+2010+Genome+Biol+11%3AR31" TargetMode="External" Id="rId2507"/><Relationship Type="http://schemas.openxmlformats.org/officeDocument/2006/relationships/hyperlink" Target="https://www.youtube.com/watch?v=5nIrkXPakzI" TargetMode="External" Id="rId2508"/><Relationship Type="http://schemas.openxmlformats.org/officeDocument/2006/relationships/hyperlink" Target="https://scholar.google.com/scholar?q=Winkler+Nahvi+%26+Breaker+2002+Nature+419%3A952+Weinberg+et+al.+2010+Genome+Biol+11%3AR31" TargetMode="External" Id="rId2509"/><Relationship Type="http://schemas.openxmlformats.org/officeDocument/2006/relationships/hyperlink" Target="https://www.youtube.com/watch?v=Qa1G_dxUYwc" TargetMode="External" Id="rId2510"/><Relationship Type="http://schemas.openxmlformats.org/officeDocument/2006/relationships/hyperlink" Target="https://scholar.google.com/scholar?q=Winkler+Nahvi+%26+Breaker+2002+Nature+419%3A952+Weinberg+et+al.+2010+Genome+Biol+11%3AR31" TargetMode="External" Id="rId2511"/><Relationship Type="http://schemas.openxmlformats.org/officeDocument/2006/relationships/hyperlink" Target="https://www.youtube.com/watch?v=Ptsv5ZtnnXw" TargetMode="External" Id="rId2512"/><Relationship Type="http://schemas.openxmlformats.org/officeDocument/2006/relationships/hyperlink" Target="https://scholar.google.com/scholar?q=Winkler+Nahvi+%26+Breaker+2002+Nature+419%3A952+Weinberg+et+al.+2010+Genome+Biol+11%3AR31" TargetMode="External" Id="rId2513"/><Relationship Type="http://schemas.openxmlformats.org/officeDocument/2006/relationships/hyperlink" Target="https://www.youtube.com/watch?v=pJ-C7w7OO_A" TargetMode="External" Id="rId2514"/><Relationship Type="http://schemas.openxmlformats.org/officeDocument/2006/relationships/hyperlink" Target="https://scholar.google.com/scholar?q=Winkler+Nahvi+%26+Breaker+2002+Nature+419%3A952+Weinberg+et+al.+2010+Genome+Biol+11%3AR31" TargetMode="External" Id="rId2515"/><Relationship Type="http://schemas.openxmlformats.org/officeDocument/2006/relationships/hyperlink" Target="https://www.youtube.com/watch?v=7X9BgWE9NlI" TargetMode="External" Id="rId2516"/><Relationship Type="http://schemas.openxmlformats.org/officeDocument/2006/relationships/hyperlink" Target="https://scholar.google.com/scholar?q=Winkler+Nahvi+%26+Breaker+2002+Nature+419%3A952+Weinberg+et+al.+2010+Genome+Biol+11%3AR31" TargetMode="External" Id="rId2517"/><Relationship Type="http://schemas.openxmlformats.org/officeDocument/2006/relationships/hyperlink" Target="https://www.youtube.com/watch?v=Z3e9fJ0fGs4" TargetMode="External" Id="rId2518"/><Relationship Type="http://schemas.openxmlformats.org/officeDocument/2006/relationships/hyperlink" Target="https://scholar.google.com/scholar?q=Townshend+et+al.+2021+Science+373%3A1047+ARES" TargetMode="External" Id="rId2519"/><Relationship Type="http://schemas.openxmlformats.org/officeDocument/2006/relationships/hyperlink" Target="https://www.youtube.com/watch?v=oVaABC2oTs0" TargetMode="External" Id="rId2520"/><Relationship Type="http://schemas.openxmlformats.org/officeDocument/2006/relationships/hyperlink" Target="https://scholar.google.com/scholar?q=Das+et+al.+2023+Proteins+CASP15" TargetMode="External" Id="rId2521"/><Relationship Type="http://schemas.openxmlformats.org/officeDocument/2006/relationships/hyperlink" Target="https://www.youtube.com/watch?v=6WTUflum_4A" TargetMode="External" Id="rId2522"/><Relationship Type="http://schemas.openxmlformats.org/officeDocument/2006/relationships/hyperlink" Target="https://scholar.google.com/scholar?q=Westhof+et+al.+2026+Proteins+CASP16" TargetMode="External" Id="rId2523"/><Relationship Type="http://schemas.openxmlformats.org/officeDocument/2006/relationships/hyperlink" Target="https://www.youtube.com/watch?v=PBEPpLkRlOw" TargetMode="External" Id="rId2524"/><Relationship Type="http://schemas.openxmlformats.org/officeDocument/2006/relationships/hyperlink" Target="https://scholar.google.com/scholar?q=Townshend+et+al.+2021+Science+373%3A1047+ARES+Das+et+al.+2023+Proteins+CASP15" TargetMode="External" Id="rId2525"/><Relationship Type="http://schemas.openxmlformats.org/officeDocument/2006/relationships/hyperlink" Target="https://www.youtube.com/watch?v=hfzSQaVBBIo" TargetMode="External" Id="rId2526"/><Relationship Type="http://schemas.openxmlformats.org/officeDocument/2006/relationships/hyperlink" Target="https://scholar.google.com/scholar?q=Das+et+al.+2023+Proteins+CASP15" TargetMode="External" Id="rId2527"/><Relationship Type="http://schemas.openxmlformats.org/officeDocument/2006/relationships/hyperlink" Target="https://www.youtube.com/watch?v=9hmyGS17sRk" TargetMode="External" Id="rId2528"/><Relationship Type="http://schemas.openxmlformats.org/officeDocument/2006/relationships/hyperlink" Target="https://scholar.google.com/scholar?q=Das+et+al.+2023+Proteins+CASP15" TargetMode="External" Id="rId2529"/><Relationship Type="http://schemas.openxmlformats.org/officeDocument/2006/relationships/hyperlink" Target="https://www.youtube.com/watch?v=ZsjA4iWZmiA" TargetMode="External" Id="rId2530"/><Relationship Type="http://schemas.openxmlformats.org/officeDocument/2006/relationships/hyperlink" Target="https://scholar.google.com/scholar?q=Townshend+et+al.+2021+Science+373%3A1047+ARES+Das+et+al.+2023+Proteins+CASP15" TargetMode="External" Id="rId2531"/><Relationship Type="http://schemas.openxmlformats.org/officeDocument/2006/relationships/hyperlink" Target="https://www.youtube.com/watch?v=LTp21NolEak" TargetMode="External" Id="rId2532"/><Relationship Type="http://schemas.openxmlformats.org/officeDocument/2006/relationships/hyperlink" Target="https://scholar.google.com/scholar?q=Townshend+et+al.+2021+Science+373%3A1047+ARES+Das+et+al.+2023+Proteins+CASP15" TargetMode="External" Id="rId2533"/><Relationship Type="http://schemas.openxmlformats.org/officeDocument/2006/relationships/hyperlink" Target="https://www.youtube.com/watch?v=8qWrEAyB1Ok" TargetMode="External" Id="rId2534"/><Relationship Type="http://schemas.openxmlformats.org/officeDocument/2006/relationships/hyperlink" Target="https://scholar.google.com/scholar?q=Baek+et+al.+2024+Nat+Methods+21%3A117+RoseTTAFoldNA" TargetMode="External" Id="rId2535"/><Relationship Type="http://schemas.openxmlformats.org/officeDocument/2006/relationships/hyperlink" Target="https://www.youtube.com/watch?v=NMfwfwVJbBQ" TargetMode="External" Id="rId2536"/><Relationship Type="http://schemas.openxmlformats.org/officeDocument/2006/relationships/hyperlink" Target="https://scholar.google.com/scholar?q=Compare+to+the+above" TargetMode="External" Id="rId2537"/><Relationship Type="http://schemas.openxmlformats.org/officeDocument/2006/relationships/hyperlink" Target="https://www.youtube.com/watch?v=0xN_fwjFtOI" TargetMode="External" Id="rId2538"/><Relationship Type="http://schemas.openxmlformats.org/officeDocument/2006/relationships/hyperlink" Target="https://scholar.google.com/scholar?q=Bernard+et+al.+2025+Acta+Cryst+D81+Has+AlphaFold3+achieved+success+for+RNA" TargetMode="External" Id="rId2539"/><Relationship Type="http://schemas.openxmlformats.org/officeDocument/2006/relationships/hyperlink" Target="https://www.youtube.com/watch?v=OZQeE4J4YA8" TargetMode="External" Id="rId2540"/><Relationship Type="http://schemas.openxmlformats.org/officeDocument/2006/relationships/hyperlink" Target="https://scholar.google.com/scholar?q=Townshend+et+al.+2021+Science+373%3A1047+ARES+Das+et+al.+2023+Proteins+CASP15" TargetMode="External" Id="rId2541"/><Relationship Type="http://schemas.openxmlformats.org/officeDocument/2006/relationships/hyperlink" Target="https://www.youtube.com/watch?v=NRCgrG-QWHI" TargetMode="External" Id="rId2542"/><Relationship Type="http://schemas.openxmlformats.org/officeDocument/2006/relationships/hyperlink" Target="https://scholar.google.com/scholar?q=Townshend+et+al.+2021+Science+373%3A1047+ARES+Das+et+al.+2023+Proteins+CASP15" TargetMode="External" Id="rId2543"/><Relationship Type="http://schemas.openxmlformats.org/officeDocument/2006/relationships/hyperlink" Target="https://www.youtube.com/watch?v=TXlFprgadxA" TargetMode="External" Id="rId2544"/><Relationship Type="http://schemas.openxmlformats.org/officeDocument/2006/relationships/hyperlink" Target="https://scholar.google.com/scholar?q=Townshend+et+al.+2021+Science+373%3A1047+ARES+Das+et+al.+2023+Proteins+CASP15" TargetMode="External" Id="rId2545"/><Relationship Type="http://schemas.openxmlformats.org/officeDocument/2006/relationships/hyperlink" Target="https://www.youtube.com/watch?v=jCUhNEvS4Sw" TargetMode="External" Id="rId2546"/><Relationship Type="http://schemas.openxmlformats.org/officeDocument/2006/relationships/hyperlink" Target="https://scholar.google.com/scholar?q=Townshend+et+al.+2021+Science+373%3A1047+ARES+Das+et+al.+2023+Proteins+CASP15" TargetMode="External" Id="rId2547"/><Relationship Type="http://schemas.openxmlformats.org/officeDocument/2006/relationships/hyperlink" Target="https://www.youtube.com/watch?v=0l22ixzYEDU" TargetMode="External" Id="rId2548"/><Relationship Type="http://schemas.openxmlformats.org/officeDocument/2006/relationships/hyperlink" Target="https://scholar.google.com/scholar?q=Townshend+et+al.+2021+Science+373%3A1047+ARES+Das+et+al.+2023+Proteins+CASP15" TargetMode="External" Id="rId2549"/><Relationship Type="http://schemas.openxmlformats.org/officeDocument/2006/relationships/hyperlink" Target="https://www.youtube.com/watch?v=-3Vp1MZ2isc" TargetMode="External" Id="rId2550"/><Relationship Type="http://schemas.openxmlformats.org/officeDocument/2006/relationships/hyperlink" Target="https://scholar.google.com/scholar?q=Townshend+et+al.+2021+Science+373%3A1047+ARES+Das+et+al.+2023+Proteins+CASP15" TargetMode="External" Id="rId2551"/><Relationship Type="http://schemas.openxmlformats.org/officeDocument/2006/relationships/hyperlink" Target="https://www.youtube.com/watch?v=aNrtHMQJqy0" TargetMode="External" Id="rId2552"/><Relationship Type="http://schemas.openxmlformats.org/officeDocument/2006/relationships/hyperlink" Target="https://scholar.google.com/scholar?q=Townshend+et+al.+2021+Science+373%3A1047+ARES+Das+et+al.+2023+Proteins+CASP15" TargetMode="External" Id="rId2553"/><Relationship Type="http://schemas.openxmlformats.org/officeDocument/2006/relationships/hyperlink" Target="https://www.youtube.com/watch?v=_MiGPjS-aIA" TargetMode="External" Id="rId2554"/><Relationship Type="http://schemas.openxmlformats.org/officeDocument/2006/relationships/hyperlink" Target="https://scholar.google.com/scholar?q=Joshi+et+al.+2025+ICLR+gRNAde" TargetMode="External" Id="rId2555"/><Relationship Type="http://schemas.openxmlformats.org/officeDocument/2006/relationships/hyperlink" Target="https://www.youtube.com/watch?v=giQplhQdVDE" TargetMode="External" Id="rId2556"/><Relationship Type="http://schemas.openxmlformats.org/officeDocument/2006/relationships/hyperlink" Target="https://scholar.google.com/scholar?q=Joshi+et+al.+2025+ICLR+gRNAde+Zhang+et+al.+2023+Nature+621%3A396+LinearDesign" TargetMode="External" Id="rId2557"/><Relationship Type="http://schemas.openxmlformats.org/officeDocument/2006/relationships/hyperlink" Target="https://www.youtube.com/watch?v=eEVME4dLT7A" TargetMode="External" Id="rId2558"/><Relationship Type="http://schemas.openxmlformats.org/officeDocument/2006/relationships/hyperlink" Target="https://scholar.google.com/scholar?q=Joshi+et+al.+2025+ICLR+gRNAde+Zhang+et+al.+2023+Nature+621%3A396+LinearDesign" TargetMode="External" Id="rId2559"/><Relationship Type="http://schemas.openxmlformats.org/officeDocument/2006/relationships/hyperlink" Target="https://www.youtube.com/watch?v=qjYcbRztPKI" TargetMode="External" Id="rId2560"/><Relationship Type="http://schemas.openxmlformats.org/officeDocument/2006/relationships/hyperlink" Target="https://scholar.google.com/scholar?q=Joshi+et+al.+2025+ICLR+gRNAde+Zhang+et+al.+2023+Nature+621%3A396+LinearDesign" TargetMode="External" Id="rId2561"/><Relationship Type="http://schemas.openxmlformats.org/officeDocument/2006/relationships/hyperlink" Target="https://www.youtube.com/watch?v=18ymep_7fsE" TargetMode="External" Id="rId2562"/><Relationship Type="http://schemas.openxmlformats.org/officeDocument/2006/relationships/hyperlink" Target="https://scholar.google.com/scholar?q=Zhang+et+al.+2023+Nature+621%3A396+LinearDesign" TargetMode="External" Id="rId2563"/><Relationship Type="http://schemas.openxmlformats.org/officeDocument/2006/relationships/hyperlink" Target="https://www.youtube.com/watch?v=nzrBUXfvwf4" TargetMode="External" Id="rId2564"/><Relationship Type="http://schemas.openxmlformats.org/officeDocument/2006/relationships/hyperlink" Target="https://scholar.google.com/scholar?q=Joshi+et+al.+2025+ICLR+gRNAde+Zhang+et+al.+2023+Nature+621%3A396+LinearDesign" TargetMode="External" Id="rId2565"/><Relationship Type="http://schemas.openxmlformats.org/officeDocument/2006/relationships/hyperlink" Target="https://www.youtube.com/watch?v=whVa8JMdAQI" TargetMode="External" Id="rId2566"/><Relationship Type="http://schemas.openxmlformats.org/officeDocument/2006/relationships/hyperlink" Target="https://scholar.google.com/scholar?q=Joshi+et+al.+2025+ICLR+gRNAde+Zhang+et+al.+2023+Nature+621%3A396+LinearDesign" TargetMode="External" Id="rId2567"/><Relationship Type="http://schemas.openxmlformats.org/officeDocument/2006/relationships/hyperlink" Target="https://www.youtube.com/watch?v=D5m7oCgZkGs" TargetMode="External" Id="rId2568"/><Relationship Type="http://schemas.openxmlformats.org/officeDocument/2006/relationships/hyperlink" Target="https://scholar.google.com/scholar?q=Joshi+et+al.+2025+ICLR+gRNAde+Zhang+et+al.+2023+Nature+621%3A396+LinearDesign" TargetMode="External" Id="rId2569"/><Relationship Type="http://schemas.openxmlformats.org/officeDocument/2006/relationships/hyperlink" Target="https://www.youtube.com/watch?v=Y6JoSBJ9Mn0" TargetMode="External" Id="rId2570"/><Relationship Type="http://schemas.openxmlformats.org/officeDocument/2006/relationships/hyperlink" Target="https://scholar.google.com/scholar?q=Joshi+et+al.+2025+ICLR+gRNAde+Zhang+et+al.+2023+Nature+621%3A396+LinearDesign" TargetMode="External" Id="rId2571"/><Relationship Type="http://schemas.openxmlformats.org/officeDocument/2006/relationships/hyperlink" Target="https://www.youtube.com/watch?v=ZQujMqXm2wQ" TargetMode="External" Id="rId2572"/><Relationship Type="http://schemas.openxmlformats.org/officeDocument/2006/relationships/hyperlink" Target="https://scholar.google.com/scholar?q=Tuerk+%26+Gold+1990+Science+249%3A505+and+Ellington+%26+Szostak+1990+Nature+346%3A818+SELEX" TargetMode="External" Id="rId2573"/><Relationship Type="http://schemas.openxmlformats.org/officeDocument/2006/relationships/hyperlink" Target="https://www.youtube.com/watch?v=4rLZsMjxn-I" TargetMode="External" Id="rId2574"/><Relationship Type="http://schemas.openxmlformats.org/officeDocument/2006/relationships/hyperlink" Target="https://scholar.google.com/scholar?q=Draper+2004+RNA+10%3A335+Lipfert+Doniach+Das+%26+Herschlag+2014+Annu+Rev+Biochem+83%3A813" TargetMode="External" Id="rId2575"/><Relationship Type="http://schemas.openxmlformats.org/officeDocument/2006/relationships/hyperlink" Target="https://www.youtube.com/watch?v=uaiaH-bjD10" TargetMode="External" Id="rId2576"/><Relationship Type="http://schemas.openxmlformats.org/officeDocument/2006/relationships/hyperlink" Target="https://scholar.google.com/scholar?q=Draper+2004+RNA+10%3A335+Lipfert+Doniach+Das+%26+Herschlag+2014+Annu+Rev+Biochem+83%3A813" TargetMode="External" Id="rId2577"/><Relationship Type="http://schemas.openxmlformats.org/officeDocument/2006/relationships/hyperlink" Target="https://www.youtube.com/watch?v=CRBcq4gkX1M" TargetMode="External" Id="rId2578"/><Relationship Type="http://schemas.openxmlformats.org/officeDocument/2006/relationships/hyperlink" Target="https://scholar.google.com/scholar?q=Draper+2004+RNA+10%3A335+Lipfert+Doniach+Das+%26+Herschlag+2014+Annu+Rev+Biochem+83%3A813" TargetMode="External" Id="rId2579"/><Relationship Type="http://schemas.openxmlformats.org/officeDocument/2006/relationships/hyperlink" Target="https://www.youtube.com/watch?v=0bXu42sex8c" TargetMode="External" Id="rId2580"/><Relationship Type="http://schemas.openxmlformats.org/officeDocument/2006/relationships/hyperlink" Target="https://scholar.google.com/scholar?q=Draper+2004+RNA+10%3A335+Lipfert+Doniach+Das+%26+Herschlag+2014+Annu+Rev+Biochem+83%3A813" TargetMode="External" Id="rId2581"/><Relationship Type="http://schemas.openxmlformats.org/officeDocument/2006/relationships/hyperlink" Target="https://www.youtube.com/watch?v=kCc8FmEb1nY" TargetMode="External" Id="rId2582"/><Relationship Type="http://schemas.openxmlformats.org/officeDocument/2006/relationships/hyperlink" Target="https://www.youtube.com/watch?v=l8pRSuU81PU" TargetMode="External" Id="rId2583"/><Relationship Type="http://schemas.openxmlformats.org/officeDocument/2006/relationships/hyperlink" Target="https://www.youtube.com/watch?v=ogdv_6dbvVQ" TargetMode="External" Id="rId2584"/><Relationship Type="http://schemas.openxmlformats.org/officeDocument/2006/relationships/hyperlink" Target="https://www.youtube.com/watch?v=uhcdw5rvqqE" TargetMode="External" Id="rId2585"/><Relationship Type="http://schemas.openxmlformats.org/officeDocument/2006/relationships/hyperlink" Target="https://www.youtube.com/watch?v=cS6JQpEY9cs" TargetMode="External" Id="rId2586"/><Relationship Type="http://schemas.openxmlformats.org/officeDocument/2006/relationships/hyperlink" Target="https://www.youtube.com/watch?v=1d4r19GEVos" TargetMode="External" Id="rId2587"/><Relationship Type="http://schemas.openxmlformats.org/officeDocument/2006/relationships/hyperlink" Target="https://www.youtube.com/watch?v=wMmqCMwuM2Q" TargetMode="External" Id="rId2588"/><Relationship Type="http://schemas.openxmlformats.org/officeDocument/2006/relationships/hyperlink" Target="https://www.youtube.com/watch?v=s647Nz0r4r0" TargetMode="External" Id="rId2589"/><Relationship Type="http://schemas.openxmlformats.org/officeDocument/2006/relationships/hyperlink" Target="https://www.youtube.com/watch?v=qFIT3mSwWEk" TargetMode="External" Id="rId2590"/><Relationship Type="http://schemas.openxmlformats.org/officeDocument/2006/relationships/hyperlink" Target="https://www.youtube.com/watch?v=bHSDPgZYie0" TargetMode="External" Id="rId2591"/><Relationship Type="http://schemas.openxmlformats.org/officeDocument/2006/relationships/hyperlink" Target="https://www.youtube.com/watch?v=WC9tqkCpq4s" TargetMode="External" Id="rId2592"/><Relationship Type="http://schemas.openxmlformats.org/officeDocument/2006/relationships/hyperlink" Target="https://www.youtube.com/watch?v=ksRp_DIHWj4" TargetMode="External" Id="rId2593"/><Relationship Type="http://schemas.openxmlformats.org/officeDocument/2006/relationships/hyperlink" Target="https://www.youtube.com/watch?v=OyimE74UMF8" TargetMode="External" Id="rId2594"/><Relationship Type="http://schemas.openxmlformats.org/officeDocument/2006/relationships/hyperlink" Target="https://www.youtube.com/watch?v=TCCjZe0y4Qc" TargetMode="External" Id="rId2595"/><Relationship Type="http://schemas.openxmlformats.org/officeDocument/2006/relationships/hyperlink" Target="https://www.youtube.com/watch?v=c4KKvyWW_Xk" TargetMode="External" Id="rId2596"/><Relationship Type="http://schemas.openxmlformats.org/officeDocument/2006/relationships/hyperlink" Target="https://www.youtube.com/watch?v=9MvD-XsowsE" TargetMode="External" Id="rId2597"/><Relationship Type="http://schemas.openxmlformats.org/officeDocument/2006/relationships/hyperlink" Target="https://www.youtube.com/watch?v=WdTeDXsOSj4" TargetMode="External" Id="rId2598"/><Relationship Type="http://schemas.openxmlformats.org/officeDocument/2006/relationships/hyperlink" Target="https://www.youtube.com/watch?v=XdORM2pkyH8" TargetMode="External" Id="rId2599"/><Relationship Type="http://schemas.openxmlformats.org/officeDocument/2006/relationships/hyperlink" Target="https://www.youtube.com/watch?v=KxFF03Ell9M" TargetMode="External" Id="rId2600"/><Relationship Type="http://schemas.openxmlformats.org/officeDocument/2006/relationships/hyperlink" Target="https://www.youtube.com/watch?v=ZjROgep6jv0" TargetMode="External" Id="rId2601"/><Relationship Type="http://schemas.openxmlformats.org/officeDocument/2006/relationships/hyperlink" Target="https://www.youtube.com/watch?v=kxO6ARgI_SU" TargetMode="External" Id="rId2602"/><Relationship Type="http://schemas.openxmlformats.org/officeDocument/2006/relationships/hyperlink" Target="https://www.youtube.com/watch?v=0XB7fNS_ONg" TargetMode="External" Id="rId2603"/><Relationship Type="http://schemas.openxmlformats.org/officeDocument/2006/relationships/hyperlink" Target="https://www.youtube.com/watch?v=X5Rhm__OxvA" TargetMode="External" Id="rId2604"/><Relationship Type="http://schemas.openxmlformats.org/officeDocument/2006/relationships/hyperlink" Target="https://www.youtube.com/watch?v=en1Ha3tw6d4" TargetMode="External" Id="rId2605"/><Relationship Type="http://schemas.openxmlformats.org/officeDocument/2006/relationships/hyperlink" Target="https://www.youtube.com/watch?v=JHsFUhGPff4" TargetMode="External" Id="rId2606"/><Relationship Type="http://schemas.openxmlformats.org/officeDocument/2006/relationships/hyperlink" Target="https://www.youtube.com/watch?v=YUDR5Oq04Vg" TargetMode="External" Id="rId2607"/><Relationship Type="http://schemas.openxmlformats.org/officeDocument/2006/relationships/hyperlink" Target="https://www.youtube.com/watch?v=BO4iossuTIs" TargetMode="External" Id="rId2608"/><Relationship Type="http://schemas.openxmlformats.org/officeDocument/2006/relationships/hyperlink" Target="https://www.youtube.com/watch?v=p6x9XDDe440" TargetMode="External" Id="rId2609"/><Relationship Type="http://schemas.openxmlformats.org/officeDocument/2006/relationships/hyperlink" Target="https://www.youtube.com/watch?v=kD3LqIFzzY8" TargetMode="External" Id="rId2610"/><Relationship Type="http://schemas.openxmlformats.org/officeDocument/2006/relationships/hyperlink" Target="https://www.youtube.com/watch?v=QzCjXqFnWPE" TargetMode="External" Id="rId2611"/><Relationship Type="http://schemas.openxmlformats.org/officeDocument/2006/relationships/hyperlink" Target="https://www.youtube.com/watch?v=wXuC7iDZI2M" TargetMode="External" Id="rId2612"/><Relationship Type="http://schemas.openxmlformats.org/officeDocument/2006/relationships/hyperlink" Target="https://www.youtube.com/watch?v=BP5CM0YxbP8" TargetMode="External" Id="rId2613"/><Relationship Type="http://schemas.openxmlformats.org/officeDocument/2006/relationships/hyperlink" Target="https://www.youtube.com/watch?v=Ngikt-K1Ecc" TargetMode="External" Id="rId2614"/><Relationship Type="http://schemas.openxmlformats.org/officeDocument/2006/relationships/hyperlink" Target="https://www.youtube.com/watch?v=fk-6JdRjLPw" TargetMode="External" Id="rId2615"/><Relationship Type="http://schemas.openxmlformats.org/officeDocument/2006/relationships/hyperlink" Target="https://www.youtube.com/watch?v=lZcCT2JTlb8" TargetMode="External" Id="rId2616"/><Relationship Type="http://schemas.openxmlformats.org/officeDocument/2006/relationships/hyperlink" Target="https://www.youtube.com/watch?v=ucoNlnV9R0Q" TargetMode="External" Id="rId2617"/><Relationship Type="http://schemas.openxmlformats.org/officeDocument/2006/relationships/hyperlink" Target="https://www.youtube.com/watch?v=IEiytaXnggI" TargetMode="External" Id="rId2618"/><Relationship Type="http://schemas.openxmlformats.org/officeDocument/2006/relationships/hyperlink" Target="https://www.youtube.com/watch?v=-6jb1v1v0vc" TargetMode="External" Id="rId2619"/><Relationship Type="http://schemas.openxmlformats.org/officeDocument/2006/relationships/hyperlink" Target="https://www.youtube.com/watch?v=wySLC4nszv8" TargetMode="External" Id="rId2620"/><Relationship Type="http://schemas.openxmlformats.org/officeDocument/2006/relationships/hyperlink" Target="https://www.youtube.com/watch?v=4VVGtYPM8JE" TargetMode="External" Id="rId2621"/><Relationship Type="http://schemas.openxmlformats.org/officeDocument/2006/relationships/hyperlink" Target="https://www.youtube.com/watch?v=icqUfBzklkc" TargetMode="External" Id="rId2622"/><Relationship Type="http://schemas.openxmlformats.org/officeDocument/2006/relationships/hyperlink" Target="https://www.youtube.com/watch?v=LHhu11kOA-Y" TargetMode="External" Id="rId2623"/><Relationship Type="http://schemas.openxmlformats.org/officeDocument/2006/relationships/hyperlink" Target="https://www.youtube.com/watch?v=Ox_L-c2oIpY" TargetMode="External" Id="rId2624"/><Relationship Type="http://schemas.openxmlformats.org/officeDocument/2006/relationships/hyperlink" Target="https://www.youtube.com/watch?v=zffVe7TTx2I" TargetMode="External" Id="rId2625"/><Relationship Type="http://schemas.openxmlformats.org/officeDocument/2006/relationships/hyperlink" Target="https://www.youtube.com/watch?v=7QmsTleiRLs" TargetMode="External" Id="rId2626"/><Relationship Type="http://schemas.openxmlformats.org/officeDocument/2006/relationships/hyperlink" Target="https://www.youtube.com/watch?v=rKF9WSNQ_BA" TargetMode="External" Id="rId2627"/><Relationship Type="http://schemas.openxmlformats.org/officeDocument/2006/relationships/hyperlink" Target="https://www.youtube.com/watch?v=Y3XsNNlhrik" TargetMode="External" Id="rId2628"/><Relationship Type="http://schemas.openxmlformats.org/officeDocument/2006/relationships/hyperlink" Target="https://www.youtube.com/watch?v=weokLYcY6xk" TargetMode="External" Id="rId2629"/><Relationship Type="http://schemas.openxmlformats.org/officeDocument/2006/relationships/hyperlink" Target="https://www.youtube.com/watch?v=D_jt-xO_RmI" TargetMode="External" Id="rId2630"/><Relationship Type="http://schemas.openxmlformats.org/officeDocument/2006/relationships/hyperlink" Target="https://www.youtube.com/watch?v=gbziPIn9uDI" TargetMode="External" Id="rId2631"/><Relationship Type="http://schemas.openxmlformats.org/officeDocument/2006/relationships/hyperlink" Target="https://www.youtube.com/watch?v=YpETv9AzW48" TargetMode="External" Id="rId2632"/><Relationship Type="http://schemas.openxmlformats.org/officeDocument/2006/relationships/hyperlink" Target="https://www.youtube.com/watch?v=TIXAgtoUcN8" TargetMode="External" Id="rId2633"/><Relationship Type="http://schemas.openxmlformats.org/officeDocument/2006/relationships/hyperlink" Target="https://www.youtube.com/watch?v=BotznJtzMn0" TargetMode="External" Id="rId2634"/><Relationship Type="http://schemas.openxmlformats.org/officeDocument/2006/relationships/hyperlink" Target="https://www.youtube.com/watch?v=yUmDRxV0krg" TargetMode="External" Id="rId2635"/><Relationship Type="http://schemas.openxmlformats.org/officeDocument/2006/relationships/hyperlink" Target="https://www.youtube.com/watch?v=72Xj8k5WQX4" TargetMode="External" Id="rId2636"/><Relationship Type="http://schemas.openxmlformats.org/officeDocument/2006/relationships/hyperlink" Target="https://www.youtube.com/watch?v=3X3EY2Fgp3g" TargetMode="External" Id="rId2637"/><Relationship Type="http://schemas.openxmlformats.org/officeDocument/2006/relationships/hyperlink" Target="https://www.youtube.com/watch?v=X-S3YV2TmuY" TargetMode="External" Id="rId2638"/><Relationship Type="http://schemas.openxmlformats.org/officeDocument/2006/relationships/hyperlink" Target="https://www.youtube.com/watch?v=kejLJ0kbIGM" TargetMode="External" Id="rId2639"/><Relationship Type="http://schemas.openxmlformats.org/officeDocument/2006/relationships/hyperlink" Target="https://www.youtube.com/watch?v=Nk9YnMHB6hU" TargetMode="External" Id="rId2640"/><Relationship Type="http://schemas.openxmlformats.org/officeDocument/2006/relationships/hyperlink" Target="https://www.youtube.com/watch?v=5bMkjdeMapM" TargetMode="External" Id="rId2641"/><Relationship Type="http://schemas.openxmlformats.org/officeDocument/2006/relationships/hyperlink" Target="https://www.youtube.com/watch?v=H82s6BrJduM" TargetMode="External" Id="rId2642"/><Relationship Type="http://schemas.openxmlformats.org/officeDocument/2006/relationships/hyperlink" Target="https://www.youtube.com/watch?v=zTr5vDjEy2I" TargetMode="External" Id="rId2643"/><Relationship Type="http://schemas.openxmlformats.org/officeDocument/2006/relationships/hyperlink" Target="https://www.youtube.com/watch?v=S0CpenMvG48" TargetMode="External" Id="rId2644"/><Relationship Type="http://schemas.openxmlformats.org/officeDocument/2006/relationships/hyperlink" Target="https://www.youtube.com/watch?v=OznJmSQerBE" TargetMode="External" Id="rId2645"/><Relationship Type="http://schemas.openxmlformats.org/officeDocument/2006/relationships/hyperlink" Target="https://www.youtube.com/watch?v=bDVbs-fZGUg" TargetMode="External" Id="rId2646"/><Relationship Type="http://schemas.openxmlformats.org/officeDocument/2006/relationships/hyperlink" Target="https://www.youtube.com/watch?v=hE135guhTQo" TargetMode="External" Id="rId2647"/><Relationship Type="http://schemas.openxmlformats.org/officeDocument/2006/relationships/hyperlink" Target="https://www.youtube.com/watch?v=ZknT4EuhhGw" TargetMode="External" Id="rId2648"/><Relationship Type="http://schemas.openxmlformats.org/officeDocument/2006/relationships/hyperlink" Target="https://www.youtube.com/watch?v=NDdc39KYqDU" TargetMode="External" Id="rId2649"/><Relationship Type="http://schemas.openxmlformats.org/officeDocument/2006/relationships/hyperlink" Target="https://www.youtube.com/watch?v=o5ONDdbReAA" TargetMode="External" Id="rId2650"/><Relationship Type="http://schemas.openxmlformats.org/officeDocument/2006/relationships/hyperlink" Target="https://www.youtube.com/watch?v=-0s0v3q7mBk" TargetMode="External" Id="rId2651"/><Relationship Type="http://schemas.openxmlformats.org/officeDocument/2006/relationships/hyperlink" Target="https://www.youtube.com/watch?v=utxbUlo9CyY" TargetMode="External" Id="rId2652"/><Relationship Type="http://schemas.openxmlformats.org/officeDocument/2006/relationships/hyperlink" Target="https://www.youtube.com/watch?v=7WcRfHXY_lw" TargetMode="External" Id="rId2653"/><Relationship Type="http://schemas.openxmlformats.org/officeDocument/2006/relationships/hyperlink" Target="https://www.youtube.com/watch?v=vBfUFI4Jskg" TargetMode="External" Id="rId2654"/><Relationship Type="http://schemas.openxmlformats.org/officeDocument/2006/relationships/hyperlink" Target="https://www.youtube.com/watch?v=_6bWNNA7h8Q" TargetMode="External" Id="rId2655"/><Relationship Type="http://schemas.openxmlformats.org/officeDocument/2006/relationships/hyperlink" Target="https://www.youtube.com/watch?v=LAesxhjebDA" TargetMode="External" Id="rId2656"/><Relationship Type="http://schemas.openxmlformats.org/officeDocument/2006/relationships/hyperlink" Target="https://www.youtube.com/watch?v=5A02sTC5-0M" TargetMode="External" Id="rId2657"/><Relationship Type="http://schemas.openxmlformats.org/officeDocument/2006/relationships/hyperlink" Target="https://www.youtube.com/watch?v=sVo7SC62voA" TargetMode="External" Id="rId2658"/><Relationship Type="http://schemas.openxmlformats.org/officeDocument/2006/relationships/hyperlink" Target="https://www.youtube.com/watch?v=HGYYEUSm-0Q" TargetMode="External" Id="rId2659"/><Relationship Type="http://schemas.openxmlformats.org/officeDocument/2006/relationships/hyperlink" Target="https://www.youtube.com/watch?v=Zd9kYgUjgSU" TargetMode="External" Id="rId2660"/><Relationship Type="http://schemas.openxmlformats.org/officeDocument/2006/relationships/hyperlink" Target="https://www.youtube.com/watch?v=sucqskXRkss" TargetMode="External" Id="rId2661"/><Relationship Type="http://schemas.openxmlformats.org/officeDocument/2006/relationships/hyperlink" Target="https://www.youtube.com/watch?v=hOx9NBwDkHY" TargetMode="External" Id="rId2662"/><Relationship Type="http://schemas.openxmlformats.org/officeDocument/2006/relationships/hyperlink" Target="https://www.youtube.com/watch?v=MU00DgkI97g" TargetMode="External" Id="rId2663"/><Relationship Type="http://schemas.openxmlformats.org/officeDocument/2006/relationships/hyperlink" Target="https://www.youtube.com/watch?v=T0Qxzf0eaio" TargetMode="External" Id="rId2664"/><Relationship Type="http://schemas.openxmlformats.org/officeDocument/2006/relationships/hyperlink" Target="https://www.youtube.com/watch?v=7W4aZObNucI" TargetMode="External" Id="rId2665"/><Relationship Type="http://schemas.openxmlformats.org/officeDocument/2006/relationships/hyperlink" Target="https://www.youtube.com/watch?v=fy153-yXSQk" TargetMode="External" Id="rId2666"/><Relationship Type="http://schemas.openxmlformats.org/officeDocument/2006/relationships/hyperlink" Target="https://www.youtube.com/watch?v=GgW98il4Lbo" TargetMode="External" Id="rId2667"/><Relationship Type="http://schemas.openxmlformats.org/officeDocument/2006/relationships/hyperlink" Target="https://www.youtube.com/watch?v=nrKKLJXBSw0" TargetMode="External" Id="rId2668"/><Relationship Type="http://schemas.openxmlformats.org/officeDocument/2006/relationships/hyperlink" Target="https://www.youtube.com/watch?v=hnu-mRLebhc" TargetMode="External" Id="rId2669"/><Relationship Type="http://schemas.openxmlformats.org/officeDocument/2006/relationships/hyperlink" Target="https://www.youtube.com/watch?v=vXtapCFctTI" TargetMode="External" Id="rId2670"/><Relationship Type="http://schemas.openxmlformats.org/officeDocument/2006/relationships/hyperlink" Target="https://www.youtube.com/watch?v=nv-WTeKRLl0" TargetMode="External" Id="rId2671"/><Relationship Type="http://schemas.openxmlformats.org/officeDocument/2006/relationships/hyperlink" Target="https://www.youtube.com/watch?v=GCoP2w-Cqtg" TargetMode="External" Id="rId2672"/><Relationship Type="http://schemas.openxmlformats.org/officeDocument/2006/relationships/hyperlink" Target="https://www.youtube.com/watch?v=9eJQQVrUUoI" TargetMode="External" Id="rId2673"/><Relationship Type="http://schemas.openxmlformats.org/officeDocument/2006/relationships/hyperlink" Target="https://www.youtube.com/watch?v=4VwXBrMoC0E" TargetMode="External" Id="rId2674"/><Relationship Type="http://schemas.openxmlformats.org/officeDocument/2006/relationships/hyperlink" Target="https://www.youtube.com/watch?v=toat_cXdoac" TargetMode="External" Id="rId2675"/><Relationship Type="http://schemas.openxmlformats.org/officeDocument/2006/relationships/hyperlink" Target="https://www.youtube.com/watch?v=pQ-JE66Wv9M" TargetMode="External" Id="rId2676"/><Relationship Type="http://schemas.openxmlformats.org/officeDocument/2006/relationships/hyperlink" Target="https://www.youtube.com/watch?v=YuRAeQsTSo8" TargetMode="External" Id="rId2677"/><Relationship Type="http://schemas.openxmlformats.org/officeDocument/2006/relationships/hyperlink" Target="https://www.youtube.com/watch?v=wuNvKl4-NtI" TargetMode="External" Id="rId2678"/><Relationship Type="http://schemas.openxmlformats.org/officeDocument/2006/relationships/hyperlink" Target="https://www.youtube.com/watch?v=dLcsreHRF1s" TargetMode="External" Id="rId2679"/><Relationship Type="http://schemas.openxmlformats.org/officeDocument/2006/relationships/hyperlink" Target="https://www.youtube.com/watch?v=w9oTtvbyLP8" TargetMode="External" Id="rId2680"/><Relationship Type="http://schemas.openxmlformats.org/officeDocument/2006/relationships/hyperlink" Target="https://www.youtube.com/watch?v=_XwsGkryVpk" TargetMode="External" Id="rId2681"/><Relationship Type="http://schemas.openxmlformats.org/officeDocument/2006/relationships/hyperlink" Target="https://www.youtube.com/watch?v=8RQWNgfGNaI" TargetMode="External" Id="rId2682"/><Relationship Type="http://schemas.openxmlformats.org/officeDocument/2006/relationships/hyperlink" Target="https://www.youtube.com/watch?v=RDkwklFGMfo" TargetMode="External" Id="rId2683"/><Relationship Type="http://schemas.openxmlformats.org/officeDocument/2006/relationships/hyperlink" Target="https://www.youtube.com/watch?v=6VbbYXpBIqA" TargetMode="External" Id="rId2684"/><Relationship Type="http://schemas.openxmlformats.org/officeDocument/2006/relationships/hyperlink" Target="https://www.youtube.com/watch?v=nrIHi1-a85s" TargetMode="External" Id="rId2685"/><Relationship Type="http://schemas.openxmlformats.org/officeDocument/2006/relationships/hyperlink" Target="https://www.youtube.com/watch?v=PmXqdfBQxfQ" TargetMode="External" Id="rId2686"/><Relationship Type="http://schemas.openxmlformats.org/officeDocument/2006/relationships/hyperlink" Target="https://www.youtube.com/watch?v=gTFSIg5ZFL4" TargetMode="External" Id="rId2687"/><Relationship Type="http://schemas.openxmlformats.org/officeDocument/2006/relationships/hyperlink" Target="https://www.youtube.com/watch?v=JuH79E8rdKc" TargetMode="External" Id="rId2688"/><Relationship Type="http://schemas.openxmlformats.org/officeDocument/2006/relationships/hyperlink" Target="https://www.youtube.com/watch?v=dx7qJRkC1y4" TargetMode="External" Id="rId2689"/><Relationship Type="http://schemas.openxmlformats.org/officeDocument/2006/relationships/hyperlink" Target="https://www.youtube.com/watch?v=Z96YMktT_T4" TargetMode="External" Id="rId2690"/><Relationship Type="http://schemas.openxmlformats.org/officeDocument/2006/relationships/hyperlink" Target="https://www.youtube.com/watch?v=HfJpQCBTqZs" TargetMode="External" Id="rId2691"/><Relationship Type="http://schemas.openxmlformats.org/officeDocument/2006/relationships/hyperlink" Target="https://www.youtube.com/watch?v=nRyOzHpcr4Q" TargetMode="External" Id="rId2692"/><Relationship Type="http://schemas.openxmlformats.org/officeDocument/2006/relationships/hyperlink" Target="https://www.youtube.com/watch?v=Sk3wU-VMoCI" TargetMode="External" Id="rId2693"/><Relationship Type="http://schemas.openxmlformats.org/officeDocument/2006/relationships/hyperlink" Target="https://www.youtube.com/watch?v=hFlF33JZbA0" TargetMode="External" Id="rId2694"/><Relationship Type="http://schemas.openxmlformats.org/officeDocument/2006/relationships/hyperlink" Target="https://www.youtube.com/watch?v=dPWLybp4LL0" TargetMode="External" Id="rId2695"/><Relationship Type="http://schemas.openxmlformats.org/officeDocument/2006/relationships/hyperlink" Target="https://www.youtube.com/watch?v=isKbsNKArJU" TargetMode="External" Id="rId2696"/><Relationship Type="http://schemas.openxmlformats.org/officeDocument/2006/relationships/hyperlink" Target="https://www.youtube.com/watch?v=OXtZOHLooEo" TargetMode="External" Id="rId2697"/><Relationship Type="http://schemas.openxmlformats.org/officeDocument/2006/relationships/hyperlink" Target="https://www.youtube.com/watch?v=cT1mQ_ityfE" TargetMode="External" Id="rId2698"/><Relationship Type="http://schemas.openxmlformats.org/officeDocument/2006/relationships/hyperlink" Target="https://www.youtube.com/watch?v=DjOqkVIlEGY" TargetMode="External" Id="rId2699"/><Relationship Type="http://schemas.openxmlformats.org/officeDocument/2006/relationships/hyperlink" Target="https://www.youtube.com/watch?v=__F9CCqbWQk" TargetMode="External" Id="rId2700"/><Relationship Type="http://schemas.openxmlformats.org/officeDocument/2006/relationships/hyperlink" Target="https://www.youtube.com/watch?v=Or9J-DCDGko" TargetMode="External" Id="rId2701"/><Relationship Type="http://schemas.openxmlformats.org/officeDocument/2006/relationships/hyperlink" Target="https://www.youtube.com/watch?v=Q2fLWGBeaiI" TargetMode="External" Id="rId2702"/><Relationship Type="http://schemas.openxmlformats.org/officeDocument/2006/relationships/hyperlink" Target="https://www.youtube.com/watch?v=Cge-hot0Oc0" TargetMode="External" Id="rId2703"/><Relationship Type="http://schemas.openxmlformats.org/officeDocument/2006/relationships/hyperlink" Target="https://www.youtube.com/watch?v=jaVIlNKSYvI" TargetMode="External" Id="rId2704"/><Relationship Type="http://schemas.openxmlformats.org/officeDocument/2006/relationships/hyperlink" Target="https://www.youtube.com/watch?v=OJzj7uCCYaM" TargetMode="External" Id="rId2705"/><Relationship Type="http://schemas.openxmlformats.org/officeDocument/2006/relationships/hyperlink" Target="https://www.youtube.com/watch?v=iTRBU80QuBc" TargetMode="External" Id="rId2706"/><Relationship Type="http://schemas.openxmlformats.org/officeDocument/2006/relationships/hyperlink" Target="https://www.youtube.com/watch?v=ul6pXRGKmco" TargetMode="External" Id="rId2707"/><Relationship Type="http://schemas.openxmlformats.org/officeDocument/2006/relationships/hyperlink" Target="https://www.youtube.com/watch?v=Tou8or1ed6E" TargetMode="External" Id="rId2708"/><Relationship Type="http://schemas.openxmlformats.org/officeDocument/2006/relationships/hyperlink" Target="https://www.youtube.com/watch?v=JlyGNvbGKB8" TargetMode="External" Id="rId2709"/><Relationship Type="http://schemas.openxmlformats.org/officeDocument/2006/relationships/hyperlink" Target="https://www.youtube.com/watch?v=iiTylrIzydg" TargetMode="External" Id="rId2710"/><Relationship Type="http://schemas.openxmlformats.org/officeDocument/2006/relationships/hyperlink" Target="https://www.youtube.com/watch?v=rKv2SE4tP60" TargetMode="External" Id="rId2711"/><Relationship Type="http://schemas.openxmlformats.org/officeDocument/2006/relationships/hyperlink" Target="https://www.youtube.com/watch?v=1wheKcIbTk4" TargetMode="External" Id="rId2712"/><Relationship Type="http://schemas.openxmlformats.org/officeDocument/2006/relationships/hyperlink" Target="https://www.youtube.com/watch?v=hJvgQreDjAA" TargetMode="External" Id="rId2713"/><Relationship Type="http://schemas.openxmlformats.org/officeDocument/2006/relationships/hyperlink" Target="https://www.youtube.com/watch?v=dV6sgUiGv-U" TargetMode="External" Id="rId2714"/><Relationship Type="http://schemas.openxmlformats.org/officeDocument/2006/relationships/hyperlink" Target="https://www.youtube.com/watch?v=a13aqr07tJ4" TargetMode="External" Id="rId2715"/><Relationship Type="http://schemas.openxmlformats.org/officeDocument/2006/relationships/hyperlink" Target="https://www.youtube.com/watch?v=F5yb5pSfb3E" TargetMode="External" Id="rId2716"/><Relationship Type="http://schemas.openxmlformats.org/officeDocument/2006/relationships/hyperlink" Target="https://www.youtube.com/watch?v=M1VHu1d4sGQ" TargetMode="External" Id="rId2717"/><Relationship Type="http://schemas.openxmlformats.org/officeDocument/2006/relationships/hyperlink" Target="https://www.youtube.com/watch?v=0zCMiOQ8C1U" TargetMode="External" Id="rId2718"/><Relationship Type="http://schemas.openxmlformats.org/officeDocument/2006/relationships/hyperlink" Target="https://www.youtube.com/watch?v=QaF2kkez5XU" TargetMode="External" Id="rId2719"/><Relationship Type="http://schemas.openxmlformats.org/officeDocument/2006/relationships/hyperlink" Target="https://www.youtube.com/watch?v=HvDU7Vk4pbc" TargetMode="External" Id="rId2720"/><Relationship Type="http://schemas.openxmlformats.org/officeDocument/2006/relationships/hyperlink" Target="https://www.youtube.com/watch?v=ry8itipzBFE" TargetMode="External" Id="rId2721"/><Relationship Type="http://schemas.openxmlformats.org/officeDocument/2006/relationships/hyperlink" Target="https://www.youtube.com/watch?v=wmhDEBqmPCg" TargetMode="External" Id="rId2722"/><Relationship Type="http://schemas.openxmlformats.org/officeDocument/2006/relationships/hyperlink" Target="https://www.youtube.com/watch?v=Ytkkl917paM" TargetMode="External" Id="rId2723"/><Relationship Type="http://schemas.openxmlformats.org/officeDocument/2006/relationships/hyperlink" Target="https://www.youtube.com/watch?v=C1L61UYAfQA" TargetMode="External" Id="rId2724"/><Relationship Type="http://schemas.openxmlformats.org/officeDocument/2006/relationships/hyperlink" Target="https://www.youtube.com/watch?v=hvH_UUNxFCI" TargetMode="External" Id="rId2725"/><Relationship Type="http://schemas.openxmlformats.org/officeDocument/2006/relationships/hyperlink" Target="https://www.youtube.com/watch?v=V7AyriUcXZQ" TargetMode="External" Id="rId2726"/><Relationship Type="http://schemas.openxmlformats.org/officeDocument/2006/relationships/hyperlink" Target="https://www.youtube.com/watch?v=jEeL5Gf4vkk" TargetMode="External" Id="rId2727"/><Relationship Type="http://schemas.openxmlformats.org/officeDocument/2006/relationships/hyperlink" Target="https://www.youtube.com/watch?v=3fwVlCnB4q4" TargetMode="External" Id="rId2728"/><Relationship Type="http://schemas.openxmlformats.org/officeDocument/2006/relationships/hyperlink" Target="https://www.youtube.com/watch?v=2fq9wYslV0A" TargetMode="External" Id="rId2729"/><Relationship Type="http://schemas.openxmlformats.org/officeDocument/2006/relationships/hyperlink" Target="https://www.youtube.com/watch?v=pdqofxJeBN8" TargetMode="External" Id="rId2730"/><Relationship Type="http://schemas.openxmlformats.org/officeDocument/2006/relationships/hyperlink" Target="https://www.youtube.com/watch?v=dyNGd06MWn4" TargetMode="External" Id="rId2731"/><Relationship Type="http://schemas.openxmlformats.org/officeDocument/2006/relationships/hyperlink" Target="https://www.youtube.com/watch?v=25zD5qJHYsk" TargetMode="External" Id="rId2732"/><Relationship Type="http://schemas.openxmlformats.org/officeDocument/2006/relationships/hyperlink" Target="https://www.youtube.com/watch?v=f3g1zGdxptI" TargetMode="External" Id="rId2733"/><Relationship Type="http://schemas.openxmlformats.org/officeDocument/2006/relationships/hyperlink" Target="https://www.youtube.com/watch?v=aVJy4O5TOk8" TargetMode="External" Id="rId2734"/><Relationship Type="http://schemas.openxmlformats.org/officeDocument/2006/relationships/hyperlink" Target="https://www.youtube.com/watch?v=kG2lAPBF7zA" TargetMode="External" Id="rId2735"/><Relationship Type="http://schemas.openxmlformats.org/officeDocument/2006/relationships/hyperlink" Target="https://www.youtube.com/watch?v=RQowiOF_FvQ" TargetMode="External" Id="rId2736"/><Relationship Type="http://schemas.openxmlformats.org/officeDocument/2006/relationships/hyperlink" Target="https://www.youtube.com/watch?v=PTypu6GqEd4" TargetMode="External" Id="rId2737"/><Relationship Type="http://schemas.openxmlformats.org/officeDocument/2006/relationships/hyperlink" Target="https://www.youtube.com/watch?v=wElqklprhPE" TargetMode="External" Id="rId2738"/><Relationship Type="http://schemas.openxmlformats.org/officeDocument/2006/relationships/hyperlink" Target="https://www.youtube.com/watch?v=4howBU7THbM" TargetMode="External" Id="rId2739"/><Relationship Type="http://schemas.openxmlformats.org/officeDocument/2006/relationships/hyperlink" Target="https://www.youtube.com/watch?v=zbHXQRUNlH0" TargetMode="External" Id="rId2740"/><Relationship Type="http://schemas.openxmlformats.org/officeDocument/2006/relationships/hyperlink" Target="https://www.youtube.com/watch?v=Edr4uZFh4EE" TargetMode="External" Id="rId2741"/><Relationship Type="http://schemas.openxmlformats.org/officeDocument/2006/relationships/hyperlink" Target="https://www.youtube.com/watch?v=7lxrKDKtykM" TargetMode="External" Id="rId2742"/><Relationship Type="http://schemas.openxmlformats.org/officeDocument/2006/relationships/hyperlink" Target="https://www.youtube.com/watch?v=mQOK0Mfyrkk" TargetMode="External" Id="rId2743"/><Relationship Type="http://schemas.openxmlformats.org/officeDocument/2006/relationships/hyperlink" Target="https://www.youtube.com/watch?v=XSfmOH_xVSU" TargetMode="External" Id="rId2744"/><Relationship Type="http://schemas.openxmlformats.org/officeDocument/2006/relationships/hyperlink" Target="https://www.youtube.com/watch?v=g8UaBfj6Sh8" TargetMode="External" Id="rId2745"/><Relationship Type="http://schemas.openxmlformats.org/officeDocument/2006/relationships/hyperlink" Target="https://www.youtube.com/watch?v=dJYGatp4SvA" TargetMode="External" Id="rId2746"/><Relationship Type="http://schemas.openxmlformats.org/officeDocument/2006/relationships/hyperlink" Target="https://www.youtube.com/watch?v=0nqvO3AM2Vw" TargetMode="External" Id="rId2747"/><Relationship Type="http://schemas.openxmlformats.org/officeDocument/2006/relationships/hyperlink" Target="https://www.youtube.com/watch?v=qcSEP17uKKY" TargetMode="External" Id="rId2748"/><Relationship Type="http://schemas.openxmlformats.org/officeDocument/2006/relationships/hyperlink" Target="https://www.youtube.com/watch?v=YnQJTfbwBM8" TargetMode="External" Id="rId2749"/><Relationship Type="http://schemas.openxmlformats.org/officeDocument/2006/relationships/hyperlink" Target="https://www.youtube.com/watch?v=g6InpdhUblE" TargetMode="External" Id="rId2750"/><Relationship Type="http://schemas.openxmlformats.org/officeDocument/2006/relationships/hyperlink" Target="https://www.youtube.com/watch?v=dB-u77Y5a6A" TargetMode="External" Id="rId2751"/><Relationship Type="http://schemas.openxmlformats.org/officeDocument/2006/relationships/hyperlink" Target="https://www.youtube.com/watch?v=ANyxBVxmdZ0" TargetMode="External" Id="rId2752"/><Relationship Type="http://schemas.openxmlformats.org/officeDocument/2006/relationships/hyperlink" Target="https://www.youtube.com/watch?v=XaZIlVrIO-Q" TargetMode="External" Id="rId2753"/><Relationship Type="http://schemas.openxmlformats.org/officeDocument/2006/relationships/hyperlink" Target="https://www.youtube.com/watch?v=oXPX8GIOiU4" TargetMode="External" Id="rId2754"/><Relationship Type="http://schemas.openxmlformats.org/officeDocument/2006/relationships/hyperlink" Target="https://www.youtube.com/watch?v=lGbQlr1Ts7w" TargetMode="External" Id="rId2755"/><Relationship Type="http://schemas.openxmlformats.org/officeDocument/2006/relationships/hyperlink" Target="https://www.youtube.com/watch?v=WUazOtlti0g" TargetMode="External" Id="rId2756"/><Relationship Type="http://schemas.openxmlformats.org/officeDocument/2006/relationships/hyperlink" Target="https://www.youtube.com/watch?v=dUzLD91Sj-o" TargetMode="External" Id="rId2757"/><Relationship Type="http://schemas.openxmlformats.org/officeDocument/2006/relationships/hyperlink" Target="https://www.youtube.com/watch?v=YAgjfMR9R_M" TargetMode="External" Id="rId2758"/><Relationship Type="http://schemas.openxmlformats.org/officeDocument/2006/relationships/hyperlink" Target="https://www.youtube.com/watch?v=G1hGwHVykDU" TargetMode="External" Id="rId2759"/><Relationship Type="http://schemas.openxmlformats.org/officeDocument/2006/relationships/hyperlink" Target="https://www.youtube.com/watch?v=TB-fdISzpHQ" TargetMode="External" Id="rId2760"/><Relationship Type="http://schemas.openxmlformats.org/officeDocument/2006/relationships/hyperlink" Target="https://www.youtube.com/watch?v=9AyMR4IhSWQ" TargetMode="External" Id="rId2761"/><Relationship Type="http://schemas.openxmlformats.org/officeDocument/2006/relationships/hyperlink" Target="https://www.youtube.com/watch?v=S1_nCdLUQQ8" TargetMode="External" Id="rId2762"/><Relationship Type="http://schemas.openxmlformats.org/officeDocument/2006/relationships/hyperlink" Target="https://www.youtube.com/watch?v=A9D6NXBJdwU" TargetMode="External" Id="rId2763"/><Relationship Type="http://schemas.openxmlformats.org/officeDocument/2006/relationships/hyperlink" Target="https://www.youtube.com/watch?v=Q3HU2vEhD5Y" TargetMode="External" Id="rId2764"/><Relationship Type="http://schemas.openxmlformats.org/officeDocument/2006/relationships/hyperlink" Target="https://www.youtube.com/watch?v=igP03FXZqgo" TargetMode="External" Id="rId2765"/><Relationship Type="http://schemas.openxmlformats.org/officeDocument/2006/relationships/hyperlink" Target="https://www.youtube.com/watch?v=Qex3XzcFKP4" TargetMode="External" Id="rId2766"/><Relationship Type="http://schemas.openxmlformats.org/officeDocument/2006/relationships/hyperlink" Target="https://www.youtube.com/watch?v=s3Ky_Ls4YSY" TargetMode="External" Id="rId2767"/><Relationship Type="http://schemas.openxmlformats.org/officeDocument/2006/relationships/hyperlink" Target="https://www.youtube.com/watch?v=tY2gczObpfU" TargetMode="External" Id="rId2768"/><Relationship Type="http://schemas.openxmlformats.org/officeDocument/2006/relationships/hyperlink" Target="https://www.youtube.com/watch?v=EvQ3ncuriCM" TargetMode="External" Id="rId2769"/><Relationship Type="http://schemas.openxmlformats.org/officeDocument/2006/relationships/hyperlink" Target="https://arxiv.org/abs/2111.00396" TargetMode="External" Id="rId2770"/><Relationship Type="http://schemas.openxmlformats.org/officeDocument/2006/relationships/hyperlink" Target="https://www.youtube.com/watch?v=OpJMn8T7Z34" TargetMode="External" Id="rId2771"/><Relationship Type="http://schemas.openxmlformats.org/officeDocument/2006/relationships/hyperlink" Target="https://arxiv.org/abs/2111.00396" TargetMode="External" Id="rId2772"/><Relationship Type="http://schemas.openxmlformats.org/officeDocument/2006/relationships/hyperlink" Target="https://www.youtube.com/watch?v=Fo4mOOXYyIQ" TargetMode="External" Id="rId2773"/><Relationship Type="http://schemas.openxmlformats.org/officeDocument/2006/relationships/hyperlink" Target="https://arxiv.org/abs/2111.00396" TargetMode="External" Id="rId2774"/><Relationship Type="http://schemas.openxmlformats.org/officeDocument/2006/relationships/hyperlink" Target="https://www.youtube.com/watch?v=sbViSPM3lVE" TargetMode="External" Id="rId2775"/><Relationship Type="http://schemas.openxmlformats.org/officeDocument/2006/relationships/hyperlink" Target="https://arxiv.org/abs/2111.00396" TargetMode="External" Id="rId2776"/><Relationship Type="http://schemas.openxmlformats.org/officeDocument/2006/relationships/hyperlink" Target="https://www.youtube.com/watch?v=foG0ebzuw34" TargetMode="External" Id="rId2777"/><Relationship Type="http://schemas.openxmlformats.org/officeDocument/2006/relationships/hyperlink" Target="https://arxiv.org/abs/2111.00396" TargetMode="External" Id="rId2778"/><Relationship Type="http://schemas.openxmlformats.org/officeDocument/2006/relationships/hyperlink" Target="https://www.youtube.com/watch?v=aFQetsW4NFA" TargetMode="External" Id="rId2779"/><Relationship Type="http://schemas.openxmlformats.org/officeDocument/2006/relationships/hyperlink" Target="https://arxiv.org/abs/2111.00396" TargetMode="External" Id="rId2780"/><Relationship Type="http://schemas.openxmlformats.org/officeDocument/2006/relationships/hyperlink" Target="https://www.youtube.com/watch?v=d0HJvGSWw8A" TargetMode="External" Id="rId2781"/><Relationship Type="http://schemas.openxmlformats.org/officeDocument/2006/relationships/hyperlink" Target="https://arxiv.org/abs/2312.06635" TargetMode="External" Id="rId2782"/><Relationship Type="http://schemas.openxmlformats.org/officeDocument/2006/relationships/hyperlink" Target="https://www.youtube.com/watch?v=DmuZ3ckl8rs" TargetMode="External" Id="rId2783"/><Relationship Type="http://schemas.openxmlformats.org/officeDocument/2006/relationships/hyperlink" Target="https://arxiv.org/abs/2312.06635" TargetMode="External" Id="rId2784"/><Relationship Type="http://schemas.openxmlformats.org/officeDocument/2006/relationships/hyperlink" Target="https://www.youtube.com/watch?v=IS59IwGLvVs" TargetMode="External" Id="rId2785"/><Relationship Type="http://schemas.openxmlformats.org/officeDocument/2006/relationships/hyperlink" Target="https://arxiv.org/abs/2312.06635" TargetMode="External" Id="rId2786"/><Relationship Type="http://schemas.openxmlformats.org/officeDocument/2006/relationships/hyperlink" Target="https://www.youtube.com/watch?v=DnlXx8DXR5I" TargetMode="External" Id="rId2787"/><Relationship Type="http://schemas.openxmlformats.org/officeDocument/2006/relationships/hyperlink" Target="https://arxiv.org/abs/2312.06635" TargetMode="External" Id="rId2788"/><Relationship Type="http://schemas.openxmlformats.org/officeDocument/2006/relationships/hyperlink" Target="https://www.youtube.com/watch?v=HEFM4NXsWpQ" TargetMode="External" Id="rId2789"/><Relationship Type="http://schemas.openxmlformats.org/officeDocument/2006/relationships/hyperlink" Target="https://arxiv.org/abs/2312.06635" TargetMode="External" Id="rId2790"/><Relationship Type="http://schemas.openxmlformats.org/officeDocument/2006/relationships/hyperlink" Target="https://www.youtube.com/watch?v=Pp61ShI9VGc" TargetMode="External" Id="rId2791"/><Relationship Type="http://schemas.openxmlformats.org/officeDocument/2006/relationships/hyperlink" Target="https://arxiv.org/abs/2108.12409" TargetMode="External" Id="rId2792"/><Relationship Type="http://schemas.openxmlformats.org/officeDocument/2006/relationships/hyperlink" Target="https://www.youtube.com/watch?v=8EIqHFFdccA" TargetMode="External" Id="rId2793"/><Relationship Type="http://schemas.openxmlformats.org/officeDocument/2006/relationships/hyperlink" Target="https://arxiv.org/abs/2305.07185" TargetMode="External" Id="rId2794"/><Relationship Type="http://schemas.openxmlformats.org/officeDocument/2006/relationships/hyperlink" Target="https://www.youtube.com/watch?v=2pbvnxdaKaw" TargetMode="External" Id="rId2795"/><Relationship Type="http://schemas.openxmlformats.org/officeDocument/2006/relationships/hyperlink" Target="https://arxiv.org/abs/2202.08906" TargetMode="External" Id="rId2796"/><Relationship Type="http://schemas.openxmlformats.org/officeDocument/2006/relationships/hyperlink" Target="https://www.youtube.com/watch?v=ccBMRryxGog" TargetMode="External" Id="rId2797"/><Relationship Type="http://schemas.openxmlformats.org/officeDocument/2006/relationships/hyperlink" Target="https://scholar.google.com/scholar?q=Fedus+et+al.+2022+JMLR+23%3A120" TargetMode="External" Id="rId2798"/><Relationship Type="http://schemas.openxmlformats.org/officeDocument/2006/relationships/hyperlink" Target="https://www.youtube.com/watch?v=77mK3gtWK28" TargetMode="External" Id="rId2799"/><Relationship Type="http://schemas.openxmlformats.org/officeDocument/2006/relationships/hyperlink" Target="https://arxiv.org/abs/2202.08906" TargetMode="External" Id="rId2800"/><Relationship Type="http://schemas.openxmlformats.org/officeDocument/2006/relationships/hyperlink" Target="https://www.youtube.com/watch?v=U8J32Z3qV8s" TargetMode="External" Id="rId2801"/><Relationship Type="http://schemas.openxmlformats.org/officeDocument/2006/relationships/hyperlink" Target="https://arxiv.org/abs/2202.08906" TargetMode="External" Id="rId2802"/><Relationship Type="http://schemas.openxmlformats.org/officeDocument/2006/relationships/hyperlink" Target="https://www.youtube.com/watch?v=RcJ1YXHLv5o" TargetMode="External" Id="rId2803"/><Relationship Type="http://schemas.openxmlformats.org/officeDocument/2006/relationships/hyperlink" Target="https://arxiv.org/abs/2202.08906" TargetMode="External" Id="rId2804"/><Relationship Type="http://schemas.openxmlformats.org/officeDocument/2006/relationships/hyperlink" Target="https://www.youtube.com/watch?v=LPv1KfUXLCo" TargetMode="External" Id="rId2805"/><Relationship Type="http://schemas.openxmlformats.org/officeDocument/2006/relationships/hyperlink" Target="https://arxiv.org/abs/2202.08906" TargetMode="External" Id="rId2806"/><Relationship Type="http://schemas.openxmlformats.org/officeDocument/2006/relationships/hyperlink" Target="https://www.youtube.com/watch?v=tWkMj6lUp1c" TargetMode="External" Id="rId2807"/><Relationship Type="http://schemas.openxmlformats.org/officeDocument/2006/relationships/hyperlink" Target="https://arxiv.org/abs/2202.08906" TargetMode="External" Id="rId2808"/><Relationship Type="http://schemas.openxmlformats.org/officeDocument/2006/relationships/hyperlink" Target="https://www.youtube.com/watch?v=MlLofYn8Ae0" TargetMode="External" Id="rId2809"/><Relationship Type="http://schemas.openxmlformats.org/officeDocument/2006/relationships/hyperlink" Target="https://arxiv.org/abs/2202.08906" TargetMode="External" Id="rId2810"/><Relationship Type="http://schemas.openxmlformats.org/officeDocument/2006/relationships/hyperlink" Target="https://www.youtube.com/watch?v=p4-I1LfYK9A" TargetMode="External" Id="rId2811"/><Relationship Type="http://schemas.openxmlformats.org/officeDocument/2006/relationships/hyperlink" Target="https://arxiv.org/abs/2310.01889" TargetMode="External" Id="rId2812"/><Relationship Type="http://schemas.openxmlformats.org/officeDocument/2006/relationships/hyperlink" Target="https://www.youtube.com/watch?v=fC9L8J7dVFI" TargetMode="External" Id="rId2813"/><Relationship Type="http://schemas.openxmlformats.org/officeDocument/2006/relationships/hyperlink" Target="https://arxiv.org/abs/2310.01889" TargetMode="External" Id="rId2814"/><Relationship Type="http://schemas.openxmlformats.org/officeDocument/2006/relationships/hyperlink" Target="https://www.youtube.com/watch?v=ws7angQYIxI" TargetMode="External" Id="rId2815"/><Relationship Type="http://schemas.openxmlformats.org/officeDocument/2006/relationships/hyperlink" Target="https://arxiv.org/abs/2310.01889" TargetMode="External" Id="rId2816"/><Relationship Type="http://schemas.openxmlformats.org/officeDocument/2006/relationships/hyperlink" Target="https://www.youtube.com/watch?v=HS5FJbif5A0" TargetMode="External" Id="rId2817"/><Relationship Type="http://schemas.openxmlformats.org/officeDocument/2006/relationships/hyperlink" Target="https://arxiv.org/abs/2310.01889" TargetMode="External" Id="rId2818"/><Relationship Type="http://schemas.openxmlformats.org/officeDocument/2006/relationships/hyperlink" Target="https://www.youtube.com/watch?v=t_FZAGUjbks" TargetMode="External" Id="rId2819"/><Relationship Type="http://schemas.openxmlformats.org/officeDocument/2006/relationships/hyperlink" Target="https://arxiv.org/abs/2310.01889" TargetMode="External" Id="rId2820"/><Relationship Type="http://schemas.openxmlformats.org/officeDocument/2006/relationships/hyperlink" Target="https://www.youtube.com/watch?v=1fUSw9Jgvog" TargetMode="External" Id="rId2821"/><Relationship Type="http://schemas.openxmlformats.org/officeDocument/2006/relationships/hyperlink" Target="https://arxiv.org/abs/2310.16834" TargetMode="External" Id="rId2822"/><Relationship Type="http://schemas.openxmlformats.org/officeDocument/2006/relationships/hyperlink" Target="https://www.youtube.com/watch?v=klW65MWJ1PY" TargetMode="External" Id="rId2823"/><Relationship Type="http://schemas.openxmlformats.org/officeDocument/2006/relationships/hyperlink" Target="https://arxiv.org/abs/2310.16834" TargetMode="External" Id="rId2824"/><Relationship Type="http://schemas.openxmlformats.org/officeDocument/2006/relationships/hyperlink" Target="https://www.youtube.com/watch?v=lZmgfPMyWg8" TargetMode="External" Id="rId2825"/><Relationship Type="http://schemas.openxmlformats.org/officeDocument/2006/relationships/hyperlink" Target="https://arxiv.org/abs/2310.16834" TargetMode="External" Id="rId2826"/><Relationship Type="http://schemas.openxmlformats.org/officeDocument/2006/relationships/hyperlink" Target="https://www.youtube.com/watch?v=CYYroZkqu-I" TargetMode="External" Id="rId2827"/><Relationship Type="http://schemas.openxmlformats.org/officeDocument/2006/relationships/hyperlink" Target="https://arxiv.org/abs/2310.16834" TargetMode="External" Id="rId2828"/><Relationship Type="http://schemas.openxmlformats.org/officeDocument/2006/relationships/hyperlink" Target="https://www.youtube.com/watch?v=_1qv_LNjH9U" TargetMode="External" Id="rId2829"/><Relationship Type="http://schemas.openxmlformats.org/officeDocument/2006/relationships/hyperlink" Target="https://arxiv.org/abs/2310.16834" TargetMode="External" Id="rId2830"/><Relationship Type="http://schemas.openxmlformats.org/officeDocument/2006/relationships/hyperlink" Target="https://www.youtube.com/watch?v=4Bdty7GOrbw" TargetMode="External" Id="rId2831"/><Relationship Type="http://schemas.openxmlformats.org/officeDocument/2006/relationships/hyperlink" Target="https://arxiv.org/abs/2305.13048" TargetMode="External" Id="rId2832"/><Relationship Type="http://schemas.openxmlformats.org/officeDocument/2006/relationships/hyperlink" Target="https://www.youtube.com/watch?v=I-HMKky7Qsw" TargetMode="External" Id="rId2833"/><Relationship Type="http://schemas.openxmlformats.org/officeDocument/2006/relationships/hyperlink" Target="https://arxiv.org/abs/2305.13048" TargetMode="External" Id="rId2834"/><Relationship Type="http://schemas.openxmlformats.org/officeDocument/2006/relationships/hyperlink" Target="https://www.youtube.com/watch?v=-OwYtltMeXY" TargetMode="External" Id="rId2835"/><Relationship Type="http://schemas.openxmlformats.org/officeDocument/2006/relationships/hyperlink" Target="https://arxiv.org/abs/2405.04517" TargetMode="External" Id="rId2836"/><Relationship Type="http://schemas.openxmlformats.org/officeDocument/2006/relationships/hyperlink" Target="https://www.youtube.com/watch?v=8u2pW2zZLCs" TargetMode="External" Id="rId2837"/><Relationship Type="http://schemas.openxmlformats.org/officeDocument/2006/relationships/hyperlink" Target="https://arxiv.org/abs/2305.13048" TargetMode="External" Id="rId2838"/><Relationship Type="http://schemas.openxmlformats.org/officeDocument/2006/relationships/hyperlink" Target="https://www.youtube.com/watch?v=zGPPG6insm8" TargetMode="External" Id="rId2839"/><Relationship Type="http://schemas.openxmlformats.org/officeDocument/2006/relationships/hyperlink" Target="https://arxiv.org/abs/2306.15794" TargetMode="External" Id="rId2840"/><Relationship Type="http://schemas.openxmlformats.org/officeDocument/2006/relationships/hyperlink" Target="https://www.youtube.com/watch?v=OFFHiJzPpCQ" TargetMode="External" Id="rId2841"/><Relationship Type="http://schemas.openxmlformats.org/officeDocument/2006/relationships/hyperlink" Target="https://arxiv.org/abs/2305.13048" TargetMode="External" Id="rId2842"/><Relationship Type="http://schemas.openxmlformats.org/officeDocument/2006/relationships/hyperlink" Target="https://www.youtube.com/watch?v=gMOAud7hZg4" TargetMode="External" Id="rId2843"/><Relationship Type="http://schemas.openxmlformats.org/officeDocument/2006/relationships/hyperlink" Target="https://arxiv.org/abs/2205.14135" TargetMode="External" Id="rId2844"/><Relationship Type="http://schemas.openxmlformats.org/officeDocument/2006/relationships/hyperlink" Target="https://www.youtube.com/watch?v=SyB-GVnCX9Q" TargetMode="External" Id="rId2845"/><Relationship Type="http://schemas.openxmlformats.org/officeDocument/2006/relationships/hyperlink" Target="https://arxiv.org/abs/2205.14135" TargetMode="External" Id="rId2846"/><Relationship Type="http://schemas.openxmlformats.org/officeDocument/2006/relationships/hyperlink" Target="https://www.youtube.com/watch?v=cPwt1Y10gjI" TargetMode="External" Id="rId2847"/><Relationship Type="http://schemas.openxmlformats.org/officeDocument/2006/relationships/hyperlink" Target="https://arxiv.org/abs/2205.14135" TargetMode="External" Id="rId2848"/><Relationship Type="http://schemas.openxmlformats.org/officeDocument/2006/relationships/hyperlink" Target="https://www.youtube.com/watch?v=zEuwuCTEf_0" TargetMode="External" Id="rId2849"/><Relationship Type="http://schemas.openxmlformats.org/officeDocument/2006/relationships/hyperlink" Target="https://arxiv.org/abs/2205.14135" TargetMode="External" Id="rId2850"/><Relationship Type="http://schemas.openxmlformats.org/officeDocument/2006/relationships/hyperlink" Target="https://www.youtube.com/watch?v=JwUcZwPOCpA" TargetMode="External" Id="rId2851"/><Relationship Type="http://schemas.openxmlformats.org/officeDocument/2006/relationships/hyperlink" Target="https://arxiv.org/abs/2205.14135" TargetMode="External" Id="rId2852"/><Relationship Type="http://schemas.openxmlformats.org/officeDocument/2006/relationships/hyperlink" Target="https://www.youtube.com/watch?v=VPslgC9piIw" TargetMode="External" Id="rId2853"/><Relationship Type="http://schemas.openxmlformats.org/officeDocument/2006/relationships/hyperlink" Target="https://arxiv.org/abs/2205.14135" TargetMode="External" Id="rId2854"/><Relationship Type="http://schemas.openxmlformats.org/officeDocument/2006/relationships/hyperlink" Target="https://www.youtube.com/watch?v=kPKKvBqQoFI" TargetMode="External" Id="rId2855"/><Relationship Type="http://schemas.openxmlformats.org/officeDocument/2006/relationships/hyperlink" Target="https://arxiv.org/abs/2205.14135" TargetMode="External" Id="rId2856"/><Relationship Type="http://schemas.openxmlformats.org/officeDocument/2006/relationships/hyperlink" Target="https://www.youtube.com/watch?v=Lys0TpsLIEc" TargetMode="External" Id="rId2857"/><Relationship Type="http://schemas.openxmlformats.org/officeDocument/2006/relationships/hyperlink" Target="https://arxiv.org/abs/2205.14135" TargetMode="External" Id="rId2858"/><Relationship Type="http://schemas.openxmlformats.org/officeDocument/2006/relationships/hyperlink" Target="https://www.youtube.com/watch?v=W49k837lm_g" TargetMode="External" Id="rId2859"/><Relationship Type="http://schemas.openxmlformats.org/officeDocument/2006/relationships/hyperlink" Target="https://arxiv.org/abs/2205.14135" TargetMode="External" Id="rId2860"/><Relationship Type="http://schemas.openxmlformats.org/officeDocument/2006/relationships/hyperlink" Target="https://www.youtube.com/watch?v=IAwLzkldxUk" TargetMode="External" Id="rId2861"/><Relationship Type="http://schemas.openxmlformats.org/officeDocument/2006/relationships/hyperlink" Target="https://arxiv.org/abs/2205.14135" TargetMode="External" Id="rId2862"/><Relationship Type="http://schemas.openxmlformats.org/officeDocument/2006/relationships/hyperlink" Target="https://www.youtube.com/watch?v=PlraH57ey4k" TargetMode="External" Id="rId2863"/><Relationship Type="http://schemas.openxmlformats.org/officeDocument/2006/relationships/hyperlink" Target="https://arxiv.org/abs/2205.14135" TargetMode="External" Id="rId2864"/><Relationship Type="http://schemas.openxmlformats.org/officeDocument/2006/relationships/hyperlink" Target="https://www.youtube.com/watch?v=JA1l96tjrs4" TargetMode="External" Id="rId2865"/><Relationship Type="http://schemas.openxmlformats.org/officeDocument/2006/relationships/hyperlink" Target="https://arxiv.org/abs/2104.04473" TargetMode="External" Id="rId2866"/><Relationship Type="http://schemas.openxmlformats.org/officeDocument/2006/relationships/hyperlink" Target="https://www.youtube.com/watch?v=gHaNUcS1_O4" TargetMode="External" Id="rId2867"/><Relationship Type="http://schemas.openxmlformats.org/officeDocument/2006/relationships/hyperlink" Target="https://arxiv.org/abs/2104.04473" TargetMode="External" Id="rId2868"/><Relationship Type="http://schemas.openxmlformats.org/officeDocument/2006/relationships/hyperlink" Target="https://www.youtube.com/watch?v=1E8GDR8QXKw" TargetMode="External" Id="rId2869"/><Relationship Type="http://schemas.openxmlformats.org/officeDocument/2006/relationships/hyperlink" Target="https://arxiv.org/abs/2104.04473" TargetMode="External" Id="rId2870"/><Relationship Type="http://schemas.openxmlformats.org/officeDocument/2006/relationships/hyperlink" Target="https://www.youtube.com/watch?v=I5BKi32IEa8" TargetMode="External" Id="rId2871"/><Relationship Type="http://schemas.openxmlformats.org/officeDocument/2006/relationships/hyperlink" Target="https://scholar.google.com/scholar?q=The+Ultra-Scale+Playbook+HF" TargetMode="External" Id="rId2872"/><Relationship Type="http://schemas.openxmlformats.org/officeDocument/2006/relationships/hyperlink" Target="https://www.youtube.com/watch?v=og8Y6z2xC0I" TargetMode="External" Id="rId2873"/><Relationship Type="http://schemas.openxmlformats.org/officeDocument/2006/relationships/hyperlink" Target="https://arxiv.org/abs/2104.04473" TargetMode="External" Id="rId2874"/><Relationship Type="http://schemas.openxmlformats.org/officeDocument/2006/relationships/hyperlink" Target="https://www.youtube.com/watch?v=ImKyR1tsPPE" TargetMode="External" Id="rId2875"/><Relationship Type="http://schemas.openxmlformats.org/officeDocument/2006/relationships/hyperlink" Target="https://arxiv.org/abs/2104.04473" TargetMode="External" Id="rId2876"/><Relationship Type="http://schemas.openxmlformats.org/officeDocument/2006/relationships/hyperlink" Target="https://www.youtube.com/watch?v=4wTuGkiob7o" TargetMode="External" Id="rId2877"/><Relationship Type="http://schemas.openxmlformats.org/officeDocument/2006/relationships/hyperlink" Target="https://arxiv.org/abs/2104.04473" TargetMode="External" Id="rId2878"/><Relationship Type="http://schemas.openxmlformats.org/officeDocument/2006/relationships/hyperlink" Target="https://www.youtube.com/watch?v=Ow1FLKFcSPs" TargetMode="External" Id="rId2879"/><Relationship Type="http://schemas.openxmlformats.org/officeDocument/2006/relationships/hyperlink" Target="https://arxiv.org/abs/2104.04473" TargetMode="External" Id="rId2880"/><Relationship Type="http://schemas.openxmlformats.org/officeDocument/2006/relationships/hyperlink" Target="https://www.youtube.com/watch?v=tQzZ7oDKi6Y" TargetMode="External" Id="rId2881"/><Relationship Type="http://schemas.openxmlformats.org/officeDocument/2006/relationships/hyperlink" Target="https://arxiv.org/abs/2104.04473" TargetMode="External" Id="rId2882"/><Relationship Type="http://schemas.openxmlformats.org/officeDocument/2006/relationships/hyperlink" Target="https://www.youtube.com/watch?v=9o2TXexHUh8" TargetMode="External" Id="rId2883"/><Relationship Type="http://schemas.openxmlformats.org/officeDocument/2006/relationships/hyperlink" Target="https://arxiv.org/abs/2104.04473" TargetMode="External" Id="rId2884"/><Relationship Type="http://schemas.openxmlformats.org/officeDocument/2006/relationships/hyperlink" Target="https://www.youtube.com/watch?v=Cp7g1Ll4v0M" TargetMode="External" Id="rId2885"/><Relationship Type="http://schemas.openxmlformats.org/officeDocument/2006/relationships/hyperlink" Target="https://arxiv.org/abs/2104.04473" TargetMode="External" Id="rId2886"/><Relationship Type="http://schemas.openxmlformats.org/officeDocument/2006/relationships/hyperlink" Target="https://www.youtube.com/watch?v=y1NXHjcl6V0" TargetMode="External" Id="rId2887"/><Relationship Type="http://schemas.openxmlformats.org/officeDocument/2006/relationships/hyperlink" Target="https://arxiv.org/abs/2104.04473" TargetMode="External" Id="rId2888"/><Relationship Type="http://schemas.openxmlformats.org/officeDocument/2006/relationships/hyperlink" Target="https://www.youtube.com/watch?v=azUufxKe5RE" TargetMode="External" Id="rId2889"/><Relationship Type="http://schemas.openxmlformats.org/officeDocument/2006/relationships/hyperlink" Target="https://arxiv.org/abs/1910.02054" TargetMode="External" Id="rId2890"/><Relationship Type="http://schemas.openxmlformats.org/officeDocument/2006/relationships/hyperlink" Target="https://www.youtube.com/watch?v=cntxC3g22oU" TargetMode="External" Id="rId2891"/><Relationship Type="http://schemas.openxmlformats.org/officeDocument/2006/relationships/hyperlink" Target="https://arxiv.org/abs/1910.02054" TargetMode="External" Id="rId2892"/><Relationship Type="http://schemas.openxmlformats.org/officeDocument/2006/relationships/hyperlink" Target="https://www.youtube.com/watch?v=smDC_mOGQ5U" TargetMode="External" Id="rId2893"/><Relationship Type="http://schemas.openxmlformats.org/officeDocument/2006/relationships/hyperlink" Target="https://arxiv.org/abs/2104.04473" TargetMode="External" Id="rId2894"/><Relationship Type="http://schemas.openxmlformats.org/officeDocument/2006/relationships/hyperlink" Target="https://www.youtube.com/watch?v=SBO2PmUKfUA" TargetMode="External" Id="rId2895"/><Relationship Type="http://schemas.openxmlformats.org/officeDocument/2006/relationships/hyperlink" Target="https://arxiv.org/abs/2203.03466" TargetMode="External" Id="rId2896"/><Relationship Type="http://schemas.openxmlformats.org/officeDocument/2006/relationships/hyperlink" Target="https://www.youtube.com/watch?v=YCfzf0TunOM" TargetMode="External" Id="rId2897"/><Relationship Type="http://schemas.openxmlformats.org/officeDocument/2006/relationships/hyperlink" Target="https://arxiv.org/abs/2203.03466" TargetMode="External" Id="rId2898"/><Relationship Type="http://schemas.openxmlformats.org/officeDocument/2006/relationships/hyperlink" Target="https://www.youtube.com/watch?v=_GXUlM5DCL4" TargetMode="External" Id="rId2899"/><Relationship Type="http://schemas.openxmlformats.org/officeDocument/2006/relationships/hyperlink" Target="https://arxiv.org/abs/2203.03466" TargetMode="External" Id="rId2900"/><Relationship Type="http://schemas.openxmlformats.org/officeDocument/2006/relationships/hyperlink" Target="https://www.youtube.com/watch?v=XpU3mDKJOak" TargetMode="External" Id="rId2901"/><Relationship Type="http://schemas.openxmlformats.org/officeDocument/2006/relationships/hyperlink" Target="https://arxiv.org/abs/2203.03466" TargetMode="External" Id="rId2902"/><Relationship Type="http://schemas.openxmlformats.org/officeDocument/2006/relationships/hyperlink" Target="https://www.youtube.com/watch?v=Hcpjgj2BD_I" TargetMode="External" Id="rId2903"/><Relationship Type="http://schemas.openxmlformats.org/officeDocument/2006/relationships/hyperlink" Target="https://arxiv.org/abs/2203.03466" TargetMode="External" Id="rId2904"/><Relationship Type="http://schemas.openxmlformats.org/officeDocument/2006/relationships/hyperlink" Target="https://www.youtube.com/watch?v=xbCibcC9Ud0" TargetMode="External" Id="rId2905"/><Relationship Type="http://schemas.openxmlformats.org/officeDocument/2006/relationships/hyperlink" Target="https://arxiv.org/abs/2203.03466" TargetMode="External" Id="rId2906"/><Relationship Type="http://schemas.openxmlformats.org/officeDocument/2006/relationships/hyperlink" Target="https://www.youtube.com/watch?v=1aXOXHA7Jcw" TargetMode="External" Id="rId2907"/><Relationship Type="http://schemas.openxmlformats.org/officeDocument/2006/relationships/hyperlink" Target="https://arxiv.org/abs/2203.03466" TargetMode="External" Id="rId2908"/><Relationship Type="http://schemas.openxmlformats.org/officeDocument/2006/relationships/hyperlink" Target="https://www.youtube.com/watch?v=td9r0D3VARk" TargetMode="External" Id="rId2909"/><Relationship Type="http://schemas.openxmlformats.org/officeDocument/2006/relationships/hyperlink" Target="https://arxiv.org/abs/2405.14813" TargetMode="External" Id="rId2910"/><Relationship Type="http://schemas.openxmlformats.org/officeDocument/2006/relationships/hyperlink" Target="https://www.youtube.com/watch?v=4OAiakkmKQs" TargetMode="External" Id="rId2911"/><Relationship Type="http://schemas.openxmlformats.org/officeDocument/2006/relationships/hyperlink" Target="https://arxiv.org/abs/2203.03466" TargetMode="External" Id="rId2912"/><Relationship Type="http://schemas.openxmlformats.org/officeDocument/2006/relationships/hyperlink" Target="https://www.youtube.com/watch?v=YDL8NXlS8hA" TargetMode="External" Id="rId2913"/><Relationship Type="http://schemas.openxmlformats.org/officeDocument/2006/relationships/hyperlink" Target="https://arxiv.org/abs/2203.03466" TargetMode="External" Id="rId2914"/><Relationship Type="http://schemas.openxmlformats.org/officeDocument/2006/relationships/hyperlink" Target="https://www.youtube.com/watch?v=Va7ER6bRodA" TargetMode="External" Id="rId2915"/><Relationship Type="http://schemas.openxmlformats.org/officeDocument/2006/relationships/hyperlink" Target="https://arxiv.org/abs/2203.03466" TargetMode="External" Id="rId2916"/><Relationship Type="http://schemas.openxmlformats.org/officeDocument/2006/relationships/hyperlink" Target="https://www.youtube.com/watch?v=fcTNQLebHb0" TargetMode="External" Id="rId2917"/><Relationship Type="http://schemas.openxmlformats.org/officeDocument/2006/relationships/hyperlink" Target="https://arxiv.org/abs/2203.03466" TargetMode="External" Id="rId2918"/><Relationship Type="http://schemas.openxmlformats.org/officeDocument/2006/relationships/hyperlink" Target="https://www.youtube.com/watch?v=Suhp3OLASSo" TargetMode="External" Id="rId2919"/><Relationship Type="http://schemas.openxmlformats.org/officeDocument/2006/relationships/hyperlink" Target="https://arxiv.org/abs/2001.08361" TargetMode="External" Id="rId2920"/><Relationship Type="http://schemas.openxmlformats.org/officeDocument/2006/relationships/hyperlink" Target="https://www.youtube.com/watch?v=sNfkZFVm_xs" TargetMode="External" Id="rId2921"/><Relationship Type="http://schemas.openxmlformats.org/officeDocument/2006/relationships/hyperlink" Target="https://arxiv.org/abs/2001.08361" TargetMode="External" Id="rId2922"/><Relationship Type="http://schemas.openxmlformats.org/officeDocument/2006/relationships/hyperlink" Target="https://www.youtube.com/watch?v=QMqPAM_knrE" TargetMode="External" Id="rId2923"/><Relationship Type="http://schemas.openxmlformats.org/officeDocument/2006/relationships/hyperlink" Target="https://arxiv.org/abs/2001.08361" TargetMode="External" Id="rId2924"/><Relationship Type="http://schemas.openxmlformats.org/officeDocument/2006/relationships/hyperlink" Target="https://www.youtube.com/watch?v=MUvFuZpxLU8" TargetMode="External" Id="rId2925"/><Relationship Type="http://schemas.openxmlformats.org/officeDocument/2006/relationships/hyperlink" Target="https://arxiv.org/abs/2001.08361" TargetMode="External" Id="rId2926"/><Relationship Type="http://schemas.openxmlformats.org/officeDocument/2006/relationships/hyperlink" Target="https://www.youtube.com/watch?v=WbHfM774bKc" TargetMode="External" Id="rId2927"/><Relationship Type="http://schemas.openxmlformats.org/officeDocument/2006/relationships/hyperlink" Target="https://arxiv.org/abs/2001.08361" TargetMode="External" Id="rId2928"/><Relationship Type="http://schemas.openxmlformats.org/officeDocument/2006/relationships/hyperlink" Target="https://www.youtube.com/watch?v=gBFmS8qyuFQ" TargetMode="External" Id="rId2929"/><Relationship Type="http://schemas.openxmlformats.org/officeDocument/2006/relationships/hyperlink" Target="https://arxiv.org/abs/2001.08361" TargetMode="External" Id="rId2930"/><Relationship Type="http://schemas.openxmlformats.org/officeDocument/2006/relationships/hyperlink" Target="https://www.youtube.com/watch?v=ggz4iaQpzcY" TargetMode="External" Id="rId2931"/><Relationship Type="http://schemas.openxmlformats.org/officeDocument/2006/relationships/hyperlink" Target="https://arxiv.org/abs/2001.08361" TargetMode="External" Id="rId2932"/><Relationship Type="http://schemas.openxmlformats.org/officeDocument/2006/relationships/hyperlink" Target="https://www.youtube.com/watch?v=UFem7xa3Q2Q" TargetMode="External" Id="rId2933"/><Relationship Type="http://schemas.openxmlformats.org/officeDocument/2006/relationships/hyperlink" Target="https://arxiv.org/abs/2001.08361" TargetMode="External" Id="rId2934"/><Relationship Type="http://schemas.openxmlformats.org/officeDocument/2006/relationships/hyperlink" Target="https://www.youtube.com/watch?v=iePMkTFuEW8" TargetMode="External" Id="rId2935"/><Relationship Type="http://schemas.openxmlformats.org/officeDocument/2006/relationships/hyperlink" Target="https://arxiv.org/abs/2001.08361" TargetMode="External" Id="rId2936"/><Relationship Type="http://schemas.openxmlformats.org/officeDocument/2006/relationships/hyperlink" Target="https://www.youtube.com/watch?v=IsNqSmTPiWQ" TargetMode="External" Id="rId2937"/><Relationship Type="http://schemas.openxmlformats.org/officeDocument/2006/relationships/hyperlink" Target="https://arxiv.org/abs/2406.11794" TargetMode="External" Id="rId2938"/><Relationship Type="http://schemas.openxmlformats.org/officeDocument/2006/relationships/hyperlink" Target="https://www.youtube.com/watch?v=brHeIKX8ayw" TargetMode="External" Id="rId2939"/><Relationship Type="http://schemas.openxmlformats.org/officeDocument/2006/relationships/hyperlink" Target="https://arxiv.org/abs/2406.11794" TargetMode="External" Id="rId2940"/><Relationship Type="http://schemas.openxmlformats.org/officeDocument/2006/relationships/hyperlink" Target="https://www.youtube.com/watch?v=dRT5Vf9_OYw" TargetMode="External" Id="rId2941"/><Relationship Type="http://schemas.openxmlformats.org/officeDocument/2006/relationships/hyperlink" Target="https://arxiv.org/abs/2406.17557" TargetMode="External" Id="rId2942"/><Relationship Type="http://schemas.openxmlformats.org/officeDocument/2006/relationships/hyperlink" Target="https://www.youtube.com/watch?v=5mCjNAQPSLw" TargetMode="External" Id="rId2943"/><Relationship Type="http://schemas.openxmlformats.org/officeDocument/2006/relationships/hyperlink" Target="https://arxiv.org/abs/2406.11794" TargetMode="External" Id="rId2944"/><Relationship Type="http://schemas.openxmlformats.org/officeDocument/2006/relationships/hyperlink" Target="https://www.youtube.com/watch?v=yXPPcBlcF8U" TargetMode="External" Id="rId2945"/><Relationship Type="http://schemas.openxmlformats.org/officeDocument/2006/relationships/hyperlink" Target="https://arxiv.org/abs/2406.11794" TargetMode="External" Id="rId2946"/><Relationship Type="http://schemas.openxmlformats.org/officeDocument/2006/relationships/hyperlink" Target="https://www.youtube.com/watch?v=h9jf1ikcGyk" TargetMode="External" Id="rId2947"/><Relationship Type="http://schemas.openxmlformats.org/officeDocument/2006/relationships/hyperlink" Target="https://arxiv.org/abs/2406.11794" TargetMode="External" Id="rId2948"/><Relationship Type="http://schemas.openxmlformats.org/officeDocument/2006/relationships/hyperlink" Target="https://www.youtube.com/watch?v=dS7QI99uJVc" TargetMode="External" Id="rId2949"/><Relationship Type="http://schemas.openxmlformats.org/officeDocument/2006/relationships/hyperlink" Target="https://arxiv.org/abs/2406.11794" TargetMode="External" Id="rId2950"/><Relationship Type="http://schemas.openxmlformats.org/officeDocument/2006/relationships/hyperlink" Target="https://www.youtube.com/watch?v=wH8YKCE82Qo" TargetMode="External" Id="rId2951"/><Relationship Type="http://schemas.openxmlformats.org/officeDocument/2006/relationships/hyperlink" Target="https://arxiv.org/abs/2406.11794" TargetMode="External" Id="rId2952"/><Relationship Type="http://schemas.openxmlformats.org/officeDocument/2006/relationships/hyperlink" Target="https://www.youtube.com/watch?v=DnhnjegbcJI" TargetMode="External" Id="rId2953"/><Relationship Type="http://schemas.openxmlformats.org/officeDocument/2006/relationships/hyperlink" Target="https://scholar.google.com/scholar?q=Lee+et+al.+2022+ACL+deduplicating+training+data+makes+LMs+better" TargetMode="External" Id="rId2954"/><Relationship Type="http://schemas.openxmlformats.org/officeDocument/2006/relationships/hyperlink" Target="https://www.youtube.com/watch?v=Kp5R6GZh8O0" TargetMode="External" Id="rId2955"/><Relationship Type="http://schemas.openxmlformats.org/officeDocument/2006/relationships/hyperlink" Target="https://arxiv.org/abs/2406.11794" TargetMode="External" Id="rId2956"/><Relationship Type="http://schemas.openxmlformats.org/officeDocument/2006/relationships/hyperlink" Target="https://www.youtube.com/watch?v=TK0-sitkCMw" TargetMode="External" Id="rId2957"/><Relationship Type="http://schemas.openxmlformats.org/officeDocument/2006/relationships/hyperlink" Target="https://arxiv.org/abs/2406.11794" TargetMode="External" Id="rId2958"/><Relationship Type="http://schemas.openxmlformats.org/officeDocument/2006/relationships/hyperlink" Target="https://www.youtube.com/watch?v=p9IxoSkvZ-M" TargetMode="External" Id="rId2959"/><Relationship Type="http://schemas.openxmlformats.org/officeDocument/2006/relationships/hyperlink" Target="https://arxiv.org/abs/2406.11794" TargetMode="External" Id="rId2960"/><Relationship Type="http://schemas.openxmlformats.org/officeDocument/2006/relationships/hyperlink" Target="https://www.youtube.com/watch?v=jm2hyJLFfN8" TargetMode="External" Id="rId2961"/><Relationship Type="http://schemas.openxmlformats.org/officeDocument/2006/relationships/hyperlink" Target="https://arxiv.org/abs/2406.11794" TargetMode="External" Id="rId2962"/><Relationship Type="http://schemas.openxmlformats.org/officeDocument/2006/relationships/hyperlink" Target="https://www.youtube.com/watch?v=e2Dp90pi6Fg" TargetMode="External" Id="rId2963"/><Relationship Type="http://schemas.openxmlformats.org/officeDocument/2006/relationships/hyperlink" Target="https://arxiv.org/abs/2203.02155" TargetMode="External" Id="rId2964"/><Relationship Type="http://schemas.openxmlformats.org/officeDocument/2006/relationships/hyperlink" Target="https://www.youtube.com/watch?v=hhiLw5Q_UFg" TargetMode="External" Id="rId2965"/><Relationship Type="http://schemas.openxmlformats.org/officeDocument/2006/relationships/hyperlink" Target="https://arxiv.org/abs/2203.02155" TargetMode="External" Id="rId2966"/><Relationship Type="http://schemas.openxmlformats.org/officeDocument/2006/relationships/hyperlink" Target="https://www.youtube.com/watch?v=8SgKDSX-Me0" TargetMode="External" Id="rId2967"/><Relationship Type="http://schemas.openxmlformats.org/officeDocument/2006/relationships/hyperlink" Target="https://arxiv.org/abs/2203.02155" TargetMode="External" Id="rId2968"/><Relationship Type="http://schemas.openxmlformats.org/officeDocument/2006/relationships/hyperlink" Target="https://www.youtube.com/watch?v=fqC3D-zNJUM" TargetMode="External" Id="rId2969"/><Relationship Type="http://schemas.openxmlformats.org/officeDocument/2006/relationships/hyperlink" Target="https://arxiv.org/abs/2203.02155" TargetMode="External" Id="rId2970"/><Relationship Type="http://schemas.openxmlformats.org/officeDocument/2006/relationships/hyperlink" Target="https://www.youtube.com/watch?v=AdLgPmcrXwQ" TargetMode="External" Id="rId2971"/><Relationship Type="http://schemas.openxmlformats.org/officeDocument/2006/relationships/hyperlink" Target="https://arxiv.org/abs/2203.02155" TargetMode="External" Id="rId2972"/><Relationship Type="http://schemas.openxmlformats.org/officeDocument/2006/relationships/hyperlink" Target="https://www.youtube.com/watch?v=MMDNaeIFVy8" TargetMode="External" Id="rId2973"/><Relationship Type="http://schemas.openxmlformats.org/officeDocument/2006/relationships/hyperlink" Target="https://arxiv.org/abs/2203.02155" TargetMode="External" Id="rId2974"/><Relationship Type="http://schemas.openxmlformats.org/officeDocument/2006/relationships/hyperlink" Target="https://www.youtube.com/watch?v=o6l6tJQgUg4" TargetMode="External" Id="rId2975"/><Relationship Type="http://schemas.openxmlformats.org/officeDocument/2006/relationships/hyperlink" Target="https://arxiv.org/abs/2203.02155" TargetMode="External" Id="rId2976"/><Relationship Type="http://schemas.openxmlformats.org/officeDocument/2006/relationships/hyperlink" Target="https://www.youtube.com/watch?v=4gIwiSPmQkU" TargetMode="External" Id="rId2977"/><Relationship Type="http://schemas.openxmlformats.org/officeDocument/2006/relationships/hyperlink" Target="https://arxiv.org/abs/2203.02155" TargetMode="External" Id="rId2978"/><Relationship Type="http://schemas.openxmlformats.org/officeDocument/2006/relationships/hyperlink" Target="https://www.youtube.com/watch?v=K_Sj_-1BUMM" TargetMode="External" Id="rId2979"/><Relationship Type="http://schemas.openxmlformats.org/officeDocument/2006/relationships/hyperlink" Target="https://arxiv.org/abs/2203.02155" TargetMode="External" Id="rId2980"/><Relationship Type="http://schemas.openxmlformats.org/officeDocument/2006/relationships/hyperlink" Target="https://www.youtube.com/watch?v=i-AIMpZHgeg" TargetMode="External" Id="rId2981"/><Relationship Type="http://schemas.openxmlformats.org/officeDocument/2006/relationships/hyperlink" Target="https://arxiv.org/abs/2203.02155" TargetMode="External" Id="rId2982"/><Relationship Type="http://schemas.openxmlformats.org/officeDocument/2006/relationships/hyperlink" Target="https://www.youtube.com/watch?v=o4AB5xHIDdM" TargetMode="External" Id="rId2983"/><Relationship Type="http://schemas.openxmlformats.org/officeDocument/2006/relationships/hyperlink" Target="https://arxiv.org/abs/2203.02155" TargetMode="External" Id="rId2984"/><Relationship Type="http://schemas.openxmlformats.org/officeDocument/2006/relationships/hyperlink" Target="https://www.youtube.com/watch?v=6g6b4gvO-y0" TargetMode="External" Id="rId2985"/><Relationship Type="http://schemas.openxmlformats.org/officeDocument/2006/relationships/hyperlink" Target="https://arxiv.org/abs/2203.02155" TargetMode="External" Id="rId2986"/><Relationship Type="http://schemas.openxmlformats.org/officeDocument/2006/relationships/hyperlink" Target="https://www.youtube.com/watch?v=6nyJ8y8ghsE" TargetMode="External" Id="rId2987"/><Relationship Type="http://schemas.openxmlformats.org/officeDocument/2006/relationships/hyperlink" Target="https://arxiv.org/abs/2203.02155" TargetMode="External" Id="rId2988"/><Relationship Type="http://schemas.openxmlformats.org/officeDocument/2006/relationships/hyperlink" Target="https://www.youtube.com/watch?v=Y2tv5vuaxFs" TargetMode="External" Id="rId2989"/><Relationship Type="http://schemas.openxmlformats.org/officeDocument/2006/relationships/hyperlink" Target="https://arxiv.org/abs/2203.02155" TargetMode="External" Id="rId2990"/><Relationship Type="http://schemas.openxmlformats.org/officeDocument/2006/relationships/hyperlink" Target="https://www.youtube.com/watch?v=y04JhXpiI4s" TargetMode="External" Id="rId2991"/><Relationship Type="http://schemas.openxmlformats.org/officeDocument/2006/relationships/hyperlink" Target="https://arxiv.org/abs/2203.02155" TargetMode="External" Id="rId2992"/><Relationship Type="http://schemas.openxmlformats.org/officeDocument/2006/relationships/hyperlink" Target="https://www.youtube.com/watch?v=IwpYxANrpUs" TargetMode="External" Id="rId2993"/><Relationship Type="http://schemas.openxmlformats.org/officeDocument/2006/relationships/hyperlink" Target="https://arxiv.org/abs/2203.02155" TargetMode="External" Id="rId2994"/><Relationship Type="http://schemas.openxmlformats.org/officeDocument/2006/relationships/hyperlink" Target="https://www.youtube.com/watch?v=GMry2DzC304" TargetMode="External" Id="rId2995"/><Relationship Type="http://schemas.openxmlformats.org/officeDocument/2006/relationships/hyperlink" Target="https://arxiv.org/abs/2203.02155" TargetMode="External" Id="rId2996"/><Relationship Type="http://schemas.openxmlformats.org/officeDocument/2006/relationships/hyperlink" Target="https://www.youtube.com/watch?v=dFafQmClYq4" TargetMode="External" Id="rId2997"/><Relationship Type="http://schemas.openxmlformats.org/officeDocument/2006/relationships/hyperlink" Target="https://arxiv.org/abs/2203.02155" TargetMode="External" Id="rId2998"/><Relationship Type="http://schemas.openxmlformats.org/officeDocument/2006/relationships/hyperlink" Target="https://www.youtube.com/watch?v=xECWRYBxq1E" TargetMode="External" Id="rId2999"/><Relationship Type="http://schemas.openxmlformats.org/officeDocument/2006/relationships/hyperlink" Target="https://arxiv.org/abs/2203.02155" TargetMode="External" Id="rId3000"/><Relationship Type="http://schemas.openxmlformats.org/officeDocument/2006/relationships/hyperlink" Target="https://www.youtube.com/watch?v=rhA7pLVt4E0" TargetMode="External" Id="rId3001"/><Relationship Type="http://schemas.openxmlformats.org/officeDocument/2006/relationships/hyperlink" Target="https://arxiv.org/abs/2203.02155" TargetMode="External" Id="rId3002"/><Relationship Type="http://schemas.openxmlformats.org/officeDocument/2006/relationships/hyperlink" Target="https://www.youtube.com/watch?v=Q7rl8ovBWwQ" TargetMode="External" Id="rId3003"/><Relationship Type="http://schemas.openxmlformats.org/officeDocument/2006/relationships/hyperlink" Target="https://arxiv.org/abs/2305.18290" TargetMode="External" Id="rId3004"/><Relationship Type="http://schemas.openxmlformats.org/officeDocument/2006/relationships/hyperlink" Target="https://www.youtube.com/watch?v=35X6zlhoCy4" TargetMode="External" Id="rId3005"/><Relationship Type="http://schemas.openxmlformats.org/officeDocument/2006/relationships/hyperlink" Target="https://arxiv.org/abs/2305.18290" TargetMode="External" Id="rId3006"/><Relationship Type="http://schemas.openxmlformats.org/officeDocument/2006/relationships/hyperlink" Target="https://www.youtube.com/watch?v=wSva87OcaS4" TargetMode="External" Id="rId3007"/><Relationship Type="http://schemas.openxmlformats.org/officeDocument/2006/relationships/hyperlink" Target="https://arxiv.org/abs/2305.18290" TargetMode="External" Id="rId3008"/><Relationship Type="http://schemas.openxmlformats.org/officeDocument/2006/relationships/hyperlink" Target="https://www.youtube.com/watch?v=rDF7eFPeVto" TargetMode="External" Id="rId3009"/><Relationship Type="http://schemas.openxmlformats.org/officeDocument/2006/relationships/hyperlink" Target="https://arxiv.org/abs/2305.18290" TargetMode="External" Id="rId3010"/><Relationship Type="http://schemas.openxmlformats.org/officeDocument/2006/relationships/hyperlink" Target="https://www.youtube.com/watch?v=YJMCSVLRUNs" TargetMode="External" Id="rId3011"/><Relationship Type="http://schemas.openxmlformats.org/officeDocument/2006/relationships/hyperlink" Target="https://arxiv.org/abs/2305.18290" TargetMode="External" Id="rId3012"/><Relationship Type="http://schemas.openxmlformats.org/officeDocument/2006/relationships/hyperlink" Target="https://www.youtube.com/watch?v=3Tr5rS3uDDs" TargetMode="External" Id="rId3013"/><Relationship Type="http://schemas.openxmlformats.org/officeDocument/2006/relationships/hyperlink" Target="https://arxiv.org/abs/2305.18290" TargetMode="External" Id="rId3014"/><Relationship Type="http://schemas.openxmlformats.org/officeDocument/2006/relationships/hyperlink" Target="https://www.youtube.com/watch?v=JudHG3tiln4" TargetMode="External" Id="rId3015"/><Relationship Type="http://schemas.openxmlformats.org/officeDocument/2006/relationships/hyperlink" Target="https://arxiv.org/abs/2305.18290" TargetMode="External" Id="rId3016"/><Relationship Type="http://schemas.openxmlformats.org/officeDocument/2006/relationships/hyperlink" Target="https://www.youtube.com/watch?v=V_l4vOL_1Ms" TargetMode="External" Id="rId3017"/><Relationship Type="http://schemas.openxmlformats.org/officeDocument/2006/relationships/hyperlink" Target="https://scholar.google.com/scholar?q=The+paper" TargetMode="External" Id="rId3018"/><Relationship Type="http://schemas.openxmlformats.org/officeDocument/2006/relationships/hyperlink" Target="https://www.youtube.com/watch?v=ltSzUIJ9m6s" TargetMode="External" Id="rId3019"/><Relationship Type="http://schemas.openxmlformats.org/officeDocument/2006/relationships/hyperlink" Target="https://arxiv.org/abs/2411.15124" TargetMode="External" Id="rId3020"/><Relationship Type="http://schemas.openxmlformats.org/officeDocument/2006/relationships/hyperlink" Target="https://www.youtube.com/watch?v=cMiu3A7YBks" TargetMode="External" Id="rId3021"/><Relationship Type="http://schemas.openxmlformats.org/officeDocument/2006/relationships/hyperlink" Target="https://arxiv.org/abs/2411.15124" TargetMode="External" Id="rId3022"/><Relationship Type="http://schemas.openxmlformats.org/officeDocument/2006/relationships/hyperlink" Target="https://www.youtube.com/watch?v=i591a2Pv390" TargetMode="External" Id="rId3023"/><Relationship Type="http://schemas.openxmlformats.org/officeDocument/2006/relationships/hyperlink" Target="https://arxiv.org/abs/2411.15124" TargetMode="External" Id="rId3024"/><Relationship Type="http://schemas.openxmlformats.org/officeDocument/2006/relationships/hyperlink" Target="https://www.youtube.com/watch?v=zYeIqzULzr0" TargetMode="External" Id="rId3025"/><Relationship Type="http://schemas.openxmlformats.org/officeDocument/2006/relationships/hyperlink" Target="https://scholar.google.com/scholar?q=Shao+et+al.+2024+GRPO" TargetMode="External" Id="rId3026"/><Relationship Type="http://schemas.openxmlformats.org/officeDocument/2006/relationships/hyperlink" Target="https://www.youtube.com/watch?v=xXXdea-i5ic" TargetMode="External" Id="rId3027"/><Relationship Type="http://schemas.openxmlformats.org/officeDocument/2006/relationships/hyperlink" Target="https://arxiv.org/abs/2411.15124" TargetMode="External" Id="rId3028"/><Relationship Type="http://schemas.openxmlformats.org/officeDocument/2006/relationships/hyperlink" Target="https://www.youtube.com/watch?v=J1APR8Bo9dE" TargetMode="External" Id="rId3029"/><Relationship Type="http://schemas.openxmlformats.org/officeDocument/2006/relationships/hyperlink" Target="https://arxiv.org/abs/2411.15124" TargetMode="External" Id="rId3030"/><Relationship Type="http://schemas.openxmlformats.org/officeDocument/2006/relationships/hyperlink" Target="https://www.youtube.com/watch?v=amrJDwMUFNs" TargetMode="External" Id="rId3031"/><Relationship Type="http://schemas.openxmlformats.org/officeDocument/2006/relationships/hyperlink" Target="https://scholar.google.com/scholar?q=Shao+et+al.+2024+GRPO+DeepSeekMath" TargetMode="External" Id="rId3032"/><Relationship Type="http://schemas.openxmlformats.org/officeDocument/2006/relationships/hyperlink" Target="https://www.youtube.com/watch?v=BaAaD0JH6BE" TargetMode="External" Id="rId3033"/><Relationship Type="http://schemas.openxmlformats.org/officeDocument/2006/relationships/hyperlink" Target="https://arxiv.org/abs/2411.15124" TargetMode="External" Id="rId3034"/><Relationship Type="http://schemas.openxmlformats.org/officeDocument/2006/relationships/hyperlink" Target="https://www.youtube.com/watch?v=CAaHAfCqrBA" TargetMode="External" Id="rId3035"/><Relationship Type="http://schemas.openxmlformats.org/officeDocument/2006/relationships/hyperlink" Target="https://arxiv.org/abs/2403.13787" TargetMode="External" Id="rId3036"/><Relationship Type="http://schemas.openxmlformats.org/officeDocument/2006/relationships/hyperlink" Target="https://www.youtube.com/watch?v=PuESFNSh_Qo" TargetMode="External" Id="rId3037"/><Relationship Type="http://schemas.openxmlformats.org/officeDocument/2006/relationships/hyperlink" Target="https://arxiv.org/abs/2312.09390" TargetMode="External" Id="rId3038"/><Relationship Type="http://schemas.openxmlformats.org/officeDocument/2006/relationships/hyperlink" Target="https://www.youtube.com/watch?v=ZOc_SqEhKVM" TargetMode="External" Id="rId3039"/><Relationship Type="http://schemas.openxmlformats.org/officeDocument/2006/relationships/hyperlink" Target="https://arxiv.org/abs/2201.03544" TargetMode="External" Id="rId3040"/><Relationship Type="http://schemas.openxmlformats.org/officeDocument/2006/relationships/hyperlink" Target="https://www.youtube.com/watch?v=gh7tff8roKw" TargetMode="External" Id="rId3041"/><Relationship Type="http://schemas.openxmlformats.org/officeDocument/2006/relationships/hyperlink" Target="https://arxiv.org/abs/2403.13787" TargetMode="External" Id="rId3042"/><Relationship Type="http://schemas.openxmlformats.org/officeDocument/2006/relationships/hyperlink" Target="https://www.youtube.com/watch?v=L9Vnd9-CV5U" TargetMode="External" Id="rId3043"/><Relationship Type="http://schemas.openxmlformats.org/officeDocument/2006/relationships/hyperlink" Target="https://arxiv.org/abs/2403.13787" TargetMode="External" Id="rId3044"/><Relationship Type="http://schemas.openxmlformats.org/officeDocument/2006/relationships/hyperlink" Target="https://www.youtube.com/watch?v=jIvMB0dbpiI" TargetMode="External" Id="rId3045"/><Relationship Type="http://schemas.openxmlformats.org/officeDocument/2006/relationships/hyperlink" Target="https://arxiv.org/abs/2403.13787" TargetMode="External" Id="rId3046"/><Relationship Type="http://schemas.openxmlformats.org/officeDocument/2006/relationships/hyperlink" Target="https://www.youtube.com/watch?v=b1hdi7jMdxU" TargetMode="External" Id="rId3047"/><Relationship Type="http://schemas.openxmlformats.org/officeDocument/2006/relationships/hyperlink" Target="https://arxiv.org/abs/2403.13787" TargetMode="External" Id="rId3048"/><Relationship Type="http://schemas.openxmlformats.org/officeDocument/2006/relationships/hyperlink" Target="https://www.youtube.com/watch?v=kfR6Jq-51x0" TargetMode="External" Id="rId3049"/><Relationship Type="http://schemas.openxmlformats.org/officeDocument/2006/relationships/hyperlink" Target="https://arxiv.org/abs/1503.02531" TargetMode="External" Id="rId3050"/><Relationship Type="http://schemas.openxmlformats.org/officeDocument/2006/relationships/hyperlink" Target="https://www.youtube.com/watch?v=IKtAFLUAYvM" TargetMode="External" Id="rId3051"/><Relationship Type="http://schemas.openxmlformats.org/officeDocument/2006/relationships/hyperlink" Target="https://arxiv.org/abs/1503.02531" TargetMode="External" Id="rId3052"/><Relationship Type="http://schemas.openxmlformats.org/officeDocument/2006/relationships/hyperlink" Target="https://www.youtube.com/watch?v=DvVGkj4zhVU" TargetMode="External" Id="rId3053"/><Relationship Type="http://schemas.openxmlformats.org/officeDocument/2006/relationships/hyperlink" Target="https://arxiv.org/abs/1503.02531" TargetMode="External" Id="rId3054"/><Relationship Type="http://schemas.openxmlformats.org/officeDocument/2006/relationships/hyperlink" Target="https://www.youtube.com/watch?v=jpbt3IZgbcc" TargetMode="External" Id="rId3055"/><Relationship Type="http://schemas.openxmlformats.org/officeDocument/2006/relationships/hyperlink" Target="https://arxiv.org/abs/1503.02531" TargetMode="External" Id="rId3056"/><Relationship Type="http://schemas.openxmlformats.org/officeDocument/2006/relationships/hyperlink" Target="https://www.youtube.com/watch?v=wqJH7EMOHrg" TargetMode="External" Id="rId3057"/><Relationship Type="http://schemas.openxmlformats.org/officeDocument/2006/relationships/hyperlink" Target="https://arxiv.org/abs/1503.02531" TargetMode="External" Id="rId3058"/><Relationship Type="http://schemas.openxmlformats.org/officeDocument/2006/relationships/hyperlink" Target="https://www.youtube.com/watch?v=24O1KcIO3FM" TargetMode="External" Id="rId3059"/><Relationship Type="http://schemas.openxmlformats.org/officeDocument/2006/relationships/hyperlink" Target="https://arxiv.org/abs/1503.02531" TargetMode="External" Id="rId3060"/><Relationship Type="http://schemas.openxmlformats.org/officeDocument/2006/relationships/hyperlink" Target="https://www.youtube.com/watch?v=DqIhGQWzjSo" TargetMode="External" Id="rId3061"/><Relationship Type="http://schemas.openxmlformats.org/officeDocument/2006/relationships/hyperlink" Target="https://arxiv.org/abs/1503.02531" TargetMode="External" Id="rId3062"/><Relationship Type="http://schemas.openxmlformats.org/officeDocument/2006/relationships/hyperlink" Target="https://www.youtube.com/watch?v=AjmdDy7Rzx0" TargetMode="External" Id="rId3063"/><Relationship Type="http://schemas.openxmlformats.org/officeDocument/2006/relationships/hyperlink" Target="https://arxiv.org/abs/1503.02531" TargetMode="External" Id="rId3064"/><Relationship Type="http://schemas.openxmlformats.org/officeDocument/2006/relationships/hyperlink" Target="https://www.youtube.com/watch?v=Fg4C6YZcqQ4" TargetMode="External" Id="rId3065"/><Relationship Type="http://schemas.openxmlformats.org/officeDocument/2006/relationships/hyperlink" Target="https://arxiv.org/abs/2401.01335" TargetMode="External" Id="rId3066"/><Relationship Type="http://schemas.openxmlformats.org/officeDocument/2006/relationships/hyperlink" Target="https://www.youtube.com/watch?v=_b0Y_Oj7id4" TargetMode="External" Id="rId3067"/><Relationship Type="http://schemas.openxmlformats.org/officeDocument/2006/relationships/hyperlink" Target="https://arxiv.org/abs/1503.02531" TargetMode="External" Id="rId3068"/><Relationship Type="http://schemas.openxmlformats.org/officeDocument/2006/relationships/hyperlink" Target="https://www.youtube.com/watch?v=ebnX5Ur1hBk" TargetMode="External" Id="rId3069"/><Relationship Type="http://schemas.openxmlformats.org/officeDocument/2006/relationships/hyperlink" Target="https://scholar.google.com/scholar?q=Wei+et+al.+2022+NeurIPS+chain-of-thought+prompting+Wang+et+al.+2023+ICLR+self-consistency" TargetMode="External" Id="rId3070"/><Relationship Type="http://schemas.openxmlformats.org/officeDocument/2006/relationships/hyperlink" Target="https://www.youtube.com/watch?v=QL-FS_Zcmyo" TargetMode="External" Id="rId3071"/><Relationship Type="http://schemas.openxmlformats.org/officeDocument/2006/relationships/hyperlink" Target="https://scholar.google.com/scholar?q=Wei+et+al.+2022+NeurIPS+chain-of-thought+prompting+Wang+et+al.+2023+ICLR+self-consistency" TargetMode="External" Id="rId3072"/><Relationship Type="http://schemas.openxmlformats.org/officeDocument/2006/relationships/hyperlink" Target="https://www.youtube.com/watch?v=_tmzV4ZRwVs" TargetMode="External" Id="rId3073"/><Relationship Type="http://schemas.openxmlformats.org/officeDocument/2006/relationships/hyperlink" Target="https://scholar.google.com/scholar?q=Wei+et+al.+2022+NeurIPS+chain-of-thought+prompting+Wang+et+al.+2023+ICLR+self-consistency" TargetMode="External" Id="rId3074"/><Relationship Type="http://schemas.openxmlformats.org/officeDocument/2006/relationships/hyperlink" Target="https://www.youtube.com/watch?v=NRyIPyO_IWY" TargetMode="External" Id="rId3075"/><Relationship Type="http://schemas.openxmlformats.org/officeDocument/2006/relationships/hyperlink" Target="https://scholar.google.com/scholar?q=Wei+et+al.+2022+NeurIPS+chain-of-thought+prompting+Wang+et+al.+2023+ICLR+self-consistency" TargetMode="External" Id="rId3076"/><Relationship Type="http://schemas.openxmlformats.org/officeDocument/2006/relationships/hyperlink" Target="https://www.youtube.com/watch?v=nOIRuVluCyE" TargetMode="External" Id="rId3077"/><Relationship Type="http://schemas.openxmlformats.org/officeDocument/2006/relationships/hyperlink" Target="https://scholar.google.com/scholar?q=Wei+et+al.+2022+NeurIPS+chain-of-thought+prompting+Wang+et+al.+2023+ICLR+self-consistency" TargetMode="External" Id="rId3078"/><Relationship Type="http://schemas.openxmlformats.org/officeDocument/2006/relationships/hyperlink" Target="https://www.youtube.com/watch?v=_I2yEhxRJlc" TargetMode="External" Id="rId3079"/><Relationship Type="http://schemas.openxmlformats.org/officeDocument/2006/relationships/hyperlink" Target="https://scholar.google.com/scholar?q=Wei+et+al.+2022+NeurIPS+chain-of-thought+prompting+Wang+et+al.+2023+ICLR+self-consistency" TargetMode="External" Id="rId3080"/><Relationship Type="http://schemas.openxmlformats.org/officeDocument/2006/relationships/hyperlink" Target="https://www.youtube.com/watch?v=cVjgMVYkxbg" TargetMode="External" Id="rId3081"/><Relationship Type="http://schemas.openxmlformats.org/officeDocument/2006/relationships/hyperlink" Target="https://scholar.google.com/scholar?q=Wei+et+al.+2022+NeurIPS+chain-of-thought+prompting+Wang+et+al.+2023+ICLR+self-consistency" TargetMode="External" Id="rId3082"/><Relationship Type="http://schemas.openxmlformats.org/officeDocument/2006/relationships/hyperlink" Target="https://www.youtube.com/watch?v=_pY8YwQ2gF8" TargetMode="External" Id="rId3083"/><Relationship Type="http://schemas.openxmlformats.org/officeDocument/2006/relationships/hyperlink" Target="https://scholar.google.com/scholar?q=Wei+et+al.+2022+NeurIPS+chain-of-thought+prompting+Wang+et+al.+2023+ICLR+self-consistency" TargetMode="External" Id="rId3084"/><Relationship Type="http://schemas.openxmlformats.org/officeDocument/2006/relationships/hyperlink" Target="https://www.youtube.com/watch?v=70-ugtkvqe8" TargetMode="External" Id="rId3085"/><Relationship Type="http://schemas.openxmlformats.org/officeDocument/2006/relationships/hyperlink" Target="https://scholar.google.com/scholar?q=Wei+et+al.+2022+NeurIPS+chain-of-thought+prompting+Wang+et+al.+2023+ICLR+self-consistency" TargetMode="External" Id="rId3086"/><Relationship Type="http://schemas.openxmlformats.org/officeDocument/2006/relationships/hyperlink" Target="https://www.youtube.com/watch?v=OXwGp9YeuBg" TargetMode="External" Id="rId3087"/><Relationship Type="http://schemas.openxmlformats.org/officeDocument/2006/relationships/hyperlink" Target="https://arxiv.org/abs/2408.03314" TargetMode="External" Id="rId3088"/><Relationship Type="http://schemas.openxmlformats.org/officeDocument/2006/relationships/hyperlink" Target="https://www.youtube.com/watch?v=4xT_6NtC3oo" TargetMode="External" Id="rId3089"/><Relationship Type="http://schemas.openxmlformats.org/officeDocument/2006/relationships/hyperlink" Target="https://arxiv.org/abs/2408.03314" TargetMode="External" Id="rId3090"/><Relationship Type="http://schemas.openxmlformats.org/officeDocument/2006/relationships/hyperlink" Target="https://www.youtube.com/watch?v=0s1gZe_BcQ0" TargetMode="External" Id="rId3091"/><Relationship Type="http://schemas.openxmlformats.org/officeDocument/2006/relationships/hyperlink" Target="https://arxiv.org/abs/2408.03314" TargetMode="External" Id="rId3092"/><Relationship Type="http://schemas.openxmlformats.org/officeDocument/2006/relationships/hyperlink" Target="https://www.youtube.com/watch?v=oqOBYOx3sHE" TargetMode="External" Id="rId3093"/><Relationship Type="http://schemas.openxmlformats.org/officeDocument/2006/relationships/hyperlink" Target="https://arxiv.org/abs/2408.03314" TargetMode="External" Id="rId3094"/><Relationship Type="http://schemas.openxmlformats.org/officeDocument/2006/relationships/hyperlink" Target="https://www.youtube.com/watch?v=5hJhPxKFaus" TargetMode="External" Id="rId3095"/><Relationship Type="http://schemas.openxmlformats.org/officeDocument/2006/relationships/hyperlink" Target="https://arxiv.org/abs/2408.03314" TargetMode="External" Id="rId3096"/><Relationship Type="http://schemas.openxmlformats.org/officeDocument/2006/relationships/hyperlink" Target="https://www.youtube.com/watch?v=-pi4lI6FnT4" TargetMode="External" Id="rId3097"/><Relationship Type="http://schemas.openxmlformats.org/officeDocument/2006/relationships/hyperlink" Target="https://arxiv.org/abs/2408.03314" TargetMode="External" Id="rId3098"/><Relationship Type="http://schemas.openxmlformats.org/officeDocument/2006/relationships/hyperlink" Target="https://www.youtube.com/watch?v=g0Dwtf3BH-0" TargetMode="External" Id="rId3099"/><Relationship Type="http://schemas.openxmlformats.org/officeDocument/2006/relationships/hyperlink" Target="https://arxiv.org/abs/2408.03314" TargetMode="External" Id="rId3100"/><Relationship Type="http://schemas.openxmlformats.org/officeDocument/2006/relationships/hyperlink" Target="https://www.youtube.com/watch?v=gaRyGLFI2YA" TargetMode="External" Id="rId3101"/><Relationship Type="http://schemas.openxmlformats.org/officeDocument/2006/relationships/hyperlink" Target="https://arxiv.org/abs/2408.03314" TargetMode="External" Id="rId3102"/><Relationship Type="http://schemas.openxmlformats.org/officeDocument/2006/relationships/hyperlink" Target="https://www.youtube.com/watch?v=nIsSN-nujGQ" TargetMode="External" Id="rId3103"/><Relationship Type="http://schemas.openxmlformats.org/officeDocument/2006/relationships/hyperlink" Target="https://arxiv.org/abs/2408.03314" TargetMode="External" Id="rId3104"/><Relationship Type="http://schemas.openxmlformats.org/officeDocument/2006/relationships/hyperlink" Target="https://www.youtube.com/watch?v=Gr_eYXdHFis" TargetMode="External" Id="rId3105"/><Relationship Type="http://schemas.openxmlformats.org/officeDocument/2006/relationships/hyperlink" Target="https://scholar.google.com/scholar?q=OpenAI+o1+system+card" TargetMode="External" Id="rId3106"/><Relationship Type="http://schemas.openxmlformats.org/officeDocument/2006/relationships/hyperlink" Target="https://www.youtube.com/watch?v=_MNlLhU33H0" TargetMode="External" Id="rId3107"/><Relationship Type="http://schemas.openxmlformats.org/officeDocument/2006/relationships/hyperlink" Target="https://arxiv.org/abs/2501.12948" TargetMode="External" Id="rId3108"/><Relationship Type="http://schemas.openxmlformats.org/officeDocument/2006/relationships/hyperlink" Target="https://www.youtube.com/watch?v=6PEJ96k1kiw" TargetMode="External" Id="rId3109"/><Relationship Type="http://schemas.openxmlformats.org/officeDocument/2006/relationships/hyperlink" Target="https://arxiv.org/abs/2501.12948" TargetMode="External" Id="rId3110"/><Relationship Type="http://schemas.openxmlformats.org/officeDocument/2006/relationships/hyperlink" Target="https://www.youtube.com/watch?v=KtBcIDtS13M" TargetMode="External" Id="rId3111"/><Relationship Type="http://schemas.openxmlformats.org/officeDocument/2006/relationships/hyperlink" Target="https://arxiv.org/abs/2501.12948" TargetMode="External" Id="rId3112"/><Relationship Type="http://schemas.openxmlformats.org/officeDocument/2006/relationships/hyperlink" Target="https://www.youtube.com/watch?v=IeCS6hsnOXs" TargetMode="External" Id="rId3113"/><Relationship Type="http://schemas.openxmlformats.org/officeDocument/2006/relationships/hyperlink" Target="https://arxiv.org/abs/2501.12948" TargetMode="External" Id="rId3114"/><Relationship Type="http://schemas.openxmlformats.org/officeDocument/2006/relationships/hyperlink" Target="https://www.youtube.com/watch?v=EEkxuqlvCss" TargetMode="External" Id="rId3115"/><Relationship Type="http://schemas.openxmlformats.org/officeDocument/2006/relationships/hyperlink" Target="https://arxiv.org/abs/2501.12948" TargetMode="External" Id="rId3116"/><Relationship Type="http://schemas.openxmlformats.org/officeDocument/2006/relationships/hyperlink" Target="https://www.youtube.com/watch?v=kEfUaLBlSHc" TargetMode="External" Id="rId3117"/><Relationship Type="http://schemas.openxmlformats.org/officeDocument/2006/relationships/hyperlink" Target="https://arxiv.org/abs/2501.12948" TargetMode="External" Id="rId3118"/><Relationship Type="http://schemas.openxmlformats.org/officeDocument/2006/relationships/hyperlink" Target="https://www.youtube.com/watch?v=ddd4xjuJTyg" TargetMode="External" Id="rId3119"/><Relationship Type="http://schemas.openxmlformats.org/officeDocument/2006/relationships/hyperlink" Target="https://arxiv.org/abs/2501.12948" TargetMode="External" Id="rId3120"/><Relationship Type="http://schemas.openxmlformats.org/officeDocument/2006/relationships/hyperlink" Target="https://www.youtube.com/watch?v=hPXTRZ9A-9M" TargetMode="External" Id="rId3121"/><Relationship Type="http://schemas.openxmlformats.org/officeDocument/2006/relationships/hyperlink" Target="https://arxiv.org/abs/2501.12948" TargetMode="External" Id="rId3122"/><Relationship Type="http://schemas.openxmlformats.org/officeDocument/2006/relationships/hyperlink" Target="https://www.youtube.com/watch?v=0rfgyQ-wAQM" TargetMode="External" Id="rId3123"/><Relationship Type="http://schemas.openxmlformats.org/officeDocument/2006/relationships/hyperlink" Target="https://arxiv.org/abs/2110.14168" TargetMode="External" Id="rId3124"/><Relationship Type="http://schemas.openxmlformats.org/officeDocument/2006/relationships/hyperlink" Target="https://www.youtube.com/watch?v=jPluSXJpdrA" TargetMode="External" Id="rId3125"/><Relationship Type="http://schemas.openxmlformats.org/officeDocument/2006/relationships/hyperlink" Target="https://arxiv.org/abs/2110.14168" TargetMode="External" Id="rId3126"/><Relationship Type="http://schemas.openxmlformats.org/officeDocument/2006/relationships/hyperlink" Target="https://www.youtube.com/watch?v=yMGG2OENyu0" TargetMode="External" Id="rId3127"/><Relationship Type="http://schemas.openxmlformats.org/officeDocument/2006/relationships/hyperlink" Target="https://arxiv.org/abs/2211.15661" TargetMode="External" Id="rId3128"/><Relationship Type="http://schemas.openxmlformats.org/officeDocument/2006/relationships/hyperlink" Target="https://www.youtube.com/watch?v=pC4zRb_5noQ" TargetMode="External" Id="rId3129"/><Relationship Type="http://schemas.openxmlformats.org/officeDocument/2006/relationships/hyperlink" Target="https://arxiv.org/abs/2211.15661" TargetMode="External" Id="rId3130"/><Relationship Type="http://schemas.openxmlformats.org/officeDocument/2006/relationships/hyperlink" Target="https://www.youtube.com/watch?v=dCkQQYwPxdM" TargetMode="External" Id="rId3131"/><Relationship Type="http://schemas.openxmlformats.org/officeDocument/2006/relationships/hyperlink" Target="https://arxiv.org/abs/2211.15661" TargetMode="External" Id="rId3132"/><Relationship Type="http://schemas.openxmlformats.org/officeDocument/2006/relationships/hyperlink" Target="https://www.youtube.com/watch?v=0Dwimu1q5yk" TargetMode="External" Id="rId3133"/><Relationship Type="http://schemas.openxmlformats.org/officeDocument/2006/relationships/hyperlink" Target="https://arxiv.org/abs/2211.15661" TargetMode="External" Id="rId3134"/><Relationship Type="http://schemas.openxmlformats.org/officeDocument/2006/relationships/hyperlink" Target="https://www.youtube.com/watch?v=CXLL_-UFZsQ" TargetMode="External" Id="rId3135"/><Relationship Type="http://schemas.openxmlformats.org/officeDocument/2006/relationships/hyperlink" Target="https://arxiv.org/abs/2211.15661" TargetMode="External" Id="rId3136"/><Relationship Type="http://schemas.openxmlformats.org/officeDocument/2006/relationships/hyperlink" Target="https://www.youtube.com/watch?v=UNVl64G3BzA" TargetMode="External" Id="rId3137"/><Relationship Type="http://schemas.openxmlformats.org/officeDocument/2006/relationships/hyperlink" Target="https://arxiv.org/abs/2211.15661" TargetMode="External" Id="rId3138"/><Relationship Type="http://schemas.openxmlformats.org/officeDocument/2006/relationships/hyperlink" Target="https://www.youtube.com/watch?v=hxrR39mAlR4" TargetMode="External" Id="rId3139"/><Relationship Type="http://schemas.openxmlformats.org/officeDocument/2006/relationships/hyperlink" Target="https://arxiv.org/abs/2211.15661" TargetMode="External" Id="rId3140"/><Relationship Type="http://schemas.openxmlformats.org/officeDocument/2006/relationships/hyperlink" Target="https://www.youtube.com/watch?v=DiJsg93zQDc" TargetMode="External" Id="rId3141"/><Relationship Type="http://schemas.openxmlformats.org/officeDocument/2006/relationships/hyperlink" Target="https://arxiv.org/abs/2211.15661" TargetMode="External" Id="rId3142"/><Relationship Type="http://schemas.openxmlformats.org/officeDocument/2006/relationships/hyperlink" Target="https://www.youtube.com/watch?v=Gag7H4M-GdQ" TargetMode="External" Id="rId3143"/><Relationship Type="http://schemas.openxmlformats.org/officeDocument/2006/relationships/hyperlink" Target="https://arxiv.org/abs/2211.15661" TargetMode="External" Id="rId3144"/><Relationship Type="http://schemas.openxmlformats.org/officeDocument/2006/relationships/hyperlink" Target="https://www.youtube.com/watch?v=zpsJgG7rosE" TargetMode="External" Id="rId3145"/><Relationship Type="http://schemas.openxmlformats.org/officeDocument/2006/relationships/hyperlink" Target="https://arxiv.org/abs/2211.15661" TargetMode="External" Id="rId3146"/><Relationship Type="http://schemas.openxmlformats.org/officeDocument/2006/relationships/hyperlink" Target="https://www.youtube.com/watch?v=ncAhx70jTIc" TargetMode="External" Id="rId3147"/><Relationship Type="http://schemas.openxmlformats.org/officeDocument/2006/relationships/hyperlink" Target="https://arxiv.org/abs/2211.15661" TargetMode="External" Id="rId3148"/><Relationship Type="http://schemas.openxmlformats.org/officeDocument/2006/relationships/hyperlink" Target="https://www.youtube.com/watch?v=qHWBk5ewYwI" TargetMode="External" Id="rId3149"/><Relationship Type="http://schemas.openxmlformats.org/officeDocument/2006/relationships/hyperlink" Target="https://arxiv.org/abs/2211.15661" TargetMode="External" Id="rId3150"/><Relationship Type="http://schemas.openxmlformats.org/officeDocument/2006/relationships/hyperlink" Target="https://www.youtube.com/watch?v=tVtOevLrt5U" TargetMode="External" Id="rId3151"/><Relationship Type="http://schemas.openxmlformats.org/officeDocument/2006/relationships/hyperlink" Target="https://arxiv.org/abs/2304.15004" TargetMode="External" Id="rId3152"/><Relationship Type="http://schemas.openxmlformats.org/officeDocument/2006/relationships/hyperlink" Target="https://www.youtube.com/watch?v=0Z1ZwY2K2-M" TargetMode="External" Id="rId3153"/><Relationship Type="http://schemas.openxmlformats.org/officeDocument/2006/relationships/hyperlink" Target="https://arxiv.org/abs/2304.15004" TargetMode="External" Id="rId3154"/><Relationship Type="http://schemas.openxmlformats.org/officeDocument/2006/relationships/hyperlink" Target="https://www.youtube.com/watch?v=blX2RzZYeJo" TargetMode="External" Id="rId3155"/><Relationship Type="http://schemas.openxmlformats.org/officeDocument/2006/relationships/hyperlink" Target="https://arxiv.org/abs/2304.15004" TargetMode="External" Id="rId3156"/><Relationship Type="http://schemas.openxmlformats.org/officeDocument/2006/relationships/hyperlink" Target="https://www.youtube.com/watch?v=0D23NeBjCeQ" TargetMode="External" Id="rId3157"/><Relationship Type="http://schemas.openxmlformats.org/officeDocument/2006/relationships/hyperlink" Target="https://arxiv.org/abs/2304.15004" TargetMode="External" Id="rId3158"/><Relationship Type="http://schemas.openxmlformats.org/officeDocument/2006/relationships/hyperlink" Target="https://www.youtube.com/watch?v=LYqqHLaW30w" TargetMode="External" Id="rId3159"/><Relationship Type="http://schemas.openxmlformats.org/officeDocument/2006/relationships/hyperlink" Target="https://arxiv.org/abs/2304.15004" TargetMode="External" Id="rId3160"/><Relationship Type="http://schemas.openxmlformats.org/officeDocument/2006/relationships/hyperlink" Target="https://www.youtube.com/watch?v=IHikLL8ULa4" TargetMode="External" Id="rId3161"/><Relationship Type="http://schemas.openxmlformats.org/officeDocument/2006/relationships/hyperlink" Target="https://arxiv.org/abs/2304.15004" TargetMode="External" Id="rId3162"/><Relationship Type="http://schemas.openxmlformats.org/officeDocument/2006/relationships/hyperlink" Target="https://www.youtube.com/watch?v=dJtHauhRasc" TargetMode="External" Id="rId3163"/><Relationship Type="http://schemas.openxmlformats.org/officeDocument/2006/relationships/hyperlink" Target="https://arxiv.org/abs/2304.15004" TargetMode="External" Id="rId3164"/><Relationship Type="http://schemas.openxmlformats.org/officeDocument/2006/relationships/hyperlink" Target="https://www.youtube.com/watch?v=WJ89r5x5hDA" TargetMode="External" Id="rId3165"/><Relationship Type="http://schemas.openxmlformats.org/officeDocument/2006/relationships/hyperlink" Target="https://arxiv.org/abs/2304.15004" TargetMode="External" Id="rId3166"/><Relationship Type="http://schemas.openxmlformats.org/officeDocument/2006/relationships/hyperlink" Target="https://www.youtube.com/watch?v=yBL7J0kgldU" TargetMode="External" Id="rId3167"/><Relationship Type="http://schemas.openxmlformats.org/officeDocument/2006/relationships/hyperlink" Target="https://arxiv.org/abs/2304.15004" TargetMode="External" Id="rId3168"/><Relationship Type="http://schemas.openxmlformats.org/officeDocument/2006/relationships/hyperlink" Target="https://www.youtube.com/watch?v=H3TnTxVKIOQ" TargetMode="External" Id="rId3169"/><Relationship Type="http://schemas.openxmlformats.org/officeDocument/2006/relationships/hyperlink" Target="https://scholar.google.com/scholar?q=McCoy+et+al.+2024+PNAS+121%3Ae2322420121+Embers+of+Autoregression" TargetMode="External" Id="rId3170"/><Relationship Type="http://schemas.openxmlformats.org/officeDocument/2006/relationships/hyperlink" Target="https://www.youtube.com/watch?v=qPhbh9fQ7tI" TargetMode="External" Id="rId3171"/><Relationship Type="http://schemas.openxmlformats.org/officeDocument/2006/relationships/hyperlink" Target="https://arxiv.org/abs/2303.12712" TargetMode="External" Id="rId3172"/><Relationship Type="http://schemas.openxmlformats.org/officeDocument/2006/relationships/hyperlink" Target="https://www.youtube.com/watch?v=oC1PESU0xN4" TargetMode="External" Id="rId3173"/><Relationship Type="http://schemas.openxmlformats.org/officeDocument/2006/relationships/hyperlink" Target="https://arxiv.org/abs/2402.01817" TargetMode="External" Id="rId3174"/><Relationship Type="http://schemas.openxmlformats.org/officeDocument/2006/relationships/hyperlink" Target="https://www.youtube.com/watch?v=y1WnHpedi2A" TargetMode="External" Id="rId3175"/><Relationship Type="http://schemas.openxmlformats.org/officeDocument/2006/relationships/hyperlink" Target="https://arxiv.org/abs/2303.12712" TargetMode="External" Id="rId3176"/><Relationship Type="http://schemas.openxmlformats.org/officeDocument/2006/relationships/hyperlink" Target="https://www.youtube.com/watch?v=JTU8Ha4Jyfc" TargetMode="External" Id="rId3177"/><Relationship Type="http://schemas.openxmlformats.org/officeDocument/2006/relationships/hyperlink" Target="https://arxiv.org/abs/2303.12712" TargetMode="External" Id="rId3178"/><Relationship Type="http://schemas.openxmlformats.org/officeDocument/2006/relationships/hyperlink" Target="https://www.youtube.com/watch?v=w9WE1aOPjHc" TargetMode="External" Id="rId3179"/><Relationship Type="http://schemas.openxmlformats.org/officeDocument/2006/relationships/hyperlink" Target="https://arxiv.org/abs/1911.01547" TargetMode="External" Id="rId3180"/><Relationship Type="http://schemas.openxmlformats.org/officeDocument/2006/relationships/hyperlink" Target="https://www.youtube.com/watch?v=X9M4HKotADo" TargetMode="External" Id="rId3181"/><Relationship Type="http://schemas.openxmlformats.org/officeDocument/2006/relationships/hyperlink" Target="https://arxiv.org/abs/2303.12712" TargetMode="External" Id="rId3182"/><Relationship Type="http://schemas.openxmlformats.org/officeDocument/2006/relationships/hyperlink" Target="https://www.youtube.com/watch?v=GWYdAMGQh1s" TargetMode="External" Id="rId3183"/><Relationship Type="http://schemas.openxmlformats.org/officeDocument/2006/relationships/hyperlink" Target="https://arxiv.org/abs/2303.12712" TargetMode="External" Id="rId3184"/><Relationship Type="http://schemas.openxmlformats.org/officeDocument/2006/relationships/hyperlink" Target="https://www.youtube.com/watch?v=Ntl_WNW8yGc" TargetMode="External" Id="rId3185"/><Relationship Type="http://schemas.openxmlformats.org/officeDocument/2006/relationships/hyperlink" Target="https://arxiv.org/abs/1703.02930" TargetMode="External" Id="rId3186"/><Relationship Type="http://schemas.openxmlformats.org/officeDocument/2006/relationships/hyperlink" Target="https://www.youtube.com/watch?v=QO8HOqQ_6BQ" TargetMode="External" Id="rId3187"/><Relationship Type="http://schemas.openxmlformats.org/officeDocument/2006/relationships/hyperlink" Target="https://arxiv.org/abs/1706.08498" TargetMode="External" Id="rId3188"/><Relationship Type="http://schemas.openxmlformats.org/officeDocument/2006/relationships/hyperlink" Target="https://www.youtube.com/watch?v=8hZD5bMBbY4" TargetMode="External" Id="rId3189"/><Relationship Type="http://schemas.openxmlformats.org/officeDocument/2006/relationships/hyperlink" Target="https://arxiv.org/abs/1706.08498" TargetMode="External" Id="rId3190"/><Relationship Type="http://schemas.openxmlformats.org/officeDocument/2006/relationships/hyperlink" Target="https://www.youtube.com/watch?v=n5Zxi22801Q" TargetMode="External" Id="rId3191"/><Relationship Type="http://schemas.openxmlformats.org/officeDocument/2006/relationships/hyperlink" Target="https://arxiv.org/abs/2103.09177" TargetMode="External" Id="rId3192"/><Relationship Type="http://schemas.openxmlformats.org/officeDocument/2006/relationships/hyperlink" Target="https://www.youtube.com/watch?v=7uRVR9hsF0g" TargetMode="External" Id="rId3193"/><Relationship Type="http://schemas.openxmlformats.org/officeDocument/2006/relationships/hyperlink" Target="https://arxiv.org/abs/1412.6614" TargetMode="External" Id="rId3194"/><Relationship Type="http://schemas.openxmlformats.org/officeDocument/2006/relationships/hyperlink" Target="https://www.youtube.com/watch?v=IkuOmf7ey14" TargetMode="External" Id="rId3195"/><Relationship Type="http://schemas.openxmlformats.org/officeDocument/2006/relationships/hyperlink" Target="https://arxiv.org/abs/1806.00468" TargetMode="External" Id="rId3196"/><Relationship Type="http://schemas.openxmlformats.org/officeDocument/2006/relationships/hyperlink" Target="https://www.youtube.com/watch?v=NeTUt5TJOiY" TargetMode="External" Id="rId3197"/><Relationship Type="http://schemas.openxmlformats.org/officeDocument/2006/relationships/hyperlink" Target="https://arxiv.org/abs/1802.08246" TargetMode="External" Id="rId3198"/><Relationship Type="http://schemas.openxmlformats.org/officeDocument/2006/relationships/hyperlink" Target="https://www.youtube.com/watch?v=8mO1CFfpbRE" TargetMode="External" Id="rId3199"/><Relationship Type="http://schemas.openxmlformats.org/officeDocument/2006/relationships/hyperlink" Target="https://arxiv.org/abs/1906.05890" TargetMode="External" Id="rId3200"/><Relationship Type="http://schemas.openxmlformats.org/officeDocument/2006/relationships/hyperlink" Target="https://www.youtube.com/watch?v=YwX44phI_gc" TargetMode="External" Id="rId3201"/><Relationship Type="http://schemas.openxmlformats.org/officeDocument/2006/relationships/hyperlink" Target="https://arxiv.org/abs/1503.00036" TargetMode="External" Id="rId3202"/><Relationship Type="http://schemas.openxmlformats.org/officeDocument/2006/relationships/hyperlink" Target="https://www.youtube.com/watch?v=t9ZRPpVKt4c" TargetMode="External" Id="rId3203"/><Relationship Type="http://schemas.openxmlformats.org/officeDocument/2006/relationships/hyperlink" Target="https://arxiv.org/abs/2208.12591" TargetMode="External" Id="rId3204"/><Relationship Type="http://schemas.openxmlformats.org/officeDocument/2006/relationships/hyperlink" Target="https://www.youtube.com/watch?v=o3GfnEjTdIQ" TargetMode="External" Id="rId3205"/><Relationship Type="http://schemas.openxmlformats.org/officeDocument/2006/relationships/hyperlink" Target="https://arxiv.org/abs/1902.04742" TargetMode="External" Id="rId3206"/><Relationship Type="http://schemas.openxmlformats.org/officeDocument/2006/relationships/hyperlink" Target="https://www.youtube.com/watch?v=6mdFQR0-WT0" TargetMode="External" Id="rId3207"/><Relationship Type="http://schemas.openxmlformats.org/officeDocument/2006/relationships/hyperlink" Target="https://arxiv.org/abs/1912.04265" TargetMode="External" Id="rId3208"/><Relationship Type="http://schemas.openxmlformats.org/officeDocument/2006/relationships/hyperlink" Target="https://www.youtube.com/watch?v=yfk-IPlr6M0" TargetMode="External" Id="rId3209"/><Relationship Type="http://schemas.openxmlformats.org/officeDocument/2006/relationships/hyperlink" Target="https://arxiv.org/abs/1706.08498" TargetMode="External" Id="rId3210"/><Relationship Type="http://schemas.openxmlformats.org/officeDocument/2006/relationships/hyperlink" Target="https://www.youtube.com/watch?v=Rc76ZBP6fHM" TargetMode="External" Id="rId3211"/><Relationship Type="http://schemas.openxmlformats.org/officeDocument/2006/relationships/hyperlink" Target="https://arxiv.org/abs/2006.06657" TargetMode="External" Id="rId3212"/><Relationship Type="http://schemas.openxmlformats.org/officeDocument/2006/relationships/hyperlink" Target="https://www.youtube.com/watch?v=rv-vzl5-oIs" TargetMode="External" Id="rId3213"/><Relationship Type="http://schemas.openxmlformats.org/officeDocument/2006/relationships/hyperlink" Target="https://arxiv.org/abs/1710.10345" TargetMode="External" Id="rId3214"/><Relationship Type="http://schemas.openxmlformats.org/officeDocument/2006/relationships/hyperlink" Target="https://www.youtube.com/watch?v=b5bYObH8rKs" TargetMode="External" Id="rId3215"/><Relationship Type="http://schemas.openxmlformats.org/officeDocument/2006/relationships/hyperlink" Target="https://arxiv.org/abs/2208.02789" TargetMode="External" Id="rId3216"/><Relationship Type="http://schemas.openxmlformats.org/officeDocument/2006/relationships/hyperlink" Target="https://www.youtube.com/watch?v=bSJZQVNiLP0" TargetMode="External" Id="rId3217"/><Relationship Type="http://schemas.openxmlformats.org/officeDocument/2006/relationships/hyperlink" Target="https://arxiv.org/abs/2208.02789" TargetMode="External" Id="rId3218"/><Relationship Type="http://schemas.openxmlformats.org/officeDocument/2006/relationships/hyperlink" Target="https://www.youtube.com/watch?v=_bYT2VOOxU0" TargetMode="External" Id="rId3219"/><Relationship Type="http://schemas.openxmlformats.org/officeDocument/2006/relationships/hyperlink" Target="https://arxiv.org/abs/1703.11008" TargetMode="External" Id="rId3220"/><Relationship Type="http://schemas.openxmlformats.org/officeDocument/2006/relationships/hyperlink" Target="https://www.youtube.com/watch?v=dHUH0hmKvs8" TargetMode="External" Id="rId3221"/><Relationship Type="http://schemas.openxmlformats.org/officeDocument/2006/relationships/hyperlink" Target="https://arxiv.org/abs/1703.11008" TargetMode="External" Id="rId3222"/><Relationship Type="http://schemas.openxmlformats.org/officeDocument/2006/relationships/hyperlink" Target="https://www.youtube.com/watch?v=MrUqeSj9Pgk" TargetMode="External" Id="rId3223"/><Relationship Type="http://schemas.openxmlformats.org/officeDocument/2006/relationships/hyperlink" Target="https://arxiv.org/abs/1703.11008" TargetMode="External" Id="rId3224"/><Relationship Type="http://schemas.openxmlformats.org/officeDocument/2006/relationships/hyperlink" Target="https://www.youtube.com/watch?v=iZC5H9dYVeI" TargetMode="External" Id="rId3225"/><Relationship Type="http://schemas.openxmlformats.org/officeDocument/2006/relationships/hyperlink" Target="https://arxiv.org/abs/1911.02151" TargetMode="External" Id="rId3226"/><Relationship Type="http://schemas.openxmlformats.org/officeDocument/2006/relationships/hyperlink" Target="https://www.youtube.com/watch?v=pJqV2YNlkWc" TargetMode="External" Id="rId3227"/><Relationship Type="http://schemas.openxmlformats.org/officeDocument/2006/relationships/hyperlink" Target="https://scholar.google.com/scholar?q=Roy+et+al.+NeurIPS+2024" TargetMode="External" Id="rId3228"/><Relationship Type="http://schemas.openxmlformats.org/officeDocument/2006/relationships/hyperlink" Target="https://www.youtube.com/watch?v=rcR6P5O8CpU" TargetMode="External" Id="rId3229"/><Relationship Type="http://schemas.openxmlformats.org/officeDocument/2006/relationships/hyperlink" Target="https://arxiv.org/abs/1611.03530" TargetMode="External" Id="rId3230"/><Relationship Type="http://schemas.openxmlformats.org/officeDocument/2006/relationships/hyperlink" Target="https://www.youtube.com/watch?v=xscvWCC-y6U" TargetMode="External" Id="rId3231"/><Relationship Type="http://schemas.openxmlformats.org/officeDocument/2006/relationships/hyperlink" Target="https://arxiv.org/abs/1802.05296" TargetMode="External" Id="rId3232"/><Relationship Type="http://schemas.openxmlformats.org/officeDocument/2006/relationships/hyperlink" Target="https://www.youtube.com/watch?v=HMdJd2minAI" TargetMode="External" Id="rId3233"/><Relationship Type="http://schemas.openxmlformats.org/officeDocument/2006/relationships/hyperlink" Target="https://arxiv.org/abs/1802.06509" TargetMode="External" Id="rId3234"/><Relationship Type="http://schemas.openxmlformats.org/officeDocument/2006/relationships/hyperlink" Target="https://www.youtube.com/watch?v=DbpJ6wTM5vQ" TargetMode="External" Id="rId3235"/><Relationship Type="http://schemas.openxmlformats.org/officeDocument/2006/relationships/hyperlink" Target="https://arxiv.org/abs/2303.12712" TargetMode="External" Id="rId3236"/><Relationship Type="http://schemas.openxmlformats.org/officeDocument/2006/relationships/hyperlink" Target="https://www.youtube.com/watch?v=HAfQ-Q8pn0g" TargetMode="External" Id="rId3237"/><Relationship Type="http://schemas.openxmlformats.org/officeDocument/2006/relationships/hyperlink" Target="https://arxiv.org/abs/1912.02178" TargetMode="External" Id="rId3238"/><Relationship Type="http://schemas.openxmlformats.org/officeDocument/2006/relationships/hyperlink" Target="https://www.youtube.com/watch?v=4Mga1cERS34" TargetMode="External" Id="rId3239"/><Relationship Type="http://schemas.openxmlformats.org/officeDocument/2006/relationships/hyperlink" Target="https://arxiv.org/abs/1805.12076" TargetMode="External" Id="rId3240"/><Relationship Type="http://schemas.openxmlformats.org/officeDocument/2006/relationships/hyperlink" Target="https://www.youtube.com/watch?v=NNPCk2gvTnI" TargetMode="External" Id="rId3241"/><Relationship Type="http://schemas.openxmlformats.org/officeDocument/2006/relationships/hyperlink" Target="https://arxiv.org/abs/1811.04918" TargetMode="External" Id="rId3242"/><Relationship Type="http://schemas.openxmlformats.org/officeDocument/2006/relationships/hyperlink" Target="https://www.youtube.com/watch?v=jRK3W48cO90" TargetMode="External" Id="rId3243"/><Relationship Type="http://schemas.openxmlformats.org/officeDocument/2006/relationships/hyperlink" Target="https://arxiv.org/abs/1905.12600" TargetMode="External" Id="rId3244"/><Relationship Type="http://schemas.openxmlformats.org/officeDocument/2006/relationships/hyperlink" Target="https://www.youtube.com/watch?v=rFp0tVQW_q0" TargetMode="External" Id="rId3245"/><Relationship Type="http://schemas.openxmlformats.org/officeDocument/2006/relationships/hyperlink" Target="https://arxiv.org/abs/2303.12712" TargetMode="External" Id="rId3246"/><Relationship Type="http://schemas.openxmlformats.org/officeDocument/2006/relationships/hyperlink" Target="https://www.youtube.com/watch?v=NTz4rJS9BAI" TargetMode="External" Id="rId3247"/><Relationship Type="http://schemas.openxmlformats.org/officeDocument/2006/relationships/hyperlink" Target="https://arxiv.org/abs/1902.10811" TargetMode="External" Id="rId3248"/><Relationship Type="http://schemas.openxmlformats.org/officeDocument/2006/relationships/hyperlink" Target="https://www.youtube.com/watch?v=AKMuA_TVz3A" TargetMode="External" Id="rId3249"/><Relationship Type="http://schemas.openxmlformats.org/officeDocument/2006/relationships/hyperlink" Target="https://arxiv.org/abs/2303.12712" TargetMode="External" Id="rId3250"/><Relationship Type="http://schemas.openxmlformats.org/officeDocument/2006/relationships/hyperlink" Target="https://www.youtube.com/watch?v=OBCciGnOJVs" TargetMode="External" Id="rId3251"/><Relationship Type="http://schemas.openxmlformats.org/officeDocument/2006/relationships/hyperlink" Target="https://arxiv.org/abs/1812.11118" TargetMode="External" Id="rId3252"/><Relationship Type="http://schemas.openxmlformats.org/officeDocument/2006/relationships/hyperlink" Target="https://www.youtube.com/watch?v=5-Kqb80h9rk" TargetMode="External" Id="rId3253"/><Relationship Type="http://schemas.openxmlformats.org/officeDocument/2006/relationships/hyperlink" Target="https://arxiv.org/abs/2303.12712" TargetMode="External" Id="rId3254"/><Relationship Type="http://schemas.openxmlformats.org/officeDocument/2006/relationships/hyperlink" Target="https://www.youtube.com/watch?v=5-QjjOYfeSI" TargetMode="External" Id="rId3255"/><Relationship Type="http://schemas.openxmlformats.org/officeDocument/2006/relationships/hyperlink" Target="https://arxiv.org/abs/2105.14368" TargetMode="External" Id="rId3256"/><Relationship Type="http://schemas.openxmlformats.org/officeDocument/2006/relationships/hyperlink" Target="https://www.youtube.com/watch?v=h2I0Hs2K2KI" TargetMode="External" Id="rId3257"/><Relationship Type="http://schemas.openxmlformats.org/officeDocument/2006/relationships/hyperlink" Target="https://arxiv.org/abs/1812.11118" TargetMode="External" Id="rId3258"/><Relationship Type="http://schemas.openxmlformats.org/officeDocument/2006/relationships/hyperlink" Target="https://www.youtube.com/watch?v=GXpP-rXEDpk" TargetMode="External" Id="rId3259"/><Relationship Type="http://schemas.openxmlformats.org/officeDocument/2006/relationships/hyperlink" Target="https://arxiv.org/abs/1906.11300" TargetMode="External" Id="rId3260"/><Relationship Type="http://schemas.openxmlformats.org/officeDocument/2006/relationships/hyperlink" Target="https://www.youtube.com/watch?v=o0tzfayJfVg" TargetMode="External" Id="rId3261"/><Relationship Type="http://schemas.openxmlformats.org/officeDocument/2006/relationships/hyperlink" Target="https://arxiv.org/abs/1906.11300" TargetMode="External" Id="rId3262"/><Relationship Type="http://schemas.openxmlformats.org/officeDocument/2006/relationships/hyperlink" Target="https://www.youtube.com/watch?v=zNGm0iXWxYE" TargetMode="External" Id="rId3263"/><Relationship Type="http://schemas.openxmlformats.org/officeDocument/2006/relationships/hyperlink" Target="https://arxiv.org/abs/2103.09177" TargetMode="External" Id="rId3264"/><Relationship Type="http://schemas.openxmlformats.org/officeDocument/2006/relationships/hyperlink" Target="https://www.youtube.com/watch?v=MZFXVGGB11E" TargetMode="External" Id="rId3265"/><Relationship Type="http://schemas.openxmlformats.org/officeDocument/2006/relationships/hyperlink" Target="https://arxiv.org/abs/2303.12712" TargetMode="External" Id="rId3266"/><Relationship Type="http://schemas.openxmlformats.org/officeDocument/2006/relationships/hyperlink" Target="https://www.youtube.com/watch?v=cg9s7jpWgck" TargetMode="External" Id="rId3267"/><Relationship Type="http://schemas.openxmlformats.org/officeDocument/2006/relationships/hyperlink" Target="https://arxiv.org/abs/2207.06569" TargetMode="External" Id="rId3268"/><Relationship Type="http://schemas.openxmlformats.org/officeDocument/2006/relationships/hyperlink" Target="https://www.youtube.com/watch?v=aZL4mIvuYd4" TargetMode="External" Id="rId3269"/><Relationship Type="http://schemas.openxmlformats.org/officeDocument/2006/relationships/hyperlink" Target="https://arxiv.org/abs/2303.12712" TargetMode="External" Id="rId3270"/><Relationship Type="http://schemas.openxmlformats.org/officeDocument/2006/relationships/hyperlink" Target="https://www.youtube.com/watch?v=e7Y3hgQlaaE" TargetMode="External" Id="rId3271"/><Relationship Type="http://schemas.openxmlformats.org/officeDocument/2006/relationships/hyperlink" Target="https://arxiv.org/abs/2303.12712" TargetMode="External" Id="rId3272"/><Relationship Type="http://schemas.openxmlformats.org/officeDocument/2006/relationships/hyperlink" Target="https://www.youtube.com/watch?v=g1Gb3UEgpOk" TargetMode="External" Id="rId3273"/><Relationship Type="http://schemas.openxmlformats.org/officeDocument/2006/relationships/hyperlink" Target="https://arxiv.org/abs/2303.12712" TargetMode="External" Id="rId3274"/><Relationship Type="http://schemas.openxmlformats.org/officeDocument/2006/relationships/hyperlink" Target="https://www.youtube.com/watch?v=3hDWN7Ka23I" TargetMode="External" Id="rId3275"/><Relationship Type="http://schemas.openxmlformats.org/officeDocument/2006/relationships/hyperlink" Target="https://arxiv.org/abs/2010.08127" TargetMode="External" Id="rId3276"/><Relationship Type="http://schemas.openxmlformats.org/officeDocument/2006/relationships/hyperlink" Target="https://www.youtube.com/watch?v=EBSLLOJJJuc" TargetMode="External" Id="rId3277"/><Relationship Type="http://schemas.openxmlformats.org/officeDocument/2006/relationships/hyperlink" Target="https://arxiv.org/abs/2303.12712" TargetMode="External" Id="rId3278"/><Relationship Type="http://schemas.openxmlformats.org/officeDocument/2006/relationships/hyperlink" Target="https://www.youtube.com/watch?v=FNG8yTnZuOY" TargetMode="External" Id="rId3279"/><Relationship Type="http://schemas.openxmlformats.org/officeDocument/2006/relationships/hyperlink" Target="https://arxiv.org/abs/2007.12826" TargetMode="External" Id="rId3280"/><Relationship Type="http://schemas.openxmlformats.org/officeDocument/2006/relationships/hyperlink" Target="https://www.youtube.com/watch?v=fUQCJNSdskA" TargetMode="External" Id="rId3281"/><Relationship Type="http://schemas.openxmlformats.org/officeDocument/2006/relationships/hyperlink" Target="https://arxiv.org/abs/2002.09277" TargetMode="External" Id="rId3282"/><Relationship Type="http://schemas.openxmlformats.org/officeDocument/2006/relationships/hyperlink" Target="https://www.youtube.com/watch?v=ZjTMiYhW4XY" TargetMode="External" Id="rId3283"/><Relationship Type="http://schemas.openxmlformats.org/officeDocument/2006/relationships/hyperlink" Target="https://arxiv.org/abs/2002.09277" TargetMode="External" Id="rId3284"/><Relationship Type="http://schemas.openxmlformats.org/officeDocument/2006/relationships/hyperlink" Target="https://www.youtube.com/watch?v=Yc5EMw3wDwg" TargetMode="External" Id="rId3285"/><Relationship Type="http://schemas.openxmlformats.org/officeDocument/2006/relationships/hyperlink" Target="https://arxiv.org/abs/1806.07572" TargetMode="External" Id="rId3286"/><Relationship Type="http://schemas.openxmlformats.org/officeDocument/2006/relationships/hyperlink" Target="https://www.youtube.com/watch?v=fcpI5z9q91A" TargetMode="External" Id="rId3287"/><Relationship Type="http://schemas.openxmlformats.org/officeDocument/2006/relationships/hyperlink" Target="https://arxiv.org/abs/1711.00165" TargetMode="External" Id="rId3288"/><Relationship Type="http://schemas.openxmlformats.org/officeDocument/2006/relationships/hyperlink" Target="https://www.youtube.com/watch?v=6C1hKqLe2Tc" TargetMode="External" Id="rId3289"/><Relationship Type="http://schemas.openxmlformats.org/officeDocument/2006/relationships/hyperlink" Target="https://arxiv.org/abs/1902.06720" TargetMode="External" Id="rId3290"/><Relationship Type="http://schemas.openxmlformats.org/officeDocument/2006/relationships/hyperlink" Target="https://www.youtube.com/watch?v=tECNnHxJH_M" TargetMode="External" Id="rId3291"/><Relationship Type="http://schemas.openxmlformats.org/officeDocument/2006/relationships/hyperlink" Target="https://arxiv.org/abs/2303.12712" TargetMode="External" Id="rId3292"/><Relationship Type="http://schemas.openxmlformats.org/officeDocument/2006/relationships/hyperlink" Target="https://www.youtube.com/watch?v=EWLQoO0SGvI" TargetMode="External" Id="rId3293"/><Relationship Type="http://schemas.openxmlformats.org/officeDocument/2006/relationships/hyperlink" Target="https://arxiv.org/abs/2303.12712" TargetMode="External" Id="rId3294"/><Relationship Type="http://schemas.openxmlformats.org/officeDocument/2006/relationships/hyperlink" Target="https://www.youtube.com/watch?v=btphvvnad0A" TargetMode="External" Id="rId3295"/><Relationship Type="http://schemas.openxmlformats.org/officeDocument/2006/relationships/hyperlink" Target="https://arxiv.org/abs/2303.12712" TargetMode="External" Id="rId3296"/><Relationship Type="http://schemas.openxmlformats.org/officeDocument/2006/relationships/hyperlink" Target="https://www.youtube.com/watch?v=HvEGJUwQEO8" TargetMode="External" Id="rId3297"/><Relationship Type="http://schemas.openxmlformats.org/officeDocument/2006/relationships/hyperlink" Target="https://arxiv.org/abs/2303.12712" TargetMode="External" Id="rId3298"/><Relationship Type="http://schemas.openxmlformats.org/officeDocument/2006/relationships/hyperlink" Target="https://www.youtube.com/watch?v=aPY-M4epEz4" TargetMode="External" Id="rId3299"/><Relationship Type="http://schemas.openxmlformats.org/officeDocument/2006/relationships/hyperlink" Target="https://arxiv.org/abs/2003.02218" TargetMode="External" Id="rId3300"/><Relationship Type="http://schemas.openxmlformats.org/officeDocument/2006/relationships/hyperlink" Target="https://www.youtube.com/watch?v=cE-Q5jPRRik" TargetMode="External" Id="rId3301"/><Relationship Type="http://schemas.openxmlformats.org/officeDocument/2006/relationships/hyperlink" Target="https://arxiv.org/abs/1812.07956" TargetMode="External" Id="rId3302"/><Relationship Type="http://schemas.openxmlformats.org/officeDocument/2006/relationships/hyperlink" Target="https://www.youtube.com/watch?v=jV0TGfqfFKw" TargetMode="External" Id="rId3303"/><Relationship Type="http://schemas.openxmlformats.org/officeDocument/2006/relationships/hyperlink" Target="https://arxiv.org/abs/2303.12712" TargetMode="External" Id="rId3304"/><Relationship Type="http://schemas.openxmlformats.org/officeDocument/2006/relationships/hyperlink" Target="https://www.youtube.com/watch?v=rQM5uh2EsHA" TargetMode="External" Id="rId3305"/><Relationship Type="http://schemas.openxmlformats.org/officeDocument/2006/relationships/hyperlink" Target="https://arxiv.org/abs/1805.09545" TargetMode="External" Id="rId3306"/><Relationship Type="http://schemas.openxmlformats.org/officeDocument/2006/relationships/hyperlink" Target="https://www.youtube.com/watch?v=eMFqg-B0oPE" TargetMode="External" Id="rId3307"/><Relationship Type="http://schemas.openxmlformats.org/officeDocument/2006/relationships/hyperlink" Target="https://arxiv.org/abs/1804.06561" TargetMode="External" Id="rId3308"/><Relationship Type="http://schemas.openxmlformats.org/officeDocument/2006/relationships/hyperlink" Target="https://www.youtube.com/watch?v=bjRqmlI_SFs" TargetMode="External" Id="rId3309"/><Relationship Type="http://schemas.openxmlformats.org/officeDocument/2006/relationships/hyperlink" Target="https://arxiv.org/abs/2006.13409" TargetMode="External" Id="rId3310"/><Relationship Type="http://schemas.openxmlformats.org/officeDocument/2006/relationships/hyperlink" Target="https://www.youtube.com/watch?v=oWE9jFIEwUw" TargetMode="External" Id="rId3311"/><Relationship Type="http://schemas.openxmlformats.org/officeDocument/2006/relationships/hyperlink" Target="https://arxiv.org/abs/2002.01987" TargetMode="External" Id="rId3312"/><Relationship Type="http://schemas.openxmlformats.org/officeDocument/2006/relationships/hyperlink" Target="https://www.youtube.com/watch?v=tcrt9y7ypQc" TargetMode="External" Id="rId3313"/><Relationship Type="http://schemas.openxmlformats.org/officeDocument/2006/relationships/hyperlink" Target="https://arxiv.org/abs/1805.00915" TargetMode="External" Id="rId3314"/><Relationship Type="http://schemas.openxmlformats.org/officeDocument/2006/relationships/hyperlink" Target="https://www.youtube.com/watch?v=BMnxZaFeWNA" TargetMode="External" Id="rId3315"/><Relationship Type="http://schemas.openxmlformats.org/officeDocument/2006/relationships/hyperlink" Target="https://arxiv.org/abs/1902.06015" TargetMode="External" Id="rId3316"/><Relationship Type="http://schemas.openxmlformats.org/officeDocument/2006/relationships/hyperlink" Target="https://www.youtube.com/watch?v=3gxDiTEE-bM" TargetMode="External" Id="rId3317"/><Relationship Type="http://schemas.openxmlformats.org/officeDocument/2006/relationships/hyperlink" Target="https://arxiv.org/abs/2001.11443" TargetMode="External" Id="rId3318"/><Relationship Type="http://schemas.openxmlformats.org/officeDocument/2006/relationships/hyperlink" Target="https://www.youtube.com/watch?v=zlqQ7VRba2Y" TargetMode="External" Id="rId3319"/><Relationship Type="http://schemas.openxmlformats.org/officeDocument/2006/relationships/hyperlink" Target="https://arxiv.org/abs/1902.01384" TargetMode="External" Id="rId3320"/><Relationship Type="http://schemas.openxmlformats.org/officeDocument/2006/relationships/hyperlink" Target="https://www.youtube.com/watch?v=DuBQCBWcq4M" TargetMode="External" Id="rId3321"/><Relationship Type="http://schemas.openxmlformats.org/officeDocument/2006/relationships/hyperlink" Target="https://arxiv.org/abs/2011.14522" TargetMode="External" Id="rId3322"/><Relationship Type="http://schemas.openxmlformats.org/officeDocument/2006/relationships/hyperlink" Target="https://www.youtube.com/watch?v=_p0S_zZd4NQ" TargetMode="External" Id="rId3323"/><Relationship Type="http://schemas.openxmlformats.org/officeDocument/2006/relationships/hyperlink" Target="https://arxiv.org/abs/2303.12712" TargetMode="External" Id="rId3324"/><Relationship Type="http://schemas.openxmlformats.org/officeDocument/2006/relationships/hyperlink" Target="https://www.youtube.com/watch?v=WcWFFiPRslM" TargetMode="External" Id="rId3325"/><Relationship Type="http://schemas.openxmlformats.org/officeDocument/2006/relationships/hyperlink" Target="https://arxiv.org/abs/2402.01092" TargetMode="External" Id="rId3326"/><Relationship Type="http://schemas.openxmlformats.org/officeDocument/2006/relationships/hyperlink" Target="https://www.youtube.com/watch?v=0998FJhPdj8" TargetMode="External" Id="rId3327"/><Relationship Type="http://schemas.openxmlformats.org/officeDocument/2006/relationships/hyperlink" Target="https://arxiv.org/abs/2309.16620" TargetMode="External" Id="rId3328"/><Relationship Type="http://schemas.openxmlformats.org/officeDocument/2006/relationships/hyperlink" Target="https://www.youtube.com/watch?v=2QwdaGIOjcw" TargetMode="External" Id="rId3329"/><Relationship Type="http://schemas.openxmlformats.org/officeDocument/2006/relationships/hyperlink" Target="https://arxiv.org/abs/2406.03529" TargetMode="External" Id="rId3330"/><Relationship Type="http://schemas.openxmlformats.org/officeDocument/2006/relationships/hyperlink" Target="https://www.youtube.com/watch?v=YzR2gZrsdJc" TargetMode="External" Id="rId3331"/><Relationship Type="http://schemas.openxmlformats.org/officeDocument/2006/relationships/hyperlink" Target="https://arxiv.org/abs/2106.10165" TargetMode="External" Id="rId3332"/><Relationship Type="http://schemas.openxmlformats.org/officeDocument/2006/relationships/hyperlink" Target="https://www.youtube.com/watch?v=wXZKoHEzASg" TargetMode="External" Id="rId3333"/><Relationship Type="http://schemas.openxmlformats.org/officeDocument/2006/relationships/hyperlink" Target="https://arxiv.org/abs/2303.12712" TargetMode="External" Id="rId3334"/><Relationship Type="http://schemas.openxmlformats.org/officeDocument/2006/relationships/hyperlink" Target="https://www.youtube.com/watch?v=QLz_Lu9pOnQ" TargetMode="External" Id="rId3335"/><Relationship Type="http://schemas.openxmlformats.org/officeDocument/2006/relationships/hyperlink" Target="https://arxiv.org/abs/2204.01058" TargetMode="External" Id="rId3336"/><Relationship Type="http://schemas.openxmlformats.org/officeDocument/2006/relationships/hyperlink" Target="https://www.youtube.com/watch?v=BhpMsDbOI2c" TargetMode="External" Id="rId3337"/><Relationship Type="http://schemas.openxmlformats.org/officeDocument/2006/relationships/hyperlink" Target="https://arxiv.org/abs/2304.02034" TargetMode="External" Id="rId3338"/><Relationship Type="http://schemas.openxmlformats.org/officeDocument/2006/relationships/hyperlink" Target="https://www.youtube.com/watch?v=-QF_jX8L0nw" TargetMode="External" Id="rId3339"/><Relationship Type="http://schemas.openxmlformats.org/officeDocument/2006/relationships/hyperlink" Target="https://arxiv.org/abs/2303.12712" TargetMode="External" Id="rId3340"/><Relationship Type="http://schemas.openxmlformats.org/officeDocument/2006/relationships/hyperlink" Target="https://www.youtube.com/watch?v=IwrpOhfhj9o" TargetMode="External" Id="rId3341"/><Relationship Type="http://schemas.openxmlformats.org/officeDocument/2006/relationships/hyperlink" Target="https://arxiv.org/abs/1711.04735" TargetMode="External" Id="rId3342"/><Relationship Type="http://schemas.openxmlformats.org/officeDocument/2006/relationships/hyperlink" Target="https://www.youtube.com/watch?v=4wiFeJOdro4" TargetMode="External" Id="rId3343"/><Relationship Type="http://schemas.openxmlformats.org/officeDocument/2006/relationships/hyperlink" Target="https://arxiv.org/abs/1912.13053" TargetMode="External" Id="rId3344"/><Relationship Type="http://schemas.openxmlformats.org/officeDocument/2006/relationships/hyperlink" Target="https://www.youtube.com/watch?v=6xeh6gfESuc" TargetMode="External" Id="rId3345"/><Relationship Type="http://schemas.openxmlformats.org/officeDocument/2006/relationships/hyperlink" Target="https://arxiv.org/abs/2103.00065" TargetMode="External" Id="rId3346"/><Relationship Type="http://schemas.openxmlformats.org/officeDocument/2006/relationships/hyperlink" Target="https://www.youtube.com/watch?v=WopNCEVk5BQ" TargetMode="External" Id="rId3347"/><Relationship Type="http://schemas.openxmlformats.org/officeDocument/2006/relationships/hyperlink" Target="https://arxiv.org/abs/2410.24206" TargetMode="External" Id="rId3348"/><Relationship Type="http://schemas.openxmlformats.org/officeDocument/2006/relationships/hyperlink" Target="https://www.youtube.com/watch?v=04E8r76TetQ" TargetMode="External" Id="rId3349"/><Relationship Type="http://schemas.openxmlformats.org/officeDocument/2006/relationships/hyperlink" Target="https://arxiv.org/abs/2303.12712" TargetMode="External" Id="rId3350"/><Relationship Type="http://schemas.openxmlformats.org/officeDocument/2006/relationships/hyperlink" Target="https://www.youtube.com/watch?v=o7BdY9Qd6_g" TargetMode="External" Id="rId3351"/><Relationship Type="http://schemas.openxmlformats.org/officeDocument/2006/relationships/hyperlink" Target="https://arxiv.org/abs/2402.15926" TargetMode="External" Id="rId3352"/><Relationship Type="http://schemas.openxmlformats.org/officeDocument/2006/relationships/hyperlink" Target="https://www.youtube.com/watch?v=_TpSDM8jG-Y" TargetMode="External" Id="rId3353"/><Relationship Type="http://schemas.openxmlformats.org/officeDocument/2006/relationships/hyperlink" Target="https://arxiv.org/abs/2212.07469" TargetMode="External" Id="rId3354"/><Relationship Type="http://schemas.openxmlformats.org/officeDocument/2006/relationships/hyperlink" Target="https://www.youtube.com/watch?v=GU2sQgLrTx8" TargetMode="External" Id="rId3355"/><Relationship Type="http://schemas.openxmlformats.org/officeDocument/2006/relationships/hyperlink" Target="https://arxiv.org/abs/1802.10026" TargetMode="External" Id="rId3356"/><Relationship Type="http://schemas.openxmlformats.org/officeDocument/2006/relationships/hyperlink" Target="https://www.youtube.com/watch?v=0kXDqS2OmeI" TargetMode="External" Id="rId3357"/><Relationship Type="http://schemas.openxmlformats.org/officeDocument/2006/relationships/hyperlink" Target="https://arxiv.org/abs/1906.06247" TargetMode="External" Id="rId3358"/><Relationship Type="http://schemas.openxmlformats.org/officeDocument/2006/relationships/hyperlink" Target="https://www.youtube.com/watch?v=XHZvLeMkgDM" TargetMode="External" Id="rId3359"/><Relationship Type="http://schemas.openxmlformats.org/officeDocument/2006/relationships/hyperlink" Target="https://arxiv.org/abs/2002.08791" TargetMode="External" Id="rId3360"/><Relationship Type="http://schemas.openxmlformats.org/officeDocument/2006/relationships/hyperlink" Target="https://www.youtube.com/watch?v=VOPviJBNVpw" TargetMode="External" Id="rId3361"/><Relationship Type="http://schemas.openxmlformats.org/officeDocument/2006/relationships/hyperlink" Target="https://arxiv.org/abs/1912.02757" TargetMode="External" Id="rId3362"/><Relationship Type="http://schemas.openxmlformats.org/officeDocument/2006/relationships/hyperlink" Target="https://www.youtube.com/watch?v=dmfyYXl0xUY" TargetMode="External" Id="rId3363"/><Relationship Type="http://schemas.openxmlformats.org/officeDocument/2006/relationships/hyperlink" Target="https://arxiv.org/abs/2303.12712" TargetMode="External" Id="rId3364"/><Relationship Type="http://schemas.openxmlformats.org/officeDocument/2006/relationships/hyperlink" Target="https://www.youtube.com/watch?v=gM-FLiBNg5A" TargetMode="External" Id="rId3365"/><Relationship Type="http://schemas.openxmlformats.org/officeDocument/2006/relationships/hyperlink" Target="https://arxiv.org/abs/2003.00307" TargetMode="External" Id="rId3366"/><Relationship Type="http://schemas.openxmlformats.org/officeDocument/2006/relationships/hyperlink" Target="https://www.youtube.com/watch?v=QBiLph-r5Hw" TargetMode="External" Id="rId3367"/><Relationship Type="http://schemas.openxmlformats.org/officeDocument/2006/relationships/hyperlink" Target="https://arxiv.org/abs/2010.01412" TargetMode="External" Id="rId3368"/><Relationship Type="http://schemas.openxmlformats.org/officeDocument/2006/relationships/hyperlink" Target="https://www.youtube.com/watch?v=FQ7w3ubKDoU" TargetMode="External" Id="rId3369"/><Relationship Type="http://schemas.openxmlformats.org/officeDocument/2006/relationships/hyperlink" Target="https://arxiv.org/abs/2106.09524" TargetMode="External" Id="rId3370"/><Relationship Type="http://schemas.openxmlformats.org/officeDocument/2006/relationships/hyperlink" Target="https://www.youtube.com/watch?v=60GqpISCtCU" TargetMode="External" Id="rId3371"/><Relationship Type="http://schemas.openxmlformats.org/officeDocument/2006/relationships/hyperlink" Target="https://arxiv.org/abs/2303.12712" TargetMode="External" Id="rId3372"/><Relationship Type="http://schemas.openxmlformats.org/officeDocument/2006/relationships/hyperlink" Target="https://www.youtube.com/watch?v=AU39SNkkIsA" TargetMode="External" Id="rId3373"/><Relationship Type="http://schemas.openxmlformats.org/officeDocument/2006/relationships/hyperlink" Target="https://arxiv.org/abs/2402.01567" TargetMode="External" Id="rId3374"/><Relationship Type="http://schemas.openxmlformats.org/officeDocument/2006/relationships/hyperlink" Target="https://www.youtube.com/watch?v=5rgrB7TGPdc" TargetMode="External" Id="rId3375"/><Relationship Type="http://schemas.openxmlformats.org/officeDocument/2006/relationships/hyperlink" Target="https://arxiv.org/abs/2303.12712" TargetMode="External" Id="rId3376"/><Relationship Type="http://schemas.openxmlformats.org/officeDocument/2006/relationships/hyperlink" Target="https://www.youtube.com/watch?v=zBvsoxC6tAo" TargetMode="External" Id="rId3377"/><Relationship Type="http://schemas.openxmlformats.org/officeDocument/2006/relationships/hyperlink" Target="https://arxiv.org/abs/2303.12712" TargetMode="External" Id="rId3378"/><Relationship Type="http://schemas.openxmlformats.org/officeDocument/2006/relationships/hyperlink" Target="https://www.youtube.com/watch?v=GBsPpmh1vo4" TargetMode="External" Id="rId3379"/><Relationship Type="http://schemas.openxmlformats.org/officeDocument/2006/relationships/hyperlink" Target="https://arxiv.org/abs/2505.21799" TargetMode="External" Id="rId3380"/><Relationship Type="http://schemas.openxmlformats.org/officeDocument/2006/relationships/hyperlink" Target="https://www.youtube.com/watch?v=phM8GzT7ZV4" TargetMode="External" Id="rId3381"/><Relationship Type="http://schemas.openxmlformats.org/officeDocument/2006/relationships/hyperlink" Target="https://arxiv.org/abs/2303.12712" TargetMode="External" Id="rId3382"/><Relationship Type="http://schemas.openxmlformats.org/officeDocument/2006/relationships/hyperlink" Target="https://www.youtube.com/watch?v=kN5KMiIqpEw" TargetMode="External" Id="rId3383"/><Relationship Type="http://schemas.openxmlformats.org/officeDocument/2006/relationships/hyperlink" Target="https://arxiv.org/abs/1901.11150" TargetMode="External" Id="rId3384"/><Relationship Type="http://schemas.openxmlformats.org/officeDocument/2006/relationships/hyperlink" Target="https://www.youtube.com/watch?v=uC2IGoTE2u4" TargetMode="External" Id="rId3385"/><Relationship Type="http://schemas.openxmlformats.org/officeDocument/2006/relationships/hyperlink" Target="https://arxiv.org/abs/1811.03804" TargetMode="External" Id="rId3386"/><Relationship Type="http://schemas.openxmlformats.org/officeDocument/2006/relationships/hyperlink" Target="https://www.youtube.com/watch?v=NGon2JyjO6Y" TargetMode="External" Id="rId3387"/><Relationship Type="http://schemas.openxmlformats.org/officeDocument/2006/relationships/hyperlink" Target="https://arxiv.org/abs/2303.12712" TargetMode="External" Id="rId3388"/><Relationship Type="http://schemas.openxmlformats.org/officeDocument/2006/relationships/hyperlink" Target="https://www.youtube.com/watch?v=l0im8AJAMco" TargetMode="External" Id="rId3389"/><Relationship Type="http://schemas.openxmlformats.org/officeDocument/2006/relationships/hyperlink" Target="https://arxiv.org/abs/2303.12712" TargetMode="External" Id="rId3390"/><Relationship Type="http://schemas.openxmlformats.org/officeDocument/2006/relationships/hyperlink" Target="https://www.youtube.com/watch?v=Lmj2bU9MdwM" TargetMode="External" Id="rId3391"/><Relationship Type="http://schemas.openxmlformats.org/officeDocument/2006/relationships/hyperlink" Target="https://arxiv.org/abs/1802.06509" TargetMode="External" Id="rId3392"/><Relationship Type="http://schemas.openxmlformats.org/officeDocument/2006/relationships/hyperlink" Target="https://www.youtube.com/watch?v=W8mVZzWI5gM" TargetMode="External" Id="rId3393"/><Relationship Type="http://schemas.openxmlformats.org/officeDocument/2006/relationships/hyperlink" Target="https://arxiv.org/abs/2303.12712" TargetMode="External" Id="rId3394"/><Relationship Type="http://schemas.openxmlformats.org/officeDocument/2006/relationships/hyperlink" Target="https://www.youtube.com/watch?v=6Q-ESEmDf4Q" TargetMode="External" Id="rId3395"/><Relationship Type="http://schemas.openxmlformats.org/officeDocument/2006/relationships/hyperlink" Target="https://arxiv.org/abs/2203.15556" TargetMode="External" Id="rId3396"/><Relationship Type="http://schemas.openxmlformats.org/officeDocument/2006/relationships/hyperlink" Target="https://www.youtube.com/watch?v=GfAT2zkB6-U" TargetMode="External" Id="rId3397"/><Relationship Type="http://schemas.openxmlformats.org/officeDocument/2006/relationships/hyperlink" Target="https://arxiv.org/abs/2203.15556" TargetMode="External" Id="rId3398"/><Relationship Type="http://schemas.openxmlformats.org/officeDocument/2006/relationships/hyperlink" Target="https://www.youtube.com/watch?v=lLV-g-rGPhk" TargetMode="External" Id="rId3399"/><Relationship Type="http://schemas.openxmlformats.org/officeDocument/2006/relationships/hyperlink" Target="https://arxiv.org/abs/2305.16264" TargetMode="External" Id="rId3400"/><Relationship Type="http://schemas.openxmlformats.org/officeDocument/2006/relationships/hyperlink" Target="https://www.youtube.com/watch?v=A8F4Qga3NaM" TargetMode="External" Id="rId3401"/><Relationship Type="http://schemas.openxmlformats.org/officeDocument/2006/relationships/hyperlink" Target="https://arxiv.org/abs/2102.06701" TargetMode="External" Id="rId3402"/><Relationship Type="http://schemas.openxmlformats.org/officeDocument/2006/relationships/hyperlink" Target="https://www.youtube.com/watch?v=8kax6scOskM" TargetMode="External" Id="rId3403"/><Relationship Type="http://schemas.openxmlformats.org/officeDocument/2006/relationships/hyperlink" Target="https://arxiv.org/abs/2405.00592" TargetMode="External" Id="rId3404"/><Relationship Type="http://schemas.openxmlformats.org/officeDocument/2006/relationships/hyperlink" Target="https://www.youtube.com/watch?v=PC-eaqv5EnI" TargetMode="External" Id="rId3405"/><Relationship Type="http://schemas.openxmlformats.org/officeDocument/2006/relationships/hyperlink" Target="https://arxiv.org/abs/2303.12712" TargetMode="External" Id="rId3406"/><Relationship Type="http://schemas.openxmlformats.org/officeDocument/2006/relationships/hyperlink" Target="https://www.youtube.com/watch?v=qSw75ix83r4" TargetMode="External" Id="rId3407"/><Relationship Type="http://schemas.openxmlformats.org/officeDocument/2006/relationships/hyperlink" Target="https://arxiv.org/abs/2303.13506" TargetMode="External" Id="rId3408"/><Relationship Type="http://schemas.openxmlformats.org/officeDocument/2006/relationships/hyperlink" Target="https://www.youtube.com/watch?v=qZVJuFv-wyw" TargetMode="External" Id="rId3409"/><Relationship Type="http://schemas.openxmlformats.org/officeDocument/2006/relationships/hyperlink" Target="https://arxiv.org/abs/2402.07043" TargetMode="External" Id="rId3410"/><Relationship Type="http://schemas.openxmlformats.org/officeDocument/2006/relationships/hyperlink" Target="https://www.youtube.com/watch?v=Jpu3kQv39L4" TargetMode="External" Id="rId3411"/><Relationship Type="http://schemas.openxmlformats.org/officeDocument/2006/relationships/hyperlink" Target="https://arxiv.org/abs/2303.12712" TargetMode="External" Id="rId3412"/><Relationship Type="http://schemas.openxmlformats.org/officeDocument/2006/relationships/hyperlink" Target="https://www.youtube.com/watch?v=0SuyDLjNR9g" TargetMode="External" Id="rId3413"/><Relationship Type="http://schemas.openxmlformats.org/officeDocument/2006/relationships/hyperlink" Target="https://arxiv.org/abs/2206.07682" TargetMode="External" Id="rId3414"/><Relationship Type="http://schemas.openxmlformats.org/officeDocument/2006/relationships/hyperlink" Target="https://www.youtube.com/watch?v=Z_Qt737HG-0" TargetMode="External" Id="rId3415"/><Relationship Type="http://schemas.openxmlformats.org/officeDocument/2006/relationships/hyperlink" Target="https://arxiv.org/abs/2303.12712" TargetMode="External" Id="rId3416"/><Relationship Type="http://schemas.openxmlformats.org/officeDocument/2006/relationships/hyperlink" Target="https://www.youtube.com/watch?v=3BQ9_b8JAMU" TargetMode="External" Id="rId3417"/><Relationship Type="http://schemas.openxmlformats.org/officeDocument/2006/relationships/hyperlink" Target="https://arxiv.org/abs/2304.15004" TargetMode="External" Id="rId3418"/><Relationship Type="http://schemas.openxmlformats.org/officeDocument/2006/relationships/hyperlink" Target="https://www.youtube.com/watch?v=-EJn3xnmJXY" TargetMode="External" Id="rId3419"/><Relationship Type="http://schemas.openxmlformats.org/officeDocument/2006/relationships/hyperlink" Target="https://arxiv.org/abs/2301.02679" TargetMode="External" Id="rId3420"/><Relationship Type="http://schemas.openxmlformats.org/officeDocument/2006/relationships/hyperlink" Target="https://www.youtube.com/watch?v=fCE55iC-HaY" TargetMode="External" Id="rId3421"/><Relationship Type="http://schemas.openxmlformats.org/officeDocument/2006/relationships/hyperlink" Target="https://arxiv.org/abs/2303.12712" TargetMode="External" Id="rId3422"/><Relationship Type="http://schemas.openxmlformats.org/officeDocument/2006/relationships/hyperlink" Target="https://www.youtube.com/watch?v=dzpA30qZxYw" TargetMode="External" Id="rId3423"/><Relationship Type="http://schemas.openxmlformats.org/officeDocument/2006/relationships/hyperlink" Target="https://arxiv.org/abs/2303.12712" TargetMode="External" Id="rId3424"/><Relationship Type="http://schemas.openxmlformats.org/officeDocument/2006/relationships/hyperlink" Target="https://www.youtube.com/watch?v=J0tHAZlFGSc" TargetMode="External" Id="rId3425"/><Relationship Type="http://schemas.openxmlformats.org/officeDocument/2006/relationships/hyperlink" Target="https://arxiv.org/abs/2303.12712" TargetMode="External" Id="rId3426"/><Relationship Type="http://schemas.openxmlformats.org/officeDocument/2006/relationships/hyperlink" Target="https://www.youtube.com/watch?v=lbHDbV53-sk" TargetMode="External" Id="rId3427"/><Relationship Type="http://schemas.openxmlformats.org/officeDocument/2006/relationships/hyperlink" Target="https://arxiv.org/abs/2402.02364" TargetMode="External" Id="rId3428"/><Relationship Type="http://schemas.openxmlformats.org/officeDocument/2006/relationships/hyperlink" Target="https://www.youtube.com/watch?v=nYGyeJRHqEA" TargetMode="External" Id="rId3429"/><Relationship Type="http://schemas.openxmlformats.org/officeDocument/2006/relationships/hyperlink" Target="https://arxiv.org/abs/2412.01003" TargetMode="External" Id="rId3430"/><Relationship Type="http://schemas.openxmlformats.org/officeDocument/2006/relationships/hyperlink" Target="https://www.youtube.com/watch?v=WyeomuU2vQw" TargetMode="External" Id="rId3431"/><Relationship Type="http://schemas.openxmlformats.org/officeDocument/2006/relationships/hyperlink" Target="https://arxiv.org/abs/2303.12712" TargetMode="External" Id="rId3432"/><Relationship Type="http://schemas.openxmlformats.org/officeDocument/2006/relationships/hyperlink" Target="https://www.youtube.com/watch?v=w_BUN5tPiuA" TargetMode="External" Id="rId3433"/><Relationship Type="http://schemas.openxmlformats.org/officeDocument/2006/relationships/hyperlink" Target="https://arxiv.org/abs/1906.05271" TargetMode="External" Id="rId3434"/><Relationship Type="http://schemas.openxmlformats.org/officeDocument/2006/relationships/hyperlink" Target="https://www.youtube.com/watch?v=YWy2Iwn-1S8" TargetMode="External" Id="rId3435"/><Relationship Type="http://schemas.openxmlformats.org/officeDocument/2006/relationships/hyperlink" Target="https://arxiv.org/abs/2303.12712" TargetMode="External" Id="rId3436"/><Relationship Type="http://schemas.openxmlformats.org/officeDocument/2006/relationships/hyperlink" Target="https://www.youtube.com/watch?v=eULIf02frIw" TargetMode="External" Id="rId3437"/><Relationship Type="http://schemas.openxmlformats.org/officeDocument/2006/relationships/hyperlink" Target="https://arxiv.org/abs/2303.12712" TargetMode="External" Id="rId3438"/><Relationship Type="http://schemas.openxmlformats.org/officeDocument/2006/relationships/hyperlink" Target="https://www.youtube.com/watch?v=3c9TiKryTtA" TargetMode="External" Id="rId3439"/><Relationship Type="http://schemas.openxmlformats.org/officeDocument/2006/relationships/hyperlink" Target="https://scholar.google.com/scholar?q=McCoy+et+al.+2024+PNAS+121%3Ae2322420121+Embers+of+Autoregression" TargetMode="External" Id="rId3440"/><Relationship Type="http://schemas.openxmlformats.org/officeDocument/2006/relationships/hyperlink" Target="https://www.youtube.com/watch?v=MdZjXUHJIq4" TargetMode="External" Id="rId3441"/><Relationship Type="http://schemas.openxmlformats.org/officeDocument/2006/relationships/hyperlink" Target="https://arxiv.org/abs/2411.10242" TargetMode="External" Id="rId3442"/><Relationship Type="http://schemas.openxmlformats.org/officeDocument/2006/relationships/hyperlink" Target="https://www.youtube.com/watch?v=2xb3mhIqjLw" TargetMode="External" Id="rId3443"/><Relationship Type="http://schemas.openxmlformats.org/officeDocument/2006/relationships/hyperlink" Target="https://arxiv.org/abs/2303.12712" TargetMode="External" Id="rId3444"/><Relationship Type="http://schemas.openxmlformats.org/officeDocument/2006/relationships/hyperlink" Target="https://www.youtube.com/watch?v=VViyQRGxSKo" TargetMode="External" Id="rId3445"/><Relationship Type="http://schemas.openxmlformats.org/officeDocument/2006/relationships/hyperlink" Target="https://arxiv.org/abs/2312.09390" TargetMode="External" Id="rId3446"/><Relationship Type="http://schemas.openxmlformats.org/officeDocument/2006/relationships/hyperlink" Target="https://www.youtube.com/watch?v=dYKiDwUEbCM" TargetMode="External" Id="rId3447"/><Relationship Type="http://schemas.openxmlformats.org/officeDocument/2006/relationships/hyperlink" Target="https://arxiv.org/abs/1803.03635" TargetMode="External" Id="rId3448"/><Relationship Type="http://schemas.openxmlformats.org/officeDocument/2006/relationships/hyperlink" Target="https://www.youtube.com/watch?v=0cU8r6dgD_A" TargetMode="External" Id="rId3449"/><Relationship Type="http://schemas.openxmlformats.org/officeDocument/2006/relationships/hyperlink" Target="https://arxiv.org/abs/2303.12712" TargetMode="External" Id="rId3450"/><Relationship Type="http://schemas.openxmlformats.org/officeDocument/2006/relationships/hyperlink" Target="https://www.youtube.com/watch?v=D5eP0CWta8k" TargetMode="External" Id="rId3451"/><Relationship Type="http://schemas.openxmlformats.org/officeDocument/2006/relationships/hyperlink" Target="https://arxiv.org/abs/2008.08186" TargetMode="External" Id="rId3452"/><Relationship Type="http://schemas.openxmlformats.org/officeDocument/2006/relationships/hyperlink" Target="https://www.youtube.com/watch?v=IxzRVhQr3kI" TargetMode="External" Id="rId3453"/><Relationship Type="http://schemas.openxmlformats.org/officeDocument/2006/relationships/hyperlink" Target="https://arxiv.org/abs/2303.12712" TargetMode="External" Id="rId3454"/><Relationship Type="http://schemas.openxmlformats.org/officeDocument/2006/relationships/hyperlink" Target="https://www.youtube.com/watch?v=p_zknyfV9fY" TargetMode="External" Id="rId3455"/><Relationship Type="http://schemas.openxmlformats.org/officeDocument/2006/relationships/hyperlink" Target="https://arxiv.org/abs/2306.13812" TargetMode="External" Id="rId3456"/><Relationship Type="http://schemas.openxmlformats.org/officeDocument/2006/relationships/hyperlink" Target="https://www.youtube.com/watch?v=oA_XLqh4Das" TargetMode="External" Id="rId3457"/><Relationship Type="http://schemas.openxmlformats.org/officeDocument/2006/relationships/hyperlink" Target="https://arxiv.org/abs/2303.12712" TargetMode="External" Id="rId3458"/><Relationship Type="http://schemas.openxmlformats.org/officeDocument/2006/relationships/hyperlink" Target="https://www.youtube.com/watch?v=1EwKYesnKAA" TargetMode="External" Id="rId3459"/><Relationship Type="http://schemas.openxmlformats.org/officeDocument/2006/relationships/hyperlink" Target="https://arxiv.org/abs/2303.01486" TargetMode="External" Id="rId3460"/><Relationship Type="http://schemas.openxmlformats.org/officeDocument/2006/relationships/hyperlink" Target="https://www.youtube.com/watch?v=Co5jT2FME6g" TargetMode="External" Id="rId3461"/><Relationship Type="http://schemas.openxmlformats.org/officeDocument/2006/relationships/hyperlink" Target="https://arxiv.org/abs/1705.01714" TargetMode="External" Id="rId3462"/><Relationship Type="http://schemas.openxmlformats.org/officeDocument/2006/relationships/hyperlink" Target="https://www.youtube.com/watch?v=xkYd411hdCs" TargetMode="External" Id="rId3463"/><Relationship Type="http://schemas.openxmlformats.org/officeDocument/2006/relationships/hyperlink" Target="https://arxiv.org/abs/1610.01145" TargetMode="External" Id="rId3464"/><Relationship Type="http://schemas.openxmlformats.org/officeDocument/2006/relationships/hyperlink" Target="https://www.youtube.com/watch?v=Rsw1lQdCs1o" TargetMode="External" Id="rId3465"/><Relationship Type="http://schemas.openxmlformats.org/officeDocument/2006/relationships/hyperlink" Target="https://arxiv.org/abs/1802.03620" TargetMode="External" Id="rId3466"/><Relationship Type="http://schemas.openxmlformats.org/officeDocument/2006/relationships/hyperlink" Target="https://www.youtube.com/watch?v=NHCfKFz3IeU" TargetMode="External" Id="rId3467"/><Relationship Type="http://schemas.openxmlformats.org/officeDocument/2006/relationships/hyperlink" Target="https://arxiv.org/abs/2006.08859" TargetMode="External" Id="rId3468"/><Relationship Type="http://schemas.openxmlformats.org/officeDocument/2006/relationships/hyperlink" Target="https://www.youtube.com/watch?v=KU6IaE37B9o" TargetMode="External" Id="rId3469"/><Relationship Type="http://schemas.openxmlformats.org/officeDocument/2006/relationships/hyperlink" Target="https://arxiv.org/abs/2303.12712" TargetMode="External" Id="rId3470"/><Relationship Type="http://schemas.openxmlformats.org/officeDocument/2006/relationships/hyperlink" Target="https://www.youtube.com/watch?v=6Ss9kFTUS-Y" TargetMode="External" Id="rId3471"/><Relationship Type="http://schemas.openxmlformats.org/officeDocument/2006/relationships/hyperlink" Target="https://arxiv.org/abs/2303.12712" TargetMode="External" Id="rId3472"/><Relationship Type="http://schemas.openxmlformats.org/officeDocument/2006/relationships/hyperlink" Target="https://www.youtube.com/watch?v=ssaXJqG9Dz4" TargetMode="External" Id="rId3473"/><Relationship Type="http://schemas.openxmlformats.org/officeDocument/2006/relationships/hyperlink" Target="https://arxiv.org/abs/1602.04485" TargetMode="External" Id="rId3474"/><Relationship Type="http://schemas.openxmlformats.org/officeDocument/2006/relationships/hyperlink" Target="https://www.youtube.com/watch?v=Ue_hR6x0B-U" TargetMode="External" Id="rId3475"/><Relationship Type="http://schemas.openxmlformats.org/officeDocument/2006/relationships/hyperlink" Target="https://arxiv.org/abs/1512.03965" TargetMode="External" Id="rId3476"/><Relationship Type="http://schemas.openxmlformats.org/officeDocument/2006/relationships/hyperlink" Target="https://www.youtube.com/watch?v=NzmDUI3gNFo" TargetMode="External" Id="rId3477"/><Relationship Type="http://schemas.openxmlformats.org/officeDocument/2006/relationships/hyperlink" Target="https://arxiv.org/abs/2202.03841" TargetMode="External" Id="rId3478"/><Relationship Type="http://schemas.openxmlformats.org/officeDocument/2006/relationships/hyperlink" Target="https://www.youtube.com/watch?v=I8KOeXuCLm4" TargetMode="External" Id="rId3479"/><Relationship Type="http://schemas.openxmlformats.org/officeDocument/2006/relationships/hyperlink" Target="https://arxiv.org/abs/2303.12712" TargetMode="External" Id="rId3480"/><Relationship Type="http://schemas.openxmlformats.org/officeDocument/2006/relationships/hyperlink" Target="https://www.youtube.com/watch?v=F079b2dwcAg" TargetMode="External" Id="rId3481"/><Relationship Type="http://schemas.openxmlformats.org/officeDocument/2006/relationships/hyperlink" Target="https://arxiv.org/abs/2303.12712" TargetMode="External" Id="rId3482"/><Relationship Type="http://schemas.openxmlformats.org/officeDocument/2006/relationships/hyperlink" Target="https://www.youtube.com/watch?v=WU9RSiTw4R8" TargetMode="External" Id="rId3483"/><Relationship Type="http://schemas.openxmlformats.org/officeDocument/2006/relationships/hyperlink" Target="https://arxiv.org/abs/2106.16213" TargetMode="External" Id="rId3484"/><Relationship Type="http://schemas.openxmlformats.org/officeDocument/2006/relationships/hyperlink" Target="https://www.youtube.com/watch?v=7GVesfXD6_Q" TargetMode="External" Id="rId3485"/><Relationship Type="http://schemas.openxmlformats.org/officeDocument/2006/relationships/hyperlink" Target="https://arxiv.org/abs/2207.00729" TargetMode="External" Id="rId3486"/><Relationship Type="http://schemas.openxmlformats.org/officeDocument/2006/relationships/hyperlink" Target="https://www.youtube.com/watch?v=spxJnEhs1qI" TargetMode="External" Id="rId3487"/><Relationship Type="http://schemas.openxmlformats.org/officeDocument/2006/relationships/hyperlink" Target="https://arxiv.org/abs/2402.09268" TargetMode="External" Id="rId3488"/><Relationship Type="http://schemas.openxmlformats.org/officeDocument/2006/relationships/hyperlink" Target="https://www.youtube.com/watch?v=hR3G5jsuOHs" TargetMode="External" Id="rId3489"/><Relationship Type="http://schemas.openxmlformats.org/officeDocument/2006/relationships/hyperlink" Target="https://arxiv.org/abs/2301.10743" TargetMode="External" Id="rId3490"/><Relationship Type="http://schemas.openxmlformats.org/officeDocument/2006/relationships/hyperlink" Target="https://www.youtube.com/watch?v=t5LjgczaS80" TargetMode="External" Id="rId3491"/><Relationship Type="http://schemas.openxmlformats.org/officeDocument/2006/relationships/hyperlink" Target="https://arxiv.org/abs/2106.06981" TargetMode="External" Id="rId3492"/><Relationship Type="http://schemas.openxmlformats.org/officeDocument/2006/relationships/hyperlink" Target="https://www.youtube.com/watch?v=gKzyfqrZvkI" TargetMode="External" Id="rId3493"/><Relationship Type="http://schemas.openxmlformats.org/officeDocument/2006/relationships/hyperlink" Target="https://arxiv.org/abs/2310.13897" TargetMode="External" Id="rId3494"/><Relationship Type="http://schemas.openxmlformats.org/officeDocument/2006/relationships/hyperlink" Target="https://www.youtube.com/watch?v=30MhUdapqc8" TargetMode="External" Id="rId3495"/><Relationship Type="http://schemas.openxmlformats.org/officeDocument/2006/relationships/hyperlink" Target="https://arxiv.org/abs/2310.07923" TargetMode="External" Id="rId3496"/><Relationship Type="http://schemas.openxmlformats.org/officeDocument/2006/relationships/hyperlink" Target="https://www.youtube.com/watch?v=7hYIN7Q-YRQ" TargetMode="External" Id="rId3497"/><Relationship Type="http://schemas.openxmlformats.org/officeDocument/2006/relationships/hyperlink" Target="https://arxiv.org/abs/2306.02896" TargetMode="External" Id="rId3498"/><Relationship Type="http://schemas.openxmlformats.org/officeDocument/2006/relationships/hyperlink" Target="https://www.youtube.com/watch?v=ni9jCjhRUyY" TargetMode="External" Id="rId3499"/><Relationship Type="http://schemas.openxmlformats.org/officeDocument/2006/relationships/hyperlink" Target="https://arxiv.org/abs/2210.10749" TargetMode="External" Id="rId3500"/><Relationship Type="http://schemas.openxmlformats.org/officeDocument/2006/relationships/hyperlink" Target="https://www.youtube.com/watch?v=koo5Bo0k9Wc" TargetMode="External" Id="rId3501"/><Relationship Type="http://schemas.openxmlformats.org/officeDocument/2006/relationships/hyperlink" Target="https://arxiv.org/abs/2310.16028" TargetMode="External" Id="rId3502"/><Relationship Type="http://schemas.openxmlformats.org/officeDocument/2006/relationships/hyperlink" Target="https://www.youtube.com/watch?v=3G_4VYGhgvQ" TargetMode="External" Id="rId3503"/><Relationship Type="http://schemas.openxmlformats.org/officeDocument/2006/relationships/hyperlink" Target="https://arxiv.org/abs/2410.02140" TargetMode="External" Id="rId3504"/><Relationship Type="http://schemas.openxmlformats.org/officeDocument/2006/relationships/hyperlink" Target="https://www.youtube.com/watch?v=ZrsQGhG0su0" TargetMode="External" Id="rId3505"/><Relationship Type="http://schemas.openxmlformats.org/officeDocument/2006/relationships/hyperlink" Target="https://arxiv.org/abs/2305.05465" TargetMode="External" Id="rId3506"/><Relationship Type="http://schemas.openxmlformats.org/officeDocument/2006/relationships/hyperlink" Target="https://www.youtube.com/watch?v=_THXU94rarw" TargetMode="External" Id="rId3507"/><Relationship Type="http://schemas.openxmlformats.org/officeDocument/2006/relationships/hyperlink" Target="https://arxiv.org/abs/2303.12712" TargetMode="External" Id="rId3508"/><Relationship Type="http://schemas.openxmlformats.org/officeDocument/2006/relationships/hyperlink" Target="https://www.youtube.com/watch?v=uF53xsT7mjc" TargetMode="External" Id="rId3509"/><Relationship Type="http://schemas.openxmlformats.org/officeDocument/2006/relationships/hyperlink" Target="https://arxiv.org/abs/2104.13478" TargetMode="External" Id="rId3510"/><Relationship Type="http://schemas.openxmlformats.org/officeDocument/2006/relationships/hyperlink" Target="https://www.youtube.com/watch?v=Rr0pBFGcnjw" TargetMode="External" Id="rId3511"/><Relationship Type="http://schemas.openxmlformats.org/officeDocument/2006/relationships/hyperlink" Target="https://arxiv.org/abs/1810.00826" TargetMode="External" Id="rId3512"/><Relationship Type="http://schemas.openxmlformats.org/officeDocument/2006/relationships/hyperlink" Target="https://www.youtube.com/watch?v=ymRBPnDVw0I" TargetMode="External" Id="rId3513"/><Relationship Type="http://schemas.openxmlformats.org/officeDocument/2006/relationships/hyperlink" Target="https://arxiv.org/abs/2303.12712" TargetMode="External" Id="rId3514"/><Relationship Type="http://schemas.openxmlformats.org/officeDocument/2006/relationships/hyperlink" Target="https://www.youtube.com/watch?v=1VHIMszFGnk" TargetMode="External" Id="rId3515"/><Relationship Type="http://schemas.openxmlformats.org/officeDocument/2006/relationships/hyperlink" Target="https://arxiv.org/abs/2303.04613" TargetMode="External" Id="rId3516"/><Relationship Type="http://schemas.openxmlformats.org/officeDocument/2006/relationships/hyperlink" Target="https://www.youtube.com/watch?v=QlCDaP2RU9A" TargetMode="External" Id="rId3517"/><Relationship Type="http://schemas.openxmlformats.org/officeDocument/2006/relationships/hyperlink" Target="https://arxiv.org/abs/2206.11140" TargetMode="External" Id="rId3518"/><Relationship Type="http://schemas.openxmlformats.org/officeDocument/2006/relationships/hyperlink" Target="https://www.youtube.com/watch?v=ZSIZSVRvd4Q" TargetMode="External" Id="rId3519"/><Relationship Type="http://schemas.openxmlformats.org/officeDocument/2006/relationships/hyperlink" Target="https://arxiv.org/abs/2303.12712" TargetMode="External" Id="rId3520"/><Relationship Type="http://schemas.openxmlformats.org/officeDocument/2006/relationships/hyperlink" Target="https://www.youtube.com/watch?v=AhgY4ErqXDo" TargetMode="External" Id="rId3521"/><Relationship Type="http://schemas.openxmlformats.org/officeDocument/2006/relationships/hyperlink" Target="https://arxiv.org/abs/2303.12712" TargetMode="External" Id="rId3522"/><Relationship Type="http://schemas.openxmlformats.org/officeDocument/2006/relationships/hyperlink" Target="https://www.youtube.com/watch?v=4-VXe1yPDjk" TargetMode="External" Id="rId3523"/><Relationship Type="http://schemas.openxmlformats.org/officeDocument/2006/relationships/hyperlink" Target="https://arxiv.org/abs/2404.08819" TargetMode="External" Id="rId3524"/><Relationship Type="http://schemas.openxmlformats.org/officeDocument/2006/relationships/hyperlink" Target="https://www.youtube.com/watch?v=-CBUWqvmVVU" TargetMode="External" Id="rId3525"/><Relationship Type="http://schemas.openxmlformats.org/officeDocument/2006/relationships/hyperlink" Target="https://arxiv.org/abs/2405.17394" TargetMode="External" Id="rId3526"/><Relationship Type="http://schemas.openxmlformats.org/officeDocument/2006/relationships/hyperlink" Target="https://www.youtube.com/watch?v=I-tmjGFaaBg" TargetMode="External" Id="rId3527"/><Relationship Type="http://schemas.openxmlformats.org/officeDocument/2006/relationships/hyperlink" Target="https://arxiv.org/abs/2303.12712" TargetMode="External" Id="rId3528"/><Relationship Type="http://schemas.openxmlformats.org/officeDocument/2006/relationships/hyperlink" Target="https://www.youtube.com/watch?v=Fx3xldCEfsM" TargetMode="External" Id="rId3529"/><Relationship Type="http://schemas.openxmlformats.org/officeDocument/2006/relationships/hyperlink" Target="https://arxiv.org/abs/2303.12712" TargetMode="External" Id="rId3530"/><Relationship Type="http://schemas.openxmlformats.org/officeDocument/2006/relationships/hyperlink" Target="https://www.youtube.com/watch?v=io-YFfXbIXk" TargetMode="External" Id="rId3531"/><Relationship Type="http://schemas.openxmlformats.org/officeDocument/2006/relationships/hyperlink" Target="https://arxiv.org/abs/2303.12712" TargetMode="External" Id="rId3532"/><Relationship Type="http://schemas.openxmlformats.org/officeDocument/2006/relationships/hyperlink" Target="https://www.youtube.com/watch?v=fKM6fcOkXuk" TargetMode="External" Id="rId3533"/><Relationship Type="http://schemas.openxmlformats.org/officeDocument/2006/relationships/hyperlink" Target="https://arxiv.org/abs/2303.12712" TargetMode="External" Id="rId3534"/><Relationship Type="http://schemas.openxmlformats.org/officeDocument/2006/relationships/hyperlink" Target="https://www.youtube.com/watch?v=tkJd2B98hII" TargetMode="External" Id="rId3535"/><Relationship Type="http://schemas.openxmlformats.org/officeDocument/2006/relationships/hyperlink" Target="https://arxiv.org/abs/2303.12712" TargetMode="External" Id="rId3536"/><Relationship Type="http://schemas.openxmlformats.org/officeDocument/2006/relationships/hyperlink" Target="https://www.youtube.com/watch?v=echF7IWE05c" TargetMode="External" Id="rId3537"/><Relationship Type="http://schemas.openxmlformats.org/officeDocument/2006/relationships/hyperlink" Target="https://arxiv.org/abs/2303.12712" TargetMode="External" Id="rId3538"/><Relationship Type="http://schemas.openxmlformats.org/officeDocument/2006/relationships/hyperlink" Target="https://www.youtube.com/watch?v=kVkMRDZ5fcU" TargetMode="External" Id="rId3539"/><Relationship Type="http://schemas.openxmlformats.org/officeDocument/2006/relationships/hyperlink" Target="https://arxiv.org/abs/2303.12712" TargetMode="External" Id="rId3540"/><Relationship Type="http://schemas.openxmlformats.org/officeDocument/2006/relationships/hyperlink" Target="https://www.youtube.com/watch?v=gwKfeDRCvSg" TargetMode="External" Id="rId3541"/><Relationship Type="http://schemas.openxmlformats.org/officeDocument/2006/relationships/hyperlink" Target="https://arxiv.org/abs/2303.12712" TargetMode="External" Id="rId3542"/><Relationship Type="http://schemas.openxmlformats.org/officeDocument/2006/relationships/hyperlink" Target="https://www.youtube.com/watch?v=wDfardbL50I" TargetMode="External" Id="rId3543"/><Relationship Type="http://schemas.openxmlformats.org/officeDocument/2006/relationships/hyperlink" Target="https://arxiv.org/abs/2303.12712" TargetMode="External" Id="rId3544"/><Relationship Type="http://schemas.openxmlformats.org/officeDocument/2006/relationships/hyperlink" Target="https://www.youtube.com/watch?v=P5-VVI1qLxA" TargetMode="External" Id="rId3545"/><Relationship Type="http://schemas.openxmlformats.org/officeDocument/2006/relationships/hyperlink" Target="https://arxiv.org/abs/2303.12712" TargetMode="External" Id="rId3546"/><Relationship Type="http://schemas.openxmlformats.org/officeDocument/2006/relationships/hyperlink" Target="https://www.youtube.com/watch?v=GeXBfyrKfM4" TargetMode="External" Id="rId3547"/><Relationship Type="http://schemas.openxmlformats.org/officeDocument/2006/relationships/hyperlink" Target="https://arxiv.org/abs/2303.12712" TargetMode="External" Id="rId3548"/><Relationship Type="http://schemas.openxmlformats.org/officeDocument/2006/relationships/hyperlink" Target="https://www.youtube.com/watch?v=xpT1ymwCk9w" TargetMode="External" Id="rId3549"/><Relationship Type="http://schemas.openxmlformats.org/officeDocument/2006/relationships/hyperlink" Target="https://arxiv.org/abs/2303.12712" TargetMode="External" Id="rId3550"/><Relationship Type="http://schemas.openxmlformats.org/officeDocument/2006/relationships/hyperlink" Target="https://www.youtube.com/watch?v=l-CR_TLihdg" TargetMode="External" Id="rId3551"/><Relationship Type="http://schemas.openxmlformats.org/officeDocument/2006/relationships/hyperlink" Target="https://arxiv.org/abs/2303.12712" TargetMode="External" Id="rId3552"/><Relationship Type="http://schemas.openxmlformats.org/officeDocument/2006/relationships/hyperlink" Target="https://www.youtube.com/watch?v=mham4hHpo7A" TargetMode="External" Id="rId3553"/><Relationship Type="http://schemas.openxmlformats.org/officeDocument/2006/relationships/hyperlink" Target="https://arxiv.org/abs/2303.12712" TargetMode="External" Id="rId3554"/><Relationship Type="http://schemas.openxmlformats.org/officeDocument/2006/relationships/hyperlink" Target="https://www.youtube.com/watch?v=4xDEsLUkdG4" TargetMode="External" Id="rId3555"/><Relationship Type="http://schemas.openxmlformats.org/officeDocument/2006/relationships/hyperlink" Target="https://arxiv.org/abs/2303.12712" TargetMode="External" Id="rId3556"/><Relationship Type="http://schemas.openxmlformats.org/officeDocument/2006/relationships/hyperlink" Target="https://www.youtube.com/watch?v=E6rZeGIKdRY" TargetMode="External" Id="rId3557"/><Relationship Type="http://schemas.openxmlformats.org/officeDocument/2006/relationships/hyperlink" Target="https://arxiv.org/abs/2303.12712" TargetMode="External" Id="rId3558"/><Relationship Type="http://schemas.openxmlformats.org/officeDocument/2006/relationships/hyperlink" Target="https://www.youtube.com/watch?v=UYBRLG64oSQ" TargetMode="External" Id="rId3559"/><Relationship Type="http://schemas.openxmlformats.org/officeDocument/2006/relationships/hyperlink" Target="https://arxiv.org/abs/2303.12712" TargetMode="External" Id="rId3560"/><Relationship Type="http://schemas.openxmlformats.org/officeDocument/2006/relationships/hyperlink" Target="https://www.youtube.com/watch?v=4nPABKIuYKo" TargetMode="External" Id="rId3561"/><Relationship Type="http://schemas.openxmlformats.org/officeDocument/2006/relationships/hyperlink" Target="https://arxiv.org/abs/2303.12712" TargetMode="External" Id="rId3562"/><Relationship Type="http://schemas.openxmlformats.org/officeDocument/2006/relationships/hyperlink" Target="https://www.youtube.com/watch?v=kNWONiLbfVs" TargetMode="External" Id="rId3563"/><Relationship Type="http://schemas.openxmlformats.org/officeDocument/2006/relationships/hyperlink" Target="https://arxiv.org/abs/2303.12712" TargetMode="External" Id="rId3564"/><Relationship Type="http://schemas.openxmlformats.org/officeDocument/2006/relationships/hyperlink" Target="https://www.youtube.com/watch?v=MiypgGqEPpQ" TargetMode="External" Id="rId3565"/><Relationship Type="http://schemas.openxmlformats.org/officeDocument/2006/relationships/hyperlink" Target="https://arxiv.org/abs/2303.12712" TargetMode="External" Id="rId3566"/><Relationship Type="http://schemas.openxmlformats.org/officeDocument/2006/relationships/hyperlink" Target="https://www.youtube.com/watch?v=_hOZw7SsTXc" TargetMode="External" Id="rId3567"/><Relationship Type="http://schemas.openxmlformats.org/officeDocument/2006/relationships/hyperlink" Target="https://arxiv.org/abs/2303.12712" TargetMode="External" Id="rId3568"/><Relationship Type="http://schemas.openxmlformats.org/officeDocument/2006/relationships/hyperlink" Target="https://www.youtube.com/watch?v=blSZ605iJ8Q" TargetMode="External" Id="rId3569"/><Relationship Type="http://schemas.openxmlformats.org/officeDocument/2006/relationships/hyperlink" Target="https://arxiv.org/abs/2303.12712" TargetMode="External" Id="rId3570"/><Relationship Type="http://schemas.openxmlformats.org/officeDocument/2006/relationships/hyperlink" Target="https://www.youtube.com/watch?v=WvscTPTEqow" TargetMode="External" Id="rId3571"/><Relationship Type="http://schemas.openxmlformats.org/officeDocument/2006/relationships/hyperlink" Target="https://arxiv.org/abs/2303.12712" TargetMode="External" Id="rId3572"/><Relationship Type="http://schemas.openxmlformats.org/officeDocument/2006/relationships/hyperlink" Target="https://www.youtube.com/watch?v=k8hUi6xYgtQ" TargetMode="External" Id="rId3573"/><Relationship Type="http://schemas.openxmlformats.org/officeDocument/2006/relationships/hyperlink" Target="https://arxiv.org/abs/2303.12712" TargetMode="External" Id="rId3574"/><Relationship Type="http://schemas.openxmlformats.org/officeDocument/2006/relationships/hyperlink" Target="https://www.youtube.com/watch?v=0Tw036csfhI" TargetMode="External" Id="rId3575"/><Relationship Type="http://schemas.openxmlformats.org/officeDocument/2006/relationships/hyperlink" Target="https://arxiv.org/abs/2303.12712" TargetMode="External" Id="rId3576"/><Relationship Type="http://schemas.openxmlformats.org/officeDocument/2006/relationships/hyperlink" Target="https://www.youtube.com/watch?v=M3lTpmTjZ0Q" TargetMode="External" Id="rId3577"/><Relationship Type="http://schemas.openxmlformats.org/officeDocument/2006/relationships/hyperlink" Target="https://arxiv.org/abs/2303.12712" TargetMode="External" Id="rId3578"/><Relationship Type="http://schemas.openxmlformats.org/officeDocument/2006/relationships/hyperlink" Target="https://www.youtube.com/watch?v=emnYADN_73o" TargetMode="External" Id="rId3579"/><Relationship Type="http://schemas.openxmlformats.org/officeDocument/2006/relationships/hyperlink" Target="https://arxiv.org/abs/2303.12712" TargetMode="External" Id="rId3580"/><Relationship Type="http://schemas.openxmlformats.org/officeDocument/2006/relationships/hyperlink" Target="https://www.youtube.com/watch?v=KU5cSQpPP5Y" TargetMode="External" Id="rId3581"/><Relationship Type="http://schemas.openxmlformats.org/officeDocument/2006/relationships/hyperlink" Target="https://arxiv.org/abs/2303.12712" TargetMode="External" Id="rId3582"/><Relationship Type="http://schemas.openxmlformats.org/officeDocument/2006/relationships/hyperlink" Target="https://www.youtube.com/watch?v=BKemj2t5HRU" TargetMode="External" Id="rId3583"/><Relationship Type="http://schemas.openxmlformats.org/officeDocument/2006/relationships/hyperlink" Target="https://arxiv.org/abs/2303.12712" TargetMode="External" Id="rId3584"/><Relationship Type="http://schemas.openxmlformats.org/officeDocument/2006/relationships/hyperlink" Target="https://www.youtube.com/watch?v=4leS-ga_B3w" TargetMode="External" Id="rId3585"/><Relationship Type="http://schemas.openxmlformats.org/officeDocument/2006/relationships/hyperlink" Target="https://arxiv.org/abs/2303.12712" TargetMode="External" Id="rId3586"/><Relationship Type="http://schemas.openxmlformats.org/officeDocument/2006/relationships/hyperlink" Target="https://www.youtube.com/watch?v=awkA8oQxxog" TargetMode="External" Id="rId3587"/><Relationship Type="http://schemas.openxmlformats.org/officeDocument/2006/relationships/hyperlink" Target="https://arxiv.org/abs/2303.12712" TargetMode="External" Id="rId3588"/><Relationship Type="http://schemas.openxmlformats.org/officeDocument/2006/relationships/hyperlink" Target="https://www.youtube.com/watch?v=LLTyPRWPtjE" TargetMode="External" Id="rId3589"/><Relationship Type="http://schemas.openxmlformats.org/officeDocument/2006/relationships/hyperlink" Target="https://arxiv.org/abs/2303.12712" TargetMode="External" Id="rId3590"/><Relationship Type="http://schemas.openxmlformats.org/officeDocument/2006/relationships/hyperlink" Target="https://www.youtube.com/watch?v=UJK1O01UyMc" TargetMode="External" Id="rId3591"/><Relationship Type="http://schemas.openxmlformats.org/officeDocument/2006/relationships/hyperlink" Target="https://arxiv.org/abs/2303.12712" TargetMode="External" Id="rId3592"/><Relationship Type="http://schemas.openxmlformats.org/officeDocument/2006/relationships/hyperlink" Target="https://www.youtube.com/watch?v=8wjQIZ8bm1o" TargetMode="External" Id="rId3593"/><Relationship Type="http://schemas.openxmlformats.org/officeDocument/2006/relationships/hyperlink" Target="https://arxiv.org/abs/2303.12712" TargetMode="External" Id="rId3594"/><Relationship Type="http://schemas.openxmlformats.org/officeDocument/2006/relationships/hyperlink" Target="https://www.youtube.com/watch?v=u7dRrT5HX1w" TargetMode="External" Id="rId3595"/><Relationship Type="http://schemas.openxmlformats.org/officeDocument/2006/relationships/hyperlink" Target="https://arxiv.org/abs/2303.12712" TargetMode="External" Id="rId3596"/><Relationship Type="http://schemas.openxmlformats.org/officeDocument/2006/relationships/hyperlink" Target="https://www.youtube.com/watch?v=WX3oIjupleo" TargetMode="External" Id="rId3597"/><Relationship Type="http://schemas.openxmlformats.org/officeDocument/2006/relationships/hyperlink" Target="https://arxiv.org/abs/2303.12712" TargetMode="External" Id="rId3598"/><Relationship Type="http://schemas.openxmlformats.org/officeDocument/2006/relationships/hyperlink" Target="https://www.youtube.com/watch?v=CTzRZGMgGIE" TargetMode="External" Id="rId3599"/><Relationship Type="http://schemas.openxmlformats.org/officeDocument/2006/relationships/hyperlink" Target="https://arxiv.org/abs/2303.12712" TargetMode="External" Id="rId3600"/><Relationship Type="http://schemas.openxmlformats.org/officeDocument/2006/relationships/hyperlink" Target="https://www.youtube.com/watch?v=sgwcKA6ej6Q" TargetMode="External" Id="rId3601"/><Relationship Type="http://schemas.openxmlformats.org/officeDocument/2006/relationships/hyperlink" Target="https://arxiv.org/abs/2303.12712" TargetMode="External" Id="rId3602"/><Relationship Type="http://schemas.openxmlformats.org/officeDocument/2006/relationships/hyperlink" Target="https://www.youtube.com/watch?v=UAE9JgBm5Yo" TargetMode="External" Id="rId3603"/><Relationship Type="http://schemas.openxmlformats.org/officeDocument/2006/relationships/hyperlink" Target="https://arxiv.org/abs/2303.12712" TargetMode="External" Id="rId3604"/><Relationship Type="http://schemas.openxmlformats.org/officeDocument/2006/relationships/hyperlink" Target="https://www.youtube.com/watch?v=fqVQ48_G1-8" TargetMode="External" Id="rId3605"/><Relationship Type="http://schemas.openxmlformats.org/officeDocument/2006/relationships/hyperlink" Target="https://arxiv.org/abs/2303.12712" TargetMode="External" Id="rId3606"/><Relationship Type="http://schemas.openxmlformats.org/officeDocument/2006/relationships/hyperlink" Target="https://www.youtube.com/watch?v=I4JJYnkUQ80" TargetMode="External" Id="rId3607"/><Relationship Type="http://schemas.openxmlformats.org/officeDocument/2006/relationships/hyperlink" Target="https://arxiv.org/abs/2303.12712" TargetMode="External" Id="rId3608"/><Relationship Type="http://schemas.openxmlformats.org/officeDocument/2006/relationships/hyperlink" Target="https://www.youtube.com/watch?v=iiFynQczYiM" TargetMode="External" Id="rId3609"/><Relationship Type="http://schemas.openxmlformats.org/officeDocument/2006/relationships/hyperlink" Target="https://arxiv.org/abs/2303.12712" TargetMode="External" Id="rId3610"/><Relationship Type="http://schemas.openxmlformats.org/officeDocument/2006/relationships/hyperlink" Target="https://www.youtube.com/watch?v=-v992r3IiyY" TargetMode="External" Id="rId3611"/><Relationship Type="http://schemas.openxmlformats.org/officeDocument/2006/relationships/hyperlink" Target="https://arxiv.org/abs/2303.12712" TargetMode="External" Id="rId3612"/><Relationship Type="http://schemas.openxmlformats.org/officeDocument/2006/relationships/hyperlink" Target="https://www.youtube.com/watch?v=4SVWo5kspR8" TargetMode="External" Id="rId3613"/><Relationship Type="http://schemas.openxmlformats.org/officeDocument/2006/relationships/hyperlink" Target="https://arxiv.org/abs/2303.12712" TargetMode="External" Id="rId3614"/><Relationship Type="http://schemas.openxmlformats.org/officeDocument/2006/relationships/hyperlink" Target="https://www.youtube.com/watch?v=nz5I9Nze6CM" TargetMode="External" Id="rId3615"/><Relationship Type="http://schemas.openxmlformats.org/officeDocument/2006/relationships/hyperlink" Target="https://arxiv.org/abs/2303.12712" TargetMode="External" Id="rId3616"/><Relationship Type="http://schemas.openxmlformats.org/officeDocument/2006/relationships/hyperlink" Target="https://www.youtube.com/watch?v=2rSi7iYuhRU" TargetMode="External" Id="rId3617"/><Relationship Type="http://schemas.openxmlformats.org/officeDocument/2006/relationships/hyperlink" Target="https://arxiv.org/abs/2303.12712" TargetMode="External" Id="rId3618"/><Relationship Type="http://schemas.openxmlformats.org/officeDocument/2006/relationships/hyperlink" Target="https://www.youtube.com/watch?v=PlQs3IdWBmg" TargetMode="External" Id="rId3619"/><Relationship Type="http://schemas.openxmlformats.org/officeDocument/2006/relationships/hyperlink" Target="https://arxiv.org/abs/2303.12712" TargetMode="External" Id="rId3620"/><Relationship Type="http://schemas.openxmlformats.org/officeDocument/2006/relationships/hyperlink" Target="https://www.youtube.com/watch?v=4mtlk_HnwV8" TargetMode="External" Id="rId3621"/><Relationship Type="http://schemas.openxmlformats.org/officeDocument/2006/relationships/hyperlink" Target="https://arxiv.org/abs/2303.12712" TargetMode="External" Id="rId3622"/><Relationship Type="http://schemas.openxmlformats.org/officeDocument/2006/relationships/hyperlink" Target="https://www.youtube.com/watch?v=OjyPVFX-fAY" TargetMode="External" Id="rId3623"/><Relationship Type="http://schemas.openxmlformats.org/officeDocument/2006/relationships/hyperlink" Target="https://arxiv.org/abs/2303.12712" TargetMode="External" Id="rId3624"/><Relationship Type="http://schemas.openxmlformats.org/officeDocument/2006/relationships/hyperlink" Target="https://www.youtube.com/watch?v=rLFNU9c1hr4" TargetMode="External" Id="rId3625"/><Relationship Type="http://schemas.openxmlformats.org/officeDocument/2006/relationships/hyperlink" Target="https://arxiv.org/abs/2303.12712" TargetMode="External" Id="rId3626"/><Relationship Type="http://schemas.openxmlformats.org/officeDocument/2006/relationships/hyperlink" Target="https://www.youtube.com/watch?v=Tp8XV_u1vxw" TargetMode="External" Id="rId3627"/><Relationship Type="http://schemas.openxmlformats.org/officeDocument/2006/relationships/hyperlink" Target="https://arxiv.org/abs/2303.12712" TargetMode="External" Id="rId3628"/><Relationship Type="http://schemas.openxmlformats.org/officeDocument/2006/relationships/hyperlink" Target="https://www.youtube.com/watch?v=wi9mjnDfS7Y" TargetMode="External" Id="rId3629"/><Relationship Type="http://schemas.openxmlformats.org/officeDocument/2006/relationships/hyperlink" Target="https://arxiv.org/abs/2303.12712" TargetMode="External" Id="rId3630"/><Relationship Type="http://schemas.openxmlformats.org/officeDocument/2006/relationships/hyperlink" Target="https://www.youtube.com/watch?v=stTzg8iUaXM" TargetMode="External" Id="rId3631"/><Relationship Type="http://schemas.openxmlformats.org/officeDocument/2006/relationships/hyperlink" Target="https://arxiv.org/abs/2303.12712" TargetMode="External" Id="rId3632"/><Relationship Type="http://schemas.openxmlformats.org/officeDocument/2006/relationships/hyperlink" Target="https://www.youtube.com/watch?v=Et_v-EIxqUs" TargetMode="External" Id="rId3633"/><Relationship Type="http://schemas.openxmlformats.org/officeDocument/2006/relationships/hyperlink" Target="https://arxiv.org/abs/2303.12712" TargetMode="External" Id="rId3634"/><Relationship Type="http://schemas.openxmlformats.org/officeDocument/2006/relationships/hyperlink" Target="https://www.youtube.com/watch?v=jJrOLPZJxSI" TargetMode="External" Id="rId3635"/><Relationship Type="http://schemas.openxmlformats.org/officeDocument/2006/relationships/hyperlink" Target="https://arxiv.org/abs/2303.12712" TargetMode="External" Id="rId3636"/><Relationship Type="http://schemas.openxmlformats.org/officeDocument/2006/relationships/hyperlink" Target="https://www.youtube.com/watch?v=N9zZeACcV98" TargetMode="External" Id="rId3637"/><Relationship Type="http://schemas.openxmlformats.org/officeDocument/2006/relationships/hyperlink" Target="https://arxiv.org/abs/2303.12712" TargetMode="External" Id="rId3638"/><Relationship Type="http://schemas.openxmlformats.org/officeDocument/2006/relationships/hyperlink" Target="https://www.youtube.com/watch?v=NfvYufQwA_o" TargetMode="External" Id="rId3639"/><Relationship Type="http://schemas.openxmlformats.org/officeDocument/2006/relationships/hyperlink" Target="https://arxiv.org/abs/2303.12712" TargetMode="External" Id="rId3640"/><Relationship Type="http://schemas.openxmlformats.org/officeDocument/2006/relationships/hyperlink" Target="https://www.youtube.com/watch?v=V7lBkV9-kgc" TargetMode="External" Id="rId3641"/><Relationship Type="http://schemas.openxmlformats.org/officeDocument/2006/relationships/hyperlink" Target="https://arxiv.org/abs/2303.12712" TargetMode="External" Id="rId3642"/><Relationship Type="http://schemas.openxmlformats.org/officeDocument/2006/relationships/hyperlink" Target="https://www.youtube.com/watch?v=4C65WnxoWPg" TargetMode="External" Id="rId3643"/><Relationship Type="http://schemas.openxmlformats.org/officeDocument/2006/relationships/hyperlink" Target="https://arxiv.org/abs/2303.12712" TargetMode="External" Id="rId3644"/><Relationship Type="http://schemas.openxmlformats.org/officeDocument/2006/relationships/hyperlink" Target="https://www.youtube.com/watch?v=naXDNOMNazo" TargetMode="External" Id="rId3645"/><Relationship Type="http://schemas.openxmlformats.org/officeDocument/2006/relationships/hyperlink" Target="https://arxiv.org/abs/2303.12712" TargetMode="External" Id="rId3646"/><Relationship Type="http://schemas.openxmlformats.org/officeDocument/2006/relationships/hyperlink" Target="https://www.youtube.com/watch?v=KGx23IxC_Fk" TargetMode="External" Id="rId3647"/><Relationship Type="http://schemas.openxmlformats.org/officeDocument/2006/relationships/hyperlink" Target="https://arxiv.org/abs/2303.12712" TargetMode="External" Id="rId3648"/><Relationship Type="http://schemas.openxmlformats.org/officeDocument/2006/relationships/hyperlink" Target="https://www.youtube.com/watch?v=0MeNygohD6c" TargetMode="External" Id="rId3649"/><Relationship Type="http://schemas.openxmlformats.org/officeDocument/2006/relationships/hyperlink" Target="https://arxiv.org/abs/2303.12712" TargetMode="External" Id="rId3650"/><Relationship Type="http://schemas.openxmlformats.org/officeDocument/2006/relationships/hyperlink" Target="https://www.youtube.com/watch?v=hg2h53bU5ic" TargetMode="External" Id="rId3651"/><Relationship Type="http://schemas.openxmlformats.org/officeDocument/2006/relationships/hyperlink" Target="https://arxiv.org/abs/2303.12712" TargetMode="External" Id="rId3652"/><Relationship Type="http://schemas.openxmlformats.org/officeDocument/2006/relationships/hyperlink" Target="https://www.youtube.com/watch?v=RPIfP00emcs" TargetMode="External" Id="rId3653"/><Relationship Type="http://schemas.openxmlformats.org/officeDocument/2006/relationships/hyperlink" Target="https://arxiv.org/abs/2303.12712" TargetMode="External" Id="rId3654"/><Relationship Type="http://schemas.openxmlformats.org/officeDocument/2006/relationships/hyperlink" Target="https://www.youtube.com/watch?v=nM4lK9ORQx8" TargetMode="External" Id="rId3655"/><Relationship Type="http://schemas.openxmlformats.org/officeDocument/2006/relationships/hyperlink" Target="https://arxiv.org/abs/2303.12712" TargetMode="External" Id="rId3656"/><Relationship Type="http://schemas.openxmlformats.org/officeDocument/2006/relationships/hyperlink" Target="https://www.youtube.com/watch?v=PHcodnoOlgI" TargetMode="External" Id="rId3657"/><Relationship Type="http://schemas.openxmlformats.org/officeDocument/2006/relationships/hyperlink" Target="https://arxiv.org/abs/2303.12712" TargetMode="External" Id="rId3658"/><Relationship Type="http://schemas.openxmlformats.org/officeDocument/2006/relationships/hyperlink" Target="https://www.youtube.com/watch?v=PRyEApLxcSQ" TargetMode="External" Id="rId3659"/><Relationship Type="http://schemas.openxmlformats.org/officeDocument/2006/relationships/hyperlink" Target="https://arxiv.org/abs/2303.12712" TargetMode="External" Id="rId3660"/><Relationship Type="http://schemas.openxmlformats.org/officeDocument/2006/relationships/hyperlink" Target="https://www.youtube.com/watch?v=OBrjyorRCxo" TargetMode="External" Id="rId3661"/><Relationship Type="http://schemas.openxmlformats.org/officeDocument/2006/relationships/hyperlink" Target="https://arxiv.org/abs/2303.12712" TargetMode="External" Id="rId3662"/><Relationship Type="http://schemas.openxmlformats.org/officeDocument/2006/relationships/hyperlink" Target="https://www.youtube.com/watch?v=sS4vvt4dp5U" TargetMode="External" Id="rId3663"/><Relationship Type="http://schemas.openxmlformats.org/officeDocument/2006/relationships/hyperlink" Target="https://arxiv.org/abs/2303.12712" TargetMode="External" Id="rId3664"/><Relationship Type="http://schemas.openxmlformats.org/officeDocument/2006/relationships/hyperlink" Target="https://www.youtube.com/watch?v=0BUl_5cMilM" TargetMode="External" Id="rId3665"/><Relationship Type="http://schemas.openxmlformats.org/officeDocument/2006/relationships/hyperlink" Target="https://arxiv.org/abs/2303.12712" TargetMode="External" Id="rId3666"/><Relationship Type="http://schemas.openxmlformats.org/officeDocument/2006/relationships/hyperlink" Target="https://www.youtube.com/watch?v=2rRUfmo4Ays" TargetMode="External" Id="rId3667"/><Relationship Type="http://schemas.openxmlformats.org/officeDocument/2006/relationships/hyperlink" Target="https://arxiv.org/abs/2303.12712" TargetMode="External" Id="rId3668"/><Relationship Type="http://schemas.openxmlformats.org/officeDocument/2006/relationships/hyperlink" Target="https://www.youtube.com/watch?v=dM1PDZ8Bgkw" TargetMode="External" Id="rId3669"/><Relationship Type="http://schemas.openxmlformats.org/officeDocument/2006/relationships/hyperlink" Target="https://arxiv.org/abs/2303.12712" TargetMode="External" Id="rId3670"/><Relationship Type="http://schemas.openxmlformats.org/officeDocument/2006/relationships/hyperlink" Target="https://www.youtube.com/watch?v=pb9LQV3fytE" TargetMode="External" Id="rId3671"/><Relationship Type="http://schemas.openxmlformats.org/officeDocument/2006/relationships/hyperlink" Target="https://arxiv.org/abs/2303.12712" TargetMode="External" Id="rId3672"/><Relationship Type="http://schemas.openxmlformats.org/officeDocument/2006/relationships/hyperlink" Target="https://www.youtube.com/watch?v=PqentqYpUXk" TargetMode="External" Id="rId3673"/><Relationship Type="http://schemas.openxmlformats.org/officeDocument/2006/relationships/hyperlink" Target="https://arxiv.org/abs/2303.12712" TargetMode="External" Id="rId3674"/><Relationship Type="http://schemas.openxmlformats.org/officeDocument/2006/relationships/hyperlink" Target="https://www.youtube.com/watch?v=DD0RBODEE78" TargetMode="External" Id="rId3675"/><Relationship Type="http://schemas.openxmlformats.org/officeDocument/2006/relationships/hyperlink" Target="https://arxiv.org/abs/2303.12712" TargetMode="External" Id="rId3676"/><Relationship Type="http://schemas.openxmlformats.org/officeDocument/2006/relationships/hyperlink" Target="https://www.youtube.com/watch?v=pToDHIS2kcE" TargetMode="External" Id="rId3677"/><Relationship Type="http://schemas.openxmlformats.org/officeDocument/2006/relationships/hyperlink" Target="https://arxiv.org/abs/2303.12712" TargetMode="External" Id="rId3678"/><Relationship Type="http://schemas.openxmlformats.org/officeDocument/2006/relationships/hyperlink" Target="https://www.youtube.com/watch?v=BxQxsuRjoR8" TargetMode="External" Id="rId3679"/><Relationship Type="http://schemas.openxmlformats.org/officeDocument/2006/relationships/hyperlink" Target="https://arxiv.org/abs/2303.12712" TargetMode="External" Id="rId3680"/><Relationship Type="http://schemas.openxmlformats.org/officeDocument/2006/relationships/hyperlink" Target="https://www.youtube.com/watch?v=Mntd78eCrgk" TargetMode="External" Id="rId3681"/><Relationship Type="http://schemas.openxmlformats.org/officeDocument/2006/relationships/hyperlink" Target="https://arxiv.org/abs/2303.12712" TargetMode="External" Id="rId3682"/><Relationship Type="http://schemas.openxmlformats.org/officeDocument/2006/relationships/hyperlink" Target="https://www.youtube.com/watch?v=-TIZPe_YaiU" TargetMode="External" Id="rId3683"/><Relationship Type="http://schemas.openxmlformats.org/officeDocument/2006/relationships/hyperlink" Target="https://arxiv.org/abs/2303.12712" TargetMode="External" Id="rId3684"/><Relationship Type="http://schemas.openxmlformats.org/officeDocument/2006/relationships/hyperlink" Target="https://www.youtube.com/watch?v=mwnoEZgsZpA" TargetMode="External" Id="rId3685"/><Relationship Type="http://schemas.openxmlformats.org/officeDocument/2006/relationships/hyperlink" Target="https://arxiv.org/abs/2303.12712" TargetMode="External" Id="rId3686"/><Relationship Type="http://schemas.openxmlformats.org/officeDocument/2006/relationships/hyperlink" Target="https://www.youtube.com/watch?v=-PWYupkL6Kg" TargetMode="External" Id="rId3687"/><Relationship Type="http://schemas.openxmlformats.org/officeDocument/2006/relationships/hyperlink" Target="https://arxiv.org/abs/2303.12712" TargetMode="External" Id="rId3688"/><Relationship Type="http://schemas.openxmlformats.org/officeDocument/2006/relationships/hyperlink" Target="https://www.youtube.com/watch?v=9L3i4rqcGG8" TargetMode="External" Id="rId3689"/><Relationship Type="http://schemas.openxmlformats.org/officeDocument/2006/relationships/hyperlink" Target="https://arxiv.org/abs/2303.12712" TargetMode="External" Id="rId3690"/><Relationship Type="http://schemas.openxmlformats.org/officeDocument/2006/relationships/hyperlink" Target="https://www.youtube.com/watch?v=uIsej_SIIQU" TargetMode="External" Id="rId3691"/><Relationship Type="http://schemas.openxmlformats.org/officeDocument/2006/relationships/hyperlink" Target="https://arxiv.org/abs/2303.12712" TargetMode="External" Id="rId3692"/><Relationship Type="http://schemas.openxmlformats.org/officeDocument/2006/relationships/hyperlink" Target="https://www.youtube.com/watch?v=qXEuY6qLISE" TargetMode="External" Id="rId3693"/><Relationship Type="http://schemas.openxmlformats.org/officeDocument/2006/relationships/hyperlink" Target="https://arxiv.org/abs/2303.12712" TargetMode="External" Id="rId3694"/><Relationship Type="http://schemas.openxmlformats.org/officeDocument/2006/relationships/hyperlink" Target="https://www.youtube.com/watch?v=ENW8T59-_eE" TargetMode="External" Id="rId3695"/><Relationship Type="http://schemas.openxmlformats.org/officeDocument/2006/relationships/hyperlink" Target="https://arxiv.org/abs/2303.12712" TargetMode="External" Id="rId3696"/><Relationship Type="http://schemas.openxmlformats.org/officeDocument/2006/relationships/hyperlink" Target="https://www.youtube.com/watch?v=G_8csFlLabM" TargetMode="External" Id="rId3697"/><Relationship Type="http://schemas.openxmlformats.org/officeDocument/2006/relationships/hyperlink" Target="https://arxiv.org/abs/2303.12712" TargetMode="External" Id="rId3698"/><Relationship Type="http://schemas.openxmlformats.org/officeDocument/2006/relationships/hyperlink" Target="https://www.youtube.com/watch?v=jeXwv0ClIzY" TargetMode="External" Id="rId3699"/><Relationship Type="http://schemas.openxmlformats.org/officeDocument/2006/relationships/hyperlink" Target="https://arxiv.org/abs/2303.12712" TargetMode="External" Id="rId3700"/><Relationship Type="http://schemas.openxmlformats.org/officeDocument/2006/relationships/hyperlink" Target="https://www.youtube.com/watch?v=8spy7FJgOjc" TargetMode="External" Id="rId3701"/><Relationship Type="http://schemas.openxmlformats.org/officeDocument/2006/relationships/hyperlink" Target="https://arxiv.org/abs/2303.12712" TargetMode="External" Id="rId3702"/><Relationship Type="http://schemas.openxmlformats.org/officeDocument/2006/relationships/hyperlink" Target="https://www.youtube.com/watch?v=2QmxsxlEjLU" TargetMode="External" Id="rId3703"/><Relationship Type="http://schemas.openxmlformats.org/officeDocument/2006/relationships/hyperlink" Target="https://arxiv.org/abs/2303.12712" TargetMode="External" Id="rId3704"/><Relationship Type="http://schemas.openxmlformats.org/officeDocument/2006/relationships/hyperlink" Target="https://www.youtube.com/watch?v=-A6LFTLmnYg" TargetMode="External" Id="rId3705"/><Relationship Type="http://schemas.openxmlformats.org/officeDocument/2006/relationships/hyperlink" Target="https://arxiv.org/abs/2303.12712" TargetMode="External" Id="rId3706"/><Relationship Type="http://schemas.openxmlformats.org/officeDocument/2006/relationships/hyperlink" Target="https://www.youtube.com/watch?v=xgaZPTG7hVo" TargetMode="External" Id="rId3707"/><Relationship Type="http://schemas.openxmlformats.org/officeDocument/2006/relationships/hyperlink" Target="https://arxiv.org/abs/2303.12712" TargetMode="External" Id="rId3708"/><Relationship Type="http://schemas.openxmlformats.org/officeDocument/2006/relationships/hyperlink" Target="https://www.youtube.com/watch?v=vQsuF21tGQk" TargetMode="External" Id="rId3709"/><Relationship Type="http://schemas.openxmlformats.org/officeDocument/2006/relationships/hyperlink" Target="https://arxiv.org/abs/2303.12712" TargetMode="External" Id="rId3710"/><Relationship Type="http://schemas.openxmlformats.org/officeDocument/2006/relationships/hyperlink" Target="https://www.youtube.com/watch?v=QjxzY8W-caY" TargetMode="External" Id="rId3711"/><Relationship Type="http://schemas.openxmlformats.org/officeDocument/2006/relationships/hyperlink" Target="https://arxiv.org/abs/2303.12712" TargetMode="External" Id="rId3712"/><Relationship Type="http://schemas.openxmlformats.org/officeDocument/2006/relationships/hyperlink" Target="https://www.youtube.com/watch?v=qVZksJt1WQo" TargetMode="External" Id="rId3713"/><Relationship Type="http://schemas.openxmlformats.org/officeDocument/2006/relationships/hyperlink" Target="https://arxiv.org/abs/2303.12712" TargetMode="External" Id="rId3714"/><Relationship Type="http://schemas.openxmlformats.org/officeDocument/2006/relationships/hyperlink" Target="https://www.youtube.com/watch?v=gXsKyZ_Y_i8" TargetMode="External" Id="rId3715"/><Relationship Type="http://schemas.openxmlformats.org/officeDocument/2006/relationships/hyperlink" Target="https://scholar.google.com/scholar?q=Zoom+In%3A+An+Introduction+to+Circuits+Distill+2020+Feature+Visualization+Distill+2017+.+2.+Chris+Olah+-+Looking+Inside+Neural+Networks+with+Mechanistic+Interpretability" TargetMode="External" Id="rId3716"/><Relationship Type="http://schemas.openxmlformats.org/officeDocument/2006/relationships/hyperlink" Target="https://www.youtube.com/watch?v=2Rdp9GvcYOE" TargetMode="External" Id="rId3717"/><Relationship Type="http://schemas.openxmlformats.org/officeDocument/2006/relationships/hyperlink" Target="https://scholar.google.com/scholar?q=Toy+Models+of+Superposition+Elhage+et+al.+2022+.+3.+Catherine+Olsson+-+Mechanistic+Interpretability%3A+Getting+Started" TargetMode="External" Id="rId3718"/><Relationship Type="http://schemas.openxmlformats.org/officeDocument/2006/relationships/hyperlink" Target="https://www.youtube.com/watch?v=ll0oduwDEwI" TargetMode="External" Id="rId3719"/><Relationship Type="http://schemas.openxmlformats.org/officeDocument/2006/relationships/hyperlink" Target="https://arxiv.org/abs/2303.12712" TargetMode="External" Id="rId3720"/><Relationship Type="http://schemas.openxmlformats.org/officeDocument/2006/relationships/hyperlink" Target="https://www.youtube.com/watch?v=k_QVDwhR8FU" TargetMode="External" Id="rId3721"/><Relationship Type="http://schemas.openxmlformats.org/officeDocument/2006/relationships/hyperlink" Target="https://arxiv.org/abs/2303.12712" TargetMode="External" Id="rId3722"/><Relationship Type="http://schemas.openxmlformats.org/officeDocument/2006/relationships/hyperlink" Target="https://www.youtube.com/watch?v=KV5gbOmHbjU" TargetMode="External" Id="rId3723"/><Relationship Type="http://schemas.openxmlformats.org/officeDocument/2006/relationships/hyperlink" Target="https://scholar.google.com/scholar?q=Elhage+et+al.+2021.+7.+A+Walkthrough+of+In-Context+Learning+and+Induction+Heads+Part+1+of+2+w+Charles+Frye" TargetMode="External" Id="rId3724"/><Relationship Type="http://schemas.openxmlformats.org/officeDocument/2006/relationships/hyperlink" Target="https://www.youtube.com/watch?v=bOYE6E8JrtU" TargetMode="External" Id="rId3725"/><Relationship Type="http://schemas.openxmlformats.org/officeDocument/2006/relationships/hyperlink" Target="https://arxiv.org/abs/2303.12712" TargetMode="External" Id="rId3726"/><Relationship Type="http://schemas.openxmlformats.org/officeDocument/2006/relationships/hyperlink" Target="https://www.youtube.com/watch?v=dsjUDacBw8o" TargetMode="External" Id="rId3727"/><Relationship Type="http://schemas.openxmlformats.org/officeDocument/2006/relationships/hyperlink" Target="https://arxiv.org/abs/2303.12712" TargetMode="External" Id="rId3728"/><Relationship Type="http://schemas.openxmlformats.org/officeDocument/2006/relationships/hyperlink" Target="https://www.youtube.com/watch?v=hlCxSqWS6Rw" TargetMode="External" Id="rId3729"/><Relationship Type="http://schemas.openxmlformats.org/officeDocument/2006/relationships/hyperlink" Target="https://scholar.google.com/scholar?q=Bricken+et+al.+2023.+11.+Scaling+interpretability" TargetMode="External" Id="rId3730"/><Relationship Type="http://schemas.openxmlformats.org/officeDocument/2006/relationships/hyperlink" Target="https://www.youtube.com/watch?v=sQar5NNGbw4" TargetMode="External" Id="rId3731"/><Relationship Type="http://schemas.openxmlformats.org/officeDocument/2006/relationships/hyperlink" Target="https://scholar.google.com/scholar?q=Scaling+Monosemanticity+Templeton+et+al.+2024+.+12.+Hoagy+Cunningham+-+Finding+distributed+features+in+LLMs+with+sparse+autoencoders+TAIS+2024" TargetMode="External" Id="rId3732"/><Relationship Type="http://schemas.openxmlformats.org/officeDocument/2006/relationships/hyperlink" Target="https://www.youtube.com/watch?v=HPLIl9ZOpUQ" TargetMode="External" Id="rId3733"/><Relationship Type="http://schemas.openxmlformats.org/officeDocument/2006/relationships/hyperlink" Target="https://scholar.google.com/scholar?q=Sparse+Autoencoders+Find+Highly+Interpretable+Features+in+Language+Models+2023+.+13.+Sparse+Autoencoders%3A+Progress+%26+Limitations+with+Joshua+Engels" TargetMode="External" Id="rId3734"/><Relationship Type="http://schemas.openxmlformats.org/officeDocument/2006/relationships/hyperlink" Target="https://www.youtube.com/watch?v=eVlGeHA2Cnw" TargetMode="External" Id="rId3735"/><Relationship Type="http://schemas.openxmlformats.org/officeDocument/2006/relationships/hyperlink" Target="https://scholar.google.com/scholar?q=Not+All+Language+Model+Features+Are+Linear+2024+.+14.+What+Happened+With+Sparse+Autoencoders" TargetMode="External" Id="rId3736"/><Relationship Type="http://schemas.openxmlformats.org/officeDocument/2006/relationships/hyperlink" Target="https://www.youtube.com/watch?v=Tgq7E4YcPKQ" TargetMode="External" Id="rId3737"/><Relationship Type="http://schemas.openxmlformats.org/officeDocument/2006/relationships/hyperlink" Target="https://arxiv.org/abs/2303.12712" TargetMode="External" Id="rId3738"/><Relationship Type="http://schemas.openxmlformats.org/officeDocument/2006/relationships/hyperlink" Target="https://www.youtube.com/watch?v=yL4ZkDCe2_c" TargetMode="External" Id="rId3739"/><Relationship Type="http://schemas.openxmlformats.org/officeDocument/2006/relationships/hyperlink" Target="https://arxiv.org/abs/2303.12712" TargetMode="External" Id="rId3740"/><Relationship Type="http://schemas.openxmlformats.org/officeDocument/2006/relationships/hyperlink" Target="https://www.youtube.com/watch?v=_vUKIPYOaJw" TargetMode="External" Id="rId3741"/><Relationship Type="http://schemas.openxmlformats.org/officeDocument/2006/relationships/hyperlink" Target="https://arxiv.org/abs/2303.12712" TargetMode="External" Id="rId3742"/><Relationship Type="http://schemas.openxmlformats.org/officeDocument/2006/relationships/hyperlink" Target="https://www.youtube.com/watch?v=vRQs7qfIDaU" TargetMode="External" Id="rId3743"/><Relationship Type="http://schemas.openxmlformats.org/officeDocument/2006/relationships/hyperlink" Target="https://scholar.google.com/scholar?q=Circuit+Tracing+and+On+the+Biology+of+a+Large+Language+Model+Anthropic+2025+.+18.+Attribution+Graphs+for+Dummies+-+1.+What+are+Attribution+Graphs" TargetMode="External" Id="rId3744"/><Relationship Type="http://schemas.openxmlformats.org/officeDocument/2006/relationships/hyperlink" Target="https://www.youtube.com/watch?v=ruLcDtr_cGo" TargetMode="External" Id="rId3745"/><Relationship Type="http://schemas.openxmlformats.org/officeDocument/2006/relationships/hyperlink" Target="https://arxiv.org/abs/2303.12712" TargetMode="External" Id="rId3746"/><Relationship Type="http://schemas.openxmlformats.org/officeDocument/2006/relationships/hyperlink" Target="https://www.youtube.com/watch?v=hdi1a9MjwDs" TargetMode="External" Id="rId3747"/><Relationship Type="http://schemas.openxmlformats.org/officeDocument/2006/relationships/hyperlink" Target="https://arxiv.org/abs/2303.12712" TargetMode="External" Id="rId3748"/><Relationship Type="http://schemas.openxmlformats.org/officeDocument/2006/relationships/hyperlink" Target="https://www.youtube.com/watch?v=ig5RNJJaFJE" TargetMode="External" Id="rId3749"/><Relationship Type="http://schemas.openxmlformats.org/officeDocument/2006/relationships/hyperlink" Target="https://arxiv.org/abs/2303.12712" TargetMode="External" Id="rId3750"/><Relationship Type="http://schemas.openxmlformats.org/officeDocument/2006/relationships/hyperlink" Target="https://www.youtube.com/watch?v=fGKNUvivvnc" TargetMode="External" Id="rId3751"/><Relationship Type="http://schemas.openxmlformats.org/officeDocument/2006/relationships/hyperlink" Target="https://arxiv.org/abs/2303.12712" TargetMode="External" Id="rId3752"/><Relationship Type="http://schemas.openxmlformats.org/officeDocument/2006/relationships/hyperlink" Target="https://www.youtube.com/watch?v=0704iLc55Fs" TargetMode="External" Id="rId3753"/><Relationship Type="http://schemas.openxmlformats.org/officeDocument/2006/relationships/hyperlink" Target="https://arxiv.org/abs/2303.12712" TargetMode="External" Id="rId3754"/><Relationship Type="http://schemas.openxmlformats.org/officeDocument/2006/relationships/hyperlink" Target="https://www.youtube.com/watch?v=veT2VI4vHyU" TargetMode="External" Id="rId3755"/><Relationship Type="http://schemas.openxmlformats.org/officeDocument/2006/relationships/hyperlink" Target="https://arxiv.org/abs/2303.12712" TargetMode="External" Id="rId3756"/><Relationship Type="http://schemas.openxmlformats.org/officeDocument/2006/relationships/hyperlink" Target="https://www.youtube.com/watch?v=ZSg4-H8L6Ec" TargetMode="External" Id="rId3757"/><Relationship Type="http://schemas.openxmlformats.org/officeDocument/2006/relationships/hyperlink" Target="https://scholar.google.com/scholar?q=200+Concrete+Open+Problems+in+Mechanistic+Interpretability.+26.+The+Story+of+Mech+Interp" TargetMode="External" Id="rId3758"/><Relationship Type="http://schemas.openxmlformats.org/officeDocument/2006/relationships/hyperlink" Target="https://www.youtube.com/watch?v=FnNTbqSG8w4" TargetMode="External" Id="rId3759"/><Relationship Type="http://schemas.openxmlformats.org/officeDocument/2006/relationships/hyperlink" Target="https://scholar.google.com/scholar?q=200+Concrete+Open+Problems+in+Mechanistic+Interpretability.+26.+The+Story+of+Mech+Interp" TargetMode="External" Id="rId3760"/><Relationship Type="http://schemas.openxmlformats.org/officeDocument/2006/relationships/hyperlink" Target="https://www.youtube.com/watch?v=kkfLHmujzO8" TargetMode="External" Id="rId3761"/><Relationship Type="http://schemas.openxmlformats.org/officeDocument/2006/relationships/hyperlink" Target="https://arxiv.org/abs/2303.12712" TargetMode="External" Id="rId3762"/><Relationship Type="http://schemas.openxmlformats.org/officeDocument/2006/relationships/hyperlink" Target="https://www.youtube.com/watch?v=XZX_CFfVgIc" TargetMode="External" Id="rId3763"/><Relationship Type="http://schemas.openxmlformats.org/officeDocument/2006/relationships/hyperlink" Target="https://arxiv.org/abs/2303.12712" TargetMode="External" Id="rId3764"/><Relationship Type="http://schemas.openxmlformats.org/officeDocument/2006/relationships/hyperlink" Target="https://www.youtube.com/watch?v=s3HgyprprhM" TargetMode="External" Id="rId3765"/><Relationship Type="http://schemas.openxmlformats.org/officeDocument/2006/relationships/hyperlink" Target="https://arxiv.org/abs/2303.12712" TargetMode="External" Id="rId3766"/><Relationship Type="http://schemas.openxmlformats.org/officeDocument/2006/relationships/hyperlink" Target="https://www.youtube.com/watch?v=yG3TxLPO_Uc" TargetMode="External" Id="rId3767"/><Relationship Type="http://schemas.openxmlformats.org/officeDocument/2006/relationships/hyperlink" Target="https://arxiv.org/abs/2303.12712" TargetMode="External" Id="rId3768"/><Relationship Type="http://schemas.openxmlformats.org/officeDocument/2006/relationships/hyperlink" Target="https://www.youtube.com/watch?v=3YbE7zybc5k" TargetMode="External" Id="rId3769"/><Relationship Type="http://schemas.openxmlformats.org/officeDocument/2006/relationships/hyperlink" Target="https://arxiv.org/abs/2303.12712" TargetMode="External" Id="rId3770"/><Relationship Type="http://schemas.openxmlformats.org/officeDocument/2006/relationships/hyperlink" Target="https://www.youtube.com/watch?v=gzwj0jWbvbo" TargetMode="External" Id="rId3771"/><Relationship Type="http://schemas.openxmlformats.org/officeDocument/2006/relationships/hyperlink" Target="https://scholar.google.com/scholar?q=Interpretability+in+the+Wild+Wang+et+al.+2022+.+32.+A+Walkthrough+of+Interpretability+in+the+Wild+Part+2+2%3A+Deep+Dive+w+authors+Kevin+Arthur+%26+Alex" TargetMode="External" Id="rId3772"/><Relationship Type="http://schemas.openxmlformats.org/officeDocument/2006/relationships/hyperlink" Target="https://www.youtube.com/watch?v=b9xfYBKIaX4" TargetMode="External" Id="rId3773"/><Relationship Type="http://schemas.openxmlformats.org/officeDocument/2006/relationships/hyperlink" Target="https://scholar.google.com/scholar?q=Chan+et+al.+Causal+Scrubbing+2022+.+34.+Uncovering+and+Inducing+Interpretable+Causal+Structure+in+Deep+Learning+Models" TargetMode="External" Id="rId3774"/><Relationship Type="http://schemas.openxmlformats.org/officeDocument/2006/relationships/hyperlink" Target="https://www.youtube.com/watch?v=_oCWsaFBY1M" TargetMode="External" Id="rId3775"/><Relationship Type="http://schemas.openxmlformats.org/officeDocument/2006/relationships/hyperlink" Target="https://scholar.google.com/scholar?q=Chan+et+al.+Causal+Scrubbing+2022+.+34.+Uncovering+and+Inducing+Interpretable+Causal+Structure+in+Deep+Learning+Models" TargetMode="External" Id="rId3776"/><Relationship Type="http://schemas.openxmlformats.org/officeDocument/2006/relationships/hyperlink" Target="https://www.youtube.com/watch?v=EbVsoR7cjf0" TargetMode="External" Id="rId3777"/><Relationship Type="http://schemas.openxmlformats.org/officeDocument/2006/relationships/hyperlink" Target="https://scholar.google.com/scholar?q=Causal+Abstraction%3A+A+Theoretical+Foundation+for+Mechanistic+Interpretability.+35.+A+Walkthrough+of+Aligning+Causal+Variables+and+Distributed+Representations+w+Atticus+Geiger+1+3" TargetMode="External" Id="rId3778"/><Relationship Type="http://schemas.openxmlformats.org/officeDocument/2006/relationships/hyperlink" Target="https://www.youtube.com/watch?v=iZm0_l2H2CQ" TargetMode="External" Id="rId3779"/><Relationship Type="http://schemas.openxmlformats.org/officeDocument/2006/relationships/hyperlink" Target="https://arxiv.org/abs/2303.12712" TargetMode="External" Id="rId3780"/><Relationship Type="http://schemas.openxmlformats.org/officeDocument/2006/relationships/hyperlink" Target="https://www.youtube.com/watch?v=eqZ1iEoor5s" TargetMode="External" Id="rId3781"/><Relationship Type="http://schemas.openxmlformats.org/officeDocument/2006/relationships/hyperlink" Target="https://arxiv.org/abs/2303.12712" TargetMode="External" Id="rId3782"/><Relationship Type="http://schemas.openxmlformats.org/officeDocument/2006/relationships/hyperlink" Target="https://www.youtube.com/watch?v=u0619QrWxQc" TargetMode="External" Id="rId3783"/><Relationship Type="http://schemas.openxmlformats.org/officeDocument/2006/relationships/hyperlink" Target="https://arxiv.org/abs/2303.12712" TargetMode="External" Id="rId3784"/><Relationship Type="http://schemas.openxmlformats.org/officeDocument/2006/relationships/hyperlink" Target="https://www.youtube.com/watch?v=ZzEj7jPk5fc" TargetMode="External" Id="rId3785"/><Relationship Type="http://schemas.openxmlformats.org/officeDocument/2006/relationships/hyperlink" Target="https://arxiv.org/abs/2303.12712" TargetMode="External" Id="rId3786"/><Relationship Type="http://schemas.openxmlformats.org/officeDocument/2006/relationships/hyperlink" Target="https://www.youtube.com/watch?v=ob4vuiqG2Go" TargetMode="External" Id="rId3787"/><Relationship Type="http://schemas.openxmlformats.org/officeDocument/2006/relationships/hyperlink" Target="https://arxiv.org/abs/2303.12712" TargetMode="External" Id="rId3788"/><Relationship Type="http://schemas.openxmlformats.org/officeDocument/2006/relationships/hyperlink" Target="https://www.youtube.com/watch?v=11Z50mi8dSg" TargetMode="External" Id="rId3789"/><Relationship Type="http://schemas.openxmlformats.org/officeDocument/2006/relationships/hyperlink" Target="https://arxiv.org/abs/2303.12712" TargetMode="External" Id="rId3790"/><Relationship Type="http://schemas.openxmlformats.org/officeDocument/2006/relationships/hyperlink" Target="https://www.youtube.com/watch?v=lfwT79Hgytc" TargetMode="External" Id="rId3791"/><Relationship Type="http://schemas.openxmlformats.org/officeDocument/2006/relationships/hyperlink" Target="https://arxiv.org/abs/2303.12712" TargetMode="External" Id="rId3792"/><Relationship Type="http://schemas.openxmlformats.org/officeDocument/2006/relationships/hyperlink" Target="https://www.youtube.com/watch?v=gQbh-RZtsq4" TargetMode="External" Id="rId3793"/><Relationship Type="http://schemas.openxmlformats.org/officeDocument/2006/relationships/hyperlink" Target="https://arxiv.org/abs/2303.12712" TargetMode="External" Id="rId3794"/><Relationship Type="http://schemas.openxmlformats.org/officeDocument/2006/relationships/hyperlink" Target="https://www.youtube.com/watch?v=VQ_7zLXHf3s" TargetMode="External" Id="rId3795"/><Relationship Type="http://schemas.openxmlformats.org/officeDocument/2006/relationships/hyperlink" Target="https://arxiv.org/abs/2303.12712" TargetMode="External" Id="rId3796"/><Relationship Type="http://schemas.openxmlformats.org/officeDocument/2006/relationships/hyperlink" Target="https://www.youtube.com/watch?v=YpFaPKOeNME" TargetMode="External" Id="rId3797"/><Relationship Type="http://schemas.openxmlformats.org/officeDocument/2006/relationships/hyperlink" Target="https://arxiv.org/abs/2303.12712" TargetMode="External" Id="rId3798"/><Relationship Type="http://schemas.openxmlformats.org/officeDocument/2006/relationships/hyperlink" Target="https://www.youtube.com/watch?v=ElDtkhqv5ZE" TargetMode="External" Id="rId3799"/><Relationship Type="http://schemas.openxmlformats.org/officeDocument/2006/relationships/hyperlink" Target="https://arxiv.org/abs/2303.12712" TargetMode="External" Id="rId3800"/><Relationship Type="http://schemas.openxmlformats.org/officeDocument/2006/relationships/hyperlink" Target="https://www.youtube.com/watch?v=hJ45rJgGyRw" TargetMode="External" Id="rId3801"/><Relationship Type="http://schemas.openxmlformats.org/officeDocument/2006/relationships/hyperlink" Target="https://scholar.google.com/scholar?q=Voita+%26+Titov+EMNLP+2020.+See+also+Hewitt+%26+Liang+Designing+and+Interpreting+Probes+with+Control+Tasks+2019+.+49.+Interpreting+Natu" TargetMode="External" Id="rId3802"/><Relationship Type="http://schemas.openxmlformats.org/officeDocument/2006/relationships/hyperlink" Target="https://www.youtube.com/watch?v=CakeVH_svdo" TargetMode="External" Id="rId3803"/><Relationship Type="http://schemas.openxmlformats.org/officeDocument/2006/relationships/hyperlink" Target="https://scholar.google.com/scholar?q=Voita+%26+Titov+EMNLP+2020.+See+also+Hewitt+%26+Liang+Designing+and+Interpreting+Probes+with+Control+Tasks+2019+.+49.+Interpreting+Natural+Language+Processing+Models" TargetMode="External" Id="rId3804"/><Relationship Type="http://schemas.openxmlformats.org/officeDocument/2006/relationships/hyperlink" Target="https://www.youtube.com/watch?v=vKCvcG6SHWc" TargetMode="External" Id="rId3805"/><Relationship Type="http://schemas.openxmlformats.org/officeDocument/2006/relationships/hyperlink" Target="https://scholar.google.com/scholar?q=Belinkov+Probing+Classifiers%3A+Promises+Shortcomings+and+Advances+CL+2022+.+This+is+the+critique+you+must+read+before+using+a+probe.+50.+Yonatan+Belinkov+-+Causal+Mediation+Analysis+for+Interpreting+Neural+NLP%3A+The+Case+o" TargetMode="External" Id="rId3806"/><Relationship Type="http://schemas.openxmlformats.org/officeDocument/2006/relationships/hyperlink" Target="https://www.youtube.com/watch?v=ew-P4vU-2yI" TargetMode="External" Id="rId3807"/><Relationship Type="http://schemas.openxmlformats.org/officeDocument/2006/relationships/hyperlink" Target="https://scholar.google.com/scholar?q=Vig+et+al.+Investigating+Gender+Bias+in+Language+Models+Using+Causal+Mediation+Analysis+NeurIPS+2020+.+51.+Feature+learning+%26+the+linear+representation+hypothesis+for+steering+%26+monitoring+LLMs" TargetMode="External" Id="rId3808"/><Relationship Type="http://schemas.openxmlformats.org/officeDocument/2006/relationships/hyperlink" Target="https://www.youtube.com/watch?v=0eL69dWZ1lA" TargetMode="External" Id="rId3809"/><Relationship Type="http://schemas.openxmlformats.org/officeDocument/2006/relationships/hyperlink" Target="https://scholar.google.com/scholar?q=Park+Choe+%26+Veitch+The+Linear+Representation+Hypothesis+and+the+Geometry+of+La" TargetMode="External" Id="rId3810"/><Relationship Type="http://schemas.openxmlformats.org/officeDocument/2006/relationships/hyperlink" Target="https://www.youtube.com/watch?v=6yUuWknqSdM" TargetMode="External" Id="rId3811"/><Relationship Type="http://schemas.openxmlformats.org/officeDocument/2006/relationships/hyperlink" Target="https://scholar.google.com/scholar?q=Park+Choe+%26+Veitch+The+Linear+Representation+Hypothesis+and+the+Geometry+of+Large+Language+Models+2023+.+53.+Oskar+John+Hollinsworth+-+Linear+Representations+of+Sentiment+in+Large+Language+Models+TAIS+2024" TargetMode="External" Id="rId3812"/><Relationship Type="http://schemas.openxmlformats.org/officeDocument/2006/relationships/hyperlink" Target="https://www.youtube.com/watch?v=8QNGVSVWukw" TargetMode="External" Id="rId3813"/><Relationship Type="http://schemas.openxmlformats.org/officeDocument/2006/relationships/hyperlink" Target="https://scholar.google.com/scholar?q=Zou+et+al.+Representation+Engineering%3A+A+Top-Down+Approach+to+AI+Transparency+2023+.+55.+The+Platonic+Representation+Hypothesis" TargetMode="External" Id="rId3814"/><Relationship Type="http://schemas.openxmlformats.org/officeDocument/2006/relationships/hyperlink" Target="https://www.youtube.com/watch?v=ub1ivilmzSc" TargetMode="External" Id="rId3815"/><Relationship Type="http://schemas.openxmlformats.org/officeDocument/2006/relationships/hyperlink" Target="https://scholar.google.com/scholar?q=Zou+et+al.+Representation+Engineering%3A+A+Top-Down+Approach+to+AI+Transparency+2023+.+55.+The+Platonic+Representation+Hypothesis" TargetMode="External" Id="rId3816"/><Relationship Type="http://schemas.openxmlformats.org/officeDocument/2006/relationships/hyperlink" Target="https://www.youtube.com/watch?v=1_xH2mUFpZw" TargetMode="External" Id="rId3817"/><Relationship Type="http://schemas.openxmlformats.org/officeDocument/2006/relationships/hyperlink" Target="https://scholar.google.com/scholar?q=Huh+Cheung+Wang+%26+Isola+ICML+2024.+56.+Kathleen+Creel+Northeastern+University+%3A+Against+the+Platonic+Representation+Hypothesis" TargetMode="External" Id="rId3818"/><Relationship Type="http://schemas.openxmlformats.org/officeDocument/2006/relationships/hyperlink" Target="https://www.youtube.com/watch?v=W1jIpcWgpcw" TargetMode="External" Id="rId3819"/><Relationship Type="http://schemas.openxmlformats.org/officeDocument/2006/relationships/hyperlink" Target="https://scholar.google.com/scholar?q=Kornblith+et+al.+Similarity+of+Neural+Network+Representations+Revisited+ICML+2019" TargetMode="External" Id="rId3820"/><Relationship Type="http://schemas.openxmlformats.org/officeDocument/2006/relationships/hyperlink" Target="https://www.youtube.com/watch?v=dA7jKK3TNqc" TargetMode="External" Id="rId3821"/><Relationship Type="http://schemas.openxmlformats.org/officeDocument/2006/relationships/hyperlink" Target="https://scholar.google.com/scholar?q=Kornblith+et+al.+Similarity+of+Neural+Network+Representations+Revisited+ICML+2019+.+58.+Contributed+Talks%3A+Representational+Alignment+-+CCN+2025" TargetMode="External" Id="rId3822"/><Relationship Type="http://schemas.openxmlformats.org/officeDocument/2006/relationships/hyperlink" Target="https://www.youtube.com/watch?v=vT-3kV89Rhk" TargetMode="External" Id="rId3823"/><Relationship Type="http://schemas.openxmlformats.org/officeDocument/2006/relationships/hyperlink" Target="https://arxiv.org/abs/2303.12712" TargetMode="External" Id="rId3824"/><Relationship Type="http://schemas.openxmlformats.org/officeDocument/2006/relationships/hyperlink" Target="https://www.youtube.com/watch?v=u7Dvb_a1D-0" TargetMode="External" Id="rId3825"/><Relationship Type="http://schemas.openxmlformats.org/officeDocument/2006/relationships/hyperlink" Target="https://scholar.google.com/scholar?q=Cranmer+et+al.+Discovering+Symbolic+Models+from+Deep+Learning+with+Inductive+Biases+2020+." TargetMode="External" Id="rId3826"/><Relationship Type="http://schemas.openxmlformats.org/officeDocument/2006/relationships/hyperlink" Target="https://www.youtube.com/watch?v=XHBJJ2N-kUc" TargetMode="External" Id="rId3827"/><Relationship Type="http://schemas.openxmlformats.org/officeDocument/2006/relationships/hyperlink" Target="https://scholar.google.com/scholar?q=Cranmer+et+al.+Discovering+Symbolic+Models+from+Deep+Learning+with+Inductive+Biases+2020+." TargetMode="External" Id="rId3828"/><Relationship Type="http://schemas.openxmlformats.org/officeDocument/2006/relationships/hyperlink" Target="https://www.youtube.com/watch?v=wBcrPDPUTrE" TargetMode="External" Id="rId3829"/><Relationship Type="http://schemas.openxmlformats.org/officeDocument/2006/relationships/hyperlink" Target="https://scholar.google.com/scholar?q=Kim+et+al.+Interpretability+Beyond+Feature+Attribution%3A+Quantitative+Testing+with+Concept+Activation+Vectors+ICML+2018.+62.+Interpretability+Beyond+Feature+Attribution" TargetMode="External" Id="rId3830"/><Relationship Type="http://schemas.openxmlformats.org/officeDocument/2006/relationships/hyperlink" Target="https://www.youtube.com/watch?v=Ff-Dx79QEEY" TargetMode="External" Id="rId3831"/><Relationship Type="http://schemas.openxmlformats.org/officeDocument/2006/relationships/hyperlink" Target="https://scholar.google.com/scholar?q=Adebayo+et+al.+Sanity+Checks+for+Saliency+Maps+NeurIPS+2018+also+Kindermans+et+al.+The+Un+reliability+of+Saliency+Methods.+64." TargetMode="External" Id="rId3832"/><Relationship Type="http://schemas.openxmlformats.org/officeDocument/2006/relationships/hyperlink" Target="https://www.youtube.com/watch?v=5w_rgBbwQHw" TargetMode="External" Id="rId3833"/><Relationship Type="http://schemas.openxmlformats.org/officeDocument/2006/relationships/hyperlink" Target="https://scholar.google.com/scholar?q=Adebayo+et+al.+Sanity+Checks+for+Saliency+Maps+NeurIPS+2018+also+Kindermans+et+al.+The+Un+reliability+of+Saliency+Methods.+64.+SecML18%3A+Been+Kim+on+Interpretability+for+when+NOT+to+use+machine+learning" TargetMode="External" Id="rId3834"/><Relationship Type="http://schemas.openxmlformats.org/officeDocument/2006/relationships/hyperlink" Target="https://www.youtube.com/watch?v=t1rJ9gIrYKM" TargetMode="External" Id="rId3835"/><Relationship Type="http://schemas.openxmlformats.org/officeDocument/2006/relationships/hyperlink" Target="https://arxiv.org/abs/2303.12712" TargetMode="External" Id="rId3836"/><Relationship Type="http://schemas.openxmlformats.org/officeDocument/2006/relationships/hyperlink" Target="https://www.youtube.com/watch?v=06hIoM-cLVM" TargetMode="External" Id="rId3837"/><Relationship Type="http://schemas.openxmlformats.org/officeDocument/2006/relationships/hyperlink" Target="https://arxiv.org/abs/2303.12712" TargetMode="External" Id="rId3838"/><Relationship Type="http://schemas.openxmlformats.org/officeDocument/2006/relationships/hyperlink" Target="https://www.youtube.com/watch?v=JVoYzS2RcRc" TargetMode="External" Id="rId3839"/><Relationship Type="http://schemas.openxmlformats.org/officeDocument/2006/relationships/hyperlink" Target="https://scholar.google.com/scholar?q=Sundararajan+Taly+%26+Yan+Axiomatic+Attribution+for" TargetMode="External" Id="rId3840"/><Relationship Type="http://schemas.openxmlformats.org/officeDocument/2006/relationships/hyperlink" Target="https://www.youtube.com/watch?v=RFE6xdfJvag" TargetMode="External" Id="rId3841"/><Relationship Type="http://schemas.openxmlformats.org/officeDocument/2006/relationships/hyperlink" Target="https://scholar.google.com/scholar?q=Sundararajan+Taly+%26+Yan+Axiomatic+Attribution+for+Deep+Networks+ICML+2017+.+68.+Scott+Lundberg+Microsoft+Research+-+Explainable+Machine+Learning+with+Shapley+Values" TargetMode="External" Id="rId3842"/><Relationship Type="http://schemas.openxmlformats.org/officeDocument/2006/relationships/hyperlink" Target="https://www.youtube.com/watch?v=ngOBhhINWb8" TargetMode="External" Id="rId3843"/><Relationship Type="http://schemas.openxmlformats.org/officeDocument/2006/relationships/hyperlink" Target="https://scholar.google.com/scholar?q=Lundberg+%26+Lee+NeurIPS+2017.+69.+Explainable+AI+explained" TargetMode="External" Id="rId3844"/><Relationship Type="http://schemas.openxmlformats.org/officeDocument/2006/relationships/hyperlink" Target="https://www.youtube.com/watch?v=9haIOplEIGM" TargetMode="External" Id="rId3845"/><Relationship Type="http://schemas.openxmlformats.org/officeDocument/2006/relationships/hyperlink" Target="https://scholar.google.com/scholar?q=Rudin+Stop+Explaining+Black+Box+Machine+Learning+Models+for+High+Stakes+Decisions+and+Use+Interpretable+Models+Instead+Nature+MI+2019+.+71.+Stop+explaining+black+box+machine+learning+model" TargetMode="External" Id="rId3846"/><Relationship Type="http://schemas.openxmlformats.org/officeDocument/2006/relationships/hyperlink" Target="https://www.youtube.com/watch?v=4oXFEDoEcAk" TargetMode="External" Id="rId3847"/><Relationship Type="http://schemas.openxmlformats.org/officeDocument/2006/relationships/hyperlink" Target="https://scholar.google.com/scholar?q=Rudin+Stop+Explaining+Black+Box+Machine+Learning+Models+for+High+Stakes+Decisions+and+Use+Interpretable+Models+Instead+Nature+MI+2019+.+71.+Stop+explaining+black+box+machine+learning+models+for+high+stakes+decisions+and." TargetMode="External" Id="rId3848"/><Relationship Type="http://schemas.openxmlformats.org/officeDocument/2006/relationships/hyperlink" Target="https://www.youtube.com/watch?v=HY2NoQQzRic" TargetMode="External" Id="rId3849"/><Relationship Type="http://schemas.openxmlformats.org/officeDocument/2006/relationships/hyperlink" Target="https://scholar.google.com/scholar?q=Koh+%26+Liang+Un" TargetMode="External" Id="rId3850"/><Relationship Type="http://schemas.openxmlformats.org/officeDocument/2006/relationships/hyperlink" Target="https://www.youtube.com/watch?v=2wj1Ztym5qY" TargetMode="External" Id="rId3851"/><Relationship Type="http://schemas.openxmlformats.org/officeDocument/2006/relationships/hyperlink" Target="https://scholar.google.com/scholar?q=Koh+%26+Liang+Understanding+Black-box+Predictions+via+Influence+Functions+ICML+2017+best+paper+.+74.+Interpreting+Deep+Neural+Networks+DNNs" TargetMode="External" Id="rId3852"/><Relationship Type="http://schemas.openxmlformats.org/officeDocument/2006/relationships/hyperlink" Target="https://www.youtube.com/watch?v=5tidNjeVG8s" TargetMode="External" Id="rId3853"/><Relationship Type="http://schemas.openxmlformats.org/officeDocument/2006/relationships/hyperlink" Target="https://scholar.google.com/scholar?q=Koh+%26+Liang+Understanding+Black-box+Predictions+via+Influence+Functions+ICML+2017+best+paper+.+74.+Interpreting+Deep+Neural+Networks+DNNs" TargetMode="External" Id="rId3854"/><Relationship Type="http://schemas.openxmlformats.org/officeDocument/2006/relationships/hyperlink" Target="https://www.youtube.com/watch?v=mCDv3kpzqwQ" TargetMode="External" Id="rId3855"/><Relationship Type="http://schemas.openxmlformats.org/officeDocument/2006/relationships/hyperlink" Target="https://arxiv.org/abs/2303.12712" TargetMode="External" Id="rId3856"/><Relationship Type="http://schemas.openxmlformats.org/officeDocument/2006/relationships/hyperlink" Target="https://www.youtube.com/watch?v=wDLzLN1tArA" TargetMode="External" Id="rId3857"/><Relationship Type="http://schemas.openxmlformats.org/officeDocument/2006/relationships/hyperlink" Target="https://arxiv.org/abs/2303.12712" TargetMode="External" Id="rId3858"/><Relationship Type="http://schemas.openxmlformats.org/officeDocument/2006/relationships/hyperlink" Target="https://www.youtube.com/watch?v=0LIACHcxpHU" TargetMode="External" Id="rId3859"/><Relationship Type="http://schemas.openxmlformats.org/officeDocument/2006/relationships/hyperlink" Target="https://arxiv.org/abs/2303.12712" TargetMode="External" Id="rId3860"/><Relationship Type="http://schemas.openxmlformats.org/officeDocument/2006/relationships/hyperlink" Target="https://www.youtube.com/watch?v=1djD0kK2uik" TargetMode="External" Id="rId3861"/><Relationship Type="http://schemas.openxmlformats.org/officeDocument/2006/relationships/hyperlink" Target="https://scholar.google.com/scholar?q=Ilyas+Park+Engstrom+Leclerc+%26+M%C4%85dry+Datamodels+ICML+2022+.+78.+MedAI+51%3A+Datamodels+-+Predicting+Predictions+from+Training+Data" TargetMode="External" Id="rId3862"/><Relationship Type="http://schemas.openxmlformats.org/officeDocument/2006/relationships/hyperlink" Target="https://www.youtube.com/watch?v=dgo7nRQcw_E" TargetMode="External" Id="rId3863"/><Relationship Type="http://schemas.openxmlformats.org/officeDocument/2006/relationships/hyperlink" Target="https://scholar.google.com/scholar?q=Park+Georgiev+Ilyas+Leclerc+%26+M%C4%85dry+TRAK%3A+Attributing+Model+Behavior+at+Scale+ICML+2023+.+80.+What+Do+Our+Models+Learn+-+Aleksander+M%C4%85dry" TargetMode="External" Id="rId3864"/><Relationship Type="http://schemas.openxmlformats.org/officeDocument/2006/relationships/hyperlink" Target="https://www.youtube.com/watch?v=9BC9BsZRCKQ" TargetMode="External" Id="rId3865"/><Relationship Type="http://schemas.openxmlformats.org/officeDocument/2006/relationships/hyperlink" Target="https://scholar.google.com/scholar?q=Park+Georgiev+Ilyas+Leclerc+%26+M%C4%85dry+TRAK%3A+Attributing+Model+Behavior+at+Scale+ICML+2023+.+80.+What+Do+Our+Models+Learn+-+Aleksander+M%C4%85dry" TargetMode="External" Id="rId3866"/><Relationship Type="http://schemas.openxmlformats.org/officeDocument/2006/relationships/hyperlink" Target="https://www.youtube.com/watch?v=_Osf6F7zZUM" TargetMode="External" Id="rId3867"/><Relationship Type="http://schemas.openxmlformats.org/officeDocument/2006/relationships/hyperlink" Target="https://scholar.google.com/scholar?q=Adversarial+Examples+Are+Not+Bugs+They+Are+Features+2019+.+81.+Scalable+Extraction+of+Training+Data+from+Production+Language+Models" TargetMode="External" Id="rId3868"/><Relationship Type="http://schemas.openxmlformats.org/officeDocument/2006/relationships/hyperlink" Target="https://www.youtube.com/watch?v=adCLAhoQhOQ" TargetMode="External" Id="rId3869"/><Relationship Type="http://schemas.openxmlformats.org/officeDocument/2006/relationships/hyperlink" Target="https://scholar.google.com/scholar?q=Nasr+Carlini+et+al.+2023+the+divergence+attack+on+ChatGPT.+82.+TrustML+Seminar%3A+Nicholas+Carlini+on+Extracting+training+data+from+neural+networks" TargetMode="External" Id="rId3870"/><Relationship Type="http://schemas.openxmlformats.org/officeDocument/2006/relationships/hyperlink" Target="https://www.youtube.com/watch?v=2Xl2B2R7_1M" TargetMode="External" Id="rId3871"/><Relationship Type="http://schemas.openxmlformats.org/officeDocument/2006/relationships/hyperlink" Target="https://scholar.google.com/scholar?q=Carlini+et+al.+Extracting+Training+Data+from+Large+Language+Models+USENIX+Security+2021+.+83.+USENIX+Security+19+-+The+Secret+Sharer%3A+Evaluating+and+Testing+Unintended+Memorization+in+Neural+Networks" TargetMode="External" Id="rId3872"/><Relationship Type="http://schemas.openxmlformats.org/officeDocument/2006/relationships/hyperlink" Target="https://www.youtube.com/watch?v=U9XbFtCWedE" TargetMode="External" Id="rId3873"/><Relationship Type="http://schemas.openxmlformats.org/officeDocument/2006/relationships/hyperlink" Target="https://scholar.google.com/scholar?q=Towards+Developmental+Interpretability+Lau+et+al.+The+Local+Learning+Coefficient.+85.+31+-+Singular+Learning+Theory+with+Dani" TargetMode="External" Id="rId3874"/><Relationship Type="http://schemas.openxmlformats.org/officeDocument/2006/relationships/hyperlink" Target="https://www.youtube.com/watch?v=dtcRhr0gqKU" TargetMode="External" Id="rId3875"/><Relationship Type="http://schemas.openxmlformats.org/officeDocument/2006/relationships/hyperlink" Target="https://scholar.google.com/scholar?q=Towards+Developmental+Interpretability+Lau+et+al.+The+Local+Learning+Coefficient.+85.+31+-+Singular+Learning+Theory+with+Daniel+Murfet" TargetMode="External" Id="rId3876"/><Relationship Type="http://schemas.openxmlformats.org/officeDocument/2006/relationships/hyperlink" Target="https://www.youtube.com/watch?v=hdB9gIwD6x4" TargetMode="External" Id="rId3877"/><Relationship Type="http://schemas.openxmlformats.org/officeDocument/2006/relationships/hyperlink" Target="https://arxiv.org/abs/2303.12712" TargetMode="External" Id="rId3878"/><Relationship Type="http://schemas.openxmlformats.org/officeDocument/2006/relationships/hyperlink" Target="https://www.youtube.com/watch?v=jgcatt6eZyY" TargetMode="External" Id="rId3879"/><Relationship Type="http://schemas.openxmlformats.org/officeDocument/2006/relationships/hyperlink" Target="https://arxiv.org/abs/2303.12712" TargetMode="External" Id="rId3880"/><Relationship Type="http://schemas.openxmlformats.org/officeDocument/2006/relationships/hyperlink" Target="https://www.youtube.com/watch?v=P528XdjWvZg" TargetMode="External" Id="rId3881"/><Relationship Type="http://schemas.openxmlformats.org/officeDocument/2006/relationships/hyperlink" Target="https://arxiv.org/abs/2303.12712" TargetMode="External" Id="rId3882"/><Relationship Type="http://schemas.openxmlformats.org/officeDocument/2006/relationships/hyperlink" Target="https://www.youtube.com/watch?v=2WqvUQY1nlg" TargetMode="External" Id="rId3883"/><Relationship Type="http://schemas.openxmlformats.org/officeDocument/2006/relationships/hyperlink" Target="https://scholar.google.com/scholar?q=Juneja+Bansal+Cho+Sedoc+%26+Saphra+ICLR+2023+.+91.+Dynamics+of+Concept+Learning+and+Emergent+Abilities+in+Neural+Networks+-+Ekde" TargetMode="External" Id="rId3884"/><Relationship Type="http://schemas.openxmlformats.org/officeDocument/2006/relationships/hyperlink" Target="https://www.youtube.com/watch?v=zxtD9rW_3Bo" TargetMode="External" Id="rId3885"/><Relationship Type="http://schemas.openxmlformats.org/officeDocument/2006/relationships/hyperlink" Target="https://scholar.google.com/scholar?q=Juneja+Bansal+Cho+Sedoc+%26+Saphra+ICLR+2023+.+91.+Dynamics+of+Concept+Learning+and+Emergent+Abilities+in+Neural+Networks+-+Ekdeep+Lubana" TargetMode="External" Id="rId3886"/><Relationship Type="http://schemas.openxmlformats.org/officeDocument/2006/relationships/hyperlink" Target="https://www.youtube.com/watch?v=bCEXKmDGUzQ" TargetMode="External" Id="rId3887"/><Relationship Type="http://schemas.openxmlformats.org/officeDocument/2006/relationships/hyperlink" Target="https://arxiv.org/abs/2303.12712" TargetMode="External" Id="rId3888"/><Relationship Type="http://schemas.openxmlformats.org/officeDocument/2006/relationships/hyperlink" Target="https://www.youtube.com/watch?v=2ytGG5qtYvE" TargetMode="External" Id="rId3889"/><Relationship Type="http://schemas.openxmlformats.org/officeDocument/2006/relationships/hyperlink" Target="https://arxiv.org/abs/2303.12712" TargetMode="External" Id="rId3890"/><Relationship Type="http://schemas.openxmlformats.org/officeDocument/2006/relationships/hyperlink" Target="https://www.youtube.com/watch?v=xXYvsDJS9vw" TargetMode="External" Id="rId3891"/><Relationship Type="http://schemas.openxmlformats.org/officeDocument/2006/relationships/hyperlink" Target="https://scholar.google.com/scholar?q=Schaeffer+Miranda+%26+Koyejo+Are+Emergent+Abilities+of+Large+Language+Models+a+Mirage+NeurIPS+2023+best+paper+.+95.+CITP+Special+Event%3A+Sayash+Kapoor%3A+Final+Public+Oral+FPO+-+The+Missing+Science+of+AI+Evaluation" TargetMode="External" Id="rId3892"/><Relationship Type="http://schemas.openxmlformats.org/officeDocument/2006/relationships/hyperlink" Target="https://www.youtube.com/watch?v=8SGdYYtmmwI" TargetMode="External" Id="rId3893"/><Relationship Type="http://schemas.openxmlformats.org/officeDocument/2006/relationships/hyperlink" Target="https://scholar.google.com/scholar?q=AI+Agents+That+Matter+Leakage+and+the+Reproducibility+Crisis+in+ML-based+Science.+96.+Building+and+evaluating+AI+Agents+-+Sayash+Kapoor+AI+Snake+Oil" TargetMode="External" Id="rId3894"/><Relationship Type="http://schemas.openxmlformats.org/officeDocument/2006/relationships/hyperlink" Target="https://www.youtube.com/watch?v=d5EltXhbcfA" TargetMode="External" Id="rId3895"/><Relationship Type="http://schemas.openxmlformats.org/officeDocument/2006/relationships/hyperlink" Target="https://arxiv.org/abs/2303.12712" TargetMode="External" Id="rId3896"/><Relationship Type="http://schemas.openxmlformats.org/officeDocument/2006/relationships/hyperlink" Target="https://www.youtube.com/watch?v=WUiTKvhjn90" TargetMode="External" Id="rId3897"/><Relationship Type="http://schemas.openxmlformats.org/officeDocument/2006/relationships/hyperlink" Target="https://arxiv.org/abs/2303.12712" TargetMode="External" Id="rId3898"/><Relationship Type="http://schemas.openxmlformats.org/officeDocument/2006/relationships/hyperlink" Target="https://www.youtube.com/watch?v=q4ilyQs3nEY" TargetMode="External" Id="rId3899"/><Relationship Type="http://schemas.openxmlformats.org/officeDocument/2006/relationships/hyperlink" Target="https://scholar.google.com/scholar?q=Ethayarajh+%26+Jurafsky+Utility+is+in+the+Eye+of+the+User+EMNLP+2020+.+10" TargetMode="External" Id="rId3900"/><Relationship Type="http://schemas.openxmlformats.org/officeDocument/2006/relationships/hyperlink" Target="https://www.youtube.com/watch?v=VauPmCJSlH8" TargetMode="External" Id="rId3901"/><Relationship Type="http://schemas.openxmlformats.org/officeDocument/2006/relationships/hyperlink" Target="https://scholar.google.com/scholar?q=Ethayarajh+%26+Jurafsky+Utility+is+in+the+Eye+of+the+User+EMNLP+2020+.+100.+Rasa+Reading+Group%3A+What+Will+it+Take+to+Fix+Benchmarking+in+Natural+Language+Understanding+Part+2" TargetMode="External" Id="rId3902"/><Relationship Type="http://schemas.openxmlformats.org/officeDocument/2006/relationships/hyperlink" Target="https://www.youtube.com/watch?v=UDK6ZTUIvig" TargetMode="External" Id="rId3903"/><Relationship Type="http://schemas.openxmlformats.org/officeDocument/2006/relationships/hyperlink" Target="https://scholar.google.com/scholar?q=Bowman+%26+Dahl+NAACL+2021.+The+four+criteria+any+benchmark+must+meet.+101.+ACL+2022+Talk+The+Dangers+of+Underclaiming" TargetMode="External" Id="rId3904"/><Relationship Type="http://schemas.openxmlformats.org/officeDocument/2006/relationships/hyperlink" Target="https://www.youtube.com/watch?v=fPnX374CaFQ" TargetMode="External" Id="rId3905"/><Relationship Type="http://schemas.openxmlformats.org/officeDocument/2006/relationships/hyperlink" Target="https://arxiv.org/abs/2303.12712" TargetMode="External" Id="rId3906"/><Relationship Type="http://schemas.openxmlformats.org/officeDocument/2006/relationships/hyperlink" Target="https://www.youtube.com/watch?v=Ei_EKCDPYwQ" TargetMode="External" Id="rId3907"/><Relationship Type="http://schemas.openxmlformats.org/officeDocument/2006/relationships/hyperlink" Target="https://scholar.google.com/scholar?q=Jain+et+al.+LiveCodeBench+ICLR+2025+.+104.+Context+for+Interpreting+Benchmark+Perfor" TargetMode="External" Id="rId3908"/><Relationship Type="http://schemas.openxmlformats.org/officeDocument/2006/relationships/hyperlink" Target="https://www.youtube.com/watch?v=HGqhS9-rnQM" TargetMode="External" Id="rId3909"/><Relationship Type="http://schemas.openxmlformats.org/officeDocument/2006/relationships/hyperlink" Target="https://scholar.google.com/scholar?q=Jain+et+al.+LiveCodeBench+ICLR+2025+.+104.+Context+for+Interpreting+Benchmark+Performances" TargetMode="External" Id="rId3910"/><Relationship Type="http://schemas.openxmlformats.org/officeDocument/2006/relationships/hyperlink" Target="https://www.youtube.com/watch?v=3Lo-iqo1PjQ" TargetMode="External" Id="rId3911"/><Relationship Type="http://schemas.openxmlformats.org/officeDocument/2006/relationships/hyperlink" Target="https://scholar.google.com/scholar?q=HELM+Liang+Bommasani+et+al.+2022+.+106.+Stanford+CME295+Transformers+%26+LLMs" TargetMode="External" Id="rId3912"/><Relationship Type="http://schemas.openxmlformats.org/officeDocument/2006/relationships/hyperlink" Target="https://www.youtube.com/watch?v=A0kD00WdlKY" TargetMode="External" Id="rId3913"/><Relationship Type="http://schemas.openxmlformats.org/officeDocument/2006/relationships/hyperlink" Target="https://scholar.google.com/scholar?q=HELM+Liang+Bommasani+et+al.+2022+.+106.+Stanford+CME295+Transformers+%26+LLMs" TargetMode="External" Id="rId3914"/><Relationship Type="http://schemas.openxmlformats.org/officeDocument/2006/relationships/hyperlink" Target="https://www.youtube.com/watch?v=8fNP4N46RRo" TargetMode="External" Id="rId3915"/><Relationship Type="http://schemas.openxmlformats.org/officeDocument/2006/relationships/hyperlink" Target="https://arxiv.org/abs/2402.01817" TargetMode="External" Id="rId3916"/><Relationship Type="http://schemas.openxmlformats.org/officeDocument/2006/relationships/hyperlink" Target="https://www.youtube.com/watch?v=N_DwZR--XCc" TargetMode="External" Id="rId3917"/><Relationship Type="http://schemas.openxmlformats.org/officeDocument/2006/relationships/hyperlink" Target="https://scholar.google.com/scholar?q=Henderson+et+al.+Deep+RL+That+Matters" TargetMode="External" Id="rId3918"/><Relationship Type="http://schemas.openxmlformats.org/officeDocument/2006/relationships/hyperlink" Target="https://www.youtube.com/watch?v=Vh4H0gOwdIg" TargetMode="External" Id="rId3919"/><Relationship Type="http://schemas.openxmlformats.org/officeDocument/2006/relationships/hyperlink" Target="https://scholar.google.com/scholar?q=Henderson+et+al.+Deep+RL+That+Matters+AAAI+2018+." TargetMode="External" Id="rId3920"/><Relationship Type="http://schemas.openxmlformats.org/officeDocument/2006/relationships/hyperlink" Target="https://www.youtube.com/watch?v=Sc8-3XD3bDw" TargetMode="External" Id="rId3921"/><Relationship Type="http://schemas.openxmlformats.org/officeDocument/2006/relationships/hyperlink" Target="https://scholar.google.com/scholar?q=Yamins+%26+DiCarlo+Using+goal-driven+deep+learning+models+to+understand+sensory+cortex+Nat+Neuro+2016+.+110.+Jim+DiCarlo+MIT%3A+Reverse+engineering+visual+intelligence" TargetMode="External" Id="rId3922"/><Relationship Type="http://schemas.openxmlformats.org/officeDocument/2006/relationships/hyperlink" Target="https://www.youtube.com/watch?v=5kq7M6pcQ5g" TargetMode="External" Id="rId3923"/><Relationship Type="http://schemas.openxmlformats.org/officeDocument/2006/relationships/hyperlink" Target="https://arxiv.org/abs/2303.12712" TargetMode="External" Id="rId3924"/><Relationship Type="http://schemas.openxmlformats.org/officeDocument/2006/relationships/hyperlink" Target="https://www.youtube.com/watch?v=WVvZaMQLS6U" TargetMode="External" Id="rId3925"/><Relationship Type="http://schemas.openxmlformats.org/officeDocument/2006/relationships/hyperlink" Target="https://arxiv.org/abs/2303.12712" TargetMode="External" Id="rId3926"/><Relationship Type="http://schemas.openxmlformats.org/officeDocument/2006/relationships/hyperlink" Target="https://www.youtube.com/watch?v=H7LzjJ2J7qw" TargetMode="External" Id="rId3927"/><Relationship Type="http://schemas.openxmlformats.org/officeDocument/2006/relationships/hyperlink" Target="https://scholar.google.com/scholar?q=Yamins+et+al.+PNAS+2014.+114.+A+Fruitful+Reciprocity%3A+The+Neuroscience-AI+Connection" TargetMode="External" Id="rId3928"/><Relationship Type="http://schemas.openxmlformats.org/officeDocument/2006/relationships/hyperlink" Target="https://www.youtube.com/watch?v=eq7abzaktM4" TargetMode="External" Id="rId3929"/><Relationship Type="http://schemas.openxmlformats.org/officeDocument/2006/relationships/hyperlink" Target="https://scholar.google.com/scholar?q=Yamins+et+al.+PNAS+2014.+114.+A+Fruitful+Reciprocity%3A+The+Neuroscience-AI+Connection" TargetMode="External" Id="rId3930"/><Relationship Type="http://schemas.openxmlformats.org/officeDocument/2006/relationships/hyperlink" Target="https://www.youtube.com/watch?v=6NOFtwKU3sA" TargetMode="External" Id="rId3931"/><Relationship Type="http://schemas.openxmlformats.org/officeDocument/2006/relationships/hyperlink" Target="https://arxiv.org/abs/2303.12712" TargetMode="External" Id="rId3932"/><Relationship Type="http://schemas.openxmlformats.org/officeDocument/2006/relationships/hyperlink" Target="https://www.youtube.com/watch?v=7pTH0cY01AU" TargetMode="External" Id="rId3933"/><Relationship Type="http://schemas.openxmlformats.org/officeDocument/2006/relationships/hyperlink" Target="https://scholar.google.com/scholar?q=Chang+%26+Tsao+The+Code+for+Facial+Identity+in+the+Primate+Brain+Cell+2017+.+The+cleanest+example+anywhere+of+a+decoded+neural+code+the+direct+biological+analogue+of+a+feature+basis.+117.+Doris" TargetMode="External" Id="rId3934"/><Relationship Type="http://schemas.openxmlformats.org/officeDocument/2006/relationships/hyperlink" Target="https://www.youtube.com/watch?v=n--C0YdJu_A" TargetMode="External" Id="rId3935"/><Relationship Type="http://schemas.openxmlformats.org/officeDocument/2006/relationships/hyperlink" Target="https://scholar.google.com/scholar?q=Chang+%26+Tsao+The+Code+for+Facial+Identity+in+the+Primate+Brain+Cell+2017+.+The+cleanest+example+anywhere+of+a+decoded+neural+code+the+direct+biological+analogue+of+a+feature+basis.+117.+Doris+Tsao%3A+2010+Allen+Institute+f" TargetMode="External" Id="rId3936"/><Relationship Type="http://schemas.openxmlformats.org/officeDocument/2006/relationships/hyperlink" Target="https://www.youtube.com/watch?v=wpVm1QiNQEc" TargetMode="External" Id="rId3937"/><Relationship Type="http://schemas.openxmlformats.org/officeDocument/2006/relationships/hyperlink" Target="https://scholar.google.com/scholar?q=Saxe+McClelland+%26+Ganguli+Exact+solutions+to+the+nonlinear+dynamics+of+learning+in+deep+linear+networks+2014+.+119.+Neural+networks+and+the+brain%3A+from+the+retina+to+semantic+cognition+-+Surya" TargetMode="External" Id="rId3938"/><Relationship Type="http://schemas.openxmlformats.org/officeDocument/2006/relationships/hyperlink" Target="https://www.youtube.com/watch?v=UJ6FToAg7Ks" TargetMode="External" Id="rId3939"/><Relationship Type="http://schemas.openxmlformats.org/officeDocument/2006/relationships/hyperlink" Target="https://scholar.google.com/scholar?q=Saxe+McClelland+%26+Ganguli+Exact+solutions+to+the+nonlinear+dynamics+of+learning+in+deep+linear+networks+2014+.+119.+Neural+networks+and+the+brain%3A+from+the+retina+to+semantic+cognition+-+Surya+Ganguli" TargetMode="External" Id="rId3940"/><Relationship Type="http://schemas.openxmlformats.org/officeDocument/2006/relationships/hyperlink" Target="https://www.youtube.com/watch?v=FKi6sWK9Qo0" TargetMode="External" Id="rId3941"/><Relationship Type="http://schemas.openxmlformats.org/officeDocument/2006/relationships/hyperlink" Target="https://arxiv.org/abs/2303.12712" TargetMode="External" Id="rId3942"/><Relationship Type="http://schemas.openxmlformats.org/officeDocument/2006/relationships/hyperlink" Target="https://www.youtube.com/watch?v=3Kfei1_hAiY" TargetMode="External" Id="rId3943"/><Relationship Type="http://schemas.openxmlformats.org/officeDocument/2006/relationships/hyperlink" Target="https://scholar.google.com/scholar?q=Jonas+%26+Kording+Could+a+Neuroscientist+Understand+a+Microprocessor+PLoS+CB+2017+-+arguably+the+most+important+methodologica" TargetMode="External" Id="rId3944"/><Relationship Type="http://schemas.openxmlformats.org/officeDocument/2006/relationships/hyperlink" Target="https://www.youtube.com/watch?v=GgzRdQ5nm0U" TargetMode="External" Id="rId3945"/><Relationship Type="http://schemas.openxmlformats.org/officeDocument/2006/relationships/hyperlink" Target="https://scholar.google.com/scholar?q=Jonas+%26+Kording+Could+a+Neuroscientist+Understand+a+Microprocessor+PLoS+CB+2017+-+arguably+the+most+important+methodological+critique+in+this+entire+curriculum.+122.+Michigan+Biostatistics+presents+a+seminar+with+Konrad+" TargetMode="External" Id="rId3946"/><Relationship Type="http://schemas.openxmlformats.org/officeDocument/2006/relationships/hyperlink" Target="https://www.youtube.com/watch?v=2mRJrXKUT1M" TargetMode="External" Id="rId3947"/><Relationship Type="http://schemas.openxmlformats.org/officeDocument/2006/relationships/hyperlink" Target="https://scholar.google.com/scholar?q=Richards+et+al.+A+deep+learning+framework+for+neuroscience+Nat+Neuro+2019+.+124.+Fundamentals+of+deep+learning+in+neuroscience" TargetMode="External" Id="rId3948"/><Relationship Type="http://schemas.openxmlformats.org/officeDocument/2006/relationships/hyperlink" Target="https://www.youtube.com/watch?v=yqQe_Qcamwo" TargetMode="External" Id="rId3949"/><Relationship Type="http://schemas.openxmlformats.org/officeDocument/2006/relationships/hyperlink" Target="https://scholar.google.com/scholar?q=Richards+et+al.+A+deep+learning+framework+for+neuroscience+Nat+Neuro+2019+.+124.+Fundamentals+of+deep+learning+in+neuroscience" TargetMode="External" Id="rId3950"/><Relationship Type="http://schemas.openxmlformats.org/officeDocument/2006/relationships/hyperlink" Target="https://www.youtube.com/watch?v=kpNI6or-qJs" TargetMode="External" Id="rId3951"/><Relationship Type="http://schemas.openxmlformats.org/officeDocument/2006/relationships/hyperlink" Target="https://scholar.google.com/scholar?q=Guerguiev+Lillicrap+%26+Richards+Towards+deep+learning+with+segregated+dendrites+eLife+2017+.+126.+Backpropagation+and+Deep+Learning+in+the+Brain" TargetMode="External" Id="rId3952"/><Relationship Type="http://schemas.openxmlformats.org/officeDocument/2006/relationships/hyperlink" Target="https://www.youtube.com/watch?v=YUVLgccVi54" TargetMode="External" Id="rId3953"/><Relationship Type="http://schemas.openxmlformats.org/officeDocument/2006/relationships/hyperlink" Target="https://scholar.google.com/scholar?q=Guerguiev+Lillicrap+%26+Richards+Towards+deep+learning+with+segregated+dendrites+eLife+2017+.+126.+Backpropagation+and+Deep+Learning+in+the+Brain" TargetMode="External" Id="rId3954"/><Relationship Type="http://schemas.openxmlformats.org/officeDocument/2006/relationships/hyperlink" Target="https://www.youtube.com/watch?v=-kHLKLLxIF4" TargetMode="External" Id="rId3955"/><Relationship Type="http://schemas.openxmlformats.org/officeDocument/2006/relationships/hyperlink" Target="https://scholar.google.com/scholar?q=Lillicrap+Santoro+Marris+Akerman+%26+Hinton+Backpropagation+and+the+brain+Nat+Rev+Neuro+2020+.+The+central+reference+for+this+debate.+127.+Stanford+Seminar+-+Can+the+brain+do+back-propagation+Geoffrey+Hinton" TargetMode="External" Id="rId3956"/><Relationship Type="http://schemas.openxmlformats.org/officeDocument/2006/relationships/hyperlink" Target="https://www.youtube.com/watch?v=VIRCybGgHts" TargetMode="External" Id="rId3957"/><Relationship Type="http://schemas.openxmlformats.org/officeDocument/2006/relationships/hyperlink" Target="https://arxiv.org/abs/2303.12712" TargetMode="External" Id="rId3958"/><Relationship Type="http://schemas.openxmlformats.org/officeDocument/2006/relationships/hyperlink" Target="https://www.youtube.com/watch?v=qIEfJ6OBGj8" TargetMode="External" Id="rId3959"/><Relationship Type="http://schemas.openxmlformats.org/officeDocument/2006/relationships/hyperlink" Target="https://scholar.google.com/scholar?q=Hinton+The+Forward-Forward+Algorithm%3A+Some+Preliminary+Investigations+2022+.+130.+Geoffrey+Hinton+Unpacks+The+Forward-Forward+Algorithm" TargetMode="External" Id="rId3960"/><Relationship Type="http://schemas.openxmlformats.org/officeDocument/2006/relationships/hyperlink" Target="https://www.youtube.com/watch?v=_5W5BvKe_6Y" TargetMode="External" Id="rId3961"/><Relationship Type="http://schemas.openxmlformats.org/officeDocument/2006/relationships/hyperlink" Target="https://scholar.google.com/scholar?q=Hinton+The+Forward-Forward+Algorithm%3A+Some+Preliminary+Investigations+2022+.+130.+Geoffrey+Hinton+Unpacks+The+Forward-Forward+Algorithm" TargetMode="External" Id="rId3962"/><Relationship Type="http://schemas.openxmlformats.org/officeDocument/2006/relationships/hyperlink" Target="https://www.youtube.com/watch?v=NWqy_b1OvwQ" TargetMode="External" Id="rId3963"/><Relationship Type="http://schemas.openxmlformats.org/officeDocument/2006/relationships/hyperlink" Target="https://scholar.google.com/scholar?q=Hopfield+PNAS+1982.+132.+Nobel+Prize+lecture%3A+Geoffrey+Hinton+Nobel+Prize+in+Physics" TargetMode="External" Id="rId3964"/><Relationship Type="http://schemas.openxmlformats.org/officeDocument/2006/relationships/hyperlink" Target="https://www.youtube.com/watch?v=8SffhDk4mdU" TargetMode="External" Id="rId3965"/><Relationship Type="http://schemas.openxmlformats.org/officeDocument/2006/relationships/hyperlink" Target="https://scholar.google.com/scholar?q=Hopfield+PNAS+1982.+132.+Nobel+Prize+lecture%3A+Geoffrey+Hinton+Nobel+Prize+in+Physics" TargetMode="External" Id="rId3966"/><Relationship Type="http://schemas.openxmlformats.org/officeDocument/2006/relationships/hyperlink" Target="https://www.youtube.com/watch?v=XDE9DjpcSdI" TargetMode="External" Id="rId3967"/><Relationship Type="http://schemas.openxmlformats.org/officeDocument/2006/relationships/hyperlink" Target="https://scholar.google.com/scholar?q=Ackley+Hinton+%26+Sejnowski+A+Learning+Algorithm+for+Boltzmann+Machines+1985+.+133.+2024+Nobel+Prize+lectures+in+physics" TargetMode="External" Id="rId3968"/><Relationship Type="http://schemas.openxmlformats.org/officeDocument/2006/relationships/hyperlink" Target="https://www.youtube.com/watch?v=lPIVl5eBPh8" TargetMode="External" Id="rId3969"/><Relationship Type="http://schemas.openxmlformats.org/officeDocument/2006/relationships/hyperlink" Target="https://scholar.google.com/scholar?q=Ramsauer+et+al.+Hopfield+Networks+is+All+You+Need+ICLR+2021+-+the+attention+associative-memory+equivalence.+135.+Hopfield+Networks+in+2021+-+Fireside+chat+between+Sepp+Hochreiter+and+Dmitry+Krotov" TargetMode="External" Id="rId3970"/><Relationship Type="http://schemas.openxmlformats.org/officeDocument/2006/relationships/hyperlink" Target="https://www.youtube.com/watch?v=bsdPZJKOlQs" TargetMode="External" Id="rId3971"/><Relationship Type="http://schemas.openxmlformats.org/officeDocument/2006/relationships/hyperlink" Target="https://scholar.google.com/scholar?q=Ramsauer+et+al.+Hopfield+Networks+is+All+You+Need+ICLR+2021+-+the+attention+associative-memory+equivalence.+135.+Hopfield+Networks+in+2021+-+Fireside+chat+between+Sepp+Hochreiter+and+Dmitry+Krotov" TargetMode="External" Id="rId3972"/><Relationship Type="http://schemas.openxmlformats.org/officeDocument/2006/relationships/hyperlink" Target="https://www.youtube.com/watch?v=k3YmWrK6wxo" TargetMode="External" Id="rId3973"/><Relationship Type="http://schemas.openxmlformats.org/officeDocument/2006/relationships/hyperlink" Target="https://scholar.google.com/scholar?q=Krotov+%26+Hopfield+Dense+Associative+Memory+for+Pattern+Recognition+NeurIPS+2016+.+137.+Dmitry+Krotov+-+Generative+AI+models+through+the+lens+of+Dense+Associative+Memory" TargetMode="External" Id="rId3974"/><Relationship Type="http://schemas.openxmlformats.org/officeDocument/2006/relationships/hyperlink" Target="https://www.youtube.com/watch?v=5LXiQUsnHrI" TargetMode="External" Id="rId3975"/><Relationship Type="http://schemas.openxmlformats.org/officeDocument/2006/relationships/hyperlink" Target="https://scholar.google.com/scholar?q=Krotov+%26+Hopfield+Dense+Associative+Memory+for+Pattern+Recognition+NeurIPS+2016+.+137.+Dmitry+Krotov+-+Generative+AI+models+through+the+lens+of+Dense+Associative+Memory+-+IPAM+at+UCLA" TargetMode="External" Id="rId3976"/><Relationship Type="http://schemas.openxmlformats.org/officeDocument/2006/relationships/hyperlink" Target="https://www.youtube.com/watch?v=lzYwzIkO89Q" TargetMode="External" Id="rId3977"/><Relationship Type="http://schemas.openxmlformats.org/officeDocument/2006/relationships/hyperlink" Target="https://scholar.google.com/scholar?q=LeCun+et+al.+A+Tutorial+on+Energy-Based+Learning+2006+.+139.+Yann+LeCun" TargetMode="External" Id="rId3978"/><Relationship Type="http://schemas.openxmlformats.org/officeDocument/2006/relationships/hyperlink" Target="https://www.youtube.com/watch?v=m17B-cXcZFI" TargetMode="External" Id="rId3979"/><Relationship Type="http://schemas.openxmlformats.org/officeDocument/2006/relationships/hyperlink" Target="https://scholar.google.com/scholar?q=LeCun+et+al.+A+Tutorial+on+Energy-Based+Learning+2006+.+139.+Yann+LeCun" TargetMode="External" Id="rId3980"/><Relationship Type="http://schemas.openxmlformats.org/officeDocument/2006/relationships/hyperlink" Target="https://www.youtube.com/watch?v=4lthJd3DNTM" TargetMode="External" Id="rId3981"/><Relationship Type="http://schemas.openxmlformats.org/officeDocument/2006/relationships/hyperlink" Target="https://scholar.google.com/scholar?q=Rao+%26+Ballard+Nat+Neuro+1999+Heeger+PNAS+2017.+141.+The" TargetMode="External" Id="rId3982"/><Relationship Type="http://schemas.openxmlformats.org/officeDocument/2006/relationships/hyperlink" Target="https://www.youtube.com/watch?v=CvAbPtbjxhw" TargetMode="External" Id="rId3983"/><Relationship Type="http://schemas.openxmlformats.org/officeDocument/2006/relationships/hyperlink" Target="https://scholar.google.com/scholar?q=Rao+%26+Ballard+Nat+Neuro+1999+Heeger+PNAS+2017.+141.+The+Predictive+Brain%3A+Michael+Pollan+Celeste+Kidd+Christos+Papadimitriou+and+Bruno+Olshausen" TargetMode="External" Id="rId3984"/><Relationship Type="http://schemas.openxmlformats.org/officeDocument/2006/relationships/hyperlink" Target="https://www.youtube.com/watch?v=ItU0HeFmsrY" TargetMode="External" Id="rId3985"/><Relationship Type="http://schemas.openxmlformats.org/officeDocument/2006/relationships/hyperlink" Target="https://scholar.google.com/scholar?q=Olshausen+%26+Field+Nature+1996.+142.+A+New+Framework+for+Modeling+Brain+Information+Processing+-+Nikolaus+Kriegeskorte" TargetMode="External" Id="rId3986"/><Relationship Type="http://schemas.openxmlformats.org/officeDocument/2006/relationships/hyperlink" Target="https://www.youtube.com/watch?v=tyYIuvbV2po" TargetMode="External" Id="rId3987"/><Relationship Type="http://schemas.openxmlformats.org/officeDocument/2006/relationships/hyperlink" Target="https://scholar.google.com/scholar?q=Kriegeskorte+Mur+%26+Bandettini+2008+.+143.+BI+163+Ellie+Pavlick%3A+The+Mind+of+a+Language+Model" TargetMode="External" Id="rId3988"/><Relationship Type="http://schemas.openxmlformats.org/officeDocument/2006/relationships/hyperlink" Target="https://www.youtube.com/watch?v=o8_lZbQ0PEs" TargetMode="External" Id="rId3989"/><Relationship Type="http://schemas.openxmlformats.org/officeDocument/2006/relationships/hyperlink" Target="https://arxiv.org/abs/2303.12712" TargetMode="External" Id="rId3990"/><Relationship Type="http://schemas.openxmlformats.org/officeDocument/2006/relationships/hyperlink" Target="https://www.youtube.com/watch?v=etWMRit98sA" TargetMode="External" Id="rId3991"/><Relationship Type="http://schemas.openxmlformats.org/officeDocument/2006/relationships/hyperlink" Target="https://arxiv.org/abs/2303.12712" TargetMode="External" Id="rId3992"/><Relationship Type="http://schemas.openxmlformats.org/officeDocument/2006/relationships/hyperlink" Target="https://www.youtube.com/watch?v=cJ0YPyP-I_o" TargetMode="External" Id="rId3993"/><Relationship Type="http://schemas.openxmlformats.org/officeDocument/2006/relationships/hyperlink" Target="https://scholar.google.com/scholar?q=Irving+Christiano+%26+Amodei+AI+Safety+via+Debate+2018+Prover-Estimator+Debate+2025+.+146.+Sam+Bowman+-+Adversarial+Scalable+Oversight+for+Truthfulness%3A+Work+in+Progress" TargetMode="External" Id="rId3994"/><Relationship Type="http://schemas.openxmlformats.org/officeDocument/2006/relationships/hyperlink" Target="https://www.youtube.com/watch?v=bkZsjmyF00k" TargetMode="External" Id="rId3995"/><Relationship Type="http://schemas.openxmlformats.org/officeDocument/2006/relationships/hyperlink" Target="https://scholar.google.com/scholar?q=Michael+et+al.+Debate+Helps+Supervise+Unreliable+Experts+2023+Bowman+et+al.+Measuring+Progress+on+Scalable+Oversight+2022+.+147.+Collin+Burns+-+Weak-to-Strong+Generalization" TargetMode="External" Id="rId3996"/><Relationship Type="http://schemas.openxmlformats.org/officeDocument/2006/relationships/hyperlink" Target="https://www.youtube.com/watch?v=wBPZNhw1LV4" TargetMode="External" Id="rId3997"/><Relationship Type="http://schemas.openxmlformats.org/officeDocument/2006/relationships/hyperlink" Target="https://scholar.google.com/scholar?q=Burns+et+al.+Weak-to-Strong+Generalization+ICML+2024+.+148.+Transfer+learning+for+weak-to-strong+generalization" TargetMode="External" Id="rId3998"/><Relationship Type="http://schemas.openxmlformats.org/officeDocument/2006/relationships/hyperlink" Target="https://www.youtube.com/watch?v=q68VtFoWmFI" TargetMode="External" Id="rId3999"/><Relationship Type="http://schemas.openxmlformats.org/officeDocument/2006/relationships/hyperlink" Target="https://scholar.google.com/scholar?q=Christiano+Cotra+%26+Xu+Eliciting+Latent+Knowledge+ARC+2021+.+150.+23+-+Mechanistic+Anomaly+Detection+with+Mark+Xu" TargetMode="External" Id="rId4000"/><Relationship Type="http://schemas.openxmlformats.org/officeDocument/2006/relationships/hyperlink" Target="https://www.youtube.com/watch?v=3fZvahTlPaQ" TargetMode="External" Id="rId4001"/><Relationship Type="http://schemas.openxmlformats.org/officeDocument/2006/relationships/hyperlink" Target="https://scholar.google.com/scholar?q=Christiano+Cotra+%26+Xu+Eliciting+Latent+Knowledge+ARC+2021+.+150.+23+-+Mechanistic+Anomaly+Detection+with+Mark+Xu" TargetMode="External" Id="rId4002"/><Relationship Type="http://schemas.openxmlformats.org/officeDocument/2006/relationships/hyperlink" Target="https://www.youtube.com/watch?v=sEWei02m7qk" TargetMode="External" Id="rId4003"/><Relationship Type="http://schemas.openxmlformats.org/officeDocument/2006/relationships/hyperlink" Target="https://scholar.google.com/scholar?q=Phuong+et+al.+Evaluating+Frontier+Models+for+Dangerous+Capabilities+2024+.+152.+David+Duvenaud" TargetMode="External" Id="rId4004"/><Relationship Type="http://schemas.openxmlformats.org/officeDocument/2006/relationships/hyperlink" Target="https://www.youtube.com/watch?v=pO8IcIqhHuk" TargetMode="External" Id="rId4005"/><Relationship Type="http://schemas.openxmlformats.org/officeDocument/2006/relationships/hyperlink" Target="https://scholar.google.com/scholar?q=Phuong+et+al.+Evaluating+Frontier+Models+for+Dangerous+Capabilities+2024+.+152.+David+Duvenaud" TargetMode="External" Id="rId4006"/><Relationship Type="http://schemas.openxmlformats.org/officeDocument/2006/relationships/hyperlink" Target="https://www.youtube.com/watch?v=zvIN7PnVuy4" TargetMode="External" Id="rId4007"/><Relationship Type="http://schemas.openxmlformats.org/officeDocument/2006/relationships/hyperlink" Target="https://scholar.google.com/scholar?q=Greenblatt+et+al.+2024+.+154.+27+-+AI+Control+with+Buck+Shlegeris+and+Ryan" TargetMode="External" Id="rId4008"/><Relationship Type="http://schemas.openxmlformats.org/officeDocument/2006/relationships/hyperlink" Target="https://www.youtube.com/watch?v=9eXV64O2Xp8" TargetMode="External" Id="rId4009"/><Relationship Type="http://schemas.openxmlformats.org/officeDocument/2006/relationships/hyperlink" Target="https://scholar.google.com/scholar?q=Greenblatt+et+al.+2024+.+154.+27+-+AI+Control+with+Buck+Shlegeris+and+Ryan+Greenblatt" TargetMode="External" Id="rId4010"/><Relationship Type="http://schemas.openxmlformats.org/officeDocument/2006/relationships/hyperlink" Target="https://www.youtube.com/watch?v=gQbCO6zGRiI" TargetMode="External" Id="rId4011"/><Relationship Type="http://schemas.openxmlformats.org/officeDocument/2006/relationships/hyperlink" Target="https://scholar.google.com/scholar?q=Greenblatt+et+al.+AI+Control%3A+Improving+Safety+Despite+Intentional+Subversion+ICML+2024+.+155.+Interpretability+Agents" TargetMode="External" Id="rId4012"/><Relationship Type="http://schemas.openxmlformats.org/officeDocument/2006/relationships/hyperlink" Target="https://www.youtube.com/watch?v=9q9deK7RfII" TargetMode="External" Id="rId4013"/><Relationship Type="http://schemas.openxmlformats.org/officeDocument/2006/relationships/hyperlink" Target="https://scholar.google.com/scholar?q=Shaham+Schwettmann+et+al.+A+Multimodal+Automated+Interpretability+Agent+MAIA+ICML+2024+.+156.+Sarah+Schwettmann+-+Scalable+Oversight+and+Understanding+Alignment+Workshop" TargetMode="External" Id="rId4014"/><Relationship Type="http://schemas.openxmlformats.org/officeDocument/2006/relationships/hyperlink" Target="https://www.youtube.com/watch?v=8oJW7hdbc2I" TargetMode="External" Id="rId4015"/><Relationship Type="http://schemas.openxmlformats.org/officeDocument/2006/relationships/hyperlink" Target="https://arxiv.org/abs/2303.12712" TargetMode="External" Id="rId4016"/><Relationship Type="http://schemas.openxmlformats.org/officeDocument/2006/relationships/hyperlink" Target="https://www.youtube.com/watch?v=k93o4R145Os" TargetMode="External" Id="rId4017"/><Relationship Type="http://schemas.openxmlformats.org/officeDocument/2006/relationships/hyperlink" Target="https://scholar.google.com/scholar?q=Hase+et+al.+Does+Localization+I" TargetMode="External" Id="rId4018"/><Relationship Type="http://schemas.openxmlformats.org/officeDocument/2006/relationships/hyperlink" Target="https://www.youtube.com/watch?v=Ao8Gprp9mC0" TargetMode="External" Id="rId4019"/><Relationship Type="http://schemas.openxmlformats.org/officeDocument/2006/relationships/hyperlink" Target="https://scholar.google.com/scholar?q=Hase+et+al.+Does+Localization+Inform+Editing+NeurIPS+2023+.+159.+Yoshua+Bengio+-+Disentangling+Agency+%26+Predictive+Power+Without+Solving+ELK+Alignment+Workshop" TargetMode="External" Id="rId4020"/><Relationship Type="http://schemas.openxmlformats.org/officeDocument/2006/relationships/hyperlink" Target="https://www.youtube.com/watch?v=ZndiBDmss-w" TargetMode="External" Id="rId4021"/><Relationship Type="http://schemas.openxmlformats.org/officeDocument/2006/relationships/hyperlink" Target="https://scholar.google.com/scholar?q=Looking+Inward+Emergent+Misalignment+2025+.+161.+An+Observation+on+Generalization" TargetMode="External" Id="rId4022"/><Relationship Type="http://schemas.openxmlformats.org/officeDocument/2006/relationships/hyperlink" Target="https://www.youtube.com/watch?v=3D4pgIKR4cQ" TargetMode="External" Id="rId4023"/><Relationship Type="http://schemas.openxmlformats.org/officeDocument/2006/relationships/hyperlink" Target="https://scholar.google.com/scholar?q=Looking+Inward+Emergent+Misalignment+2025+.+161.+An+Observation+on+Generalization" TargetMode="External" Id="rId4024"/><Relationship Type="http://schemas.openxmlformats.org/officeDocument/2006/relationships/hyperlink" Target="https://www.youtube.com/watch?v=xcpEl0cGCC4" TargetMode="External" Id="rId4025"/><Relationship Type="http://schemas.openxmlformats.org/officeDocument/2006/relationships/hyperlink" Target="https://www.youtube.com/watch?v=Cl2B_hmg4gA" TargetMode="External" Id="rId4026"/><Relationship Type="http://schemas.openxmlformats.org/officeDocument/2006/relationships/hyperlink" Target="https://www.youtube.com/watch?v=MC223HlPdK0" TargetMode="External" Id="rId4027"/><Relationship Type="http://schemas.openxmlformats.org/officeDocument/2006/relationships/hyperlink" Target="https://www.youtube.com/watch?v=bh9cbi_HN4A" TargetMode="External" Id="rId4028"/><Relationship Type="http://schemas.openxmlformats.org/officeDocument/2006/relationships/hyperlink" Target="https://www.youtube.com/watch?v=ODeprwr3Jho" TargetMode="External" Id="rId4029"/><Relationship Type="http://schemas.openxmlformats.org/officeDocument/2006/relationships/hyperlink" Target="https://www.youtube.com/watch?v=qQTDF0CBoxE" TargetMode="External" Id="rId4030"/><Relationship Type="http://schemas.openxmlformats.org/officeDocument/2006/relationships/hyperlink" Target="https://www.youtube.com/watch?v=Ba3TqxSgnTk" TargetMode="External" Id="rId4031"/><Relationship Type="http://schemas.openxmlformats.org/officeDocument/2006/relationships/hyperlink" Target="https://www.youtube.com/watch?v=we3i5VuoPWk" TargetMode="External" Id="rId4032"/><Relationship Type="http://schemas.openxmlformats.org/officeDocument/2006/relationships/hyperlink" Target="https://www.youtube.com/watch?v=VogqOscJYvk" TargetMode="External" Id="rId4033"/><Relationship Type="http://schemas.openxmlformats.org/officeDocument/2006/relationships/hyperlink" Target="https://www.youtube.com/watch?v=86seb-iZCnI" TargetMode="External" Id="rId4034"/><Relationship Type="http://schemas.openxmlformats.org/officeDocument/2006/relationships/hyperlink" Target="https://www.youtube.com/watch?v=rsxCZAE8QNA" TargetMode="External" Id="rId4035"/><Relationship Type="http://schemas.openxmlformats.org/officeDocument/2006/relationships/hyperlink" Target="https://www.youtube.com/watch?v=4u8iMr3iXR4" TargetMode="External" Id="rId4036"/><Relationship Type="http://schemas.openxmlformats.org/officeDocument/2006/relationships/hyperlink" Target="https://www.youtube.com/watch?v=vMhA-xl3dbA" TargetMode="External" Id="rId4037"/><Relationship Type="http://schemas.openxmlformats.org/officeDocument/2006/relationships/hyperlink" Target="https://www.youtube.com/watch?v=GL7ImGZj-Oc" TargetMode="External" Id="rId4038"/><Relationship Type="http://schemas.openxmlformats.org/officeDocument/2006/relationships/hyperlink" Target="https://www.youtube.com/watch?v=uvVy3CqpVbM" TargetMode="External" Id="rId4039"/><Relationship Type="http://schemas.openxmlformats.org/officeDocument/2006/relationships/hyperlink" Target="https://www.youtube.com/watch?v=v_q2JTIqE20" TargetMode="External" Id="rId4040"/><Relationship Type="http://schemas.openxmlformats.org/officeDocument/2006/relationships/hyperlink" Target="https://www.youtube.com/watch?v=3l10o0DYJXg" TargetMode="External" Id="rId4041"/><Relationship Type="http://schemas.openxmlformats.org/officeDocument/2006/relationships/hyperlink" Target="https://arxiv.org/abs/1804.06826" TargetMode="External" Id="rId4042"/><Relationship Type="http://schemas.openxmlformats.org/officeDocument/2006/relationships/hyperlink" Target="https://www.youtube.com/watch?v=QQceTDjA4f4" TargetMode="External" Id="rId4043"/><Relationship Type="http://schemas.openxmlformats.org/officeDocument/2006/relationships/hyperlink" Target="https://scholar.google.com/scholar?q=the+CUDA+C+Programming+Guide+memory-model+chapter" TargetMode="External" Id="rId4044"/><Relationship Type="http://schemas.openxmlformats.org/officeDocument/2006/relationships/hyperlink" Target="https://www.youtube.com/watch?v=pC0SIzZGFSc" TargetMode="External" Id="rId4045"/><Relationship Type="http://schemas.openxmlformats.org/officeDocument/2006/relationships/hyperlink" Target="https://arxiv.org/abs/1804.06826" TargetMode="External" Id="rId4046"/><Relationship Type="http://schemas.openxmlformats.org/officeDocument/2006/relationships/hyperlink" Target="https://www.youtube.com/watch?v=6o_Wme-FdCU" TargetMode="External" Id="rId4047"/><Relationship Type="http://schemas.openxmlformats.org/officeDocument/2006/relationships/hyperlink" Target="https://scholar.google.com/scholar?q=the+CUDA+C+Programming+Guide+memory-model+chapter" TargetMode="External" Id="rId4048"/><Relationship Type="http://schemas.openxmlformats.org/officeDocument/2006/relationships/hyperlink" Target="https://www.youtube.com/watch?v=VdIVQcMn0CA" TargetMode="External" Id="rId4049"/><Relationship Type="http://schemas.openxmlformats.org/officeDocument/2006/relationships/hyperlink" Target="https://scholar.google.com/scholar?q=the+CUDA+C+Programming+Guide+memory-model+chapter" TargetMode="External" Id="rId4050"/><Relationship Type="http://schemas.openxmlformats.org/officeDocument/2006/relationships/hyperlink" Target="https://www.youtube.com/watch?v=dNUMNifgExs" TargetMode="External" Id="rId4051"/><Relationship Type="http://schemas.openxmlformats.org/officeDocument/2006/relationships/hyperlink" Target="https://scholar.google.com/scholar?q=the+CUDA+C+Programming+Guide+memory-model+chapter" TargetMode="External" Id="rId4052"/><Relationship Type="http://schemas.openxmlformats.org/officeDocument/2006/relationships/hyperlink" Target="https://www.youtube.com/watch?v=Sdjn9FOkhnA" TargetMode="External" Id="rId4053"/><Relationship Type="http://schemas.openxmlformats.org/officeDocument/2006/relationships/hyperlink" Target="https://arxiv.org/abs/1804.06826" TargetMode="External" Id="rId4054"/><Relationship Type="http://schemas.openxmlformats.org/officeDocument/2006/relationships/hyperlink" Target="https://www.youtube.com/watch?v=pyW9St8uM8w" TargetMode="External" Id="rId4055"/><Relationship Type="http://schemas.openxmlformats.org/officeDocument/2006/relationships/hyperlink" Target="https://scholar.google.com/scholar?q=the+CUDA+C+Programming+Guide+memory-model+chapter" TargetMode="External" Id="rId4056"/><Relationship Type="http://schemas.openxmlformats.org/officeDocument/2006/relationships/hyperlink" Target="https://www.youtube.com/watch?v=kTWoGCSugB4" TargetMode="External" Id="rId4057"/><Relationship Type="http://schemas.openxmlformats.org/officeDocument/2006/relationships/hyperlink" Target="https://scholar.google.com/scholar?q=the+CUDA+C+Programming+Guide+memory-model+chapter" TargetMode="External" Id="rId4058"/><Relationship Type="http://schemas.openxmlformats.org/officeDocument/2006/relationships/hyperlink" Target="https://www.youtube.com/watch?v=4pkbXmE4POc" TargetMode="External" Id="rId4059"/><Relationship Type="http://schemas.openxmlformats.org/officeDocument/2006/relationships/hyperlink" Target="https://arxiv.org/abs/1804.06826" TargetMode="External" Id="rId4060"/><Relationship Type="http://schemas.openxmlformats.org/officeDocument/2006/relationships/hyperlink" Target="https://www.youtube.com/watch?v=iE-xGWBQtH0" TargetMode="External" Id="rId4061"/><Relationship Type="http://schemas.openxmlformats.org/officeDocument/2006/relationships/hyperlink" Target="https://arxiv.org/abs/1804.06826" TargetMode="External" Id="rId4062"/><Relationship Type="http://schemas.openxmlformats.org/officeDocument/2006/relationships/hyperlink" Target="https://www.youtube.com/watch?v=c8dehGOB8mQ" TargetMode="External" Id="rId4063"/><Relationship Type="http://schemas.openxmlformats.org/officeDocument/2006/relationships/hyperlink" Target="https://arxiv.org/abs/1804.06826" TargetMode="External" Id="rId4064"/><Relationship Type="http://schemas.openxmlformats.org/officeDocument/2006/relationships/hyperlink" Target="https://www.youtube.com/watch?v=pBQJAwogMoE" TargetMode="External" Id="rId4065"/><Relationship Type="http://schemas.openxmlformats.org/officeDocument/2006/relationships/hyperlink" Target="https://arxiv.org/abs/1804.06826" TargetMode="External" Id="rId4066"/><Relationship Type="http://schemas.openxmlformats.org/officeDocument/2006/relationships/hyperlink" Target="https://www.youtube.com/watch?v=31ZyYkoClT4" TargetMode="External" Id="rId4067"/><Relationship Type="http://schemas.openxmlformats.org/officeDocument/2006/relationships/hyperlink" Target="https://arxiv.org/abs/1804.06826" TargetMode="External" Id="rId4068"/><Relationship Type="http://schemas.openxmlformats.org/officeDocument/2006/relationships/hyperlink" Target="https://www.youtube.com/watch?v=DA-_EK8PbTY" TargetMode="External" Id="rId4069"/><Relationship Type="http://schemas.openxmlformats.org/officeDocument/2006/relationships/hyperlink" Target="https://arxiv.org/abs/1804.06826" TargetMode="External" Id="rId4070"/><Relationship Type="http://schemas.openxmlformats.org/officeDocument/2006/relationships/hyperlink" Target="https://www.youtube.com/watch?v=zHY7iF_2RyU" TargetMode="External" Id="rId4071"/><Relationship Type="http://schemas.openxmlformats.org/officeDocument/2006/relationships/hyperlink" Target="https://arxiv.org/abs/1804.06826" TargetMode="External" Id="rId4072"/><Relationship Type="http://schemas.openxmlformats.org/officeDocument/2006/relationships/hyperlink" Target="https://www.youtube.com/watch?v=xEVyTZG1wlk" TargetMode="External" Id="rId4073"/><Relationship Type="http://schemas.openxmlformats.org/officeDocument/2006/relationships/hyperlink" Target="https://arxiv.org/abs/1804.06826" TargetMode="External" Id="rId4074"/><Relationship Type="http://schemas.openxmlformats.org/officeDocument/2006/relationships/hyperlink" Target="https://www.youtube.com/watch?v=NOoSyDCVRU0" TargetMode="External" Id="rId4075"/><Relationship Type="http://schemas.openxmlformats.org/officeDocument/2006/relationships/hyperlink" Target="https://arxiv.org/abs/1804.06826" TargetMode="External" Id="rId4076"/><Relationship Type="http://schemas.openxmlformats.org/officeDocument/2006/relationships/hyperlink" Target="https://www.youtube.com/watch?v=voFt2e2QXtA" TargetMode="External" Id="rId4077"/><Relationship Type="http://schemas.openxmlformats.org/officeDocument/2006/relationships/hyperlink" Target="https://arxiv.org/abs/1804.06826" TargetMode="External" Id="rId4078"/><Relationship Type="http://schemas.openxmlformats.org/officeDocument/2006/relationships/hyperlink" Target="https://www.youtube.com/watch?v=-eoUw8fTy2E" TargetMode="External" Id="rId4079"/><Relationship Type="http://schemas.openxmlformats.org/officeDocument/2006/relationships/hyperlink" Target="https://arxiv.org/abs/1804.06826" TargetMode="External" Id="rId4080"/><Relationship Type="http://schemas.openxmlformats.org/officeDocument/2006/relationships/hyperlink" Target="https://www.youtube.com/watch?v=CcwdWP44aFE" TargetMode="External" Id="rId4081"/><Relationship Type="http://schemas.openxmlformats.org/officeDocument/2006/relationships/hyperlink" Target="https://arxiv.org/abs/1804.06826" TargetMode="External" Id="rId4082"/><Relationship Type="http://schemas.openxmlformats.org/officeDocument/2006/relationships/hyperlink" Target="https://www.youtube.com/watch?v=BiYieuVwUbg" TargetMode="External" Id="rId4083"/><Relationship Type="http://schemas.openxmlformats.org/officeDocument/2006/relationships/hyperlink" Target="https://arxiv.org/abs/1804.06826" TargetMode="External" Id="rId4084"/><Relationship Type="http://schemas.openxmlformats.org/officeDocument/2006/relationships/hyperlink" Target="https://www.youtube.com/watch?v=szoc52lNufU" TargetMode="External" Id="rId4085"/><Relationship Type="http://schemas.openxmlformats.org/officeDocument/2006/relationships/hyperlink" Target="https://arxiv.org/abs/1804.06826" TargetMode="External" Id="rId4086"/><Relationship Type="http://schemas.openxmlformats.org/officeDocument/2006/relationships/hyperlink" Target="https://www.youtube.com/watch?v=XTfH6Ll9KaA" TargetMode="External" Id="rId4087"/><Relationship Type="http://schemas.openxmlformats.org/officeDocument/2006/relationships/hyperlink" Target="https://arxiv.org/abs/1804.06826" TargetMode="External" Id="rId4088"/><Relationship Type="http://schemas.openxmlformats.org/officeDocument/2006/relationships/hyperlink" Target="https://www.youtube.com/watch?v=H6YGKNukGMo" TargetMode="External" Id="rId4089"/><Relationship Type="http://schemas.openxmlformats.org/officeDocument/2006/relationships/hyperlink" Target="https://arxiv.org/abs/1804.06826" TargetMode="External" Id="rId4090"/><Relationship Type="http://schemas.openxmlformats.org/officeDocument/2006/relationships/hyperlink" Target="https://www.youtube.com/watch?v=bDbUoRrT6Js" TargetMode="External" Id="rId4091"/><Relationship Type="http://schemas.openxmlformats.org/officeDocument/2006/relationships/hyperlink" Target="https://arxiv.org/abs/1804.06826" TargetMode="External" Id="rId4092"/><Relationship Type="http://schemas.openxmlformats.org/officeDocument/2006/relationships/hyperlink" Target="https://www.youtube.com/watch?v=P3eQWkVj9dA" TargetMode="External" Id="rId4093"/><Relationship Type="http://schemas.openxmlformats.org/officeDocument/2006/relationships/hyperlink" Target="https://arxiv.org/abs/1804.06826" TargetMode="External" Id="rId4094"/><Relationship Type="http://schemas.openxmlformats.org/officeDocument/2006/relationships/hyperlink" Target="https://www.youtube.com/watch?v=YXHnBKSWLSU" TargetMode="External" Id="rId4095"/><Relationship Type="http://schemas.openxmlformats.org/officeDocument/2006/relationships/hyperlink" Target="https://arxiv.org/abs/1804.06826" TargetMode="External" Id="rId4096"/><Relationship Type="http://schemas.openxmlformats.org/officeDocument/2006/relationships/hyperlink" Target="https://www.youtube.com/watch?v=g5ZKBH6UQvE" TargetMode="External" Id="rId4097"/><Relationship Type="http://schemas.openxmlformats.org/officeDocument/2006/relationships/hyperlink" Target="https://arxiv.org/abs/1804.06826" TargetMode="External" Id="rId4098"/><Relationship Type="http://schemas.openxmlformats.org/officeDocument/2006/relationships/hyperlink" Target="https://www.youtube.com/watch?v=aNchuoFCgSs" TargetMode="External" Id="rId4099"/><Relationship Type="http://schemas.openxmlformats.org/officeDocument/2006/relationships/hyperlink" Target="https://arxiv.org/abs/1804.06826" TargetMode="External" Id="rId4100"/><Relationship Type="http://schemas.openxmlformats.org/officeDocument/2006/relationships/hyperlink" Target="https://www.youtube.com/watch?v=R3d_ECmHAiI" TargetMode="External" Id="rId4101"/><Relationship Type="http://schemas.openxmlformats.org/officeDocument/2006/relationships/hyperlink" Target="https://arxiv.org/abs/1804.06826" TargetMode="External" Id="rId4102"/><Relationship Type="http://schemas.openxmlformats.org/officeDocument/2006/relationships/hyperlink" Target="https://www.youtube.com/watch?v=wCyNd662aic" TargetMode="External" Id="rId4103"/><Relationship Type="http://schemas.openxmlformats.org/officeDocument/2006/relationships/hyperlink" Target="https://arxiv.org/abs/1804.06826" TargetMode="External" Id="rId4104"/><Relationship Type="http://schemas.openxmlformats.org/officeDocument/2006/relationships/hyperlink" Target="https://www.youtube.com/watch?v=6AVEPOqJfOk" TargetMode="External" Id="rId4105"/><Relationship Type="http://schemas.openxmlformats.org/officeDocument/2006/relationships/hyperlink" Target="https://arxiv.org/abs/1804.06826" TargetMode="External" Id="rId4106"/><Relationship Type="http://schemas.openxmlformats.org/officeDocument/2006/relationships/hyperlink" Target="https://www.youtube.com/watch?v=WJ0BAlaXFUc" TargetMode="External" Id="rId4107"/><Relationship Type="http://schemas.openxmlformats.org/officeDocument/2006/relationships/hyperlink" Target="https://arxiv.org/abs/1804.06826" TargetMode="External" Id="rId4108"/><Relationship Type="http://schemas.openxmlformats.org/officeDocument/2006/relationships/hyperlink" Target="https://www.youtube.com/watch?v=nD6PUe3d6ec" TargetMode="External" Id="rId4109"/><Relationship Type="http://schemas.openxmlformats.org/officeDocument/2006/relationships/hyperlink" Target="https://arxiv.org/abs/1804.06826" TargetMode="External" Id="rId4110"/><Relationship Type="http://schemas.openxmlformats.org/officeDocument/2006/relationships/hyperlink" Target="https://www.youtube.com/watch?v=awcTLCJbNNs" TargetMode="External" Id="rId4111"/><Relationship Type="http://schemas.openxmlformats.org/officeDocument/2006/relationships/hyperlink" Target="https://arxiv.org/abs/1804.06826" TargetMode="External" Id="rId4112"/><Relationship Type="http://schemas.openxmlformats.org/officeDocument/2006/relationships/hyperlink" Target="https://www.youtube.com/watch?v=RsJobEJVdbk" TargetMode="External" Id="rId4113"/><Relationship Type="http://schemas.openxmlformats.org/officeDocument/2006/relationships/hyperlink" Target="https://arxiv.org/abs/1804.06826" TargetMode="External" Id="rId4114"/><Relationship Type="http://schemas.openxmlformats.org/officeDocument/2006/relationships/hyperlink" Target="https://www.youtube.com/watch?v=Jomj8_6GOZc" TargetMode="External" Id="rId4115"/><Relationship Type="http://schemas.openxmlformats.org/officeDocument/2006/relationships/hyperlink" Target="https://arxiv.org/abs/1804.06826" TargetMode="External" Id="rId4116"/><Relationship Type="http://schemas.openxmlformats.org/officeDocument/2006/relationships/hyperlink" Target="https://www.youtube.com/watch?v=ah2KQR_lDTQ" TargetMode="External" Id="rId4117"/><Relationship Type="http://schemas.openxmlformats.org/officeDocument/2006/relationships/hyperlink" Target="https://arxiv.org/abs/1804.06826" TargetMode="External" Id="rId4118"/><Relationship Type="http://schemas.openxmlformats.org/officeDocument/2006/relationships/hyperlink" Target="https://www.youtube.com/watch?v=quLDt39KQ5Y" TargetMode="External" Id="rId4119"/><Relationship Type="http://schemas.openxmlformats.org/officeDocument/2006/relationships/hyperlink" Target="https://arxiv.org/abs/1804.06826" TargetMode="External" Id="rId4120"/><Relationship Type="http://schemas.openxmlformats.org/officeDocument/2006/relationships/hyperlink" Target="https://www.youtube.com/watch?v=LuhJEEJQgUM" TargetMode="External" Id="rId4121"/><Relationship Type="http://schemas.openxmlformats.org/officeDocument/2006/relationships/hyperlink" Target="https://scholar.google.com/scholar?q=the+CUDA+C+Programming+Guide+memory-model+chapter" TargetMode="External" Id="rId4122"/><Relationship Type="http://schemas.openxmlformats.org/officeDocument/2006/relationships/hyperlink" Target="https://www.youtube.com/watch?v=NQ-0D5Ti2dc" TargetMode="External" Id="rId4123"/><Relationship Type="http://schemas.openxmlformats.org/officeDocument/2006/relationships/hyperlink" Target="https://arxiv.org/abs/1804.06826" TargetMode="External" Id="rId4124"/><Relationship Type="http://schemas.openxmlformats.org/officeDocument/2006/relationships/hyperlink" Target="https://www.youtube.com/watch?v=4sgKnKbR-WE" TargetMode="External" Id="rId4125"/><Relationship Type="http://schemas.openxmlformats.org/officeDocument/2006/relationships/hyperlink" Target="https://scholar.google.com/scholar?q=the+CUDA+C+Programming+Guide+memory-model+chapter" TargetMode="External" Id="rId4126"/><Relationship Type="http://schemas.openxmlformats.org/officeDocument/2006/relationships/hyperlink" Target="https://www.youtube.com/watch?v=lTmYrKwjSOU" TargetMode="External" Id="rId4127"/><Relationship Type="http://schemas.openxmlformats.org/officeDocument/2006/relationships/hyperlink" Target="https://arxiv.org/abs/1804.06826" TargetMode="External" Id="rId4128"/><Relationship Type="http://schemas.openxmlformats.org/officeDocument/2006/relationships/hyperlink" Target="https://www.youtube.com/watch?v=wVsR-YhaHlM" TargetMode="External" Id="rId4129"/><Relationship Type="http://schemas.openxmlformats.org/officeDocument/2006/relationships/hyperlink" Target="https://scholar.google.com/scholar?q=the+CUDA+C+Programming+Guide+memory-model+chapter" TargetMode="External" Id="rId4130"/><Relationship Type="http://schemas.openxmlformats.org/officeDocument/2006/relationships/hyperlink" Target="https://www.youtube.com/watch?v=hIop0mWKPHc" TargetMode="External" Id="rId4131"/><Relationship Type="http://schemas.openxmlformats.org/officeDocument/2006/relationships/hyperlink" Target="https://arxiv.org/abs/1804.06826" TargetMode="External" Id="rId4132"/><Relationship Type="http://schemas.openxmlformats.org/officeDocument/2006/relationships/hyperlink" Target="https://www.youtube.com/watch?v=1u9xUK3G4VM" TargetMode="External" Id="rId4133"/><Relationship Type="http://schemas.openxmlformats.org/officeDocument/2006/relationships/hyperlink" Target="https://arxiv.org/abs/1804.06826" TargetMode="External" Id="rId4134"/><Relationship Type="http://schemas.openxmlformats.org/officeDocument/2006/relationships/hyperlink" Target="https://www.youtube.com/watch?v=SGhfUhlowB4" TargetMode="External" Id="rId4135"/><Relationship Type="http://schemas.openxmlformats.org/officeDocument/2006/relationships/hyperlink" Target="https://scholar.google.com/scholar?q=the+CUDA+C+Programming+Guide+memory-model+chapter" TargetMode="External" Id="rId4136"/><Relationship Type="http://schemas.openxmlformats.org/officeDocument/2006/relationships/hyperlink" Target="https://www.youtube.com/watch?v=09wntC6BT5o" TargetMode="External" Id="rId4137"/><Relationship Type="http://schemas.openxmlformats.org/officeDocument/2006/relationships/hyperlink" Target="https://arxiv.org/abs/1804.06826" TargetMode="External" Id="rId4138"/><Relationship Type="http://schemas.openxmlformats.org/officeDocument/2006/relationships/hyperlink" Target="https://www.youtube.com/watch?v=FHsEW0HpuoU" TargetMode="External" Id="rId4139"/><Relationship Type="http://schemas.openxmlformats.org/officeDocument/2006/relationships/hyperlink" Target="https://scholar.google.com/scholar?q=the+CUDA+C+Programming+Guide+memory-model+chapter" TargetMode="External" Id="rId4140"/><Relationship Type="http://schemas.openxmlformats.org/officeDocument/2006/relationships/hyperlink" Target="https://www.youtube.com/watch?v=mGDnOLcfE8g" TargetMode="External" Id="rId4141"/><Relationship Type="http://schemas.openxmlformats.org/officeDocument/2006/relationships/hyperlink" Target="https://arxiv.org/abs/1804.06826" TargetMode="External" Id="rId4142"/><Relationship Type="http://schemas.openxmlformats.org/officeDocument/2006/relationships/hyperlink" Target="https://www.youtube.com/watch?v=DdTsX6DQk24" TargetMode="External" Id="rId4143"/><Relationship Type="http://schemas.openxmlformats.org/officeDocument/2006/relationships/hyperlink" Target="https://arxiv.org/abs/1804.06826" TargetMode="External" Id="rId4144"/><Relationship Type="http://schemas.openxmlformats.org/officeDocument/2006/relationships/hyperlink" Target="https://www.youtube.com/watch?v=G6q719ck7ww" TargetMode="External" Id="rId4145"/><Relationship Type="http://schemas.openxmlformats.org/officeDocument/2006/relationships/hyperlink" Target="https://arxiv.org/abs/1804.06826" TargetMode="External" Id="rId4146"/><Relationship Type="http://schemas.openxmlformats.org/officeDocument/2006/relationships/hyperlink" Target="https://www.youtube.com/watch?v=SKV6kDk1s94" TargetMode="External" Id="rId4147"/><Relationship Type="http://schemas.openxmlformats.org/officeDocument/2006/relationships/hyperlink" Target="https://arxiv.org/abs/1804.06826" TargetMode="External" Id="rId4148"/><Relationship Type="http://schemas.openxmlformats.org/officeDocument/2006/relationships/hyperlink" Target="https://www.youtube.com/watch?v=T22e3fgit-A" TargetMode="External" Id="rId4149"/><Relationship Type="http://schemas.openxmlformats.org/officeDocument/2006/relationships/hyperlink" Target="https://arxiv.org/abs/1804.06826" TargetMode="External" Id="rId4150"/><Relationship Type="http://schemas.openxmlformats.org/officeDocument/2006/relationships/hyperlink" Target="https://www.youtube.com/watch?v=m6BSREnQ84U" TargetMode="External" Id="rId4151"/><Relationship Type="http://schemas.openxmlformats.org/officeDocument/2006/relationships/hyperlink" Target="https://arxiv.org/abs/1804.06826" TargetMode="External" Id="rId4152"/><Relationship Type="http://schemas.openxmlformats.org/officeDocument/2006/relationships/hyperlink" Target="https://www.youtube.com/watch?v=FUBrIgdIuh0" TargetMode="External" Id="rId4153"/><Relationship Type="http://schemas.openxmlformats.org/officeDocument/2006/relationships/hyperlink" Target="https://arxiv.org/abs/1804.06826" TargetMode="External" Id="rId4154"/><Relationship Type="http://schemas.openxmlformats.org/officeDocument/2006/relationships/hyperlink" Target="https://www.youtube.com/watch?v=ZKrWyEqqPVY" TargetMode="External" Id="rId4155"/><Relationship Type="http://schemas.openxmlformats.org/officeDocument/2006/relationships/hyperlink" Target="https://arxiv.org/abs/1804.06826" TargetMode="External" Id="rId4156"/><Relationship Type="http://schemas.openxmlformats.org/officeDocument/2006/relationships/hyperlink" Target="https://www.youtube.com/watch?v=MH5_FeSSdIE" TargetMode="External" Id="rId4157"/><Relationship Type="http://schemas.openxmlformats.org/officeDocument/2006/relationships/hyperlink" Target="https://arxiv.org/abs/1804.06826" TargetMode="External" Id="rId4158"/><Relationship Type="http://schemas.openxmlformats.org/officeDocument/2006/relationships/hyperlink" Target="https://www.youtube.com/watch?v=9wNAgpX6z_4" TargetMode="External" Id="rId4159"/><Relationship Type="http://schemas.openxmlformats.org/officeDocument/2006/relationships/hyperlink" Target="https://arxiv.org/abs/1804.06826" TargetMode="External" Id="rId4160"/><Relationship Type="http://schemas.openxmlformats.org/officeDocument/2006/relationships/hyperlink" Target="https://www.youtube.com/watch?v=hQ9GPnV0-50" TargetMode="External" Id="rId4161"/><Relationship Type="http://schemas.openxmlformats.org/officeDocument/2006/relationships/hyperlink" Target="https://arxiv.org/abs/1804.06826" TargetMode="External" Id="rId4162"/><Relationship Type="http://schemas.openxmlformats.org/officeDocument/2006/relationships/hyperlink" Target="https://www.youtube.com/watch?v=VLdm3bV4bKo" TargetMode="External" Id="rId4163"/><Relationship Type="http://schemas.openxmlformats.org/officeDocument/2006/relationships/hyperlink" Target="https://arxiv.org/abs/1804.06826" TargetMode="External" Id="rId4164"/><Relationship Type="http://schemas.openxmlformats.org/officeDocument/2006/relationships/hyperlink" Target="https://www.youtube.com/watch?v=-732zELVbpU" TargetMode="External" Id="rId4165"/><Relationship Type="http://schemas.openxmlformats.org/officeDocument/2006/relationships/hyperlink" Target="https://arxiv.org/abs/1804.06826" TargetMode="External" Id="rId4166"/><Relationship Type="http://schemas.openxmlformats.org/officeDocument/2006/relationships/hyperlink" Target="https://www.youtube.com/watch?v=7HqbuMBUV7A" TargetMode="External" Id="rId4167"/><Relationship Type="http://schemas.openxmlformats.org/officeDocument/2006/relationships/hyperlink" Target="https://arxiv.org/abs/1804.06826" TargetMode="External" Id="rId4168"/><Relationship Type="http://schemas.openxmlformats.org/officeDocument/2006/relationships/hyperlink" Target="https://www.youtube.com/watch?v=Ll5Sr1L5LvA" TargetMode="External" Id="rId4169"/><Relationship Type="http://schemas.openxmlformats.org/officeDocument/2006/relationships/hyperlink" Target="https://arxiv.org/abs/1804.06826" TargetMode="External" Id="rId4170"/><Relationship Type="http://schemas.openxmlformats.org/officeDocument/2006/relationships/hyperlink" Target="https://www.youtube.com/watch?v=gWble4FreV4" TargetMode="External" Id="rId4171"/><Relationship Type="http://schemas.openxmlformats.org/officeDocument/2006/relationships/hyperlink" Target="https://arxiv.org/abs/1804.06826" TargetMode="External" Id="rId4172"/><Relationship Type="http://schemas.openxmlformats.org/officeDocument/2006/relationships/hyperlink" Target="https://www.youtube.com/watch?v=njgow_zaJMw" TargetMode="External" Id="rId4173"/><Relationship Type="http://schemas.openxmlformats.org/officeDocument/2006/relationships/hyperlink" Target="https://arxiv.org/abs/1804.06826" TargetMode="External" Id="rId4174"/><Relationship Type="http://schemas.openxmlformats.org/officeDocument/2006/relationships/hyperlink" Target="https://www.youtube.com/watch?v=Br07GsnnvWc" TargetMode="External" Id="rId4175"/><Relationship Type="http://schemas.openxmlformats.org/officeDocument/2006/relationships/hyperlink" Target="https://arxiv.org/abs/1804.06826" TargetMode="External" Id="rId4176"/><Relationship Type="http://schemas.openxmlformats.org/officeDocument/2006/relationships/hyperlink" Target="https://www.youtube.com/watch?v=cGtiaJjLkAI" TargetMode="External" Id="rId4177"/><Relationship Type="http://schemas.openxmlformats.org/officeDocument/2006/relationships/hyperlink" Target="https://arxiv.org/abs/1804.06826" TargetMode="External" Id="rId4178"/><Relationship Type="http://schemas.openxmlformats.org/officeDocument/2006/relationships/hyperlink" Target="https://www.youtube.com/watch?v=hfb_AIhDYnA" TargetMode="External" Id="rId4179"/><Relationship Type="http://schemas.openxmlformats.org/officeDocument/2006/relationships/hyperlink" Target="https://arxiv.org/abs/1804.06826" TargetMode="External" Id="rId4180"/><Relationship Type="http://schemas.openxmlformats.org/officeDocument/2006/relationships/hyperlink" Target="https://www.youtube.com/watch?v=iA49QqWwMcA" TargetMode="External" Id="rId4181"/><Relationship Type="http://schemas.openxmlformats.org/officeDocument/2006/relationships/hyperlink" Target="https://arxiv.org/abs/1804.06826" TargetMode="External" Id="rId4182"/><Relationship Type="http://schemas.openxmlformats.org/officeDocument/2006/relationships/hyperlink" Target="https://www.youtube.com/watch?v=7c3c3bCGzKU" TargetMode="External" Id="rId4183"/><Relationship Type="http://schemas.openxmlformats.org/officeDocument/2006/relationships/hyperlink" Target="https://arxiv.org/abs/1804.06826" TargetMode="External" Id="rId4184"/><Relationship Type="http://schemas.openxmlformats.org/officeDocument/2006/relationships/hyperlink" Target="https://www.youtube.com/watch?v=XQylGyG7yp8" TargetMode="External" Id="rId4185"/><Relationship Type="http://schemas.openxmlformats.org/officeDocument/2006/relationships/hyperlink" Target="https://arxiv.org/abs/1804.06826" TargetMode="External" Id="rId4186"/><Relationship Type="http://schemas.openxmlformats.org/officeDocument/2006/relationships/hyperlink" Target="https://www.youtube.com/watch?v=2iNGuZxe1ms" TargetMode="External" Id="rId4187"/><Relationship Type="http://schemas.openxmlformats.org/officeDocument/2006/relationships/hyperlink" Target="https://arxiv.org/abs/1804.06826" TargetMode="External" Id="rId4188"/><Relationship Type="http://schemas.openxmlformats.org/officeDocument/2006/relationships/hyperlink" Target="https://www.youtube.com/watch?v=VYWRjcUqW6w" TargetMode="External" Id="rId4189"/><Relationship Type="http://schemas.openxmlformats.org/officeDocument/2006/relationships/hyperlink" Target="https://arxiv.org/abs/1804.06826" TargetMode="External" Id="rId4190"/><Relationship Type="http://schemas.openxmlformats.org/officeDocument/2006/relationships/hyperlink" Target="https://www.youtube.com/watch?v=qmpGv72qPCE" TargetMode="External" Id="rId4191"/><Relationship Type="http://schemas.openxmlformats.org/officeDocument/2006/relationships/hyperlink" Target="https://scholar.google.com/scholar?q=the+CUDA+C+Programming+Guide+memory-model+chapter" TargetMode="External" Id="rId4192"/><Relationship Type="http://schemas.openxmlformats.org/officeDocument/2006/relationships/hyperlink" Target="https://www.youtube.com/watch?v=iOLBJwENuvA" TargetMode="External" Id="rId4193"/><Relationship Type="http://schemas.openxmlformats.org/officeDocument/2006/relationships/hyperlink" Target="https://arxiv.org/abs/1804.06826" TargetMode="External" Id="rId4194"/><Relationship Type="http://schemas.openxmlformats.org/officeDocument/2006/relationships/hyperlink" Target="https://www.youtube.com/watch?v=wKd90avC8Nc" TargetMode="External" Id="rId4195"/><Relationship Type="http://schemas.openxmlformats.org/officeDocument/2006/relationships/hyperlink" Target="https://arxiv.org/abs/1804.06826" TargetMode="External" Id="rId4196"/><Relationship Type="http://schemas.openxmlformats.org/officeDocument/2006/relationships/hyperlink" Target="https://www.youtube.com/watch?v=BgGe_erJB1A" TargetMode="External" Id="rId4197"/><Relationship Type="http://schemas.openxmlformats.org/officeDocument/2006/relationships/hyperlink" Target="https://arxiv.org/abs/1804.06826" TargetMode="External" Id="rId4198"/><Relationship Type="http://schemas.openxmlformats.org/officeDocument/2006/relationships/hyperlink" Target="https://www.youtube.com/watch?v=F_BazucyCMw" TargetMode="External" Id="rId4199"/><Relationship Type="http://schemas.openxmlformats.org/officeDocument/2006/relationships/hyperlink" Target="https://arxiv.org/abs/1804.06826" TargetMode="External" Id="rId4200"/><Relationship Type="http://schemas.openxmlformats.org/officeDocument/2006/relationships/hyperlink" Target="https://www.youtube.com/watch?v=ErTmTCRP1_U" TargetMode="External" Id="rId4201"/><Relationship Type="http://schemas.openxmlformats.org/officeDocument/2006/relationships/hyperlink" Target="https://arxiv.org/abs/1804.06826" TargetMode="External" Id="rId4202"/><Relationship Type="http://schemas.openxmlformats.org/officeDocument/2006/relationships/hyperlink" Target="https://www.youtube.com/watch?v=NHRTCQBZokg" TargetMode="External" Id="rId4203"/><Relationship Type="http://schemas.openxmlformats.org/officeDocument/2006/relationships/hyperlink" Target="https://arxiv.org/abs/1804.06826" TargetMode="External" Id="rId4204"/><Relationship Type="http://schemas.openxmlformats.org/officeDocument/2006/relationships/hyperlink" Target="https://www.youtube.com/watch?v=wiaiv9_TgN4" TargetMode="External" Id="rId4205"/><Relationship Type="http://schemas.openxmlformats.org/officeDocument/2006/relationships/hyperlink" Target="https://arxiv.org/abs/1804.06826" TargetMode="External" Id="rId4206"/><Relationship Type="http://schemas.openxmlformats.org/officeDocument/2006/relationships/hyperlink" Target="https://www.youtube.com/watch?v=PaPuu73wowE" TargetMode="External" Id="rId4207"/><Relationship Type="http://schemas.openxmlformats.org/officeDocument/2006/relationships/hyperlink" Target="https://arxiv.org/abs/1804.06826" TargetMode="External" Id="rId4208"/><Relationship Type="http://schemas.openxmlformats.org/officeDocument/2006/relationships/hyperlink" Target="https://www.youtube.com/watch?v=4jQTb6sRGLg" TargetMode="External" Id="rId4209"/><Relationship Type="http://schemas.openxmlformats.org/officeDocument/2006/relationships/hyperlink" Target="https://scholar.google.com/scholar?q=the+CUDA+C+Programming+Guide+memory-model+chapter" TargetMode="External" Id="rId4210"/><Relationship Type="http://schemas.openxmlformats.org/officeDocument/2006/relationships/hyperlink" Target="https://www.youtube.com/watch?v=7GO2t-8S2w0" TargetMode="External" Id="rId4211"/><Relationship Type="http://schemas.openxmlformats.org/officeDocument/2006/relationships/hyperlink" Target="https://arxiv.org/abs/1804.06826" TargetMode="External" Id="rId4212"/><Relationship Type="http://schemas.openxmlformats.org/officeDocument/2006/relationships/hyperlink" Target="https://www.youtube.com/watch?v=mG8TRTWs9Aw" TargetMode="External" Id="rId4213"/><Relationship Type="http://schemas.openxmlformats.org/officeDocument/2006/relationships/hyperlink" Target="https://arxiv.org/abs/1804.06826" TargetMode="External" Id="rId4214"/><Relationship Type="http://schemas.openxmlformats.org/officeDocument/2006/relationships/hyperlink" Target="https://www.youtube.com/watch?v=En2Wdagwe24" TargetMode="External" Id="rId4215"/><Relationship Type="http://schemas.openxmlformats.org/officeDocument/2006/relationships/hyperlink" Target="https://arxiv.org/abs/1804.06826" TargetMode="External" Id="rId4216"/><Relationship Type="http://schemas.openxmlformats.org/officeDocument/2006/relationships/hyperlink" Target="https://www.youtube.com/watch?v=5gPG7SXoBag" TargetMode="External" Id="rId4217"/><Relationship Type="http://schemas.openxmlformats.org/officeDocument/2006/relationships/hyperlink" Target="https://arxiv.org/abs/1804.06826" TargetMode="External" Id="rId4218"/><Relationship Type="http://schemas.openxmlformats.org/officeDocument/2006/relationships/hyperlink" Target="https://www.youtube.com/watch?v=CtrqBmYtSEk" TargetMode="External" Id="rId4219"/><Relationship Type="http://schemas.openxmlformats.org/officeDocument/2006/relationships/hyperlink" Target="https://arxiv.org/abs/1804.06826" TargetMode="External" Id="rId4220"/><Relationship Type="http://schemas.openxmlformats.org/officeDocument/2006/relationships/hyperlink" Target="https://www.youtube.com/watch?v=vzUhbDO_0qk" TargetMode="External" Id="rId4221"/><Relationship Type="http://schemas.openxmlformats.org/officeDocument/2006/relationships/hyperlink" Target="https://arxiv.org/abs/1804.06826" TargetMode="External" Id="rId4222"/><Relationship Type="http://schemas.openxmlformats.org/officeDocument/2006/relationships/hyperlink" Target="https://www.youtube.com/watch?v=tIPDwUepXcA" TargetMode="External" Id="rId4223"/><Relationship Type="http://schemas.openxmlformats.org/officeDocument/2006/relationships/hyperlink" Target="https://arxiv.org/abs/1804.06826" TargetMode="External" Id="rId4224"/><Relationship Type="http://schemas.openxmlformats.org/officeDocument/2006/relationships/hyperlink" Target="https://www.youtube.com/watch?v=tquHfKqKo1s" TargetMode="External" Id="rId4225"/><Relationship Type="http://schemas.openxmlformats.org/officeDocument/2006/relationships/hyperlink" Target="https://arxiv.org/abs/1804.06826" TargetMode="External" Id="rId4226"/><Relationship Type="http://schemas.openxmlformats.org/officeDocument/2006/relationships/hyperlink" Target="https://www.youtube.com/watch?v=RTJKXK5L8gw" TargetMode="External" Id="rId4227"/><Relationship Type="http://schemas.openxmlformats.org/officeDocument/2006/relationships/hyperlink" Target="https://arxiv.org/abs/1804.06826" TargetMode="External" Id="rId4228"/><Relationship Type="http://schemas.openxmlformats.org/officeDocument/2006/relationships/hyperlink" Target="https://www.youtube.com/watch?v=xJ_VYUDAJZw" TargetMode="External" Id="rId4229"/><Relationship Type="http://schemas.openxmlformats.org/officeDocument/2006/relationships/hyperlink" Target="https://arxiv.org/abs/1804.06826" TargetMode="External" Id="rId4230"/><Relationship Type="http://schemas.openxmlformats.org/officeDocument/2006/relationships/hyperlink" Target="https://www.youtube.com/watch?v=62gKfSyqCkA" TargetMode="External" Id="rId4231"/><Relationship Type="http://schemas.openxmlformats.org/officeDocument/2006/relationships/hyperlink" Target="https://arxiv.org/abs/1804.06826" TargetMode="External" Id="rId4232"/><Relationship Type="http://schemas.openxmlformats.org/officeDocument/2006/relationships/hyperlink" Target="https://www.youtube.com/watch?v=_aT2eo-0uWk" TargetMode="External" Id="rId4233"/><Relationship Type="http://schemas.openxmlformats.org/officeDocument/2006/relationships/hyperlink" Target="https://arxiv.org/abs/1804.06826" TargetMode="External" Id="rId4234"/><Relationship Type="http://schemas.openxmlformats.org/officeDocument/2006/relationships/hyperlink" Target="https://www.youtube.com/watch?v=BgeFR4UfajQ" TargetMode="External" Id="rId4235"/><Relationship Type="http://schemas.openxmlformats.org/officeDocument/2006/relationships/hyperlink" Target="https://arxiv.org/abs/1804.06826" TargetMode="External" Id="rId4236"/><Relationship Type="http://schemas.openxmlformats.org/officeDocument/2006/relationships/hyperlink" Target="https://www.youtube.com/watch?v=y5r2asbfNcs" TargetMode="External" Id="rId4237"/><Relationship Type="http://schemas.openxmlformats.org/officeDocument/2006/relationships/hyperlink" Target="https://arxiv.org/abs/1804.06826" TargetMode="External" Id="rId4238"/><Relationship Type="http://schemas.openxmlformats.org/officeDocument/2006/relationships/hyperlink" Target="https://www.youtube.com/watch?v=Yb9MiSInuEs" TargetMode="External" Id="rId4239"/><Relationship Type="http://schemas.openxmlformats.org/officeDocument/2006/relationships/hyperlink" Target="https://arxiv.org/abs/1804.06826" TargetMode="External" Id="rId4240"/><Relationship Type="http://schemas.openxmlformats.org/officeDocument/2006/relationships/hyperlink" Target="https://www.youtube.com/watch?v=zxGVvMN6WaM" TargetMode="External" Id="rId4241"/><Relationship Type="http://schemas.openxmlformats.org/officeDocument/2006/relationships/hyperlink" Target="https://arxiv.org/abs/1804.06826" TargetMode="External" Id="rId4242"/><Relationship Type="http://schemas.openxmlformats.org/officeDocument/2006/relationships/hyperlink" Target="https://www.youtube.com/watch?v=beuOWBbiJfQ" TargetMode="External" Id="rId4243"/><Relationship Type="http://schemas.openxmlformats.org/officeDocument/2006/relationships/hyperlink" Target="https://arxiv.org/abs/1804.06826" TargetMode="External" Id="rId4244"/><Relationship Type="http://schemas.openxmlformats.org/officeDocument/2006/relationships/hyperlink" Target="https://www.youtube.com/watch?v=XVo17Q7YapA" TargetMode="External" Id="rId4245"/><Relationship Type="http://schemas.openxmlformats.org/officeDocument/2006/relationships/hyperlink" Target="https://arxiv.org/abs/1804.06826" TargetMode="External" Id="rId4246"/><Relationship Type="http://schemas.openxmlformats.org/officeDocument/2006/relationships/hyperlink" Target="https://www.youtube.com/watch?v=2KUyEdlVBsw" TargetMode="External" Id="rId4247"/><Relationship Type="http://schemas.openxmlformats.org/officeDocument/2006/relationships/hyperlink" Target="https://arxiv.org/abs/1804.06826" TargetMode="External" Id="rId4248"/><Relationship Type="http://schemas.openxmlformats.org/officeDocument/2006/relationships/hyperlink" Target="https://www.youtube.com/watch?v=KorF7Xpozhg" TargetMode="External" Id="rId4249"/><Relationship Type="http://schemas.openxmlformats.org/officeDocument/2006/relationships/hyperlink" Target="https://arxiv.org/abs/1804.06826" TargetMode="External" Id="rId4250"/><Relationship Type="http://schemas.openxmlformats.org/officeDocument/2006/relationships/hyperlink" Target="https://www.youtube.com/watch?v=DFcKFDt0QEg" TargetMode="External" Id="rId4251"/><Relationship Type="http://schemas.openxmlformats.org/officeDocument/2006/relationships/hyperlink" Target="https://arxiv.org/abs/1804.06826" TargetMode="External" Id="rId4252"/><Relationship Type="http://schemas.openxmlformats.org/officeDocument/2006/relationships/hyperlink" Target="https://www.youtube.com/watch?v=6Cxnnvv3DnY" TargetMode="External" Id="rId4253"/><Relationship Type="http://schemas.openxmlformats.org/officeDocument/2006/relationships/hyperlink" Target="https://arxiv.org/abs/1804.06826" TargetMode="External" Id="rId4254"/><Relationship Type="http://schemas.openxmlformats.org/officeDocument/2006/relationships/hyperlink" Target="https://www.youtube.com/watch?v=QXbXdN3KIcY" TargetMode="External" Id="rId4255"/><Relationship Type="http://schemas.openxmlformats.org/officeDocument/2006/relationships/hyperlink" Target="https://arxiv.org/abs/1804.06826" TargetMode="External" Id="rId4256"/><Relationship Type="http://schemas.openxmlformats.org/officeDocument/2006/relationships/hyperlink" Target="https://www.youtube.com/watch?v=BTfjdyZOKww" TargetMode="External" Id="rId4257"/><Relationship Type="http://schemas.openxmlformats.org/officeDocument/2006/relationships/hyperlink" Target="https://arxiv.org/abs/1804.06826" TargetMode="External" Id="rId4258"/><Relationship Type="http://schemas.openxmlformats.org/officeDocument/2006/relationships/hyperlink" Target="https://www.youtube.com/watch?v=5qSN-R_E3w0" TargetMode="External" Id="rId4259"/><Relationship Type="http://schemas.openxmlformats.org/officeDocument/2006/relationships/hyperlink" Target="https://arxiv.org/abs/1804.06826" TargetMode="External" Id="rId4260"/><Relationship Type="http://schemas.openxmlformats.org/officeDocument/2006/relationships/hyperlink" Target="https://www.youtube.com/watch?v=i6Y2EelEC04" TargetMode="External" Id="rId4261"/><Relationship Type="http://schemas.openxmlformats.org/officeDocument/2006/relationships/hyperlink" Target="https://arxiv.org/abs/1804.06826" TargetMode="External" Id="rId4262"/><Relationship Type="http://schemas.openxmlformats.org/officeDocument/2006/relationships/hyperlink" Target="https://www.youtube.com/watch?v=sXDdRCy137c" TargetMode="External" Id="rId4263"/><Relationship Type="http://schemas.openxmlformats.org/officeDocument/2006/relationships/hyperlink" Target="https://arxiv.org/abs/1804.06826" TargetMode="External" Id="rId4264"/><Relationship Type="http://schemas.openxmlformats.org/officeDocument/2006/relationships/hyperlink" Target="https://www.youtube.com/watch?v=dFxO1Wb5-eY" TargetMode="External" Id="rId4265"/><Relationship Type="http://schemas.openxmlformats.org/officeDocument/2006/relationships/hyperlink" Target="https://arxiv.org/abs/1804.06826" TargetMode="External" Id="rId4266"/><Relationship Type="http://schemas.openxmlformats.org/officeDocument/2006/relationships/hyperlink" Target="https://www.youtube.com/watch?v=MBOPzfl1JBo" TargetMode="External" Id="rId4267"/><Relationship Type="http://schemas.openxmlformats.org/officeDocument/2006/relationships/hyperlink" Target="https://arxiv.org/abs/1804.06826" TargetMode="External" Id="rId4268"/><Relationship Type="http://schemas.openxmlformats.org/officeDocument/2006/relationships/hyperlink" Target="https://www.youtube.com/watch?v=pB8jRHHGJcE" TargetMode="External" Id="rId4269"/><Relationship Type="http://schemas.openxmlformats.org/officeDocument/2006/relationships/hyperlink" Target="https://arxiv.org/abs/1804.06826" TargetMode="External" Id="rId4270"/><Relationship Type="http://schemas.openxmlformats.org/officeDocument/2006/relationships/hyperlink" Target="https://www.youtube.com/watch?v=ua2NhlenIKo" TargetMode="External" Id="rId4271"/><Relationship Type="http://schemas.openxmlformats.org/officeDocument/2006/relationships/hyperlink" Target="https://arxiv.org/abs/1804.06826" TargetMode="External" Id="rId4272"/><Relationship Type="http://schemas.openxmlformats.org/officeDocument/2006/relationships/hyperlink" Target="https://www.youtube.com/watch?v=iXvYa2oIMbA" TargetMode="External" Id="rId4273"/><Relationship Type="http://schemas.openxmlformats.org/officeDocument/2006/relationships/hyperlink" Target="https://arxiv.org/abs/1804.06826" TargetMode="External" Id="rId4274"/><Relationship Type="http://schemas.openxmlformats.org/officeDocument/2006/relationships/hyperlink" Target="https://www.youtube.com/watch?v=9-dfte_N3yk" TargetMode="External" Id="rId4275"/><Relationship Type="http://schemas.openxmlformats.org/officeDocument/2006/relationships/hyperlink" Target="https://arxiv.org/abs/1804.06826" TargetMode="External" Id="rId4276"/><Relationship Type="http://schemas.openxmlformats.org/officeDocument/2006/relationships/hyperlink" Target="https://www.youtube.com/watch?v=6bqnqDZg4_0" TargetMode="External" Id="rId4277"/><Relationship Type="http://schemas.openxmlformats.org/officeDocument/2006/relationships/hyperlink" Target="https://arxiv.org/abs/1804.06826" TargetMode="External" Id="rId4278"/><Relationship Type="http://schemas.openxmlformats.org/officeDocument/2006/relationships/hyperlink" Target="https://www.youtube.com/watch?v=qCxuLIMycCc" TargetMode="External" Id="rId4279"/><Relationship Type="http://schemas.openxmlformats.org/officeDocument/2006/relationships/hyperlink" Target="https://arxiv.org/abs/1804.06826" TargetMode="External" Id="rId4280"/><Relationship Type="http://schemas.openxmlformats.org/officeDocument/2006/relationships/hyperlink" Target="https://www.youtube.com/watch?v=_b4I4rKpsGA" TargetMode="External" Id="rId4281"/><Relationship Type="http://schemas.openxmlformats.org/officeDocument/2006/relationships/hyperlink" Target="https://arxiv.org/abs/1804.06826" TargetMode="External" Id="rId4282"/><Relationship Type="http://schemas.openxmlformats.org/officeDocument/2006/relationships/hyperlink" Target="https://www.youtube.com/watch?v=A_20dqGfuWI" TargetMode="External" Id="rId4283"/><Relationship Type="http://schemas.openxmlformats.org/officeDocument/2006/relationships/hyperlink" Target="https://arxiv.org/abs/1804.06826" TargetMode="External" Id="rId4284"/><Relationship Type="http://schemas.openxmlformats.org/officeDocument/2006/relationships/hyperlink" Target="https://www.youtube.com/watch?v=Jew4lhAiqnw" TargetMode="External" Id="rId4285"/><Relationship Type="http://schemas.openxmlformats.org/officeDocument/2006/relationships/hyperlink" Target="https://arxiv.org/abs/1804.06826" TargetMode="External" Id="rId4286"/><Relationship Type="http://schemas.openxmlformats.org/officeDocument/2006/relationships/hyperlink" Target="https://www.youtube.com/watch?v=PQZt5L5Mwtg" TargetMode="External" Id="rId4287"/><Relationship Type="http://schemas.openxmlformats.org/officeDocument/2006/relationships/hyperlink" Target="https://arxiv.org/abs/1804.06826" TargetMode="External" Id="rId4288"/><Relationship Type="http://schemas.openxmlformats.org/officeDocument/2006/relationships/hyperlink" Target="https://www.youtube.com/watch?v=uIulphvtyGs" TargetMode="External" Id="rId4289"/><Relationship Type="http://schemas.openxmlformats.org/officeDocument/2006/relationships/hyperlink" Target="https://arxiv.org/abs/1804.06826" TargetMode="External" Id="rId4290"/><Relationship Type="http://schemas.openxmlformats.org/officeDocument/2006/relationships/hyperlink" Target="https://www.youtube.com/watch?v=fQcCCSdAFI8" TargetMode="External" Id="rId4291"/><Relationship Type="http://schemas.openxmlformats.org/officeDocument/2006/relationships/hyperlink" Target="https://arxiv.org/abs/1804.06826" TargetMode="External" Id="rId4292"/><Relationship Type="http://schemas.openxmlformats.org/officeDocument/2006/relationships/hyperlink" Target="https://www.youtube.com/watch?v=PO3CN3UYx7w" TargetMode="External" Id="rId4293"/><Relationship Type="http://schemas.openxmlformats.org/officeDocument/2006/relationships/hyperlink" Target="https://arxiv.org/abs/1804.06826" TargetMode="External" Id="rId4294"/><Relationship Type="http://schemas.openxmlformats.org/officeDocument/2006/relationships/hyperlink" Target="https://www.youtube.com/watch?v=TH1i-GmMZuQ" TargetMode="External" Id="rId4295"/><Relationship Type="http://schemas.openxmlformats.org/officeDocument/2006/relationships/hyperlink" Target="https://arxiv.org/abs/1804.06826" TargetMode="External" Id="rId4296"/><Relationship Type="http://schemas.openxmlformats.org/officeDocument/2006/relationships/hyperlink" Target="https://www.youtube.com/watch?v=jsYyF03Fs3o" TargetMode="External" Id="rId4297"/><Relationship Type="http://schemas.openxmlformats.org/officeDocument/2006/relationships/hyperlink" Target="https://arxiv.org/abs/1804.06826" TargetMode="External" Id="rId4298"/><Relationship Type="http://schemas.openxmlformats.org/officeDocument/2006/relationships/hyperlink" Target="https://www.youtube.com/watch?v=-6FlMJ-AP74" TargetMode="External" Id="rId4299"/><Relationship Type="http://schemas.openxmlformats.org/officeDocument/2006/relationships/hyperlink" Target="https://arxiv.org/abs/1804.06826" TargetMode="External" Id="rId4300"/><Relationship Type="http://schemas.openxmlformats.org/officeDocument/2006/relationships/hyperlink" Target="https://www.youtube.com/watch?v=sV0PJC1dOmM" TargetMode="External" Id="rId4301"/><Relationship Type="http://schemas.openxmlformats.org/officeDocument/2006/relationships/hyperlink" Target="https://arxiv.org/abs/1804.06826" TargetMode="External" Id="rId4302"/><Relationship Type="http://schemas.openxmlformats.org/officeDocument/2006/relationships/hyperlink" Target="https://www.youtube.com/watch?v=kPBTBl7xvEY" TargetMode="External" Id="rId4303"/><Relationship Type="http://schemas.openxmlformats.org/officeDocument/2006/relationships/hyperlink" Target="https://arxiv.org/abs/1804.06826" TargetMode="External" Id="rId4304"/><Relationship Type="http://schemas.openxmlformats.org/officeDocument/2006/relationships/hyperlink" Target="https://www.youtube.com/watch?v=jGouxuAHIfQ" TargetMode="External" Id="rId4305"/><Relationship Type="http://schemas.openxmlformats.org/officeDocument/2006/relationships/hyperlink" Target="https://arxiv.org/abs/1804.06826" TargetMode="External" Id="rId4306"/><Relationship Type="http://schemas.openxmlformats.org/officeDocument/2006/relationships/hyperlink" Target="https://www.youtube.com/watch?v=E0G3hf4DneA" TargetMode="External" Id="rId4307"/><Relationship Type="http://schemas.openxmlformats.org/officeDocument/2006/relationships/hyperlink" Target="https://arxiv.org/abs/1804.06826" TargetMode="External" Id="rId4308"/><Relationship Type="http://schemas.openxmlformats.org/officeDocument/2006/relationships/hyperlink" Target="https://www.youtube.com/watch?v=MVh_guNbWMA" TargetMode="External" Id="rId4309"/><Relationship Type="http://schemas.openxmlformats.org/officeDocument/2006/relationships/hyperlink" Target="https://arxiv.org/abs/1804.06826" TargetMode="External" Id="rId4310"/><Relationship Type="http://schemas.openxmlformats.org/officeDocument/2006/relationships/hyperlink" Target="https://www.youtube.com/watch?v=oYs_qtuk2Pg" TargetMode="External" Id="rId4311"/><Relationship Type="http://schemas.openxmlformats.org/officeDocument/2006/relationships/hyperlink" Target="https://arxiv.org/abs/1804.06826" TargetMode="External" Id="rId4312"/><Relationship Type="http://schemas.openxmlformats.org/officeDocument/2006/relationships/hyperlink" Target="https://www.youtube.com/watch?v=HcnybHRbTcc" TargetMode="External" Id="rId4313"/><Relationship Type="http://schemas.openxmlformats.org/officeDocument/2006/relationships/hyperlink" Target="https://arxiv.org/abs/1804.06826" TargetMode="External" Id="rId4314"/><Relationship Type="http://schemas.openxmlformats.org/officeDocument/2006/relationships/hyperlink" Target="https://www.youtube.com/watch?v=Ok8vi6JemVQ" TargetMode="External" Id="rId4315"/><Relationship Type="http://schemas.openxmlformats.org/officeDocument/2006/relationships/hyperlink" Target="https://arxiv.org/abs/1804.06826" TargetMode="External" Id="rId4316"/><Relationship Type="http://schemas.openxmlformats.org/officeDocument/2006/relationships/hyperlink" Target="https://www.youtube.com/watch?v=tBYm9PI5Jw0" TargetMode="External" Id="rId4317"/><Relationship Type="http://schemas.openxmlformats.org/officeDocument/2006/relationships/hyperlink" Target="https://arxiv.org/abs/1804.06826" TargetMode="External" Id="rId4318"/><Relationship Type="http://schemas.openxmlformats.org/officeDocument/2006/relationships/hyperlink" Target="https://www.youtube.com/watch?v=ustDJbxOu50" TargetMode="External" Id="rId4319"/><Relationship Type="http://schemas.openxmlformats.org/officeDocument/2006/relationships/hyperlink" Target="https://arxiv.org/abs/1804.06826" TargetMode="External" Id="rId4320"/><Relationship Type="http://schemas.openxmlformats.org/officeDocument/2006/relationships/hyperlink" Target="https://www.youtube.com/watch?v=nXRsasT1jIk" TargetMode="External" Id="rId4321"/><Relationship Type="http://schemas.openxmlformats.org/officeDocument/2006/relationships/hyperlink" Target="https://arxiv.org/abs/1804.06826" TargetMode="External" Id="rId4322"/><Relationship Type="http://schemas.openxmlformats.org/officeDocument/2006/relationships/hyperlink" Target="https://www.youtube.com/watch?v=wiaUh82NEoE" TargetMode="External" Id="rId4323"/><Relationship Type="http://schemas.openxmlformats.org/officeDocument/2006/relationships/hyperlink" Target="https://arxiv.org/abs/1804.06826" TargetMode="External" Id="rId4324"/><Relationship Type="http://schemas.openxmlformats.org/officeDocument/2006/relationships/hyperlink" Target="https://www.youtube.com/watch?v=eujKd0lHegA" TargetMode="External" Id="rId4325"/><Relationship Type="http://schemas.openxmlformats.org/officeDocument/2006/relationships/hyperlink" Target="https://scholar.google.com/scholar?q=the+CUDA+C+Programming+Guide+memory-model+chapter" TargetMode="External" Id="rId4326"/><Relationship Type="http://schemas.openxmlformats.org/officeDocument/2006/relationships/hyperlink" Target="https://www.youtube.com/watch?v=loZ4xQ5RZuU" TargetMode="External" Id="rId4327"/><Relationship Type="http://schemas.openxmlformats.org/officeDocument/2006/relationships/hyperlink" Target="https://arxiv.org/abs/1804.06826" TargetMode="External" Id="rId4328"/><Relationship Type="http://schemas.openxmlformats.org/officeDocument/2006/relationships/hyperlink" Target="https://www.youtube.com/watch?v=TZnJYRTSGVk" TargetMode="External" Id="rId4329"/><Relationship Type="http://schemas.openxmlformats.org/officeDocument/2006/relationships/hyperlink" Target="https://arxiv.org/abs/1804.06826" TargetMode="External" Id="rId4330"/><Relationship Type="http://schemas.openxmlformats.org/officeDocument/2006/relationships/hyperlink" Target="https://www.youtube.com/watch?v=_LmOPM5HnZ0" TargetMode="External" Id="rId4331"/><Relationship Type="http://schemas.openxmlformats.org/officeDocument/2006/relationships/hyperlink" Target="https://arxiv.org/abs/1804.06826" TargetMode="External" Id="rId4332"/><Relationship Type="http://schemas.openxmlformats.org/officeDocument/2006/relationships/hyperlink" Target="https://www.youtube.com/watch?v=7XsSd9mqay4" TargetMode="External" Id="rId4333"/><Relationship Type="http://schemas.openxmlformats.org/officeDocument/2006/relationships/hyperlink" Target="https://arxiv.org/abs/1804.06826" TargetMode="External" Id="rId4334"/><Relationship Type="http://schemas.openxmlformats.org/officeDocument/2006/relationships/hyperlink" Target="https://www.youtube.com/watch?v=WRAQYXBA_Qc" TargetMode="External" Id="rId4335"/><Relationship Type="http://schemas.openxmlformats.org/officeDocument/2006/relationships/hyperlink" Target="https://arxiv.org/abs/1804.06826" TargetMode="External" Id="rId4336"/><Relationship Type="http://schemas.openxmlformats.org/officeDocument/2006/relationships/hyperlink" Target="https://www.youtube.com/watch?v=-dJQnCPJ8VA" TargetMode="External" Id="rId4337"/><Relationship Type="http://schemas.openxmlformats.org/officeDocument/2006/relationships/hyperlink" Target="https://arxiv.org/abs/1804.06826" TargetMode="External" Id="rId4338"/><Relationship Type="http://schemas.openxmlformats.org/officeDocument/2006/relationships/hyperlink" Target="https://www.youtube.com/watch?v=aR6CzM0x-g0" TargetMode="External" Id="rId4339"/><Relationship Type="http://schemas.openxmlformats.org/officeDocument/2006/relationships/hyperlink" Target="https://arxiv.org/abs/1804.06826" TargetMode="External" Id="rId4340"/><Relationship Type="http://schemas.openxmlformats.org/officeDocument/2006/relationships/hyperlink" Target="https://www.youtube.com/watch?v=_B6ZbRbxiMY" TargetMode="External" Id="rId4341"/><Relationship Type="http://schemas.openxmlformats.org/officeDocument/2006/relationships/hyperlink" Target="https://arxiv.org/abs/1804.06826" TargetMode="External" Id="rId4342"/><Relationship Type="http://schemas.openxmlformats.org/officeDocument/2006/relationships/hyperlink" Target="https://www.youtube.com/watch?v=xV-cloHcTDE" TargetMode="External" Id="rId4343"/><Relationship Type="http://schemas.openxmlformats.org/officeDocument/2006/relationships/hyperlink" Target="https://arxiv.org/abs/1804.06826" TargetMode="External" Id="rId4344"/><Relationship Type="http://schemas.openxmlformats.org/officeDocument/2006/relationships/hyperlink" Target="https://www.youtube.com/watch?v=HVKE3Ye4xsM" TargetMode="External" Id="rId4345"/><Relationship Type="http://schemas.openxmlformats.org/officeDocument/2006/relationships/hyperlink" Target="https://arxiv.org/abs/1804.06826" TargetMode="External" Id="rId4346"/><Relationship Type="http://schemas.openxmlformats.org/officeDocument/2006/relationships/hyperlink" Target="https://www.youtube.com/watch?v=IqhJ5Eq8bgs" TargetMode="External" Id="rId4347"/><Relationship Type="http://schemas.openxmlformats.org/officeDocument/2006/relationships/hyperlink" Target="https://arxiv.org/abs/1804.06826" TargetMode="External" Id="rId4348"/><Relationship Type="http://schemas.openxmlformats.org/officeDocument/2006/relationships/hyperlink" Target="https://www.youtube.com/watch?v=FgesnWaMoZ4" TargetMode="External" Id="rId4349"/><Relationship Type="http://schemas.openxmlformats.org/officeDocument/2006/relationships/hyperlink" Target="https://scholar.google.com/scholar?q=Tillet+Kung+%26+Cox+Triton%3A+An+Intermediate+Language+and+Compiler+for+Tiled+Neural+Network+Computations+MAPL+2019" TargetMode="External" Id="rId4350"/><Relationship Type="http://schemas.openxmlformats.org/officeDocument/2006/relationships/hyperlink" Target="https://www.youtube.com/watch?v=o3DrHb-mVLM" TargetMode="External" Id="rId4351"/><Relationship Type="http://schemas.openxmlformats.org/officeDocument/2006/relationships/hyperlink" Target="https://scholar.google.com/scholar?q=Tillet+Kung+%26+Cox+Triton%3A+An+Intermediate+Language+and+Compiler+for+Tiled+Neural+Network+Computations+MAPL+2019" TargetMode="External" Id="rId4352"/><Relationship Type="http://schemas.openxmlformats.org/officeDocument/2006/relationships/hyperlink" Target="https://www.youtube.com/watch?v=G951lCm_qnk" TargetMode="External" Id="rId4353"/><Relationship Type="http://schemas.openxmlformats.org/officeDocument/2006/relationships/hyperlink" Target="https://scholar.google.com/scholar?q=Tillet+Kung+%26+Cox+Triton%3A+An+Intermediate+Language+and+Compiler+for+Tiled+Neural+Network+Computations+MAPL+2019" TargetMode="External" Id="rId4354"/><Relationship Type="http://schemas.openxmlformats.org/officeDocument/2006/relationships/hyperlink" Target="https://www.youtube.com/watch?v=WnBG7je7tO4" TargetMode="External" Id="rId4355"/><Relationship Type="http://schemas.openxmlformats.org/officeDocument/2006/relationships/hyperlink" Target="https://scholar.google.com/scholar?q=Tillet+Kung+%26+Cox+Triton%3A+An+Intermediate+Language+and+Compiler+for+Tiled+Neural+Network+Computations+MAPL+2019" TargetMode="External" Id="rId4356"/><Relationship Type="http://schemas.openxmlformats.org/officeDocument/2006/relationships/hyperlink" Target="https://www.youtube.com/watch?v=KqeI23SpJx8" TargetMode="External" Id="rId4357"/><Relationship Type="http://schemas.openxmlformats.org/officeDocument/2006/relationships/hyperlink" Target="https://scholar.google.com/scholar?q=Tillet+Kung+%26+Cox+Triton%3A+An+Intermediate+Language+and+Compiler+for+Tiled+Neural+Network+Computations+MAPL+2019" TargetMode="External" Id="rId4358"/><Relationship Type="http://schemas.openxmlformats.org/officeDocument/2006/relationships/hyperlink" Target="https://www.youtube.com/watch?v=PGUw2P55ZYM" TargetMode="External" Id="rId4359"/><Relationship Type="http://schemas.openxmlformats.org/officeDocument/2006/relationships/hyperlink" Target="https://scholar.google.com/scholar?q=Tillet+Kung+%26+Cox+Triton%3A+An+Intermediate+Language+and+Compiler+for+Tiled+Neural+Network+Computations+MAPL+2019" TargetMode="External" Id="rId4360"/><Relationship Type="http://schemas.openxmlformats.org/officeDocument/2006/relationships/hyperlink" Target="https://www.youtube.com/watch?v=qRycGTCHuuY" TargetMode="External" Id="rId4361"/><Relationship Type="http://schemas.openxmlformats.org/officeDocument/2006/relationships/hyperlink" Target="https://scholar.google.com/scholar?q=Tillet+Kung+%26+Cox+Triton%3A+An+Intermediate+Language+and+Compiler+for+Tiled+Neural+Network+Computations+MAPL+2019" TargetMode="External" Id="rId4362"/><Relationship Type="http://schemas.openxmlformats.org/officeDocument/2006/relationships/hyperlink" Target="https://www.youtube.com/watch?v=u7xJwEJVWdM" TargetMode="External" Id="rId4363"/><Relationship Type="http://schemas.openxmlformats.org/officeDocument/2006/relationships/hyperlink" Target="https://scholar.google.com/scholar?q=Tillet+Kung+%26+Cox+Triton%3A+An+Intermediate+Language+and+Compiler+for+Tiled+Neural+Network+Computations+MAPL+2019" TargetMode="External" Id="rId4364"/><Relationship Type="http://schemas.openxmlformats.org/officeDocument/2006/relationships/hyperlink" Target="https://www.youtube.com/watch?v=ccMl2KLb-iY" TargetMode="External" Id="rId4365"/><Relationship Type="http://schemas.openxmlformats.org/officeDocument/2006/relationships/hyperlink" Target="https://scholar.google.com/scholar?q=Tillet+Kung+%26+Cox+Triton%3A+An+Intermediate+Language+and+Compiler+for+Tiled+Neural+Network+Computations+MAPL+2019" TargetMode="External" Id="rId4366"/><Relationship Type="http://schemas.openxmlformats.org/officeDocument/2006/relationships/hyperlink" Target="https://www.youtube.com/watch?v=UDqg5WrgT6U" TargetMode="External" Id="rId4367"/><Relationship Type="http://schemas.openxmlformats.org/officeDocument/2006/relationships/hyperlink" Target="https://scholar.google.com/scholar?q=Tillet+Kung+%26+Cox+Triton%3A+An+Intermediate+Language+and+Compiler+for+Tiled+Neural+Network+Computations+MAPL+2019" TargetMode="External" Id="rId4368"/><Relationship Type="http://schemas.openxmlformats.org/officeDocument/2006/relationships/hyperlink" Target="https://www.youtube.com/watch?v=etlFyqSsmL0" TargetMode="External" Id="rId4369"/><Relationship Type="http://schemas.openxmlformats.org/officeDocument/2006/relationships/hyperlink" Target="https://scholar.google.com/scholar?q=Tillet+Kung+%26+Cox+Triton%3A+An+Intermediate+Language+and+Compiler+for+Tiled+Neural+Network+Computations+MAPL+2019" TargetMode="External" Id="rId4370"/><Relationship Type="http://schemas.openxmlformats.org/officeDocument/2006/relationships/hyperlink" Target="https://www.youtube.com/watch?v=Av1za_0o2Qs" TargetMode="External" Id="rId4371"/><Relationship Type="http://schemas.openxmlformats.org/officeDocument/2006/relationships/hyperlink" Target="https://scholar.google.com/scholar?q=Tillet+Kung+%26+Cox+Triton%3A+An+Intermediate+Language+and+Compiler+for+Tiled+Neural+Network+Computations+MAPL+2019" TargetMode="External" Id="rId4372"/><Relationship Type="http://schemas.openxmlformats.org/officeDocument/2006/relationships/hyperlink" Target="https://www.youtube.com/watch?v=PAsL680eWUw" TargetMode="External" Id="rId4373"/><Relationship Type="http://schemas.openxmlformats.org/officeDocument/2006/relationships/hyperlink" Target="https://scholar.google.com/scholar?q=Tillet+Kung+%26+Cox+Triton%3A+An+Intermediate+Language+and+Compiler+for+Tiled+Neural+Network+Computations+MAPL+2019" TargetMode="External" Id="rId4374"/><Relationship Type="http://schemas.openxmlformats.org/officeDocument/2006/relationships/hyperlink" Target="https://www.youtube.com/watch?v=RW2-HtWaOS0" TargetMode="External" Id="rId4375"/><Relationship Type="http://schemas.openxmlformats.org/officeDocument/2006/relationships/hyperlink" Target="https://scholar.google.com/scholar?q=Tillet+Kung+%26+Cox+Triton%3A+An+Intermediate+Language+and+Compiler+for+Tiled+Neural+Network+Computations+MAPL+2019" TargetMode="External" Id="rId4376"/><Relationship Type="http://schemas.openxmlformats.org/officeDocument/2006/relationships/hyperlink" Target="https://www.youtube.com/watch?v=tnADC2XuAr0" TargetMode="External" Id="rId4377"/><Relationship Type="http://schemas.openxmlformats.org/officeDocument/2006/relationships/hyperlink" Target="https://scholar.google.com/scholar?q=Tillet+Kung+%26+Cox+Triton%3A+An+Intermediate+Language+and+Compiler+for+Tiled+Neural+Network+Computations+MAPL+2019" TargetMode="External" Id="rId4378"/><Relationship Type="http://schemas.openxmlformats.org/officeDocument/2006/relationships/hyperlink" Target="https://www.youtube.com/watch?v=l9OKpCP0Mnc" TargetMode="External" Id="rId4379"/><Relationship Type="http://schemas.openxmlformats.org/officeDocument/2006/relationships/hyperlink" Target="https://scholar.google.com/scholar?q=Tillet+Kung+%26+Cox+Triton%3A+An+Intermediate+Language+and+Compiler+for+Tiled+Neural+Network+Computations+MAPL+2019" TargetMode="External" Id="rId4380"/><Relationship Type="http://schemas.openxmlformats.org/officeDocument/2006/relationships/hyperlink" Target="https://www.youtube.com/watch?v=KMRl-SBbTDk" TargetMode="External" Id="rId4381"/><Relationship Type="http://schemas.openxmlformats.org/officeDocument/2006/relationships/hyperlink" Target="https://scholar.google.com/scholar?q=Tillet+Kung+%26+Cox+Triton%3A+An+Intermediate+Language+and+Compiler+for+Tiled+Neural+Network+Computations+MAPL+2019" TargetMode="External" Id="rId4382"/><Relationship Type="http://schemas.openxmlformats.org/officeDocument/2006/relationships/hyperlink" Target="https://www.youtube.com/watch?v=_rrhYbvNIx0" TargetMode="External" Id="rId4383"/><Relationship Type="http://schemas.openxmlformats.org/officeDocument/2006/relationships/hyperlink" Target="https://scholar.google.com/scholar?q=Tillet+Kung+%26+Cox+Triton%3A+An+Intermediate+Language+and+Compiler+for+Tiled+Neural+Network+Computations+MAPL+2019" TargetMode="External" Id="rId4384"/><Relationship Type="http://schemas.openxmlformats.org/officeDocument/2006/relationships/hyperlink" Target="https://www.youtube.com/watch?v=p13HpZv2S3Q" TargetMode="External" Id="rId4385"/><Relationship Type="http://schemas.openxmlformats.org/officeDocument/2006/relationships/hyperlink" Target="https://scholar.google.com/scholar?q=Tillet+Kung+%26+Cox+Triton%3A+An+Intermediate+Language+and+Compiler+for+Tiled+Neural+Network+Computations+MAPL+2019" TargetMode="External" Id="rId4386"/><Relationship Type="http://schemas.openxmlformats.org/officeDocument/2006/relationships/hyperlink" Target="https://www.youtube.com/watch?v=OR8NZyTz-yo" TargetMode="External" Id="rId4387"/><Relationship Type="http://schemas.openxmlformats.org/officeDocument/2006/relationships/hyperlink" Target="https://scholar.google.com/scholar?q=Tillet+Kung+%26+Cox+Triton%3A+An+Intermediate+Language+and+Compiler+for+Tiled+Neural+Network+Computations+MAPL+2019" TargetMode="External" Id="rId4388"/><Relationship Type="http://schemas.openxmlformats.org/officeDocument/2006/relationships/hyperlink" Target="https://www.youtube.com/watch?v=YWDzHGx8PrY" TargetMode="External" Id="rId4389"/><Relationship Type="http://schemas.openxmlformats.org/officeDocument/2006/relationships/hyperlink" Target="https://scholar.google.com/scholar?q=Tillet+Kung+%26+Cox+Triton%3A+An+Intermediate+Language+and+Compiler+for+Tiled+Neural+Network+Computations+MAPL+2019" TargetMode="External" Id="rId4390"/><Relationship Type="http://schemas.openxmlformats.org/officeDocument/2006/relationships/hyperlink" Target="https://www.youtube.com/watch?v=V3Q9IjsgXvA" TargetMode="External" Id="rId4391"/><Relationship Type="http://schemas.openxmlformats.org/officeDocument/2006/relationships/hyperlink" Target="https://arxiv.org/abs/2407.08608" TargetMode="External" Id="rId4392"/><Relationship Type="http://schemas.openxmlformats.org/officeDocument/2006/relationships/hyperlink" Target="https://www.youtube.com/watch?v=5NXd6MbKYNQ" TargetMode="External" Id="rId4393"/><Relationship Type="http://schemas.openxmlformats.org/officeDocument/2006/relationships/hyperlink" Target="https://arxiv.org/abs/2407.08608" TargetMode="External" Id="rId4394"/><Relationship Type="http://schemas.openxmlformats.org/officeDocument/2006/relationships/hyperlink" Target="https://www.youtube.com/watch?v=IrkNZG8MJ64" TargetMode="External" Id="rId4395"/><Relationship Type="http://schemas.openxmlformats.org/officeDocument/2006/relationships/hyperlink" Target="https://arxiv.org/abs/2407.08608" TargetMode="External" Id="rId4396"/><Relationship Type="http://schemas.openxmlformats.org/officeDocument/2006/relationships/hyperlink" Target="https://www.youtube.com/watch?v=ATfDVKBU65k" TargetMode="External" Id="rId4397"/><Relationship Type="http://schemas.openxmlformats.org/officeDocument/2006/relationships/hyperlink" Target="https://arxiv.org/abs/2407.08608" TargetMode="External" Id="rId4398"/><Relationship Type="http://schemas.openxmlformats.org/officeDocument/2006/relationships/hyperlink" Target="https://www.youtube.com/watch?v=uHN5fpfu8As" TargetMode="External" Id="rId4399"/><Relationship Type="http://schemas.openxmlformats.org/officeDocument/2006/relationships/hyperlink" Target="https://arxiv.org/abs/2407.08608" TargetMode="External" Id="rId4400"/><Relationship Type="http://schemas.openxmlformats.org/officeDocument/2006/relationships/hyperlink" Target="https://www.youtube.com/watch?v=5btb5qcUPbU" TargetMode="External" Id="rId4401"/><Relationship Type="http://schemas.openxmlformats.org/officeDocument/2006/relationships/hyperlink" Target="https://arxiv.org/abs/2407.08608" TargetMode="External" Id="rId4402"/><Relationship Type="http://schemas.openxmlformats.org/officeDocument/2006/relationships/hyperlink" Target="https://www.youtube.com/watch?v=GCkdiHk6fUY" TargetMode="External" Id="rId4403"/><Relationship Type="http://schemas.openxmlformats.org/officeDocument/2006/relationships/hyperlink" Target="https://arxiv.org/abs/2407.08608" TargetMode="External" Id="rId4404"/><Relationship Type="http://schemas.openxmlformats.org/officeDocument/2006/relationships/hyperlink" Target="https://www.youtube.com/watch?v=SpZ5MYRQc0U" TargetMode="External" Id="rId4405"/><Relationship Type="http://schemas.openxmlformats.org/officeDocument/2006/relationships/hyperlink" Target="https://arxiv.org/abs/2407.08608" TargetMode="External" Id="rId4406"/><Relationship Type="http://schemas.openxmlformats.org/officeDocument/2006/relationships/hyperlink" Target="https://www.youtube.com/watch?v=27vRMM5JcSg" TargetMode="External" Id="rId4407"/><Relationship Type="http://schemas.openxmlformats.org/officeDocument/2006/relationships/hyperlink" Target="https://arxiv.org/abs/2407.08608" TargetMode="External" Id="rId4408"/><Relationship Type="http://schemas.openxmlformats.org/officeDocument/2006/relationships/hyperlink" Target="https://www.youtube.com/watch?v=fsC3QeZHM1U" TargetMode="External" Id="rId4409"/><Relationship Type="http://schemas.openxmlformats.org/officeDocument/2006/relationships/hyperlink" Target="https://arxiv.org/abs/2407.08608" TargetMode="External" Id="rId4410"/><Relationship Type="http://schemas.openxmlformats.org/officeDocument/2006/relationships/hyperlink" Target="https://www.youtube.com/watch?v=pe0N7LqNg9w" TargetMode="External" Id="rId4411"/><Relationship Type="http://schemas.openxmlformats.org/officeDocument/2006/relationships/hyperlink" Target="https://arxiv.org/abs/2407.08608" TargetMode="External" Id="rId4412"/><Relationship Type="http://schemas.openxmlformats.org/officeDocument/2006/relationships/hyperlink" Target="https://www.youtube.com/watch?v=RVpf2PR1PFE" TargetMode="External" Id="rId4413"/><Relationship Type="http://schemas.openxmlformats.org/officeDocument/2006/relationships/hyperlink" Target="https://arxiv.org/abs/2407.08608" TargetMode="External" Id="rId4414"/><Relationship Type="http://schemas.openxmlformats.org/officeDocument/2006/relationships/hyperlink" Target="https://www.youtube.com/watch?v=qRZrVNNe3gQ" TargetMode="External" Id="rId4415"/><Relationship Type="http://schemas.openxmlformats.org/officeDocument/2006/relationships/hyperlink" Target="https://arxiv.org/abs/2407.08608" TargetMode="External" Id="rId4416"/><Relationship Type="http://schemas.openxmlformats.org/officeDocument/2006/relationships/hyperlink" Target="https://www.youtube.com/watch?v=139UPjoq7Kw" TargetMode="External" Id="rId4417"/><Relationship Type="http://schemas.openxmlformats.org/officeDocument/2006/relationships/hyperlink" Target="https://scholar.google.com/scholar?q=Ansel+et+al.+PyTorch+2+ASPLOS+2024" TargetMode="External" Id="rId4418"/><Relationship Type="http://schemas.openxmlformats.org/officeDocument/2006/relationships/hyperlink" Target="https://www.youtube.com/watch?v=IWpM_9AsC-U" TargetMode="External" Id="rId4419"/><Relationship Type="http://schemas.openxmlformats.org/officeDocument/2006/relationships/hyperlink" Target="https://scholar.google.com/scholar?q=Ansel+et+al.+PyTorch+2+ASPLOS+2024" TargetMode="External" Id="rId4420"/><Relationship Type="http://schemas.openxmlformats.org/officeDocument/2006/relationships/hyperlink" Target="https://www.youtube.com/watch?v=ju-KlcuWlbk" TargetMode="External" Id="rId4421"/><Relationship Type="http://schemas.openxmlformats.org/officeDocument/2006/relationships/hyperlink" Target="https://scholar.google.com/scholar?q=Ansel+et+al.+PyTorch+2+ASPLOS+2024" TargetMode="External" Id="rId4422"/><Relationship Type="http://schemas.openxmlformats.org/officeDocument/2006/relationships/hyperlink" Target="https://www.youtube.com/watch?v=18YupYsH5vY" TargetMode="External" Id="rId4423"/><Relationship Type="http://schemas.openxmlformats.org/officeDocument/2006/relationships/hyperlink" Target="https://scholar.google.com/scholar?q=Ansel+et+al.+PyTorch+2+ASPLOS+2024" TargetMode="External" Id="rId4424"/><Relationship Type="http://schemas.openxmlformats.org/officeDocument/2006/relationships/hyperlink" Target="https://www.youtube.com/watch?v=egZB5Uxki0I" TargetMode="External" Id="rId4425"/><Relationship Type="http://schemas.openxmlformats.org/officeDocument/2006/relationships/hyperlink" Target="https://scholar.google.com/scholar?q=Ansel+et+al.+PyTorch+2+ASPLOS+2024" TargetMode="External" Id="rId4426"/><Relationship Type="http://schemas.openxmlformats.org/officeDocument/2006/relationships/hyperlink" Target="https://www.youtube.com/watch?v=rew5CSUaIXg" TargetMode="External" Id="rId4427"/><Relationship Type="http://schemas.openxmlformats.org/officeDocument/2006/relationships/hyperlink" Target="https://scholar.google.com/scholar?q=Ansel+et+al.+PyTorch+2+ASPLOS+2024" TargetMode="External" Id="rId4428"/><Relationship Type="http://schemas.openxmlformats.org/officeDocument/2006/relationships/hyperlink" Target="https://www.youtube.com/watch?v=pLni96jtcjY" TargetMode="External" Id="rId4429"/><Relationship Type="http://schemas.openxmlformats.org/officeDocument/2006/relationships/hyperlink" Target="https://scholar.google.com/scholar?q=Ansel+et+al.+PyTorch+2+ASPLOS+2024" TargetMode="External" Id="rId4430"/><Relationship Type="http://schemas.openxmlformats.org/officeDocument/2006/relationships/hyperlink" Target="https://www.youtube.com/watch?v=gr487xsMpO8" TargetMode="External" Id="rId4431"/><Relationship Type="http://schemas.openxmlformats.org/officeDocument/2006/relationships/hyperlink" Target="https://scholar.google.com/scholar?q=Ansel+et+al.+PyTorch+2+ASPLOS+2024" TargetMode="External" Id="rId4432"/><Relationship Type="http://schemas.openxmlformats.org/officeDocument/2006/relationships/hyperlink" Target="https://www.youtube.com/watch?v=WxYEoTLgdLo" TargetMode="External" Id="rId4433"/><Relationship Type="http://schemas.openxmlformats.org/officeDocument/2006/relationships/hyperlink" Target="https://scholar.google.com/scholar?q=Ansel+et+al.+PyTorch+2+ASPLOS+2024" TargetMode="External" Id="rId4434"/><Relationship Type="http://schemas.openxmlformats.org/officeDocument/2006/relationships/hyperlink" Target="https://www.youtube.com/watch?v=5FNHwPIyHr8" TargetMode="External" Id="rId4435"/><Relationship Type="http://schemas.openxmlformats.org/officeDocument/2006/relationships/hyperlink" Target="https://scholar.google.com/scholar?q=Ansel+et+al.+PyTorch+2+ASPLOS+2024" TargetMode="External" Id="rId4436"/><Relationship Type="http://schemas.openxmlformats.org/officeDocument/2006/relationships/hyperlink" Target="https://www.youtube.com/watch?v=GmhnYe9QQoM" TargetMode="External" Id="rId4437"/><Relationship Type="http://schemas.openxmlformats.org/officeDocument/2006/relationships/hyperlink" Target="https://scholar.google.com/scholar?q=Ansel+et+al.+PyTorch+2+ASPLOS+2024" TargetMode="External" Id="rId4438"/><Relationship Type="http://schemas.openxmlformats.org/officeDocument/2006/relationships/hyperlink" Target="https://www.youtube.com/watch?v=2dY8vPQ349Q" TargetMode="External" Id="rId4439"/><Relationship Type="http://schemas.openxmlformats.org/officeDocument/2006/relationships/hyperlink" Target="https://scholar.google.com/scholar?q=Ansel+et+al.+PyTorch+2+ASPLOS+2024" TargetMode="External" Id="rId4440"/><Relationship Type="http://schemas.openxmlformats.org/officeDocument/2006/relationships/hyperlink" Target="https://www.youtube.com/watch?v=Lg8F4F_qZxk" TargetMode="External" Id="rId4441"/><Relationship Type="http://schemas.openxmlformats.org/officeDocument/2006/relationships/hyperlink" Target="https://scholar.google.com/scholar?q=Ansel+et+al.+PyTorch+2+ASPLOS+2024" TargetMode="External" Id="rId4442"/><Relationship Type="http://schemas.openxmlformats.org/officeDocument/2006/relationships/hyperlink" Target="https://www.youtube.com/watch?v=TB07_mUMt0U" TargetMode="External" Id="rId4443"/><Relationship Type="http://schemas.openxmlformats.org/officeDocument/2006/relationships/hyperlink" Target="https://arxiv.org/abs/1710.03740" TargetMode="External" Id="rId4444"/><Relationship Type="http://schemas.openxmlformats.org/officeDocument/2006/relationships/hyperlink" Target="https://www.youtube.com/watch?v=wUiBh646hEI" TargetMode="External" Id="rId4445"/><Relationship Type="http://schemas.openxmlformats.org/officeDocument/2006/relationships/hyperlink" Target="https://arxiv.org/abs/1710.03740" TargetMode="External" Id="rId4446"/><Relationship Type="http://schemas.openxmlformats.org/officeDocument/2006/relationships/hyperlink" Target="https://www.youtube.com/watch?v=L_lgdbYSGxY" TargetMode="External" Id="rId4447"/><Relationship Type="http://schemas.openxmlformats.org/officeDocument/2006/relationships/hyperlink" Target="https://arxiv.org/abs/1710.03740" TargetMode="External" Id="rId4448"/><Relationship Type="http://schemas.openxmlformats.org/officeDocument/2006/relationships/hyperlink" Target="https://www.youtube.com/watch?v=SnUKb_w5r9s" TargetMode="External" Id="rId4449"/><Relationship Type="http://schemas.openxmlformats.org/officeDocument/2006/relationships/hyperlink" Target="https://arxiv.org/abs/1710.03740" TargetMode="External" Id="rId4450"/><Relationship Type="http://schemas.openxmlformats.org/officeDocument/2006/relationships/hyperlink" Target="https://www.youtube.com/watch?v=ouK0gwYOA_Y" TargetMode="External" Id="rId4451"/><Relationship Type="http://schemas.openxmlformats.org/officeDocument/2006/relationships/hyperlink" Target="https://arxiv.org/abs/1710.03740" TargetMode="External" Id="rId4452"/><Relationship Type="http://schemas.openxmlformats.org/officeDocument/2006/relationships/hyperlink" Target="https://www.youtube.com/watch?v=b5dAmcBKxHg" TargetMode="External" Id="rId4453"/><Relationship Type="http://schemas.openxmlformats.org/officeDocument/2006/relationships/hyperlink" Target="https://arxiv.org/abs/1710.03740" TargetMode="External" Id="rId4454"/><Relationship Type="http://schemas.openxmlformats.org/officeDocument/2006/relationships/hyperlink" Target="https://www.youtube.com/watch?v=BHqoXoRuH-I" TargetMode="External" Id="rId4455"/><Relationship Type="http://schemas.openxmlformats.org/officeDocument/2006/relationships/hyperlink" Target="https://arxiv.org/abs/1710.03740" TargetMode="External" Id="rId4456"/><Relationship Type="http://schemas.openxmlformats.org/officeDocument/2006/relationships/hyperlink" Target="https://www.youtube.com/watch?v=napEsaJ5hMU" TargetMode="External" Id="rId4457"/><Relationship Type="http://schemas.openxmlformats.org/officeDocument/2006/relationships/hyperlink" Target="https://arxiv.org/abs/1710.03740" TargetMode="External" Id="rId4458"/><Relationship Type="http://schemas.openxmlformats.org/officeDocument/2006/relationships/hyperlink" Target="https://www.youtube.com/watch?v=F6fLwGE83Cw" TargetMode="External" Id="rId4459"/><Relationship Type="http://schemas.openxmlformats.org/officeDocument/2006/relationships/hyperlink" Target="https://arxiv.org/abs/1704.04760" TargetMode="External" Id="rId4460"/><Relationship Type="http://schemas.openxmlformats.org/officeDocument/2006/relationships/hyperlink" Target="https://www.youtube.com/watch?v=fhHAArxwzvQ" TargetMode="External" Id="rId4461"/><Relationship Type="http://schemas.openxmlformats.org/officeDocument/2006/relationships/hyperlink" Target="https://arxiv.org/abs/1704.04760" TargetMode="External" Id="rId4462"/><Relationship Type="http://schemas.openxmlformats.org/officeDocument/2006/relationships/hyperlink" Target="https://www.youtube.com/watch?v=VCScWh966u4" TargetMode="External" Id="rId4463"/><Relationship Type="http://schemas.openxmlformats.org/officeDocument/2006/relationships/hyperlink" Target="https://arxiv.org/abs/1704.04760" TargetMode="External" Id="rId4464"/><Relationship Type="http://schemas.openxmlformats.org/officeDocument/2006/relationships/hyperlink" Target="https://www.youtube.com/watch?v=8zbh4gWGa7I" TargetMode="External" Id="rId4465"/><Relationship Type="http://schemas.openxmlformats.org/officeDocument/2006/relationships/hyperlink" Target="https://arxiv.org/abs/1704.04760" TargetMode="External" Id="rId4466"/><Relationship Type="http://schemas.openxmlformats.org/officeDocument/2006/relationships/hyperlink" Target="https://www.youtube.com/watch?v=j9hOJZFt6rE" TargetMode="External" Id="rId4467"/><Relationship Type="http://schemas.openxmlformats.org/officeDocument/2006/relationships/hyperlink" Target="https://arxiv.org/abs/1704.04760" TargetMode="External" Id="rId4468"/><Relationship Type="http://schemas.openxmlformats.org/officeDocument/2006/relationships/hyperlink" Target="https://www.youtube.com/watch?v=lTlpJ2Mz4zs" TargetMode="External" Id="rId4469"/><Relationship Type="http://schemas.openxmlformats.org/officeDocument/2006/relationships/hyperlink" Target="https://arxiv.org/abs/1704.04760" TargetMode="External" Id="rId4470"/><Relationship Type="http://schemas.openxmlformats.org/officeDocument/2006/relationships/hyperlink" Target="https://www.youtube.com/watch?v=osurjQmKrys" TargetMode="External" Id="rId4471"/><Relationship Type="http://schemas.openxmlformats.org/officeDocument/2006/relationships/hyperlink" Target="https://arxiv.org/abs/1704.04760" TargetMode="External" Id="rId4472"/><Relationship Type="http://schemas.openxmlformats.org/officeDocument/2006/relationships/hyperlink" Target="https://www.youtube.com/watch?v=71w0ZlYNeiQ" TargetMode="External" Id="rId4473"/><Relationship Type="http://schemas.openxmlformats.org/officeDocument/2006/relationships/hyperlink" Target="https://arxiv.org/abs/1704.04760" TargetMode="External" Id="rId4474"/><Relationship Type="http://schemas.openxmlformats.org/officeDocument/2006/relationships/hyperlink" Target="https://www.youtube.com/watch?v=VWdReme_5Vg" TargetMode="External" Id="rId4475"/><Relationship Type="http://schemas.openxmlformats.org/officeDocument/2006/relationships/hyperlink" Target="https://arxiv.org/abs/1704.04760" TargetMode="External" Id="rId4476"/><Relationship Type="http://schemas.openxmlformats.org/officeDocument/2006/relationships/hyperlink" Target="https://www.youtube.com/watch?v=EFe7-WZMMhc" TargetMode="External" Id="rId4477"/><Relationship Type="http://schemas.openxmlformats.org/officeDocument/2006/relationships/hyperlink" Target="https://arxiv.org/abs/1704.04760" TargetMode="External" Id="rId4478"/><Relationship Type="http://schemas.openxmlformats.org/officeDocument/2006/relationships/hyperlink" Target="https://www.youtube.com/watch?v=HQFwi5k1jdI" TargetMode="External" Id="rId4479"/><Relationship Type="http://schemas.openxmlformats.org/officeDocument/2006/relationships/hyperlink" Target="https://arxiv.org/abs/1704.04760" TargetMode="External" Id="rId4480"/><Relationship Type="http://schemas.openxmlformats.org/officeDocument/2006/relationships/hyperlink" Target="https://www.youtube.com/watch?v=n-LfId-VVQs" TargetMode="External" Id="rId4481"/><Relationship Type="http://schemas.openxmlformats.org/officeDocument/2006/relationships/hyperlink" Target="https://arxiv.org/abs/1704.04760" TargetMode="External" Id="rId4482"/><Relationship Type="http://schemas.openxmlformats.org/officeDocument/2006/relationships/hyperlink" Target="https://www.youtube.com/watch?v=3a8u6XeA9yo" TargetMode="External" Id="rId4483"/><Relationship Type="http://schemas.openxmlformats.org/officeDocument/2006/relationships/hyperlink" Target="https://arxiv.org/abs/1802.04799" TargetMode="External" Id="rId4484"/><Relationship Type="http://schemas.openxmlformats.org/officeDocument/2006/relationships/hyperlink" Target="https://www.youtube.com/watch?v=TdBdmV0mD4s" TargetMode="External" Id="rId4485"/><Relationship Type="http://schemas.openxmlformats.org/officeDocument/2006/relationships/hyperlink" Target="https://arxiv.org/abs/1802.04799" TargetMode="External" Id="rId4486"/><Relationship Type="http://schemas.openxmlformats.org/officeDocument/2006/relationships/hyperlink" Target="https://www.youtube.com/watch?v=yydJ6ZGCiVQ" TargetMode="External" Id="rId4487"/><Relationship Type="http://schemas.openxmlformats.org/officeDocument/2006/relationships/hyperlink" Target="https://arxiv.org/abs/1802.04799" TargetMode="External" Id="rId4488"/><Relationship Type="http://schemas.openxmlformats.org/officeDocument/2006/relationships/hyperlink" Target="https://www.youtube.com/watch?v=SbViVo4TrAA" TargetMode="External" Id="rId4489"/><Relationship Type="http://schemas.openxmlformats.org/officeDocument/2006/relationships/hyperlink" Target="https://arxiv.org/abs/2002.11054" TargetMode="External" Id="rId4490"/><Relationship Type="http://schemas.openxmlformats.org/officeDocument/2006/relationships/hyperlink" Target="https://www.youtube.com/watch?v=e85Ceq2g5z0" TargetMode="External" Id="rId4491"/><Relationship Type="http://schemas.openxmlformats.org/officeDocument/2006/relationships/hyperlink" Target="https://arxiv.org/abs/1802.04799" TargetMode="External" Id="rId4492"/><Relationship Type="http://schemas.openxmlformats.org/officeDocument/2006/relationships/hyperlink" Target="https://www.youtube.com/watch?v=qzljG6DKgic" TargetMode="External" Id="rId4493"/><Relationship Type="http://schemas.openxmlformats.org/officeDocument/2006/relationships/hyperlink" Target="https://arxiv.org/abs/2002.11054" TargetMode="External" Id="rId4494"/><Relationship Type="http://schemas.openxmlformats.org/officeDocument/2006/relationships/hyperlink" Target="https://www.youtube.com/watch?v=Y4SvqTtOIDk" TargetMode="External" Id="rId4495"/><Relationship Type="http://schemas.openxmlformats.org/officeDocument/2006/relationships/hyperlink" Target="https://arxiv.org/abs/2002.11054" TargetMode="External" Id="rId4496"/><Relationship Type="http://schemas.openxmlformats.org/officeDocument/2006/relationships/hyperlink" Target="https://www.youtube.com/watch?v=4HgShra-KnY" TargetMode="External" Id="rId4497"/><Relationship Type="http://schemas.openxmlformats.org/officeDocument/2006/relationships/hyperlink" Target="https://arxiv.org/abs/1802.04799" TargetMode="External" Id="rId4498"/><Relationship Type="http://schemas.openxmlformats.org/officeDocument/2006/relationships/hyperlink" Target="https://www.youtube.com/watch?v=QXp5ebZzLuE" TargetMode="External" Id="rId4499"/><Relationship Type="http://schemas.openxmlformats.org/officeDocument/2006/relationships/hyperlink" Target="https://arxiv.org/abs/1802.04799" TargetMode="External" Id="rId4500"/><Relationship Type="http://schemas.openxmlformats.org/officeDocument/2006/relationships/hyperlink" Target="https://www.youtube.com/watch?v=e4QjghCzYO0" TargetMode="External" Id="rId4501"/><Relationship Type="http://schemas.openxmlformats.org/officeDocument/2006/relationships/hyperlink" Target="https://arxiv.org/abs/1802.04799" TargetMode="External" Id="rId4502"/><Relationship Type="http://schemas.openxmlformats.org/officeDocument/2006/relationships/hyperlink" Target="https://www.youtube.com/watch?v=UeyWo42_PS8" TargetMode="External" Id="rId4503"/><Relationship Type="http://schemas.openxmlformats.org/officeDocument/2006/relationships/hyperlink" Target="https://scholar.google.com/scholar?q=Ragan-Kelley+et+al.+PLDI+2013" TargetMode="External" Id="rId4504"/><Relationship Type="http://schemas.openxmlformats.org/officeDocument/2006/relationships/hyperlink" Target="https://www.youtube.com/watch?v=VASg2XNgj-4" TargetMode="External" Id="rId4505"/><Relationship Type="http://schemas.openxmlformats.org/officeDocument/2006/relationships/hyperlink" Target="https://arxiv.org/abs/1802.04799" TargetMode="External" Id="rId4506"/><Relationship Type="http://schemas.openxmlformats.org/officeDocument/2006/relationships/hyperlink" Target="https://www.youtube.com/watch?v=A2hJ_Mj02zk" TargetMode="External" Id="rId4507"/><Relationship Type="http://schemas.openxmlformats.org/officeDocument/2006/relationships/hyperlink" Target="https://arxiv.org/abs/1802.04799" TargetMode="External" Id="rId4508"/><Relationship Type="http://schemas.openxmlformats.org/officeDocument/2006/relationships/hyperlink" Target="https://www.youtube.com/watch?v=bgkji8TrBDI" TargetMode="External" Id="rId4509"/><Relationship Type="http://schemas.openxmlformats.org/officeDocument/2006/relationships/hyperlink" Target="https://arxiv.org/abs/1802.04799" TargetMode="External" Id="rId4510"/><Relationship Type="http://schemas.openxmlformats.org/officeDocument/2006/relationships/hyperlink" Target="https://www.youtube.com/watch?v=9Fy2jxj0ARE" TargetMode="External" Id="rId4511"/><Relationship Type="http://schemas.openxmlformats.org/officeDocument/2006/relationships/hyperlink" Target="https://arxiv.org/abs/1802.04799" TargetMode="External" Id="rId4512"/><Relationship Type="http://schemas.openxmlformats.org/officeDocument/2006/relationships/hyperlink" Target="https://www.youtube.com/watch?v=WWkfXUj2w2k" TargetMode="External" Id="rId4513"/><Relationship Type="http://schemas.openxmlformats.org/officeDocument/2006/relationships/hyperlink" Target="https://arxiv.org/abs/1802.04799" TargetMode="External" Id="rId4514"/><Relationship Type="http://schemas.openxmlformats.org/officeDocument/2006/relationships/hyperlink" Target="https://www.youtube.com/watch?v=Oc_wVXdnrrM" TargetMode="External" Id="rId4515"/><Relationship Type="http://schemas.openxmlformats.org/officeDocument/2006/relationships/hyperlink" Target="https://arxiv.org/abs/1802.04799" TargetMode="External" Id="rId4516"/><Relationship Type="http://schemas.openxmlformats.org/officeDocument/2006/relationships/hyperlink" Target="https://www.youtube.com/watch?v=mVf3HJ6gNDc" TargetMode="External" Id="rId4517"/><Relationship Type="http://schemas.openxmlformats.org/officeDocument/2006/relationships/hyperlink" Target="https://arxiv.org/abs/1912.04232" TargetMode="External" Id="rId4518"/><Relationship Type="http://schemas.openxmlformats.org/officeDocument/2006/relationships/hyperlink" Target="https://www.youtube.com/watch?v=mbUwCPiqZBM" TargetMode="External" Id="rId4519"/><Relationship Type="http://schemas.openxmlformats.org/officeDocument/2006/relationships/hyperlink" Target="https://arxiv.org/abs/1912.04232" TargetMode="External" Id="rId4520"/><Relationship Type="http://schemas.openxmlformats.org/officeDocument/2006/relationships/hyperlink" Target="https://www.youtube.com/watch?v=5XRphWnFkNM" TargetMode="External" Id="rId4521"/><Relationship Type="http://schemas.openxmlformats.org/officeDocument/2006/relationships/hyperlink" Target="https://arxiv.org/abs/1912.04232" TargetMode="External" Id="rId4522"/><Relationship Type="http://schemas.openxmlformats.org/officeDocument/2006/relationships/hyperlink" Target="https://www.youtube.com/watch?v=fuAyUQcVzTY" TargetMode="External" Id="rId4523"/><Relationship Type="http://schemas.openxmlformats.org/officeDocument/2006/relationships/hyperlink" Target="https://arxiv.org/abs/1912.04232" TargetMode="External" Id="rId4524"/><Relationship Type="http://schemas.openxmlformats.org/officeDocument/2006/relationships/hyperlink" Target="https://www.youtube.com/watch?v=3iP1MvQNWtQ" TargetMode="External" Id="rId4525"/><Relationship Type="http://schemas.openxmlformats.org/officeDocument/2006/relationships/hyperlink" Target="https://arxiv.org/abs/1912.04232" TargetMode="External" Id="rId4526"/><Relationship Type="http://schemas.openxmlformats.org/officeDocument/2006/relationships/hyperlink" Target="https://www.youtube.com/watch?v=ep6ISVDG_i4" TargetMode="External" Id="rId4527"/><Relationship Type="http://schemas.openxmlformats.org/officeDocument/2006/relationships/hyperlink" Target="https://arxiv.org/abs/1912.04232" TargetMode="External" Id="rId4528"/><Relationship Type="http://schemas.openxmlformats.org/officeDocument/2006/relationships/hyperlink" Target="https://www.youtube.com/watch?v=jVWSuEj9hWE" TargetMode="External" Id="rId4529"/><Relationship Type="http://schemas.openxmlformats.org/officeDocument/2006/relationships/hyperlink" Target="https://arxiv.org/abs/1912.04232" TargetMode="External" Id="rId4530"/><Relationship Type="http://schemas.openxmlformats.org/officeDocument/2006/relationships/hyperlink" Target="https://www.youtube.com/watch?v=3u5Md0GGY5E" TargetMode="External" Id="rId4531"/><Relationship Type="http://schemas.openxmlformats.org/officeDocument/2006/relationships/hyperlink" Target="https://arxiv.org/abs/1912.04232" TargetMode="External" Id="rId4532"/><Relationship Type="http://schemas.openxmlformats.org/officeDocument/2006/relationships/hyperlink" Target="https://www.youtube.com/watch?v=Bkm8tGET7-w" TargetMode="External" Id="rId4533"/><Relationship Type="http://schemas.openxmlformats.org/officeDocument/2006/relationships/hyperlink" Target="https://arxiv.org/abs/1912.04232" TargetMode="External" Id="rId4534"/><Relationship Type="http://schemas.openxmlformats.org/officeDocument/2006/relationships/hyperlink" Target="https://www.youtube.com/watch?v=carwzAOfuPE" TargetMode="External" Id="rId4535"/><Relationship Type="http://schemas.openxmlformats.org/officeDocument/2006/relationships/hyperlink" Target="https://arxiv.org/abs/1912.04232" TargetMode="External" Id="rId4536"/><Relationship Type="http://schemas.openxmlformats.org/officeDocument/2006/relationships/hyperlink" Target="https://www.youtube.com/watch?v=lT3cmlKUyJY" TargetMode="External" Id="rId4537"/><Relationship Type="http://schemas.openxmlformats.org/officeDocument/2006/relationships/hyperlink" Target="https://arxiv.org/abs/1912.04232" TargetMode="External" Id="rId4538"/><Relationship Type="http://schemas.openxmlformats.org/officeDocument/2006/relationships/hyperlink" Target="https://www.youtube.com/watch?v=iqf8LcT17_0" TargetMode="External" Id="rId4539"/><Relationship Type="http://schemas.openxmlformats.org/officeDocument/2006/relationships/hyperlink" Target="https://arxiv.org/abs/1912.04232" TargetMode="External" Id="rId4540"/><Relationship Type="http://schemas.openxmlformats.org/officeDocument/2006/relationships/hyperlink" Target="https://www.youtube.com/watch?v=W0Cix2KNyXc" TargetMode="External" Id="rId4541"/><Relationship Type="http://schemas.openxmlformats.org/officeDocument/2006/relationships/hyperlink" Target="https://arxiv.org/abs/1912.04232" TargetMode="External" Id="rId4542"/><Relationship Type="http://schemas.openxmlformats.org/officeDocument/2006/relationships/hyperlink" Target="https://www.youtube.com/watch?v=YhXUymsQ_3g" TargetMode="External" Id="rId4543"/><Relationship Type="http://schemas.openxmlformats.org/officeDocument/2006/relationships/hyperlink" Target="https://arxiv.org/abs/1912.04232" TargetMode="External" Id="rId4544"/><Relationship Type="http://schemas.openxmlformats.org/officeDocument/2006/relationships/hyperlink" Target="https://www.youtube.com/watch?v=aoWj8ku_0r4" TargetMode="External" Id="rId4545"/><Relationship Type="http://schemas.openxmlformats.org/officeDocument/2006/relationships/hyperlink" Target="https://arxiv.org/abs/1912.04232" TargetMode="External" Id="rId4546"/><Relationship Type="http://schemas.openxmlformats.org/officeDocument/2006/relationships/hyperlink" Target="https://www.youtube.com/watch?v=3LVeEjsn8Ts" TargetMode="External" Id="rId4547"/><Relationship Type="http://schemas.openxmlformats.org/officeDocument/2006/relationships/hyperlink" Target="https://scholar.google.com/scholar?q=Hennessy+%26+Patterson+A+New+Golden+Age+for+Computer+Architecture+CACM+62+2+%3A48+60+2019+Abts+et+al.+Think+Fast%3A+A+Tensor+Streaming+Processor+ISCA+2020" TargetMode="External" Id="rId4548"/><Relationship Type="http://schemas.openxmlformats.org/officeDocument/2006/relationships/hyperlink" Target="https://www.youtube.com/watch?v=ctwj53r07yI" TargetMode="External" Id="rId4549"/><Relationship Type="http://schemas.openxmlformats.org/officeDocument/2006/relationships/hyperlink" Target="https://scholar.google.com/scholar?q=Hennessy+%26+Patterson+A+New+Golden+Age+for+Computer+Architecture+CACM+62+2+%3A48+60+2019+Abts+et+al.+Think+Fast%3A+A+Tensor+Streaming+Processor+ISCA+2020" TargetMode="External" Id="rId4550"/><Relationship Type="http://schemas.openxmlformats.org/officeDocument/2006/relationships/hyperlink" Target="https://www.youtube.com/watch?v=bfPV4x-HrUI" TargetMode="External" Id="rId4551"/><Relationship Type="http://schemas.openxmlformats.org/officeDocument/2006/relationships/hyperlink" Target="https://scholar.google.com/scholar?q=Hennessy+%26+Patterson+A+New+Golden+Age+for+Computer+Architecture+CACM+62+2+%3A48+60+2019+Abts+et+al.+Think+Fast%3A+A+Tensor+Streaming+Processor+ISCA+2020" TargetMode="External" Id="rId4552"/><Relationship Type="http://schemas.openxmlformats.org/officeDocument/2006/relationships/hyperlink" Target="https://www.youtube.com/watch?v=FSwKCL8A9JQ" TargetMode="External" Id="rId4553"/><Relationship Type="http://schemas.openxmlformats.org/officeDocument/2006/relationships/hyperlink" Target="https://scholar.google.com/scholar?q=Hennessy+%26+Patterson+A+New+Golden+Age+for+Computer+Architecture+CACM+62+2+%3A48+60+2019+Abts+et+al.+Think+Fast%3A+A+Tensor+Streaming+Processor+ISCA+2020" TargetMode="External" Id="rId4554"/><Relationship Type="http://schemas.openxmlformats.org/officeDocument/2006/relationships/hyperlink" Target="https://www.youtube.com/watch?v=mJNln5LCLC8" TargetMode="External" Id="rId4555"/><Relationship Type="http://schemas.openxmlformats.org/officeDocument/2006/relationships/hyperlink" Target="https://scholar.google.com/scholar?q=Hennessy+%26+Patterson+A+New+Golden+Age+for+Computer+Architecture+CACM+62+2+%3A48+60+2019+Abts+et+al.+Think+Fast%3A+A+Tensor+Streaming+Processor+ISCA+2020" TargetMode="External" Id="rId4556"/><Relationship Type="http://schemas.openxmlformats.org/officeDocument/2006/relationships/hyperlink" Target="https://www.youtube.com/watch?v=8i1_Ru5siXc" TargetMode="External" Id="rId4557"/><Relationship Type="http://schemas.openxmlformats.org/officeDocument/2006/relationships/hyperlink" Target="https://scholar.google.com/scholar?q=Hennessy+%26+Patterson+A+New+Golden+Age+for+Computer+Architecture+CACM+62+2+%3A48+60+2019+Abts+et+al.+Think+Fast%3A+A+Tensor+Streaming+Processor+ISCA+2020" TargetMode="External" Id="rId4558"/><Relationship Type="http://schemas.openxmlformats.org/officeDocument/2006/relationships/hyperlink" Target="https://www.youtube.com/watch?v=x2-qB0J7KHw" TargetMode="External" Id="rId4559"/><Relationship Type="http://schemas.openxmlformats.org/officeDocument/2006/relationships/hyperlink" Target="https://scholar.google.com/scholar?q=Hennessy+%26+Patterson+A+New+Golden+Age+for+Computer+Architecture+CACM+62+2+%3A48+60+2019+Abts+et+al.+Think+Fast%3A+A+Tensor+Streaming+Processor+ISCA+2020" TargetMode="External" Id="rId4560"/><Relationship Type="http://schemas.openxmlformats.org/officeDocument/2006/relationships/hyperlink" Target="https://www.youtube.com/watch?v=rDefOnSq0Uk" TargetMode="External" Id="rId4561"/><Relationship Type="http://schemas.openxmlformats.org/officeDocument/2006/relationships/hyperlink" Target="https://scholar.google.com/scholar?q=Hennessy+%26+Patterson+A+New+Golden+Age+for+Computer+Architecture+CACM+62+2+%3A48+60+2019+Abts+et+al.+Think+Fast%3A+A+Tensor+Streaming+Processor+ISCA+2020" TargetMode="External" Id="rId4562"/><Relationship Type="http://schemas.openxmlformats.org/officeDocument/2006/relationships/hyperlink" Target="https://www.youtube.com/watch?v=47QR2Z5pTtA" TargetMode="External" Id="rId4563"/><Relationship Type="http://schemas.openxmlformats.org/officeDocument/2006/relationships/hyperlink" Target="https://scholar.google.com/scholar?q=Hennessy+%26+Patterson+A+New+Golden+Age+for+Computer+Architecture+CACM+62+2+%3A48+60+2019+Abts+et+al.+Think+Fast%3A+A+Tensor+Streaming+Processor+ISCA+2020" TargetMode="External" Id="rId4564"/><Relationship Type="http://schemas.openxmlformats.org/officeDocument/2006/relationships/hyperlink" Target="https://www.youtube.com/watch?v=7XtBZ4Hsi_M" TargetMode="External" Id="rId4565"/><Relationship Type="http://schemas.openxmlformats.org/officeDocument/2006/relationships/hyperlink" Target="https://scholar.google.com/scholar?q=Hennessy+%26+Patterson+A+New+Golden+Age+for+Computer+Architecture+CACM+62+2+%3A48+60+2019+Abts+et+al.+Think+Fast%3A+A+Tensor+Streaming+Processor+ISCA+2020" TargetMode="External" Id="rId4566"/><Relationship Type="http://schemas.openxmlformats.org/officeDocument/2006/relationships/hyperlink" Target="https://www.youtube.com/watch?v=TA4WHnuXCsc" TargetMode="External" Id="rId4567"/><Relationship Type="http://schemas.openxmlformats.org/officeDocument/2006/relationships/hyperlink" Target="https://scholar.google.com/scholar?q=Hennessy+%26+Patterson+A+New+Golden+Age+for+Computer+Architecture+CACM+62+2+%3A48+60+2019+Abts+et+al.+Think+Fast%3A+A+Tensor+Streaming+Processor+ISCA+2020" TargetMode="External" Id="rId4568"/><Relationship Type="http://schemas.openxmlformats.org/officeDocument/2006/relationships/hyperlink" Target="https://www.youtube.com/watch?v=UAugWwTNAV8" TargetMode="External" Id="rId4569"/><Relationship Type="http://schemas.openxmlformats.org/officeDocument/2006/relationships/hyperlink" Target="https://scholar.google.com/scholar?q=Hennessy+%26+Patterson+A+New+Golden+Age+for+Computer+Architecture+CACM+62+2+%3A48+60+2019+Abts+et+al.+Think+Fast%3A+A+Tensor+Streaming+Processor+ISCA+2020" TargetMode="External" Id="rId4570"/><Relationship Type="http://schemas.openxmlformats.org/officeDocument/2006/relationships/hyperlink" Target="https://www.youtube.com/watch?v=HtrR1HRZIGA" TargetMode="External" Id="rId4571"/><Relationship Type="http://schemas.openxmlformats.org/officeDocument/2006/relationships/hyperlink" Target="https://scholar.google.com/scholar?q=Hennessy+%26+Patterson+A+New+Golden+Age+for+Computer+Architecture+CACM+62+2+%3A48+60+2019+Abts+et+al.+Think+Fast%3A+A+Tensor+Streaming+Processor+ISCA+2020" TargetMode="External" Id="rId4572"/><Relationship Type="http://schemas.openxmlformats.org/officeDocument/2006/relationships/hyperlink" Target="https://www.youtube.com/watch?v=cy-9Jl666Aw" TargetMode="External" Id="rId4573"/><Relationship Type="http://schemas.openxmlformats.org/officeDocument/2006/relationships/hyperlink" Target="https://scholar.google.com/scholar?q=Hennessy+%26+Patterson+A+New+Golden+Age+for+Computer+Architecture+CACM+62+2+%3A48+60+2019+Abts+et+al.+Think+Fast%3A+A+Tensor+Streaming+Processor+ISCA+2020" TargetMode="External" Id="rId4574"/><Relationship Type="http://schemas.openxmlformats.org/officeDocument/2006/relationships/hyperlink" Target="https://www.youtube.com/watch?v=7mT7sBI-Iyg" TargetMode="External" Id="rId4575"/><Relationship Type="http://schemas.openxmlformats.org/officeDocument/2006/relationships/hyperlink" Target="https://scholar.google.com/scholar?q=Hennessy+%26+Patterson+A+New+Golden+Age+for+Computer+Architecture+CACM+62+2+%3A48+60+2019+Abts+et+al.+Think+Fast%3A+A+Tensor+Streaming+Processor+ISCA+2020" TargetMode="External" Id="rId4576"/><Relationship Type="http://schemas.openxmlformats.org/officeDocument/2006/relationships/hyperlink" Target="https://www.youtube.com/watch?v=PGqCeSjNuTY" TargetMode="External" Id="rId4577"/><Relationship Type="http://schemas.openxmlformats.org/officeDocument/2006/relationships/hyperlink" Target="https://doi.org/10.1145/1250662.1250664" TargetMode="External" Id="rId4578"/><Relationship Type="http://schemas.openxmlformats.org/officeDocument/2006/relationships/hyperlink" Target="https://www.youtube.com/watch?v=Ifrm_RhPhlc" TargetMode="External" Id="rId4579"/><Relationship Type="http://schemas.openxmlformats.org/officeDocument/2006/relationships/hyperlink" Target="https://doi.org/10.1145/1250662.1250664" TargetMode="External" Id="rId4580"/><Relationship Type="http://schemas.openxmlformats.org/officeDocument/2006/relationships/hyperlink" Target="https://www.youtube.com/watch?v=b8bxhyXf3fQ" TargetMode="External" Id="rId4581"/><Relationship Type="http://schemas.openxmlformats.org/officeDocument/2006/relationships/hyperlink" Target="https://doi.org/10.1145/1250662.1250664" TargetMode="External" Id="rId4582"/><Relationship Type="http://schemas.openxmlformats.org/officeDocument/2006/relationships/hyperlink" Target="https://www.youtube.com/watch?v=ceQ6Kqz8VoY" TargetMode="External" Id="rId4583"/><Relationship Type="http://schemas.openxmlformats.org/officeDocument/2006/relationships/hyperlink" Target="https://doi.org/10.1145/1250662.1250664" TargetMode="External" Id="rId4584"/><Relationship Type="http://schemas.openxmlformats.org/officeDocument/2006/relationships/hyperlink" Target="https://www.youtube.com/watch?v=OK1POuFOH2Y" TargetMode="External" Id="rId4585"/><Relationship Type="http://schemas.openxmlformats.org/officeDocument/2006/relationships/hyperlink" Target="https://doi.org/10.1145/1250662.1250664" TargetMode="External" Id="rId4586"/><Relationship Type="http://schemas.openxmlformats.org/officeDocument/2006/relationships/hyperlink" Target="https://www.youtube.com/watch?v=aIpc-v8W4nE" TargetMode="External" Id="rId4587"/><Relationship Type="http://schemas.openxmlformats.org/officeDocument/2006/relationships/hyperlink" Target="https://doi.org/10.1145/1250662.1250664" TargetMode="External" Id="rId4588"/><Relationship Type="http://schemas.openxmlformats.org/officeDocument/2006/relationships/hyperlink" Target="https://www.youtube.com/watch?v=XBIa4Cro6rY" TargetMode="External" Id="rId4589"/><Relationship Type="http://schemas.openxmlformats.org/officeDocument/2006/relationships/hyperlink" Target="https://doi.org/10.1145/1250662.1250664" TargetMode="External" Id="rId4590"/><Relationship Type="http://schemas.openxmlformats.org/officeDocument/2006/relationships/hyperlink" Target="https://www.youtube.com/watch?v=dHKHuwsrcC4" TargetMode="External" Id="rId4591"/><Relationship Type="http://schemas.openxmlformats.org/officeDocument/2006/relationships/hyperlink" Target="https://doi.org/10.1145/1250662.1250664" TargetMode="External" Id="rId4592"/><Relationship Type="http://schemas.openxmlformats.org/officeDocument/2006/relationships/hyperlink" Target="https://www.youtube.com/watch?v=CPh8jr3Y7io" TargetMode="External" Id="rId4593"/><Relationship Type="http://schemas.openxmlformats.org/officeDocument/2006/relationships/hyperlink" Target="https://doi.org/10.1145/1250662.1250664" TargetMode="External" Id="rId4594"/><Relationship Type="http://schemas.openxmlformats.org/officeDocument/2006/relationships/hyperlink" Target="https://www.youtube.com/watch?v=TD29I5nVKBY" TargetMode="External" Id="rId4595"/><Relationship Type="http://schemas.openxmlformats.org/officeDocument/2006/relationships/hyperlink" Target="https://doi.org/10.1145/1250662.1250664" TargetMode="External" Id="rId4596"/><Relationship Type="http://schemas.openxmlformats.org/officeDocument/2006/relationships/hyperlink" Target="https://www.youtube.com/watch?v=xX6qogICuVg" TargetMode="External" Id="rId4597"/><Relationship Type="http://schemas.openxmlformats.org/officeDocument/2006/relationships/hyperlink" Target="https://doi.org/10.1145/1250662.1250664" TargetMode="External" Id="rId4598"/><Relationship Type="http://schemas.openxmlformats.org/officeDocument/2006/relationships/hyperlink" Target="https://www.youtube.com/watch?v=2UvUP2hxMyI" TargetMode="External" Id="rId4599"/><Relationship Type="http://schemas.openxmlformats.org/officeDocument/2006/relationships/hyperlink" Target="https://doi.org/10.1145/1250662.1250664" TargetMode="External" Id="rId4600"/><Relationship Type="http://schemas.openxmlformats.org/officeDocument/2006/relationships/hyperlink" Target="https://www.youtube.com/watch?v=rEYgAH4XcDI" TargetMode="External" Id="rId4601"/><Relationship Type="http://schemas.openxmlformats.org/officeDocument/2006/relationships/hyperlink" Target="https://doi.org/10.1145/1250662.1250664" TargetMode="External" Id="rId4602"/><Relationship Type="http://schemas.openxmlformats.org/officeDocument/2006/relationships/hyperlink" Target="https://www.youtube.com/watch?v=Scm_-xiWc4g" TargetMode="External" Id="rId4603"/><Relationship Type="http://schemas.openxmlformats.org/officeDocument/2006/relationships/hyperlink" Target="https://doi.org/10.1145/1250662.1250664" TargetMode="External" Id="rId4604"/><Relationship Type="http://schemas.openxmlformats.org/officeDocument/2006/relationships/hyperlink" Target="https://www.youtube.com/watch?v=mPi2LHLQ9OQ" TargetMode="External" Id="rId4605"/><Relationship Type="http://schemas.openxmlformats.org/officeDocument/2006/relationships/hyperlink" Target="https://doi.org/10.1145/1250662.1250664" TargetMode="External" Id="rId4606"/><Relationship Type="http://schemas.openxmlformats.org/officeDocument/2006/relationships/hyperlink" Target="https://www.youtube.com/watch?v=pMT_eMvOfKY" TargetMode="External" Id="rId4607"/><Relationship Type="http://schemas.openxmlformats.org/officeDocument/2006/relationships/hyperlink" Target="https://doi.org/10.1145/1250662.1250664" TargetMode="External" Id="rId4608"/><Relationship Type="http://schemas.openxmlformats.org/officeDocument/2006/relationships/hyperlink" Target="https://www.youtube.com/watch?v=f4r7W0HDT-I" TargetMode="External" Id="rId4609"/><Relationship Type="http://schemas.openxmlformats.org/officeDocument/2006/relationships/hyperlink" Target="https://doi.org/10.1145/1250662.1250664" TargetMode="External" Id="rId4610"/><Relationship Type="http://schemas.openxmlformats.org/officeDocument/2006/relationships/hyperlink" Target="https://www.youtube.com/watch?v=9p7pRqise8I" TargetMode="External" Id="rId4611"/><Relationship Type="http://schemas.openxmlformats.org/officeDocument/2006/relationships/hyperlink" Target="https://doi.org/10.1145/1250662.1250664" TargetMode="External" Id="rId4612"/><Relationship Type="http://schemas.openxmlformats.org/officeDocument/2006/relationships/hyperlink" Target="https://www.youtube.com/watch?v=3OP-j8kdD1c" TargetMode="External" Id="rId4613"/><Relationship Type="http://schemas.openxmlformats.org/officeDocument/2006/relationships/hyperlink" Target="https://doi.org/10.1145/1250662.1250664" TargetMode="External" Id="rId4614"/><Relationship Type="http://schemas.openxmlformats.org/officeDocument/2006/relationships/hyperlink" Target="https://www.youtube.com/watch?v=bNTeob7KfiQ" TargetMode="External" Id="rId4615"/><Relationship Type="http://schemas.openxmlformats.org/officeDocument/2006/relationships/hyperlink" Target="https://doi.org/10.1145/1250662.1250664" TargetMode="External" Id="rId4616"/><Relationship Type="http://schemas.openxmlformats.org/officeDocument/2006/relationships/hyperlink" Target="https://www.youtube.com/watch?v=vo1qHEqLK4c" TargetMode="External" Id="rId4617"/><Relationship Type="http://schemas.openxmlformats.org/officeDocument/2006/relationships/hyperlink" Target="https://doi.org/10.1145/1250662.1250664" TargetMode="External" Id="rId4618"/><Relationship Type="http://schemas.openxmlformats.org/officeDocument/2006/relationships/hyperlink" Target="https://www.youtube.com/watch?v=DG7YVewW0Vc" TargetMode="External" Id="rId4619"/><Relationship Type="http://schemas.openxmlformats.org/officeDocument/2006/relationships/hyperlink" Target="https://doi.org/10.1145/1250662.1250664" TargetMode="External" Id="rId4620"/><Relationship Type="http://schemas.openxmlformats.org/officeDocument/2006/relationships/hyperlink" Target="https://www.youtube.com/watch?v=f2Ohpqb8GWw" TargetMode="External" Id="rId4621"/><Relationship Type="http://schemas.openxmlformats.org/officeDocument/2006/relationships/hyperlink" Target="https://scholar.google.com/scholar?q=P%C3%A1ll+%26+Hess+2013+Comput+Phys+Commun+184%3A2641+-+the+cluster+pair+algorithm+which+is+the+actual+reason+GROMACS+is+fast+and+which+has+no+talk+at+all" TargetMode="External" Id="rId4622"/><Relationship Type="http://schemas.openxmlformats.org/officeDocument/2006/relationships/hyperlink" Target="https://www.youtube.com/watch?v=rTUz28f8p6g" TargetMode="External" Id="rId4623"/><Relationship Type="http://schemas.openxmlformats.org/officeDocument/2006/relationships/hyperlink" Target="https://scholar.google.com/scholar?q=P%C3%A1ll+%26+Hess+2013+Comput+Phys+Commun+184%3A2641+-+the+cluster+pair+algorithm+which+is+the+actual+reason+GROMACS+is+fast+and+which+has+no+talk+at+all" TargetMode="External" Id="rId4624"/><Relationship Type="http://schemas.openxmlformats.org/officeDocument/2006/relationships/hyperlink" Target="https://www.youtube.com/watch?v=FypZty7245Y" TargetMode="External" Id="rId4625"/><Relationship Type="http://schemas.openxmlformats.org/officeDocument/2006/relationships/hyperlink" Target="https://scholar.google.com/scholar?q=P%C3%A1ll+%26+Hess+2013+Comput+Phys+Commun+184%3A2641+-+the+cluster+pair+algorithm+which+is+the+actual+reason+GROMACS+is+fast+and+which+has+no+talk+at+all" TargetMode="External" Id="rId4626"/><Relationship Type="http://schemas.openxmlformats.org/officeDocument/2006/relationships/hyperlink" Target="https://www.youtube.com/watch?v=RUqdzntAgMc" TargetMode="External" Id="rId4627"/><Relationship Type="http://schemas.openxmlformats.org/officeDocument/2006/relationships/hyperlink" Target="https://scholar.google.com/scholar?q=P%C3%A1ll+%26+Hess+2013+Comput+Phys+Commun+184%3A2641+-+the+cluster+pair+algorithm+which+is+the+actual+reason+GROMACS+is+fast+and+which+has+no+talk+at+all" TargetMode="External" Id="rId4628"/><Relationship Type="http://schemas.openxmlformats.org/officeDocument/2006/relationships/hyperlink" Target="https://www.youtube.com/watch?v=xrqOuZNNkfQ" TargetMode="External" Id="rId4629"/><Relationship Type="http://schemas.openxmlformats.org/officeDocument/2006/relationships/hyperlink" Target="https://scholar.google.com/scholar?q=P%C3%A1ll+%26+Hess+2013+Comput+Phys+Commun+184%3A2641+-+the+cluster+pair+algorithm+which+is+the+actual+reason+GROMACS+is+fast+and+which+has+no+talk+at+all" TargetMode="External" Id="rId4630"/><Relationship Type="http://schemas.openxmlformats.org/officeDocument/2006/relationships/hyperlink" Target="https://www.youtube.com/watch?v=_Fch4jzwL2U" TargetMode="External" Id="rId4631"/><Relationship Type="http://schemas.openxmlformats.org/officeDocument/2006/relationships/hyperlink" Target="https://scholar.google.com/scholar?q=P%C3%A1ll+et+al.+2020+J+Chem+Phys+153%3A134110+heterogeneous+parallelization+and+the+GPU-resident+path+P%C3%A1ll+et+al.+2015+EASC+LNCS+8759%3A3" TargetMode="External" Id="rId4632"/><Relationship Type="http://schemas.openxmlformats.org/officeDocument/2006/relationships/hyperlink" Target="https://www.youtube.com/watch?v=_SVr8j2VLuo" TargetMode="External" Id="rId4633"/><Relationship Type="http://schemas.openxmlformats.org/officeDocument/2006/relationships/hyperlink" Target="https://scholar.google.com/scholar?q=P%C3%A1ll+%26+Hess+2013+Comput+Phys+Commun+184%3A2641+-+the+cluster+pair+algorithm+which+is+the+actual+reason+GROMACS+is+fast+and+which+has+no+talk+at+all" TargetMode="External" Id="rId4634"/><Relationship Type="http://schemas.openxmlformats.org/officeDocument/2006/relationships/hyperlink" Target="https://www.youtube.com/watch?v=krRCKMfTEdA" TargetMode="External" Id="rId4635"/><Relationship Type="http://schemas.openxmlformats.org/officeDocument/2006/relationships/hyperlink" Target="https://scholar.google.com/scholar?q=P%C3%A1ll+et+al.+2020+J+Chem+Phys+153%3A134110+heterogeneous+parallelization+and+the+GPU-resident+path+P%C3%A1ll+et+al.+2015+EASC+LNCS+8759%3A3" TargetMode="External" Id="rId4636"/><Relationship Type="http://schemas.openxmlformats.org/officeDocument/2006/relationships/hyperlink" Target="https://www.youtube.com/watch?v=iaPZHzd1nzs" TargetMode="External" Id="rId4637"/><Relationship Type="http://schemas.openxmlformats.org/officeDocument/2006/relationships/hyperlink" Target="https://scholar.google.com/scholar?q=P%C3%A1ll+%26+Hess+2013+Comput+Phys+Commun+184%3A2641+-+the+cluster+pair+algorithm+which+is+the+actual+reason+GROMACS+is+fast+and+which+has+no+talk+at+all" TargetMode="External" Id="rId4638"/><Relationship Type="http://schemas.openxmlformats.org/officeDocument/2006/relationships/hyperlink" Target="https://www.youtube.com/watch?v=43gRI03rRWY" TargetMode="External" Id="rId4639"/><Relationship Type="http://schemas.openxmlformats.org/officeDocument/2006/relationships/hyperlink" Target="https://scholar.google.com/scholar?q=P%C3%A1ll+et+al.+2020+J+Chem+Phys+153%3A134110+heterogeneous+parallelization+and+the+GPU-resident+path+P%C3%A1ll+et+al.+2015+EASC+LNCS+8759%3A3" TargetMode="External" Id="rId4640"/><Relationship Type="http://schemas.openxmlformats.org/officeDocument/2006/relationships/hyperlink" Target="https://www.youtube.com/watch?v=Bp2ah2Y-xFk" TargetMode="External" Id="rId4641"/><Relationship Type="http://schemas.openxmlformats.org/officeDocument/2006/relationships/hyperlink" Target="https://scholar.google.com/scholar?q=P%C3%A1ll+%26+Hess+2013+Comput+Phys+Commun+184%3A2641+-+the+cluster+pair+algorithm+which+is+the+actual+reason+GROMACS+is+fast+and+which+has+no+talk+at+all" TargetMode="External" Id="rId4642"/><Relationship Type="http://schemas.openxmlformats.org/officeDocument/2006/relationships/hyperlink" Target="https://www.youtube.com/watch?v=LUnOuUdTSwA" TargetMode="External" Id="rId4643"/><Relationship Type="http://schemas.openxmlformats.org/officeDocument/2006/relationships/hyperlink" Target="https://scholar.google.com/scholar?q=P%C3%A1ll+%26+Hess+2013+Comput+Phys+Commun+184%3A2641+-+the+cluster+pair+algorithm+which+is+the+actual+reason+GROMACS+is+fast+and+which+has+no+talk+at+all" TargetMode="External" Id="rId4644"/><Relationship Type="http://schemas.openxmlformats.org/officeDocument/2006/relationships/hyperlink" Target="https://www.youtube.com/watch?v=z58twSvbLME" TargetMode="External" Id="rId4645"/><Relationship Type="http://schemas.openxmlformats.org/officeDocument/2006/relationships/hyperlink" Target="https://scholar.google.com/scholar?q=P%C3%A1ll+%26+Hess+2013+Comput+Phys+Commun+184%3A2641+-+the+cluster+pair+algorithm+which+is+the+actual+reason+GROMACS+is+fast+and+which+has+no+talk+at+all" TargetMode="External" Id="rId4646"/><Relationship Type="http://schemas.openxmlformats.org/officeDocument/2006/relationships/hyperlink" Target="https://www.youtube.com/watch?v=0JwSpuysCfc" TargetMode="External" Id="rId4647"/><Relationship Type="http://schemas.openxmlformats.org/officeDocument/2006/relationships/hyperlink" Target="https://scholar.google.com/scholar?q=P%C3%A1ll+et+al.+2020+J+Chem+Phys+153%3A134110+heterogeneous+parallelization+and+the+GPU-resident+path+P%C3%A1ll+et+al.+2015+EASC+LNCS+8759%3A3" TargetMode="External" Id="rId4648"/><Relationship Type="http://schemas.openxmlformats.org/officeDocument/2006/relationships/hyperlink" Target="https://www.youtube.com/watch?v=HRwQPC1U9uU" TargetMode="External" Id="rId4649"/><Relationship Type="http://schemas.openxmlformats.org/officeDocument/2006/relationships/hyperlink" Target="https://scholar.google.com/scholar?q=P%C3%A1ll+et+al.+2020+J+Chem+Phys+153%3A134110+heterogeneous+parallelization+and+the+GPU-resident+path+P%C3%A1ll+et+al.+2015+EASC+LNCS+8759%3A3" TargetMode="External" Id="rId4650"/><Relationship Type="http://schemas.openxmlformats.org/officeDocument/2006/relationships/hyperlink" Target="https://www.youtube.com/watch?v=--ldPeGFcGc" TargetMode="External" Id="rId4651"/><Relationship Type="http://schemas.openxmlformats.org/officeDocument/2006/relationships/hyperlink" Target="https://scholar.google.com/scholar?q=P%C3%A1ll+et+al.+2020+J+Chem+Phys+153%3A134110+heterogeneous+parallelization+and+the+GPU-resident+path+P%C3%A1ll+et+al.+2015+EASC+LNCS+8759%3A3" TargetMode="External" Id="rId4652"/><Relationship Type="http://schemas.openxmlformats.org/officeDocument/2006/relationships/hyperlink" Target="https://www.youtube.com/watch?v=Uf2IBTfpfms" TargetMode="External" Id="rId4653"/><Relationship Type="http://schemas.openxmlformats.org/officeDocument/2006/relationships/hyperlink" Target="https://scholar.google.com/scholar?q=P%C3%A1ll+et+al.+2020+J+Chem+Phys+153%3A134110+heterogeneous+parallelization+and+the+GPU-resident+path+P%C3%A1ll+et+al.+2015+EASC+LNCS+8759%3A3" TargetMode="External" Id="rId4654"/><Relationship Type="http://schemas.openxmlformats.org/officeDocument/2006/relationships/hyperlink" Target="https://www.youtube.com/watch?v=6r3_2LjCzPg" TargetMode="External" Id="rId4655"/><Relationship Type="http://schemas.openxmlformats.org/officeDocument/2006/relationships/hyperlink" Target="https://scholar.google.com/scholar?q=Eastman+et+al.+2017+PLoS+Comput+Biol+13%3Ae1005659" TargetMode="External" Id="rId4656"/><Relationship Type="http://schemas.openxmlformats.org/officeDocument/2006/relationships/hyperlink" Target="https://www.youtube.com/watch?v=VIDmDKvgglg" TargetMode="External" Id="rId4657"/><Relationship Type="http://schemas.openxmlformats.org/officeDocument/2006/relationships/hyperlink" Target="https://scholar.google.com/scholar?q=P%C3%A1ll+et+al.+2020+J+Chem+Phys+153%3A134110+heterogeneous+parallelization+and+the+GPU-resident+path+P%C3%A1ll+et+al.+2015+EASC+LNCS+8759%3A3" TargetMode="External" Id="rId4658"/><Relationship Type="http://schemas.openxmlformats.org/officeDocument/2006/relationships/hyperlink" Target="https://www.youtube.com/watch?v=diYrnpnDIME" TargetMode="External" Id="rId4659"/><Relationship Type="http://schemas.openxmlformats.org/officeDocument/2006/relationships/hyperlink" Target="https://scholar.google.com/scholar?q=P%C3%A1ll+et+al.+2020+J+Chem+Phys+153%3A134110+heterogeneous+parallelization+and+the+GPU-resident+path+P%C3%A1ll+et+al.+2015+EASC+LNCS+8759%3A3" TargetMode="External" Id="rId4660"/><Relationship Type="http://schemas.openxmlformats.org/officeDocument/2006/relationships/hyperlink" Target="https://www.youtube.com/watch?v=-hiCMAtX0Hc" TargetMode="External" Id="rId4661"/><Relationship Type="http://schemas.openxmlformats.org/officeDocument/2006/relationships/hyperlink" Target="https://scholar.google.com/scholar?q=P%C3%A1ll+et+al.+2020+J+Chem+Phys+153%3A134110+heterogeneous+parallelization+and+the+GPU-resident+path+P%C3%A1ll+et+al.+2015+EASC+LNCS+8759%3A3" TargetMode="External" Id="rId4662"/><Relationship Type="http://schemas.openxmlformats.org/officeDocument/2006/relationships/hyperlink" Target="https://www.youtube.com/watch?v=pv1zwx1cN7k" TargetMode="External" Id="rId4663"/><Relationship Type="http://schemas.openxmlformats.org/officeDocument/2006/relationships/hyperlink" Target="https://scholar.google.com/scholar?q=P%C3%A1ll+et+al.+2020+J+Chem+Phys+153%3A134110+heterogeneous+parallelization+and+the+GPU-resident+path+P%C3%A1ll+et+al.+2015+EASC+LNCS+8759%3A3" TargetMode="External" Id="rId4664"/><Relationship Type="http://schemas.openxmlformats.org/officeDocument/2006/relationships/hyperlink" Target="https://www.youtube.com/watch?v=TIMHJWmKv4k" TargetMode="External" Id="rId4665"/><Relationship Type="http://schemas.openxmlformats.org/officeDocument/2006/relationships/hyperlink" Target="https://scholar.google.com/scholar?q=P%C3%A1ll+et+al.+2020+J+Chem+Phys+153%3A134110+heterogeneous+parallelization+and+the+GPU-resident+path+P%C3%A1ll+et+al.+2015+EASC+LNCS+8759%3A3" TargetMode="External" Id="rId4666"/><Relationship Type="http://schemas.openxmlformats.org/officeDocument/2006/relationships/hyperlink" Target="https://www.youtube.com/watch?v=PP-YHMXa8jU" TargetMode="External" Id="rId4667"/><Relationship Type="http://schemas.openxmlformats.org/officeDocument/2006/relationships/hyperlink" Target="https://scholar.google.com/scholar?q=P%C3%A1ll+et+al.+2020+J+Chem+Phys+153%3A134110+heterogeneous+parallelization+and+the+GPU-resident+path+P%C3%A1ll+et+al.+2015+EASC+LNCS+8759%3A3" TargetMode="External" Id="rId4668"/><Relationship Type="http://schemas.openxmlformats.org/officeDocument/2006/relationships/hyperlink" Target="https://www.youtube.com/watch?v=IIoEORrDKPE" TargetMode="External" Id="rId4669"/><Relationship Type="http://schemas.openxmlformats.org/officeDocument/2006/relationships/hyperlink" Target="https://scholar.google.com/scholar?q=P%C3%A1ll+et+al.+2020+J+Chem+Phys+153%3A134110+heterogeneous+parallelization+and+the+GPU-resident+path+P%C3%A1ll+et+al.+2015+EASC+LNCS+8759%3A3" TargetMode="External" Id="rId4670"/><Relationship Type="http://schemas.openxmlformats.org/officeDocument/2006/relationships/hyperlink" Target="https://www.youtube.com/watch?v=4I6p63JUz_U" TargetMode="External" Id="rId4671"/><Relationship Type="http://schemas.openxmlformats.org/officeDocument/2006/relationships/hyperlink" Target="https://scholar.google.com/scholar?q=P%C3%A1ll+et+al.+2020+J+Chem+Phys+153%3A134110+heterogeneous+parallelization+and+the+GPU-resident+path+P%C3%A1ll+et+al.+2015+EASC+LNCS+8759%3A3" TargetMode="External" Id="rId4672"/><Relationship Type="http://schemas.openxmlformats.org/officeDocument/2006/relationships/hyperlink" Target="https://www.youtube.com/watch?v=6KdaIHsNIhk" TargetMode="External" Id="rId4673"/><Relationship Type="http://schemas.openxmlformats.org/officeDocument/2006/relationships/hyperlink" Target="https://scholar.google.com/scholar?q=P%C3%A1ll+et+al.+2020+J+Chem+Phys+153%3A134110+heterogeneous+parallelization+and+the+GPU-resident+path+P%C3%A1ll+et+al.+2015+EASC+LNCS+8759%3A3" TargetMode="External" Id="rId4674"/><Relationship Type="http://schemas.openxmlformats.org/officeDocument/2006/relationships/hyperlink" Target="https://www.youtube.com/watch?v=jJTQ8-vjEb0" TargetMode="External" Id="rId4675"/><Relationship Type="http://schemas.openxmlformats.org/officeDocument/2006/relationships/hyperlink" Target="https://scholar.google.com/scholar?q=P%C3%A1ll+et+al.+2020+J+Chem+Phys+153%3A134110+heterogeneous+parallelization+and+the+GPU-resident+path+P%C3%A1ll+et+al.+2015+EASC+LNCS+8759%3A3" TargetMode="External" Id="rId4676"/><Relationship Type="http://schemas.openxmlformats.org/officeDocument/2006/relationships/hyperlink" Target="https://www.youtube.com/watch?v=U-CXwJd2Q0Q" TargetMode="External" Id="rId4677"/><Relationship Type="http://schemas.openxmlformats.org/officeDocument/2006/relationships/hyperlink" Target="https://scholar.google.com/scholar?q=P%C3%A1ll+et+al.+2020+J+Chem+Phys+153%3A134110+heterogeneous+parallelization+and+the+GPU-resident+path+P%C3%A1ll+et+al.+2015+EASC+LNCS+8759%3A3" TargetMode="External" Id="rId4678"/><Relationship Type="http://schemas.openxmlformats.org/officeDocument/2006/relationships/hyperlink" Target="https://www.youtube.com/watch?v=HCushKe2hXs" TargetMode="External" Id="rId4679"/><Relationship Type="http://schemas.openxmlformats.org/officeDocument/2006/relationships/hyperlink" Target="https://scholar.google.com/scholar?q=P%C3%A1ll+et+al.+2020+J+Chem+Phys+153%3A134110+heterogeneous+parallelization+and+the+GPU-resident+path+P%C3%A1ll+et+al.+2015+EASC+LNCS+8759%3A3" TargetMode="External" Id="rId4680"/><Relationship Type="http://schemas.openxmlformats.org/officeDocument/2006/relationships/hyperlink" Target="https://www.youtube.com/watch?v=AWrEZvXN8cE" TargetMode="External" Id="rId4681"/><Relationship Type="http://schemas.openxmlformats.org/officeDocument/2006/relationships/hyperlink" Target="https://scholar.google.com/scholar?q=Essmann+et+al.+1995+JCP+103%3A8577+smooth+PME+Hess+et+al.+1997+J+Comput+Chem+18%3A1463+LINCS+and+Hess+2008+JCTC+4%3A116+P-LINCS" TargetMode="External" Id="rId4682"/><Relationship Type="http://schemas.openxmlformats.org/officeDocument/2006/relationships/hyperlink" Target="https://www.youtube.com/watch?v=QS3IdoOZVWc" TargetMode="External" Id="rId4683"/><Relationship Type="http://schemas.openxmlformats.org/officeDocument/2006/relationships/hyperlink" Target="https://scholar.google.com/scholar?q=Essmann+et+al.+1995+JCP+103%3A8577+smooth+PME+Hess+et+al.+1997+J+Comput+Chem+18%3A1463+LINCS+and+Hess+2008+JCTC+4%3A116+P-LINCS" TargetMode="External" Id="rId4684"/><Relationship Type="http://schemas.openxmlformats.org/officeDocument/2006/relationships/hyperlink" Target="https://www.youtube.com/watch?v=BJKwBnpq21s" TargetMode="External" Id="rId4685"/><Relationship Type="http://schemas.openxmlformats.org/officeDocument/2006/relationships/hyperlink" Target="https://scholar.google.com/scholar?q=Essmann+et+al.+1995+JCP+103%3A8577+smooth+PME" TargetMode="External" Id="rId4686"/><Relationship Type="http://schemas.openxmlformats.org/officeDocument/2006/relationships/hyperlink" Target="https://www.youtube.com/watch?v=8AW47mnIoWs" TargetMode="External" Id="rId4687"/><Relationship Type="http://schemas.openxmlformats.org/officeDocument/2006/relationships/hyperlink" Target="https://scholar.google.com/scholar?q=Essmann+et+al.+1995+JCP+103%3A8577+smooth+PME" TargetMode="External" Id="rId4688"/><Relationship Type="http://schemas.openxmlformats.org/officeDocument/2006/relationships/hyperlink" Target="https://www.youtube.com/watch?v=SSmIMof0KvA" TargetMode="External" Id="rId4689"/><Relationship Type="http://schemas.openxmlformats.org/officeDocument/2006/relationships/hyperlink" Target="https://scholar.google.com/scholar?q=Essmann+et+al.+1995+JCP+103%3A8577+smooth+PME" TargetMode="External" Id="rId4690"/><Relationship Type="http://schemas.openxmlformats.org/officeDocument/2006/relationships/hyperlink" Target="https://www.youtube.com/watch?v=IGVgpicqQkM" TargetMode="External" Id="rId4691"/><Relationship Type="http://schemas.openxmlformats.org/officeDocument/2006/relationships/hyperlink" Target="https://scholar.google.com/scholar?q=Essmann+et+al.+1995+JCP+103%3A8577+smooth+PME" TargetMode="External" Id="rId4692"/><Relationship Type="http://schemas.openxmlformats.org/officeDocument/2006/relationships/hyperlink" Target="https://www.youtube.com/watch?v=N2Lf-U8aIgM" TargetMode="External" Id="rId4693"/><Relationship Type="http://schemas.openxmlformats.org/officeDocument/2006/relationships/hyperlink" Target="https://scholar.google.com/scholar?q=Hess+et+al.+1997+J+Comput+Chem+18%3A1463+LINCS+and+Hess+2008+JCTC+4%3A116+P-LINCS" TargetMode="External" Id="rId4694"/><Relationship Type="http://schemas.openxmlformats.org/officeDocument/2006/relationships/hyperlink" Target="https://www.youtube.com/watch?v=kLFv33vCajc" TargetMode="External" Id="rId4695"/><Relationship Type="http://schemas.openxmlformats.org/officeDocument/2006/relationships/hyperlink" Target="https://scholar.google.com/scholar?q=Essmann+et+al.+1995+JCP+103%3A8577+smooth+PME+Hess+et+al.+1997+J+Comput+Chem+18%3A1463+LINCS+and+Hess+2008+JCTC+4%3A116+P-LINCS" TargetMode="External" Id="rId4696"/><Relationship Type="http://schemas.openxmlformats.org/officeDocument/2006/relationships/hyperlink" Target="https://www.youtube.com/watch?v=jfSZOHa-B3U" TargetMode="External" Id="rId4697"/><Relationship Type="http://schemas.openxmlformats.org/officeDocument/2006/relationships/hyperlink" Target="https://scholar.google.com/scholar?q=Essmann+et+al.+1995+JCP+103%3A8577+smooth+PME+Hess+et+al.+1997+J+Comput+Chem+18%3A1463+LINCS+and+Hess+2008+JCTC+4%3A116+P-LINCS" TargetMode="External" Id="rId4698"/><Relationship Type="http://schemas.openxmlformats.org/officeDocument/2006/relationships/hyperlink" Target="https://www.youtube.com/watch?v=J18ecB-LuJI" TargetMode="External" Id="rId4699"/><Relationship Type="http://schemas.openxmlformats.org/officeDocument/2006/relationships/hyperlink" Target="https://scholar.google.com/scholar?q=Essmann+et+al.+1995+JCP+103%3A8577+smooth+PME+Hess+et+al.+1997+J+Comput+Chem+18%3A1463+LINCS+and+Hess+2008+JCTC+4%3A116+P-LINCS" TargetMode="External" Id="rId4700"/><Relationship Type="http://schemas.openxmlformats.org/officeDocument/2006/relationships/hyperlink" Target="https://www.youtube.com/watch?v=1Txkbx-AcR0" TargetMode="External" Id="rId4701"/><Relationship Type="http://schemas.openxmlformats.org/officeDocument/2006/relationships/hyperlink" Target="https://scholar.google.com/scholar?q=Wulf+%26+McKee+1995+SIGARCH+Comput+Archit+News+23+1+%3A20+Hitting+the+Memory+Wall+Williams+Waterman+%26+Patterson+2009+CACM+52+4+%3A65+Roofline" TargetMode="External" Id="rId4702"/><Relationship Type="http://schemas.openxmlformats.org/officeDocument/2006/relationships/hyperlink" Target="https://www.youtube.com/watch?v=o_MLhGkaGq4" TargetMode="External" Id="rId4703"/><Relationship Type="http://schemas.openxmlformats.org/officeDocument/2006/relationships/hyperlink" Target="https://scholar.google.com/scholar?q=Wulf+%26+McKee+1995+SIGARCH+Comput+Archit+News+23+1+%3A20+Hitting+the+Memory+Wall+Williams+Waterman+%26+Patterson+2009+CACM+52+4+%3A65+Roofline" TargetMode="External" Id="rId4704"/><Relationship Type="http://schemas.openxmlformats.org/officeDocument/2006/relationships/hyperlink" Target="https://www.youtube.com/watch?v=3vuano-RhEc" TargetMode="External" Id="rId4705"/><Relationship Type="http://schemas.openxmlformats.org/officeDocument/2006/relationships/hyperlink" Target="https://scholar.google.com/scholar?q=Wulf+%26+McKee+1995+SIGARCH+Comput+Archit+News+23+1+%3A20+Hitting+the+Memory+Wall+Williams+Waterman+%26+Patterson+2009+CACM+52+4+%3A65+Roofline" TargetMode="External" Id="rId4706"/><Relationship Type="http://schemas.openxmlformats.org/officeDocument/2006/relationships/hyperlink" Target="https://www.youtube.com/watch?v=SCIYgBIm6LM" TargetMode="External" Id="rId4707"/><Relationship Type="http://schemas.openxmlformats.org/officeDocument/2006/relationships/hyperlink" Target="https://scholar.google.com/scholar?q=Wulf+%26+McKee+1995+SIGARCH+Comput+Archit+News+23+1+%3A20+Hitting+the+Memory+Wall+Williams+Waterman+%26+Patterson+2009+CACM+52+4+%3A65+Roofline" TargetMode="External" Id="rId4708"/><Relationship Type="http://schemas.openxmlformats.org/officeDocument/2006/relationships/hyperlink" Target="https://www.youtube.com/watch?v=ryC-L3qF33k" TargetMode="External" Id="rId4709"/><Relationship Type="http://schemas.openxmlformats.org/officeDocument/2006/relationships/hyperlink" Target="https://scholar.google.com/scholar?q=Wulf+%26+McKee+1995+SIGARCH+Comput+Archit+News+23+1+%3A20+Hitting+the+Memory+Wall+Williams+Waterman+%26+Patterson+2009+CACM+52+4+%3A65+Roofline" TargetMode="External" Id="rId4710"/><Relationship Type="http://schemas.openxmlformats.org/officeDocument/2006/relationships/hyperlink" Target="https://www.youtube.com/watch?v=nNCDgAU76D0" TargetMode="External" Id="rId4711"/><Relationship Type="http://schemas.openxmlformats.org/officeDocument/2006/relationships/hyperlink" Target="https://scholar.google.com/scholar?q=Wulf+%26+McKee+1995+SIGARCH+Comput+Archit+News+23+1+%3A20+Hitting+the+Memory+Wall+Williams+Waterman+%26+Patterson+2009+CACM+52+4+%3A65+Roofline" TargetMode="External" Id="rId4712"/><Relationship Type="http://schemas.openxmlformats.org/officeDocument/2006/relationships/hyperlink" Target="https://www.youtube.com/watch?v=OHijtcMGm9I" TargetMode="External" Id="rId4713"/><Relationship Type="http://schemas.openxmlformats.org/officeDocument/2006/relationships/hyperlink" Target="https://scholar.google.com/scholar?q=Wulf+%26+McKee+1995+SIGARCH+Comput+Archit+News+23+1+%3A20+Hitting+the+Memory+Wall+Williams+Waterman+%26+Patterson+2009+CACM+52+4+%3A65+Roofline" TargetMode="External" Id="rId4714"/><Relationship Type="http://schemas.openxmlformats.org/officeDocument/2006/relationships/hyperlink" Target="https://www.youtube.com/watch?v=jkwD48mGOwQ" TargetMode="External" Id="rId4715"/><Relationship Type="http://schemas.openxmlformats.org/officeDocument/2006/relationships/hyperlink" Target="https://scholar.google.com/scholar?q=Wulf+%26+McKee+1995+SIGARCH+Comput+Archit+News+23+1+%3A20+Hitting+the+Memory+Wall+Williams+Waterman+%26+Patterson+2009+CACM+52+4+%3A65+Roofline" TargetMode="External" Id="rId4716"/><Relationship Type="http://schemas.openxmlformats.org/officeDocument/2006/relationships/hyperlink" Target="https://www.youtube.com/watch?v=YinsPbgr_mM" TargetMode="External" Id="rId4717"/><Relationship Type="http://schemas.openxmlformats.org/officeDocument/2006/relationships/hyperlink" Target="https://scholar.google.com/scholar?q=Wulf+%26+McKee+1995+SIGARCH+Comput+Archit+News+23+1+%3A20+Hitting+the+Memory+Wall+Williams+Waterman+%26+Patterson+2009+CACM+52+4+%3A65+Roofline" TargetMode="External" Id="rId4718"/><Relationship Type="http://schemas.openxmlformats.org/officeDocument/2006/relationships/hyperlink" Target="https://www.youtube.com/watch?v=vJJaYIWtyTs" TargetMode="External" Id="rId4719"/><Relationship Type="http://schemas.openxmlformats.org/officeDocument/2006/relationships/hyperlink" Target="https://scholar.google.com/scholar?q=Wulf+%26+McKee+1995+SIGARCH+Comput+Archit+News+23+1+%3A20+Hitting+the+Memory+Wall+Williams+Waterman+%26+Patterson+2009+CACM+52+4+%3A65+Roofline" TargetMode="External" Id="rId4720"/><Relationship Type="http://schemas.openxmlformats.org/officeDocument/2006/relationships/hyperlink" Target="https://www.youtube.com/watch?v=8MsRlPnh0HU" TargetMode="External" Id="rId4721"/><Relationship Type="http://schemas.openxmlformats.org/officeDocument/2006/relationships/hyperlink" Target="https://scholar.google.com/scholar?q=Wulf+%26+McKee+1995+SIGARCH+Comput+Archit+News+23+1+%3A20+Hitting+the+Memory+Wall+Williams+Waterman+%26+Patterson+2009+CACM+52+4+%3A65+Roofline" TargetMode="External" Id="rId4722"/><Relationship Type="http://schemas.openxmlformats.org/officeDocument/2006/relationships/hyperlink" Target="https://www.youtube.com/watch?v=xsAg-KOLYmM" TargetMode="External" Id="rId4723"/><Relationship Type="http://schemas.openxmlformats.org/officeDocument/2006/relationships/hyperlink" Target="https://scholar.google.com/scholar?q=Wulf+%26+McKee+1995+SIGARCH+Comput+Archit+News+23+1+%3A20+Hitting+the+Memory+Wall+Williams+Waterman+%26+Patterson+2009+CACM+52+4+%3A65+Roofline" TargetMode="External" Id="rId4724"/><Relationship Type="http://schemas.openxmlformats.org/officeDocument/2006/relationships/hyperlink" Target="https://www.youtube.com/watch?v=PSJKNQaqwB0" TargetMode="External" Id="rId4725"/><Relationship Type="http://schemas.openxmlformats.org/officeDocument/2006/relationships/hyperlink" Target="https://scholar.google.com/scholar?q=Wulf+%26+McKee+1995+SIGARCH+Comput+Archit+News+23+1+%3A20+Hitting+the+Memory+Wall+Williams+Waterman+%26+Patterson+2009+CACM+52+4+%3A65+Roofline" TargetMode="External" Id="rId4726"/><Relationship Type="http://schemas.openxmlformats.org/officeDocument/2006/relationships/hyperlink" Target="https://www.youtube.com/watch?v=4_smHyqgDTU" TargetMode="External" Id="rId4727"/><Relationship Type="http://schemas.openxmlformats.org/officeDocument/2006/relationships/hyperlink" Target="https://scholar.google.com/scholar?q=Wulf+%26+McKee+1995+SIGARCH+Comput+Archit+News+23+1+%3A20+Hitting+the+Memory+Wall+Williams+Waterman+%26+Patterson+2009+CACM+52+4+%3A65+Roofline" TargetMode="External" Id="rId4728"/><Relationship Type="http://schemas.openxmlformats.org/officeDocument/2006/relationships/hyperlink" Target="https://www.youtube.com/watch?v=-HNpim5x-IE" TargetMode="External" Id="rId4729"/><Relationship Type="http://schemas.openxmlformats.org/officeDocument/2006/relationships/hyperlink" Target="https://scholar.google.com/scholar?q=Wulf+%26+McKee+1995+SIGARCH+Comput+Archit+News+23+1+%3A20+Hitting+the+Memory+Wall+Williams+Waterman+%26+Patterson+2009+CACM+52+4+%3A65+Roofline" TargetMode="External" Id="rId4730"/><Relationship Type="http://schemas.openxmlformats.org/officeDocument/2006/relationships/hyperlink" Target="https://www.youtube.com/watch?v=E42g-_hD8GI" TargetMode="External" Id="rId4731"/><Relationship Type="http://schemas.openxmlformats.org/officeDocument/2006/relationships/hyperlink" Target="https://scholar.google.com/scholar?q=Wulf+%26+McKee+1995+SIGARCH+Comput+Archit+News+23+1+%3A20+Hitting+the+Memory+Wall+Williams+Waterman+%26+Patterson+2009+CACM+52+4+%3A65+Roofline" TargetMode="External" Id="rId4732"/><Relationship Type="http://schemas.openxmlformats.org/officeDocument/2006/relationships/hyperlink" Target="https://www.youtube.com/watch?v=1MxB4PT8wgE" TargetMode="External" Id="rId4733"/><Relationship Type="http://schemas.openxmlformats.org/officeDocument/2006/relationships/hyperlink" Target="https://scholar.google.com/scholar?q=Wulf+%26+McKee+1995+SIGARCH+Comput+Archit+News+23+1+%3A20+Hitting+the+Memory+Wall+Williams+Waterman+%26+Patterson+2009+CACM+52+4+%3A65+Roofline" TargetMode="External" Id="rId4734"/><Relationship Type="http://schemas.openxmlformats.org/officeDocument/2006/relationships/hyperlink" Target="https://www.youtube.com/watch?v=IckwwgP8N1s" TargetMode="External" Id="rId4735"/><Relationship Type="http://schemas.openxmlformats.org/officeDocument/2006/relationships/hyperlink" Target="https://scholar.google.com/scholar?q=Wulf+%26+McKee+1995+SIGARCH+Comput+Archit+News+23+1+%3A20+Hitting+the+Memory+Wall+Williams+Waterman+%26+Patterson+2009+CACM+52+4+%3A65+Roofline" TargetMode="External" Id="rId4736"/><Relationship Type="http://schemas.openxmlformats.org/officeDocument/2006/relationships/hyperlink" Target="https://www.youtube.com/watch?v=lCNawhPRGD4" TargetMode="External" Id="rId4737"/><Relationship Type="http://schemas.openxmlformats.org/officeDocument/2006/relationships/hyperlink" Target="https://scholar.google.com/scholar?q=Wulf+%26+McKee+1995+SIGARCH+Comput+Archit+News+23+1+%3A20+Hitting+the+Memory+Wall+Williams+Waterman+%26+Patterson+2009+CACM+52+4+%3A65+Roofline" TargetMode="External" Id="rId4738"/><Relationship Type="http://schemas.openxmlformats.org/officeDocument/2006/relationships/hyperlink" Target="https://www.youtube.com/watch?v=9ZnwfPvAlHM" TargetMode="External" Id="rId4739"/><Relationship Type="http://schemas.openxmlformats.org/officeDocument/2006/relationships/hyperlink" Target="https://scholar.google.com/scholar?q=Wulf+%26+McKee+1995+SIGARCH+Comput+Archit+News+23+1+%3A20+Hitting+the+Memory+Wall+Williams+Waterman+%26+Patterson+2009+CACM+52+4+%3A65+Roofline" TargetMode="External" Id="rId4740"/><Relationship Type="http://schemas.openxmlformats.org/officeDocument/2006/relationships/hyperlink" Target="https://www.youtube.com/watch?v=L1ung0wil9Y" TargetMode="External" Id="rId4741"/><Relationship Type="http://schemas.openxmlformats.org/officeDocument/2006/relationships/hyperlink" Target="https://scholar.google.com/scholar?q=Wulf+%26+McKee+1995+SIGARCH+Comput+Archit+News+23+1+%3A20+Hitting+the+Memory+Wall+Williams+Waterman+%26+Patterson+2009+CACM+52+4+%3A65+Roofline" TargetMode="External" Id="rId4742"/><Relationship Type="http://schemas.openxmlformats.org/officeDocument/2006/relationships/hyperlink" Target="https://www.youtube.com/watch?v=wt7a5BOztuM" TargetMode="External" Id="rId4743"/><Relationship Type="http://schemas.openxmlformats.org/officeDocument/2006/relationships/hyperlink" Target="https://scholar.google.com/scholar?q=Wulf+%26+McKee+1995+SIGARCH+Comput+Archit+News+23+1+%3A20+Hitting+the+Memory+Wall+Williams+Waterman+%26+Patterson+2009+CACM+52+4+%3A65+Roofline" TargetMode="External" Id="rId4744"/><Relationship Type="http://schemas.openxmlformats.org/officeDocument/2006/relationships/hyperlink" Target="https://www.youtube.com/watch?v=5sZo3SrLrGA" TargetMode="External" Id="rId4745"/><Relationship Type="http://schemas.openxmlformats.org/officeDocument/2006/relationships/hyperlink" Target="https://scholar.google.com/scholar?q=Wulf+%26+McKee+1995+SIGARCH+Comput+Archit+News+23+1+%3A20+Hitting+the+Memory+Wall+Williams+Waterman+%26+Patterson+2009+CACM+52+4+%3A65+Roofline" TargetMode="External" Id="rId4746"/><Relationship Type="http://schemas.openxmlformats.org/officeDocument/2006/relationships/hyperlink" Target="https://www.youtube.com/watch?v=SS5KfIFzfEE" TargetMode="External" Id="rId4747"/><Relationship Type="http://schemas.openxmlformats.org/officeDocument/2006/relationships/hyperlink" Target="https://scholar.google.com/scholar?q=Wulf+%26+McKee+1995+SIGARCH+Comput+Archit+News+23+1+%3A20+Hitting+the+Memory+Wall+Williams+Waterman+%26+Patterson+2009+CACM+52+4+%3A65+Roofline" TargetMode="External" Id="rId4748"/><Relationship Type="http://schemas.openxmlformats.org/officeDocument/2006/relationships/hyperlink" Target="https://www.youtube.com/watch?v=y1n0IJZiPuw" TargetMode="External" Id="rId4749"/><Relationship Type="http://schemas.openxmlformats.org/officeDocument/2006/relationships/hyperlink" Target="https://scholar.google.com/scholar?q=Wulf+%26+McKee+1995+SIGARCH+Comput+Archit+News+23+1+%3A20+Hitting+the+Memory+Wall+Williams+Waterman+%26+Patterson+2009+CACM+52+4+%3A65+Roofline" TargetMode="External" Id="rId4750"/><Relationship Type="http://schemas.openxmlformats.org/officeDocument/2006/relationships/hyperlink" Target="https://www.youtube.com/watch?v=eb3dXivyTzE" TargetMode="External" Id="rId4751"/><Relationship Type="http://schemas.openxmlformats.org/officeDocument/2006/relationships/hyperlink" Target="https://scholar.google.com/scholar?q=Wulf+%26+McKee+1995+SIGARCH+Comput+Archit+News+23+1+%3A20+Hitting+the+Memory+Wall+Williams+Waterman+%26+Patterson+2009+CACM+52+4+%3A65+Roofline" TargetMode="External" Id="rId4752"/><Relationship Type="http://schemas.openxmlformats.org/officeDocument/2006/relationships/hyperlink" Target="https://www.youtube.com/watch?v=jNGGKFkt4lA" TargetMode="External" Id="rId4753"/><Relationship Type="http://schemas.openxmlformats.org/officeDocument/2006/relationships/hyperlink" Target="https://scholar.google.com/scholar?q=Wulf+%26+McKee+1995+SIGARCH+Comput+Archit+News+23+1+%3A20+Hitting+the+Memory+Wall+Williams+Waterman+%26+Patterson+2009+CACM+52+4+%3A65+Roofline" TargetMode="External" Id="rId4754"/><Relationship Type="http://schemas.openxmlformats.org/officeDocument/2006/relationships/hyperlink" Target="https://www.youtube.com/watch?v=y3HHBl4kV7g" TargetMode="External" Id="rId4755"/><Relationship Type="http://schemas.openxmlformats.org/officeDocument/2006/relationships/hyperlink" Target="https://scholar.google.com/scholar?q=Wulf+%26+McKee+1995+SIGARCH+Comput+Archit+News+23+1+%3A20+Hitting+the+Memory+Wall+Williams+Waterman+%26+Patterson+2009+CACM+52+4+%3A65+Roofline" TargetMode="External" Id="rId4756"/><Relationship Type="http://schemas.openxmlformats.org/officeDocument/2006/relationships/hyperlink" Target="https://www.youtube.com/watch?v=6Ts6k2Nas5w" TargetMode="External" Id="rId4757"/><Relationship Type="http://schemas.openxmlformats.org/officeDocument/2006/relationships/hyperlink" Target="https://scholar.google.com/scholar?q=Wulf+%26+McKee+1995+SIGARCH+Comput+Archit+News+23+1+%3A20+Hitting+the+Memory+Wall+Williams+Waterman+%26+Patterson+2009+CACM+52+4+%3A65+Roofline" TargetMode="External" Id="rId4758"/><Relationship Type="http://schemas.openxmlformats.org/officeDocument/2006/relationships/hyperlink" Target="https://www.youtube.com/watch?v=EsdZlKvgRQk" TargetMode="External" Id="rId4759"/><Relationship Type="http://schemas.openxmlformats.org/officeDocument/2006/relationships/hyperlink" Target="https://scholar.google.com/scholar?q=Wulf+%26+McKee+1995+SIGARCH+Comput+Archit+News+23+1+%3A20+Hitting+the+Memory+Wall+Williams+Waterman+%26+Patterson+2009+CACM+52+4+%3A65+Roofline" TargetMode="External" Id="rId4760"/><Relationship Type="http://schemas.openxmlformats.org/officeDocument/2006/relationships/hyperlink" Target="https://www.youtube.com/watch?v=Q6Ksu_uX3bc" TargetMode="External" Id="rId4761"/><Relationship Type="http://schemas.openxmlformats.org/officeDocument/2006/relationships/hyperlink" Target="https://scholar.google.com/scholar?q=Wulf+%26+McKee+1995+SIGARCH+Comput+Archit+News+23+1+%3A20+Hitting+the+Memory+Wall+Williams+Waterman+%26+Patterson+2009+CACM+52+4+%3A65+Roofline" TargetMode="External" Id="rId4762"/><Relationship Type="http://schemas.openxmlformats.org/officeDocument/2006/relationships/hyperlink" Target="https://www.youtube.com/watch?v=AeaUfpybJfg" TargetMode="External" Id="rId4763"/><Relationship Type="http://schemas.openxmlformats.org/officeDocument/2006/relationships/hyperlink" Target="https://scholar.google.com/scholar?q=Wulf+%26+McKee+1995+SIGARCH+Comput+Archit+News+23+1+%3A20+Hitting+the+Memory+Wall+Williams+Waterman+%26+Patterson+2009+CACM+52+4+%3A65+Roofline" TargetMode="External" Id="rId4764"/><Relationship Type="http://schemas.openxmlformats.org/officeDocument/2006/relationships/hyperlink" Target="https://www.youtube.com/watch?v=enU2Az-cQ98" TargetMode="External" Id="rId4765"/><Relationship Type="http://schemas.openxmlformats.org/officeDocument/2006/relationships/hyperlink" Target="https://scholar.google.com/scholar?q=Wulf+%26+McKee+1995+SIGARCH+Comput+Archit+News+23+1+%3A20+Hitting+the+Memory+Wall+Williams+Waterman+%26+Patterson+2009+CACM+52+4+%3A65+Roofline" TargetMode="External" Id="rId4766"/><Relationship Type="http://schemas.openxmlformats.org/officeDocument/2006/relationships/hyperlink" Target="https://www.youtube.com/watch?v=ZFqZv0XNvnU" TargetMode="External" Id="rId4767"/><Relationship Type="http://schemas.openxmlformats.org/officeDocument/2006/relationships/hyperlink" Target="https://scholar.google.com/scholar?q=Wulf+%26+McKee+1995+SIGARCH+Comput+Archit+News+23+1+%3A20+Hitting+the+Memory+Wall+Williams+Waterman+%26+Patterson+2009+CACM+52+4+%3A65+Roofline" TargetMode="External" Id="rId4768"/><Relationship Type="http://schemas.openxmlformats.org/officeDocument/2006/relationships/hyperlink" Target="https://www.youtube.com/watch?v=y5DQ0NVrnv0" TargetMode="External" Id="rId4769"/><Relationship Type="http://schemas.openxmlformats.org/officeDocument/2006/relationships/hyperlink" Target="https://scholar.google.com/scholar?q=Wulf+%26+McKee+1995+SIGARCH+Comput+Archit+News+23+1+%3A20+Hitting+the+Memory+Wall+Williams+Waterman+%26+Patterson+2009+CACM+52+4+%3A65+Roofline" TargetMode="External" Id="rId4770"/><Relationship Type="http://schemas.openxmlformats.org/officeDocument/2006/relationships/hyperlink" Target="https://www.youtube.com/watch?v=vSLxtsZrprE" TargetMode="External" Id="rId4771"/><Relationship Type="http://schemas.openxmlformats.org/officeDocument/2006/relationships/hyperlink" Target="https://scholar.google.com/scholar?q=Wulf+%26+McKee+1995+SIGARCH+Comput+Archit+News+23+1+%3A20+Hitting+the+Memory+Wall+Williams+Waterman+%26+Patterson+2009+CACM+52+4+%3A65+Roofline" TargetMode="External" Id="rId4772"/><Relationship Type="http://schemas.openxmlformats.org/officeDocument/2006/relationships/hyperlink" Target="https://www.youtube.com/watch?v=4jRsbPqNf1U" TargetMode="External" Id="rId4773"/><Relationship Type="http://schemas.openxmlformats.org/officeDocument/2006/relationships/hyperlink" Target="https://scholar.google.com/scholar?q=Wulf+%26+McKee+1995+SIGARCH+Comput+Archit+News+23+1+%3A20+Hitting+the+Memory+Wall+Williams+Waterman+%26+Patterson+2009+CACM+52+4+%3A65+Roofline" TargetMode="External" Id="rId4774"/><Relationship Type="http://schemas.openxmlformats.org/officeDocument/2006/relationships/hyperlink" Target="https://www.youtube.com/watch?v=-0tD7gLTxiI" TargetMode="External" Id="rId4775"/><Relationship Type="http://schemas.openxmlformats.org/officeDocument/2006/relationships/hyperlink" Target="https://scholar.google.com/scholar?q=Wulf+%26+McKee+1995+SIGARCH+Comput+Archit+News+23+1+%3A20+Hitting+the+Memory+Wall+Williams+Waterman+%26+Patterson+2009+CACM+52+4+%3A65+Roofline" TargetMode="External" Id="rId4776"/><Relationship Type="http://schemas.openxmlformats.org/officeDocument/2006/relationships/hyperlink" Target="https://www.youtube.com/watch?v=7y7IpCTj5mk" TargetMode="External" Id="rId4777"/><Relationship Type="http://schemas.openxmlformats.org/officeDocument/2006/relationships/hyperlink" Target="https://scholar.google.com/scholar?q=Wulf+%26+McKee+1995+SIGARCH+Comput+Archit+News+23+1+%3A20+Hitting+the+Memory+Wall+Williams+Waterman+%26+Patterson+2009+CACM+52+4+%3A65+Roofline" TargetMode="External" Id="rId4778"/><Relationship Type="http://schemas.openxmlformats.org/officeDocument/2006/relationships/hyperlink" Target="https://www.youtube.com/watch?v=9015kJyMBcw" TargetMode="External" Id="rId4779"/><Relationship Type="http://schemas.openxmlformats.org/officeDocument/2006/relationships/hyperlink" Target="https://scholar.google.com/scholar?q=Wulf+%26+McKee+1995+SIGARCH+Comput+Archit+News+23+1+%3A20+Hitting+the+Memory+Wall+Williams+Waterman+%26+Patterson+2009+CACM+52+4+%3A65+Roofline" TargetMode="External" Id="rId4780"/><Relationship Type="http://schemas.openxmlformats.org/officeDocument/2006/relationships/hyperlink" Target="https://www.youtube.com/watch?v=3ZkzAuHCSSo" TargetMode="External" Id="rId4781"/><Relationship Type="http://schemas.openxmlformats.org/officeDocument/2006/relationships/hyperlink" Target="https://scholar.google.com/scholar?q=Wulf+%26+McKee+1995+SIGARCH+Comput+Archit+News+23+1+%3A20+Hitting+the+Memory+Wall+Williams+Waterman+%26+Patterson+2009+CACM+52+4+%3A65+Roofline" TargetMode="External" Id="rId4782"/><Relationship Type="http://schemas.openxmlformats.org/officeDocument/2006/relationships/hyperlink" Target="https://www.youtube.com/watch?v=mV_I7rK7y0E" TargetMode="External" Id="rId4783"/><Relationship Type="http://schemas.openxmlformats.org/officeDocument/2006/relationships/hyperlink" Target="https://scholar.google.com/scholar?q=Wulf+%26+McKee+1995+SIGARCH+Comput+Archit+News+23+1+%3A20+Hitting+the+Memory+Wall+Williams+Waterman+%26+Patterson+2009+CACM+52+4+%3A65+Roofline" TargetMode="External" Id="rId4784"/><Relationship Type="http://schemas.openxmlformats.org/officeDocument/2006/relationships/hyperlink" Target="https://www.youtube.com/watch?v=Uoi3-_xMPtk" TargetMode="External" Id="rId4785"/><Relationship Type="http://schemas.openxmlformats.org/officeDocument/2006/relationships/hyperlink" Target="https://scholar.google.com/scholar?q=Wulf+%26+McKee+1995+SIGARCH+Comput+Archit+News+23+1+%3A20+Hitting+the+Memory+Wall+Williams+Waterman+%26+Patterson+2009+CACM+52+4+%3A65+Roofline" TargetMode="External" Id="rId4786"/><Relationship Type="http://schemas.openxmlformats.org/officeDocument/2006/relationships/hyperlink" Target="https://www.youtube.com/watch?v=bTvm-yhiwYY" TargetMode="External" Id="rId4787"/><Relationship Type="http://schemas.openxmlformats.org/officeDocument/2006/relationships/hyperlink" Target="https://scholar.google.com/scholar?q=Wulf+%26+McKee+1995+SIGARCH+Comput+Archit+News+23+1+%3A20+Hitting+the+Memory+Wall+Williams+Waterman+%26+Patterson+2009+CACM+52+4+%3A65+Roofline" TargetMode="External" Id="rId4788"/><Relationship Type="http://schemas.openxmlformats.org/officeDocument/2006/relationships/hyperlink" Target="https://www.youtube.com/watch?v=9PPGvqvWW8s" TargetMode="External" Id="rId4789"/><Relationship Type="http://schemas.openxmlformats.org/officeDocument/2006/relationships/hyperlink" Target="https://scholar.google.com/scholar?q=Wulf+%26+McKee+1995+SIGARCH+Comput+Archit+News+23+1+%3A20+Hitting+the+Memory+Wall+Williams+Waterman+%26+Patterson+2009+CACM+52+4+%3A65+Roofline" TargetMode="External" Id="rId4790"/><Relationship Type="http://schemas.openxmlformats.org/officeDocument/2006/relationships/hyperlink" Target="https://www.youtube.com/watch?v=O1dVhNqlO3Y" TargetMode="External" Id="rId4791"/><Relationship Type="http://schemas.openxmlformats.org/officeDocument/2006/relationships/hyperlink" Target="https://scholar.google.com/scholar?q=Wulf+%26+McKee+1995+SIGARCH+Comput+Archit+News+23+1+%3A20+Hitting+the+Memory+Wall+Williams+Waterman+%26+Patterson+2009+CACM+52+4+%3A65+Roofline" TargetMode="External" Id="rId4792"/><Relationship Type="http://schemas.openxmlformats.org/officeDocument/2006/relationships/hyperlink" Target="https://www.youtube.com/watch?v=akHo2hJAD1o" TargetMode="External" Id="rId4793"/><Relationship Type="http://schemas.openxmlformats.org/officeDocument/2006/relationships/hyperlink" Target="https://scholar.google.com/scholar?q=Wulf+%26+McKee+1995+SIGARCH+Comput+Archit+News+23+1+%3A20+Hitting+the+Memory+Wall+Williams+Waterman+%26+Patterson+2009+CACM+52+4+%3A65+Roofline" TargetMode="External" Id="rId4794"/><Relationship Type="http://schemas.openxmlformats.org/officeDocument/2006/relationships/hyperlink" Target="https://www.youtube.com/watch?v=wDwtEv3grdw" TargetMode="External" Id="rId4795"/><Relationship Type="http://schemas.openxmlformats.org/officeDocument/2006/relationships/hyperlink" Target="https://scholar.google.com/scholar?q=Wulf+%26+McKee+1995+SIGARCH+Comput+Archit+News+23+1+%3A20+Hitting+the+Memory+Wall+Williams+Waterman+%26+Patterson+2009+CACM+52+4+%3A65+Roofline" TargetMode="External" Id="rId4796"/><Relationship Type="http://schemas.openxmlformats.org/officeDocument/2006/relationships/hyperlink" Target="https://www.youtube.com/watch?v=w6bo48SaINU" TargetMode="External" Id="rId4797"/><Relationship Type="http://schemas.openxmlformats.org/officeDocument/2006/relationships/hyperlink" Target="https://scholar.google.com/scholar?q=Wulf+%26+McKee+1995+SIGARCH+Comput+Archit+News+23+1+%3A20+Hitting+the+Memory+Wall+Williams+Waterman+%26+Patterson+2009+CACM+52+4+%3A65+Roofline" TargetMode="External" Id="rId4798"/><Relationship Type="http://schemas.openxmlformats.org/officeDocument/2006/relationships/hyperlink" Target="https://www.youtube.com/watch?v=ZJSnfaBJC3Q" TargetMode="External" Id="rId4799"/><Relationship Type="http://schemas.openxmlformats.org/officeDocument/2006/relationships/hyperlink" Target="https://scholar.google.com/scholar?q=Ahdritz+et+al.+2024+Nat+Methods+21%3A1514+OpenFold" TargetMode="External" Id="rId4800"/><Relationship Type="http://schemas.openxmlformats.org/officeDocument/2006/relationships/hyperlink" Target="https://www.youtube.com/watch?v=sNkZjgy6QfE" TargetMode="External" Id="rId4801"/><Relationship Type="http://schemas.openxmlformats.org/officeDocument/2006/relationships/hyperlink" Target="https://scholar.google.com/scholar?q=Ahdritz+et+al.+2024+Nat+Methods+21%3A1514+OpenFold" TargetMode="External" Id="rId4802"/><Relationship Type="http://schemas.openxmlformats.org/officeDocument/2006/relationships/hyperlink" Target="https://www.youtube.com/watch?v=rkolMB4z6xQ" TargetMode="External" Id="rId4803"/><Relationship Type="http://schemas.openxmlformats.org/officeDocument/2006/relationships/hyperlink" Target="https://arxiv.org/abs/2203.00854" TargetMode="External" Id="rId4804"/><Relationship Type="http://schemas.openxmlformats.org/officeDocument/2006/relationships/hyperlink" Target="https://www.youtube.com/watch?v=k63Xh-oJMs0" TargetMode="External" Id="rId4805"/><Relationship Type="http://schemas.openxmlformats.org/officeDocument/2006/relationships/hyperlink" Target="https://arxiv.org/abs/2203.00854" TargetMode="External" Id="rId4806"/><Relationship Type="http://schemas.openxmlformats.org/officeDocument/2006/relationships/hyperlink" Target="https://www.youtube.com/watch?v=gYjAvOfP1Sc" TargetMode="External" Id="rId4807"/><Relationship Type="http://schemas.openxmlformats.org/officeDocument/2006/relationships/hyperlink" Target="https://arxiv.org/abs/2203.00854" TargetMode="External" Id="rId4808"/><Relationship Type="http://schemas.openxmlformats.org/officeDocument/2006/relationships/hyperlink" Target="https://www.youtube.com/watch?v=rxxy5R1Eoy8" TargetMode="External" Id="rId4809"/><Relationship Type="http://schemas.openxmlformats.org/officeDocument/2006/relationships/hyperlink" Target="https://arxiv.org/abs/2203.00854" TargetMode="External" Id="rId4810"/><Relationship Type="http://schemas.openxmlformats.org/officeDocument/2006/relationships/hyperlink" Target="https://www.youtube.com/watch?v=gY4-vVRTkpk" TargetMode="External" Id="rId4811"/><Relationship Type="http://schemas.openxmlformats.org/officeDocument/2006/relationships/hyperlink" Target="https://arxiv.org/abs/2203.00854" TargetMode="External" Id="rId4812"/><Relationship Type="http://schemas.openxmlformats.org/officeDocument/2006/relationships/hyperlink" Target="https://www.youtube.com/watch?v=7dS3nyEcOyE" TargetMode="External" Id="rId4813"/><Relationship Type="http://schemas.openxmlformats.org/officeDocument/2006/relationships/hyperlink" Target="https://arxiv.org/abs/2203.00854" TargetMode="External" Id="rId4814"/><Relationship Type="http://schemas.openxmlformats.org/officeDocument/2006/relationships/hyperlink" Target="https://www.youtube.com/watch?v=CTlkAMpatfI" TargetMode="External" Id="rId4815"/><Relationship Type="http://schemas.openxmlformats.org/officeDocument/2006/relationships/hyperlink" Target="https://arxiv.org/abs/2203.00854" TargetMode="External" Id="rId4816"/><Relationship Type="http://schemas.openxmlformats.org/officeDocument/2006/relationships/hyperlink" Target="https://www.youtube.com/watch?v=jI31LflR1Og" TargetMode="External" Id="rId4817"/><Relationship Type="http://schemas.openxmlformats.org/officeDocument/2006/relationships/hyperlink" Target="https://arxiv.org/abs/2203.00854" TargetMode="External" Id="rId4818"/><Relationship Type="http://schemas.openxmlformats.org/officeDocument/2006/relationships/hyperlink" Target="https://www.youtube.com/watch?v=fexvV-RndUc" TargetMode="External" Id="rId4819"/><Relationship Type="http://schemas.openxmlformats.org/officeDocument/2006/relationships/hyperlink" Target="https://arxiv.org/abs/2203.00854" TargetMode="External" Id="rId4820"/><Relationship Type="http://schemas.openxmlformats.org/officeDocument/2006/relationships/hyperlink" Target="https://www.youtube.com/watch?v=Jt_HENGL4M8" TargetMode="External" Id="rId4821"/><Relationship Type="http://schemas.openxmlformats.org/officeDocument/2006/relationships/hyperlink" Target="https://arxiv.org/abs/2203.00854" TargetMode="External" Id="rId4822"/><Relationship Type="http://schemas.openxmlformats.org/officeDocument/2006/relationships/hyperlink" Target="https://www.youtube.com/watch?v=fcGfrbICsas" TargetMode="External" Id="rId4823"/><Relationship Type="http://schemas.openxmlformats.org/officeDocument/2006/relationships/hyperlink" Target="https://arxiv.org/abs/2203.00854" TargetMode="External" Id="rId4824"/><Relationship Type="http://schemas.openxmlformats.org/officeDocument/2006/relationships/hyperlink" Target="https://www.youtube.com/watch?v=bapSYo89gQw" TargetMode="External" Id="rId4825"/><Relationship Type="http://schemas.openxmlformats.org/officeDocument/2006/relationships/hyperlink" Target="https://arxiv.org/abs/2203.00854" TargetMode="External" Id="rId4826"/><Relationship Type="http://schemas.openxmlformats.org/officeDocument/2006/relationships/hyperlink" Target="https://www.youtube.com/watch?v=VN2biLjqJXc" TargetMode="External" Id="rId4827"/><Relationship Type="http://schemas.openxmlformats.org/officeDocument/2006/relationships/hyperlink" Target="https://arxiv.org/abs/2203.00854" TargetMode="External" Id="rId4828"/><Relationship Type="http://schemas.openxmlformats.org/officeDocument/2006/relationships/hyperlink" Target="https://www.youtube.com/watch?v=XP20N8ZwvM0" TargetMode="External" Id="rId4829"/><Relationship Type="http://schemas.openxmlformats.org/officeDocument/2006/relationships/hyperlink" Target="https://scholar.google.com/scholar?q=Musaelian+et+al.+2023+Nat+Commun+14%3A579+Allegro+and+Musaelian+et+al.+2023+SC+23+-+read+this+one+for+the+actual+scaling+numbers+Batzner+et+al.+2022+Nat+Commun+13%3A2453+NequIP" TargetMode="External" Id="rId4830"/><Relationship Type="http://schemas.openxmlformats.org/officeDocument/2006/relationships/hyperlink" Target="https://www.youtube.com/watch?v=5ZlavKF_98U" TargetMode="External" Id="rId4831"/><Relationship Type="http://schemas.openxmlformats.org/officeDocument/2006/relationships/hyperlink" Target="https://scholar.google.com/scholar?q=Kwon+et+al.+2023+SOSP+PagedAttention+Rajbhandari+et+al.+2020+SC+20+ZeRO" TargetMode="External" Id="rId4832"/><Relationship Type="http://schemas.openxmlformats.org/officeDocument/2006/relationships/hyperlink" Target="https://www.youtube.com/watch?v=mYRqvB1_gRk" TargetMode="External" Id="rId4833"/><Relationship Type="http://schemas.openxmlformats.org/officeDocument/2006/relationships/hyperlink" Target="https://scholar.google.com/scholar?q=Kwon+et+al.+2023+SOSP+PagedAttention+Rajbhandari+et+al.+2020+SC+20+ZeRO" TargetMode="External" Id="rId4834"/><Relationship Type="http://schemas.openxmlformats.org/officeDocument/2006/relationships/hyperlink" Target="https://www.youtube.com/watch?v=qzgphfXMNUU" TargetMode="External" Id="rId4835"/><Relationship Type="http://schemas.openxmlformats.org/officeDocument/2006/relationships/hyperlink" Target="https://scholar.google.com/scholar?q=Kwon+et+al.+2023+SOSP+PagedAttention+Rajbhandari+et+al.+2020+SC+20+ZeRO" TargetMode="External" Id="rId4836"/><Relationship Type="http://schemas.openxmlformats.org/officeDocument/2006/relationships/hyperlink" Target="https://www.youtube.com/watch?v=Ny4xxErgFgQ" TargetMode="External" Id="rId4837"/><Relationship Type="http://schemas.openxmlformats.org/officeDocument/2006/relationships/hyperlink" Target="https://scholar.google.com/scholar?q=Kwon+et+al.+2023+SOSP+PagedAttention+Rajbhandari+et+al.+2020+SC+20+ZeRO" TargetMode="External" Id="rId4838"/><Relationship Type="http://schemas.openxmlformats.org/officeDocument/2006/relationships/hyperlink" Target="https://www.youtube.com/watch?v=zqsOEzKZX2Y" TargetMode="External" Id="rId4839"/><Relationship Type="http://schemas.openxmlformats.org/officeDocument/2006/relationships/hyperlink" Target="https://scholar.google.com/scholar?q=Kwon+et+al.+2023+SOSP+PagedAttention+Rajbhandari+et+al.+2020+SC+20+ZeRO" TargetMode="External" Id="rId4840"/><Relationship Type="http://schemas.openxmlformats.org/officeDocument/2006/relationships/hyperlink" Target="https://www.youtube.com/watch?v=Hdzh4fJv4yY" TargetMode="External" Id="rId4841"/><Relationship Type="http://schemas.openxmlformats.org/officeDocument/2006/relationships/hyperlink" Target="https://scholar.google.com/scholar?q=Rajbhandari+et+al.+2020+SC+20+ZeRO" TargetMode="External" Id="rId4842"/><Relationship Type="http://schemas.openxmlformats.org/officeDocument/2006/relationships/hyperlink" Target="https://www.youtube.com/watch?v=T13tYOGcclk" TargetMode="External" Id="rId4843"/><Relationship Type="http://schemas.openxmlformats.org/officeDocument/2006/relationships/hyperlink" Target="https://scholar.google.com/scholar?q=Kwon+et+al.+2023+SOSP+PagedAttention+Rajbhandari+et+al.+2020+SC+20+ZeRO" TargetMode="External" Id="rId4844"/><Relationship Type="http://schemas.openxmlformats.org/officeDocument/2006/relationships/hyperlink" Target="https://www.youtube.com/watch?v=SgRKWKwQbQE" TargetMode="External" Id="rId4845"/><Relationship Type="http://schemas.openxmlformats.org/officeDocument/2006/relationships/hyperlink" Target="https://scholar.google.com/scholar?q=Kwon+et+al.+2023+SOSP+PagedAttention+Rajbhandari+et+al.+2020+SC+20+ZeRO" TargetMode="External" Id="rId4846"/><Relationship Type="http://schemas.openxmlformats.org/officeDocument/2006/relationships/hyperlink" Target="https://www.youtube.com/watch?v=UvRl4ansfCg" TargetMode="External" Id="rId4847"/><Relationship Type="http://schemas.openxmlformats.org/officeDocument/2006/relationships/hyperlink" Target="https://scholar.google.com/scholar?q=Kwon+et+al.+2023+SOSP+PagedAttention+Rajbhandari+et+al.+2020+SC+20+ZeRO" TargetMode="External" Id="rId4848"/><Relationship Type="http://schemas.openxmlformats.org/officeDocument/2006/relationships/hyperlink" Target="https://www.youtube.com/watch?v=LqiHyCLjPno" TargetMode="External" Id="rId4849"/><Relationship Type="http://schemas.openxmlformats.org/officeDocument/2006/relationships/hyperlink" Target="https://scholar.google.com/scholar?q=Mirdita+et+al.+2022+Nat+Methods+19%3A679+ColabFold+Steinegger+%26+S%C3%B6ding+2017+Nat+Biotechnol+35%3A1026+MMseqs2" TargetMode="External" Id="rId4850"/><Relationship Type="http://schemas.openxmlformats.org/officeDocument/2006/relationships/hyperlink" Target="https://www.youtube.com/watch?v=aNCQIePmlGY" TargetMode="External" Id="rId4851"/><Relationship Type="http://schemas.openxmlformats.org/officeDocument/2006/relationships/hyperlink" Target="https://scholar.google.com/scholar?q=Steinegger+%26+S%C3%B6ding+2017+Nat+Biotechnol+35%3A1026+MMseqs2" TargetMode="External" Id="rId4852"/><Relationship Type="http://schemas.openxmlformats.org/officeDocument/2006/relationships/hyperlink" Target="https://www.youtube.com/watch?v=k5Rbi22TtOA" TargetMode="External" Id="rId4853"/><Relationship Type="http://schemas.openxmlformats.org/officeDocument/2006/relationships/hyperlink" Target="https://scholar.google.com/scholar?q=Mirdita+et+al.+2022+Nat+Methods+19%3A679+ColabFold+Steinegger+%26+S%C3%B6ding+2017+Nat+Biotechnol+35%3A1026+MMseqs2" TargetMode="External" Id="rId4854"/><Relationship Type="http://schemas.openxmlformats.org/officeDocument/2006/relationships/hyperlink" Target="https://www.youtube.com/watch?v=gIbCAcMDM7E" TargetMode="External" Id="rId4855"/><Relationship Type="http://schemas.openxmlformats.org/officeDocument/2006/relationships/hyperlink" Target="https://scholar.google.com/scholar?q=Mirdita+et+al.+2022+Nat+Methods+19%3A679+ColabFold" TargetMode="External" Id="rId4856"/><Relationship Type="http://schemas.openxmlformats.org/officeDocument/2006/relationships/hyperlink" Target="https://www.youtube.com/watch?v=-l445lCPTts" TargetMode="External" Id="rId4857"/><Relationship Type="http://schemas.openxmlformats.org/officeDocument/2006/relationships/hyperlink" Target="https://scholar.google.com/scholar?q=Mirdita+et+al.+2022+Nat+Methods+19%3A679+ColabFold+Steinegger+%26+S%C3%B6ding+2017+Nat+Biotechnol+35%3A1026+MMseqs2" TargetMode="External" Id="rId4858"/><Relationship Type="http://schemas.openxmlformats.org/officeDocument/2006/relationships/hyperlink" Target="https://www.youtube.com/watch?v=iRboOFIB74o" TargetMode="External" Id="rId4859"/><Relationship Type="http://schemas.openxmlformats.org/officeDocument/2006/relationships/hyperlink" Target="https://scholar.google.com/scholar?q=Mirdita+et+al.+2022+Nat+Methods+19%3A679+ColabFold+Steinegger+%26+S%C3%B6ding+2017+Nat+Biotechnol+35%3A1026+MMseqs2" TargetMode="External" Id="rId4860"/><Relationship Type="http://schemas.openxmlformats.org/officeDocument/2006/relationships/hyperlink" Target="https://www.youtube.com/watch?v=a1zDuOPkMSw" TargetMode="External" Id="rId4861"/><Relationship Type="http://schemas.openxmlformats.org/officeDocument/2006/relationships/hyperlink" Target="https://www.youtube.com/watch?v=FlTybZvds0U" TargetMode="External" Id="rId4862"/><Relationship Type="http://schemas.openxmlformats.org/officeDocument/2006/relationships/hyperlink" Target="https://www.youtube.com/watch?v=KWNBzAgAiMc" TargetMode="External" Id="rId4863"/><Relationship Type="http://schemas.openxmlformats.org/officeDocument/2006/relationships/hyperlink" Target="https://www.youtube.com/watch?v=ZEjt5PerpeY" TargetMode="External" Id="rId4864"/><Relationship Type="http://schemas.openxmlformats.org/officeDocument/2006/relationships/hyperlink" Target="https://www.youtube.com/watch?v=F1U26PLiXjM" TargetMode="External" Id="rId4865"/><Relationship Type="http://schemas.openxmlformats.org/officeDocument/2006/relationships/hyperlink" Target="https://www.youtube.com/watch?v=Pp4JuYPcbcs" TargetMode="External" Id="rId4866"/><Relationship Type="http://schemas.openxmlformats.org/officeDocument/2006/relationships/hyperlink" Target="https://www.youtube.com/watch?v=l54s9F0cCYg" TargetMode="External" Id="rId4867"/><Relationship Type="http://schemas.openxmlformats.org/officeDocument/2006/relationships/hyperlink" Target="https://www.youtube.com/watch?v=YlYOH10ac48" TargetMode="External" Id="rId4868"/><Relationship Type="http://schemas.openxmlformats.org/officeDocument/2006/relationships/hyperlink" Target="https://www.youtube.com/watch?v=rUZcJq4-8f0" TargetMode="External" Id="rId4869"/><Relationship Type="http://schemas.openxmlformats.org/officeDocument/2006/relationships/hyperlink" Target="https://www.youtube.com/watch?v=3qQbE48IeF4" TargetMode="External" Id="rId4870"/><Relationship Type="http://schemas.openxmlformats.org/officeDocument/2006/relationships/hyperlink" Target="https://www.youtube.com/watch?v=RVoz_pEeV8I" TargetMode="External" Id="rId4871"/><Relationship Type="http://schemas.openxmlformats.org/officeDocument/2006/relationships/hyperlink" Target="https://www.youtube.com/watch?v=zN0Aps_iJdw" TargetMode="External" Id="rId4872"/><Relationship Type="http://schemas.openxmlformats.org/officeDocument/2006/relationships/hyperlink" Target="https://www.youtube.com/watch?v=Oy7Jv8DxzTU" TargetMode="External" Id="rId4873"/><Relationship Type="http://schemas.openxmlformats.org/officeDocument/2006/relationships/hyperlink" Target="https://www.youtube.com/watch?v=xFHPMrT2EwU" TargetMode="External" Id="rId4874"/><Relationship Type="http://schemas.openxmlformats.org/officeDocument/2006/relationships/hyperlink" Target="https://www.youtube.com/watch?v=VK51E3gHENc" TargetMode="External" Id="rId4875"/><Relationship Type="http://schemas.openxmlformats.org/officeDocument/2006/relationships/hyperlink" Target="https://www.youtube.com/watch?v=vtIzMaLkCaM" TargetMode="External" Id="rId4876"/><Relationship Type="http://schemas.openxmlformats.org/officeDocument/2006/relationships/hyperlink" Target="https://www.youtube.com/watch?v=aFwVf5a3pZM" TargetMode="External" Id="rId4877"/><Relationship Type="http://schemas.openxmlformats.org/officeDocument/2006/relationships/hyperlink" Target="https://www.youtube.com/watch?v=v7yKhuZJ_R8" TargetMode="External" Id="rId4878"/><Relationship Type="http://schemas.openxmlformats.org/officeDocument/2006/relationships/hyperlink" Target="https://www.youtube.com/watch?v=x33Km7hRzP0" TargetMode="External" Id="rId4879"/><Relationship Type="http://schemas.openxmlformats.org/officeDocument/2006/relationships/hyperlink" Target="https://www.youtube.com/watch?v=aZqjYzW-jtw" TargetMode="External" Id="rId4880"/><Relationship Type="http://schemas.openxmlformats.org/officeDocument/2006/relationships/hyperlink" Target="https://www.youtube.com/watch?v=1stuu97jZjw" TargetMode="External" Id="rId4881"/><Relationship Type="http://schemas.openxmlformats.org/officeDocument/2006/relationships/hyperlink" Target="https://www.youtube.com/watch?v=UH-VIonXNlk" TargetMode="External" Id="rId4882"/><Relationship Type="http://schemas.openxmlformats.org/officeDocument/2006/relationships/hyperlink" Target="https://www.youtube.com/watch?v=sl9o1cVaX2s" TargetMode="External" Id="rId4883"/><Relationship Type="http://schemas.openxmlformats.org/officeDocument/2006/relationships/hyperlink" Target="https://www.youtube.com/watch?v=I3-xAnn6KFw" TargetMode="External" Id="rId4884"/><Relationship Type="http://schemas.openxmlformats.org/officeDocument/2006/relationships/hyperlink" Target="https://www.youtube.com/watch?v=xZeXnM0n0Js" TargetMode="External" Id="rId4885"/><Relationship Type="http://schemas.openxmlformats.org/officeDocument/2006/relationships/hyperlink" Target="https://www.youtube.com/watch?v=q7x7Nr2Scic" TargetMode="External" Id="rId4886"/><Relationship Type="http://schemas.openxmlformats.org/officeDocument/2006/relationships/hyperlink" Target="https://www.youtube.com/watch?v=OV5J6BfToSw" TargetMode="External" Id="rId4887"/><Relationship Type="http://schemas.openxmlformats.org/officeDocument/2006/relationships/hyperlink" Target="https://www.youtube.com/watch?v=q3mrRH2aS98" TargetMode="External" Id="rId4888"/><Relationship Type="http://schemas.openxmlformats.org/officeDocument/2006/relationships/hyperlink" Target="https://www.youtube.com/watch?v=Unzc731iCUY" TargetMode="External" Id="rId4889"/><Relationship Type="http://schemas.openxmlformats.org/officeDocument/2006/relationships/hyperlink" Target="https://www.youtube.com/watch?v=sT_-owjKIbA" TargetMode="External" Id="rId4890"/><Relationship Type="http://schemas.openxmlformats.org/officeDocument/2006/relationships/hyperlink" Target="https://www.youtube.com/watch?v=meBXuTIPJQk" TargetMode="External" Id="rId4891"/><Relationship Type="http://schemas.openxmlformats.org/officeDocument/2006/relationships/hyperlink" Target="https://www.youtube.com/watch?v=Hp7Id3Yb9XQ" TargetMode="External" Id="rId4892"/><Relationship Type="http://schemas.openxmlformats.org/officeDocument/2006/relationships/hyperlink" Target="https://www.youtube.com/watch?v=7950IuJ0RHg" TargetMode="External" Id="rId4893"/><Relationship Type="http://schemas.openxmlformats.org/officeDocument/2006/relationships/hyperlink" Target="https://www.youtube.com/watch?v=SYk29tnxASs" TargetMode="External" Id="rId4894"/><Relationship Type="http://schemas.openxmlformats.org/officeDocument/2006/relationships/hyperlink" Target="https://www.youtube.com/watch?v=gVTHnRD4emg" TargetMode="External" Id="rId4895"/><Relationship Type="http://schemas.openxmlformats.org/officeDocument/2006/relationships/hyperlink" Target="https://www.youtube.com/watch?v=W1zPtTt43LI" TargetMode="External" Id="rId4896"/><Relationship Type="http://schemas.openxmlformats.org/officeDocument/2006/relationships/hyperlink" Target="https://www.youtube.com/watch?v=RV2tknDtyDs" TargetMode="External" Id="rId4897"/><Relationship Type="http://schemas.openxmlformats.org/officeDocument/2006/relationships/hyperlink" Target="https://www.youtube.com/watch?v=3KiJaIV3tg0" TargetMode="External" Id="rId4898"/><Relationship Type="http://schemas.openxmlformats.org/officeDocument/2006/relationships/hyperlink" Target="https://www.youtube.com/watch?v=qAiUxOyntfY" TargetMode="External" Id="rId4899"/><Relationship Type="http://schemas.openxmlformats.org/officeDocument/2006/relationships/hyperlink" Target="https://www.youtube.com/watch?v=t0k4415MuZE" TargetMode="External" Id="rId4900"/><Relationship Type="http://schemas.openxmlformats.org/officeDocument/2006/relationships/hyperlink" Target="https://scholar.google.com/scholar?q=Kapoor+%26+Narayanan+2023+Patterns+4%3A100804+Ioannidis+2005+PLoS+Med+2%3Ae124" TargetMode="External" Id="rId4901"/><Relationship Type="http://schemas.openxmlformats.org/officeDocument/2006/relationships/hyperlink" Target="https://www.youtube.com/watch?v=hfK-fMGTI3M" TargetMode="External" Id="rId4902"/><Relationship Type="http://schemas.openxmlformats.org/officeDocument/2006/relationships/hyperlink" Target="https://scholar.google.com/scholar?q=Kapoor+%26+Narayanan+2023+Patterns+4%3A100804+Ioannidis+2005+PLoS+Med+2%3Ae124" TargetMode="External" Id="rId4903"/><Relationship Type="http://schemas.openxmlformats.org/officeDocument/2006/relationships/hyperlink" Target="https://www.youtube.com/watch?v=MO30X0YlZU0" TargetMode="External" Id="rId4904"/><Relationship Type="http://schemas.openxmlformats.org/officeDocument/2006/relationships/hyperlink" Target="https://scholar.google.com/scholar?q=Kapoor+%26+Narayanan+2023+Patterns+4%3A100804+Ioannidis+2005+PLoS+Med+2%3Ae124" TargetMode="External" Id="rId4905"/><Relationship Type="http://schemas.openxmlformats.org/officeDocument/2006/relationships/hyperlink" Target="https://www.youtube.com/watch?v=WW6I3FU-9lo" TargetMode="External" Id="rId4906"/><Relationship Type="http://schemas.openxmlformats.org/officeDocument/2006/relationships/hyperlink" Target="https://scholar.google.com/scholar?q=Kapoor+%26+Narayanan+2023+Patterns+4%3A100804+Ioannidis+2005+PLoS+Med+2%3Ae124" TargetMode="External" Id="rId4907"/><Relationship Type="http://schemas.openxmlformats.org/officeDocument/2006/relationships/hyperlink" Target="https://www.youtube.com/watch?v=RLLoxxtBu50" TargetMode="External" Id="rId4908"/><Relationship Type="http://schemas.openxmlformats.org/officeDocument/2006/relationships/hyperlink" Target="https://scholar.google.com/scholar?q=Kapoor+%26+Narayanan+2023+Patterns+4%3A100804+Ioannidis+2005+PLoS+Med+2%3Ae124" TargetMode="External" Id="rId4909"/><Relationship Type="http://schemas.openxmlformats.org/officeDocument/2006/relationships/hyperlink" Target="https://www.youtube.com/watch?v=yvwD_T8_mHc" TargetMode="External" Id="rId4910"/><Relationship Type="http://schemas.openxmlformats.org/officeDocument/2006/relationships/hyperlink" Target="https://scholar.google.com/scholar?q=Kapoor+%26+Narayanan+2023+Patterns+4%3A100804+Ioannidis+2005+PLoS+Med+2%3Ae124" TargetMode="External" Id="rId4911"/><Relationship Type="http://schemas.openxmlformats.org/officeDocument/2006/relationships/hyperlink" Target="https://www.youtube.com/watch?v=tn3OVt82upo" TargetMode="External" Id="rId4912"/><Relationship Type="http://schemas.openxmlformats.org/officeDocument/2006/relationships/hyperlink" Target="https://scholar.google.com/scholar?q=Kapoor+%26+Narayanan+2023+Patterns+4%3A100804+Ioannidis+2005+PLoS+Med+2%3Ae124" TargetMode="External" Id="rId4913"/><Relationship Type="http://schemas.openxmlformats.org/officeDocument/2006/relationships/hyperlink" Target="https://www.youtube.com/watch?v=R2-GuH-6VFU" TargetMode="External" Id="rId4914"/><Relationship Type="http://schemas.openxmlformats.org/officeDocument/2006/relationships/hyperlink" Target="https://scholar.google.com/scholar?q=Kapoor+%26+Narayanan+2023+Patterns+4%3A100804+Ioannidis+2005+PLoS+Med+2%3Ae124" TargetMode="External" Id="rId4915"/><Relationship Type="http://schemas.openxmlformats.org/officeDocument/2006/relationships/hyperlink" Target="https://www.youtube.com/watch?v=wVkViYY_fwA" TargetMode="External" Id="rId4916"/><Relationship Type="http://schemas.openxmlformats.org/officeDocument/2006/relationships/hyperlink" Target="https://scholar.google.com/scholar?q=Kapoor+%26+Narayanan+2023+Patterns+4%3A100804+Ioannidis+2005+PLoS+Med+2%3Ae124" TargetMode="External" Id="rId4917"/><Relationship Type="http://schemas.openxmlformats.org/officeDocument/2006/relationships/hyperlink" Target="https://www.youtube.com/watch?v=QEKLwFoBZjc" TargetMode="External" Id="rId4918"/><Relationship Type="http://schemas.openxmlformats.org/officeDocument/2006/relationships/hyperlink" Target="https://scholar.google.com/scholar?q=Kapoor+%26+Narayanan+2023+Patterns+4%3A100804+Ioannidis+2005+PLoS+Med+2%3Ae124" TargetMode="External" Id="rId4919"/><Relationship Type="http://schemas.openxmlformats.org/officeDocument/2006/relationships/hyperlink" Target="https://www.youtube.com/watch?v=J5gaz5mu7D4" TargetMode="External" Id="rId4920"/><Relationship Type="http://schemas.openxmlformats.org/officeDocument/2006/relationships/hyperlink" Target="https://scholar.google.com/scholar?q=Kapoor+%26+Narayanan+2023+Patterns+4%3A100804+Ioannidis+2005+PLoS+Med+2%3Ae124" TargetMode="External" Id="rId4921"/><Relationship Type="http://schemas.openxmlformats.org/officeDocument/2006/relationships/hyperlink" Target="https://www.youtube.com/watch?v=ztbYkBPDOgU" TargetMode="External" Id="rId4922"/><Relationship Type="http://schemas.openxmlformats.org/officeDocument/2006/relationships/hyperlink" Target="https://scholar.google.com/scholar?q=Kapoor+%26+Narayanan+2023+Patterns+4%3A100804+Ioannidis+2005+PLoS+Med+2%3Ae124" TargetMode="External" Id="rId4923"/><Relationship Type="http://schemas.openxmlformats.org/officeDocument/2006/relationships/hyperlink" Target="https://www.youtube.com/watch?v=jh3RltVrQ-Q" TargetMode="External" Id="rId4924"/><Relationship Type="http://schemas.openxmlformats.org/officeDocument/2006/relationships/hyperlink" Target="https://scholar.google.com/scholar?q=Kapoor+%26+Narayanan+2023+Patterns+4%3A100804+Ioannidis+2005+PLoS+Med+2%3Ae124" TargetMode="External" Id="rId4925"/><Relationship Type="http://schemas.openxmlformats.org/officeDocument/2006/relationships/hyperlink" Target="https://www.youtube.com/watch?v=pGVkCWlXnlg" TargetMode="External" Id="rId4926"/><Relationship Type="http://schemas.openxmlformats.org/officeDocument/2006/relationships/hyperlink" Target="https://scholar.google.com/scholar?q=Kapoor+%26+Narayanan+2023+Patterns+4%3A100804+Ioannidis+2005+PLoS+Med+2%3Ae124" TargetMode="External" Id="rId4927"/><Relationship Type="http://schemas.openxmlformats.org/officeDocument/2006/relationships/hyperlink" Target="https://www.youtube.com/watch?v=Nv2rm1s9q6I" TargetMode="External" Id="rId4928"/><Relationship Type="http://schemas.openxmlformats.org/officeDocument/2006/relationships/hyperlink" Target="https://scholar.google.com/scholar?q=Kapoor+%26+Narayanan+2023+Patterns+4%3A100804+Ioannidis+2005+PLoS+Med+2%3Ae124" TargetMode="External" Id="rId4929"/><Relationship Type="http://schemas.openxmlformats.org/officeDocument/2006/relationships/hyperlink" Target="https://www.youtube.com/watch?v=JX_UyidsQNg" TargetMode="External" Id="rId4930"/><Relationship Type="http://schemas.openxmlformats.org/officeDocument/2006/relationships/hyperlink" Target="https://scholar.google.com/scholar?q=Kapoor+%26+Narayanan+2023+Patterns+4%3A100804+Ioannidis+2005+PLoS+Med+2%3Ae124" TargetMode="External" Id="rId4931"/><Relationship Type="http://schemas.openxmlformats.org/officeDocument/2006/relationships/hyperlink" Target="https://www.youtube.com/watch?v=MBhjDMXtANE" TargetMode="External" Id="rId4932"/><Relationship Type="http://schemas.openxmlformats.org/officeDocument/2006/relationships/hyperlink" Target="https://scholar.google.com/scholar?q=Kapoor+%26+Narayanan+2023+Patterns+4%3A100804+Ioannidis+2005+PLoS+Med+2%3Ae124" TargetMode="External" Id="rId4933"/><Relationship Type="http://schemas.openxmlformats.org/officeDocument/2006/relationships/hyperlink" Target="https://www.youtube.com/watch?v=GIdwLrW2nNo" TargetMode="External" Id="rId4934"/><Relationship Type="http://schemas.openxmlformats.org/officeDocument/2006/relationships/hyperlink" Target="https://scholar.google.com/scholar?q=Kapoor+%26+Narayanan+2023+Patterns+4%3A100804+Ioannidis+2005+PLoS+Med+2%3Ae124" TargetMode="External" Id="rId4935"/><Relationship Type="http://schemas.openxmlformats.org/officeDocument/2006/relationships/hyperlink" Target="https://www.youtube.com/watch?v=XNNcN8sU8us" TargetMode="External" Id="rId4936"/><Relationship Type="http://schemas.openxmlformats.org/officeDocument/2006/relationships/hyperlink" Target="https://scholar.google.com/scholar?q=Kapoor+%26+Narayanan+2023+Patterns+4%3A100804+Ioannidis+2005+PLoS+Med+2%3Ae124" TargetMode="External" Id="rId4937"/><Relationship Type="http://schemas.openxmlformats.org/officeDocument/2006/relationships/hyperlink" Target="https://www.youtube.com/watch?v=sYE8a95x-0E" TargetMode="External" Id="rId4938"/><Relationship Type="http://schemas.openxmlformats.org/officeDocument/2006/relationships/hyperlink" Target="https://scholar.google.com/scholar?q=Kapoor+%26+Narayanan+2023+Patterns+4%3A100804+Ioannidis+2005+PLoS+Med+2%3Ae124" TargetMode="External" Id="rId4939"/><Relationship Type="http://schemas.openxmlformats.org/officeDocument/2006/relationships/hyperlink" Target="https://www.youtube.com/watch?v=5oZA8FBn2fc" TargetMode="External" Id="rId4940"/><Relationship Type="http://schemas.openxmlformats.org/officeDocument/2006/relationships/hyperlink" Target="https://scholar.google.com/scholar?q=Kapoor+%26+Narayanan+2023+Patterns+4%3A100804+Ioannidis+2005+PLoS+Med+2%3Ae124" TargetMode="External" Id="rId4941"/><Relationship Type="http://schemas.openxmlformats.org/officeDocument/2006/relationships/hyperlink" Target="https://www.youtube.com/watch?v=lGR7D45Ww38" TargetMode="External" Id="rId4942"/><Relationship Type="http://schemas.openxmlformats.org/officeDocument/2006/relationships/hyperlink" Target="https://scholar.google.com/scholar?q=Kapoor+%26+Narayanan+2023+Patterns+4%3A100804+Ioannidis+2005+PLoS+Med+2%3Ae124" TargetMode="External" Id="rId4943"/><Relationship Type="http://schemas.openxmlformats.org/officeDocument/2006/relationships/hyperlink" Target="https://www.youtube.com/watch?v=MtXg7fxQgeA" TargetMode="External" Id="rId4944"/><Relationship Type="http://schemas.openxmlformats.org/officeDocument/2006/relationships/hyperlink" Target="https://scholar.google.com/scholar?q=Kapoor+%26+Narayanan+2023+Patterns+4%3A100804+Ioannidis+2005+PLoS+Med+2%3Ae124" TargetMode="External" Id="rId4945"/><Relationship Type="http://schemas.openxmlformats.org/officeDocument/2006/relationships/hyperlink" Target="https://www.youtube.com/watch?v=sTieMzOcreQ" TargetMode="External" Id="rId4946"/><Relationship Type="http://schemas.openxmlformats.org/officeDocument/2006/relationships/hyperlink" Target="https://scholar.google.com/scholar?q=Kapoor+%26+Narayanan+2023+Patterns+4%3A100804+Ioannidis+2005+PLoS+Med+2%3Ae124" TargetMode="External" Id="rId4947"/><Relationship Type="http://schemas.openxmlformats.org/officeDocument/2006/relationships/hyperlink" Target="https://www.youtube.com/watch?v=IkWcbiwymi4" TargetMode="External" Id="rId4948"/><Relationship Type="http://schemas.openxmlformats.org/officeDocument/2006/relationships/hyperlink" Target="https://scholar.google.com/scholar?q=Kapoor+%26+Narayanan+2023+Patterns+4%3A100804+Ioannidis+2005+PLoS+Med+2%3Ae124" TargetMode="External" Id="rId4949"/><Relationship Type="http://schemas.openxmlformats.org/officeDocument/2006/relationships/hyperlink" Target="https://www.youtube.com/watch?v=N_LRQUrdHag" TargetMode="External" Id="rId4950"/><Relationship Type="http://schemas.openxmlformats.org/officeDocument/2006/relationships/hyperlink" Target="https://scholar.google.com/scholar?q=Kapoor+%26+Narayanan+2023+Patterns+4%3A100804+Ioannidis+2005+PLoS+Med+2%3Ae124" TargetMode="External" Id="rId4951"/><Relationship Type="http://schemas.openxmlformats.org/officeDocument/2006/relationships/hyperlink" Target="https://www.youtube.com/watch?v=VQm_toQpfEM" TargetMode="External" Id="rId4952"/><Relationship Type="http://schemas.openxmlformats.org/officeDocument/2006/relationships/hyperlink" Target="https://scholar.google.com/scholar?q=Kapoor+%26+Narayanan+2023+Patterns+4%3A100804+Ioannidis+2005+PLoS+Med+2%3Ae124" TargetMode="External" Id="rId4953"/><Relationship Type="http://schemas.openxmlformats.org/officeDocument/2006/relationships/hyperlink" Target="https://www.youtube.com/watch?v=RuBUVQELw-c" TargetMode="External" Id="rId4954"/><Relationship Type="http://schemas.openxmlformats.org/officeDocument/2006/relationships/hyperlink" Target="https://scholar.google.com/scholar?q=Kapoor+%26+Narayanan+2023+Patterns+4%3A100804+Ioannidis+2005+PLoS+Med+2%3Ae124" TargetMode="External" Id="rId4955"/><Relationship Type="http://schemas.openxmlformats.org/officeDocument/2006/relationships/hyperlink" Target="https://www.youtube.com/watch?v=Cv3rkUZc_cg" TargetMode="External" Id="rId4956"/><Relationship Type="http://schemas.openxmlformats.org/officeDocument/2006/relationships/hyperlink" Target="https://scholar.google.com/scholar?q=Kapoor+%26+Narayanan+2023+Patterns+4%3A100804+Ioannidis+2005+PLoS+Med+2%3Ae124" TargetMode="External" Id="rId4957"/><Relationship Type="http://schemas.openxmlformats.org/officeDocument/2006/relationships/hyperlink" Target="https://www.youtube.com/watch?v=pwN0kdN3reY" TargetMode="External" Id="rId4958"/><Relationship Type="http://schemas.openxmlformats.org/officeDocument/2006/relationships/hyperlink" Target="https://scholar.google.com/scholar?q=Kapoor+%26+Narayanan+2023+Patterns+4%3A100804+Ioannidis+2005+PLoS+Med+2%3Ae124" TargetMode="External" Id="rId4959"/><Relationship Type="http://schemas.openxmlformats.org/officeDocument/2006/relationships/hyperlink" Target="https://www.youtube.com/watch?v=fuonUuKTOl4" TargetMode="External" Id="rId4960"/><Relationship Type="http://schemas.openxmlformats.org/officeDocument/2006/relationships/hyperlink" Target="https://scholar.google.com/scholar?q=Kapoor+%26+Narayanan+2023+Patterns+4%3A100804+Ioannidis+2005+PLoS+Med+2%3Ae124" TargetMode="External" Id="rId4961"/><Relationship Type="http://schemas.openxmlformats.org/officeDocument/2006/relationships/hyperlink" Target="https://www.youtube.com/watch?v=KS3yPw91iC0" TargetMode="External" Id="rId4962"/><Relationship Type="http://schemas.openxmlformats.org/officeDocument/2006/relationships/hyperlink" Target="https://scholar.google.com/scholar?q=Kapoor+%26+Narayanan+2023+Patterns+4%3A100804+Ioannidis+2005+PLoS+Med+2%3Ae124" TargetMode="External" Id="rId4963"/><Relationship Type="http://schemas.openxmlformats.org/officeDocument/2006/relationships/hyperlink" Target="https://www.youtube.com/watch?v=ZmbrsbYwRWw" TargetMode="External" Id="rId4964"/><Relationship Type="http://schemas.openxmlformats.org/officeDocument/2006/relationships/hyperlink" Target="https://scholar.google.com/scholar?q=Kapoor+%26+Narayanan+2023+Patterns+4%3A100804+Ioannidis+2005+PLoS+Med+2%3Ae124" TargetMode="External" Id="rId4965"/><Relationship Type="http://schemas.openxmlformats.org/officeDocument/2006/relationships/hyperlink" Target="https://www.youtube.com/watch?v=B7mvbOK1ipA" TargetMode="External" Id="rId4966"/><Relationship Type="http://schemas.openxmlformats.org/officeDocument/2006/relationships/hyperlink" Target="https://scholar.google.com/scholar?q=Kapoor+%26+Narayanan+2023+Patterns+4%3A100804+Ioannidis+2005+PLoS+Med+2%3Ae124" TargetMode="External" Id="rId4967"/><Relationship Type="http://schemas.openxmlformats.org/officeDocument/2006/relationships/hyperlink" Target="https://www.youtube.com/watch?v=Rpaat8WFqxY" TargetMode="External" Id="rId4968"/><Relationship Type="http://schemas.openxmlformats.org/officeDocument/2006/relationships/hyperlink" Target="https://scholar.google.com/scholar?q=Kapoor+%26+Narayanan+2023+Patterns+4%3A100804+Ioannidis+2005+PLoS+Med+2%3Ae124" TargetMode="External" Id="rId4969"/><Relationship Type="http://schemas.openxmlformats.org/officeDocument/2006/relationships/hyperlink" Target="https://www.youtube.com/watch?v=FtKO619O5g0" TargetMode="External" Id="rId4970"/><Relationship Type="http://schemas.openxmlformats.org/officeDocument/2006/relationships/hyperlink" Target="https://scholar.google.com/scholar?q=Kapoor+%26+Narayanan+2023+Patterns+4%3A100804+Ioannidis+2005+PLoS+Med+2%3Ae124" TargetMode="External" Id="rId4971"/><Relationship Type="http://schemas.openxmlformats.org/officeDocument/2006/relationships/hyperlink" Target="https://www.youtube.com/watch?v=Nqzvnqg4OJ8" TargetMode="External" Id="rId4972"/><Relationship Type="http://schemas.openxmlformats.org/officeDocument/2006/relationships/hyperlink" Target="https://scholar.google.com/scholar?q=Kapoor+%26+Narayanan+2023+Patterns+4%3A100804+Ioannidis+2005+PLoS+Med+2%3Ae124" TargetMode="External" Id="rId4973"/><Relationship Type="http://schemas.openxmlformats.org/officeDocument/2006/relationships/hyperlink" Target="https://www.youtube.com/watch?v=5wLKnN3To-k" TargetMode="External" Id="rId4974"/><Relationship Type="http://schemas.openxmlformats.org/officeDocument/2006/relationships/hyperlink" Target="https://scholar.google.com/scholar?q=Kapoor+%26+Narayanan+2023+Patterns+4%3A100804+Ioannidis+2005+PLoS+Med+2%3Ae124" TargetMode="External" Id="rId4975"/><Relationship Type="http://schemas.openxmlformats.org/officeDocument/2006/relationships/hyperlink" Target="https://www.youtube.com/watch?v=8ZSaAM8hhJ4" TargetMode="External" Id="rId4976"/><Relationship Type="http://schemas.openxmlformats.org/officeDocument/2006/relationships/hyperlink" Target="https://scholar.google.com/scholar?q=Kapoor+%26+Narayanan+2023+Patterns+4%3A100804+Ioannidis+2005+PLoS+Med+2%3Ae124" TargetMode="External" Id="rId4977"/><Relationship Type="http://schemas.openxmlformats.org/officeDocument/2006/relationships/hyperlink" Target="https://www.youtube.com/watch?v=nEuK54bo6RE" TargetMode="External" Id="rId4978"/><Relationship Type="http://schemas.openxmlformats.org/officeDocument/2006/relationships/hyperlink" Target="https://scholar.google.com/scholar?q=Kapoor+%26+Narayanan+2023+Patterns+4%3A100804+Ioannidis+2005+PLoS+Med+2%3Ae124" TargetMode="External" Id="rId4979"/><Relationship Type="http://schemas.openxmlformats.org/officeDocument/2006/relationships/hyperlink" Target="https://www.youtube.com/watch?v=Rn1w4MRHIhc" TargetMode="External" Id="rId4980"/><Relationship Type="http://schemas.openxmlformats.org/officeDocument/2006/relationships/hyperlink" Target="https://scholar.google.com/scholar?q=Kapoor+%26+Narayanan+2023+Patterns+4%3A100804+Ioannidis+2005+PLoS+Med+2%3Ae124" TargetMode="External" Id="rId4981"/><Relationship Type="http://schemas.openxmlformats.org/officeDocument/2006/relationships/hyperlink" Target="https://www.youtube.com/watch?v=7AcVCOBJtuQ" TargetMode="External" Id="rId4982"/><Relationship Type="http://schemas.openxmlformats.org/officeDocument/2006/relationships/hyperlink" Target="https://scholar.google.com/scholar?q=Kapoor+%26+Narayanan+2023+Patterns+4%3A100804+Ioannidis+2005+PLoS+Med+2%3Ae124" TargetMode="External" Id="rId4983"/><Relationship Type="http://schemas.openxmlformats.org/officeDocument/2006/relationships/hyperlink" Target="https://www.youtube.com/watch?v=pc8NcUsqoUM" TargetMode="External" Id="rId4984"/><Relationship Type="http://schemas.openxmlformats.org/officeDocument/2006/relationships/hyperlink" Target="https://scholar.google.com/scholar?q=Kapoor+%26+Narayanan+2023+Patterns+4%3A100804+Ioannidis+2005+PLoS+Med+2%3Ae124" TargetMode="External" Id="rId4985"/><Relationship Type="http://schemas.openxmlformats.org/officeDocument/2006/relationships/hyperlink" Target="https://www.youtube.com/watch?v=VsL1qDDOTS8" TargetMode="External" Id="rId4986"/><Relationship Type="http://schemas.openxmlformats.org/officeDocument/2006/relationships/hyperlink" Target="https://scholar.google.com/scholar?q=Kapoor+%26+Narayanan+2023+Patterns+4%3A100804+Ioannidis+2005+PLoS+Med+2%3Ae124" TargetMode="External" Id="rId4987"/><Relationship Type="http://schemas.openxmlformats.org/officeDocument/2006/relationships/hyperlink" Target="https://www.youtube.com/watch?v=JzJmbAaUI8U" TargetMode="External" Id="rId4988"/><Relationship Type="http://schemas.openxmlformats.org/officeDocument/2006/relationships/hyperlink" Target="https://scholar.google.com/scholar?q=Kapoor+%26+Narayanan+2023+Patterns+4%3A100804+Ioannidis+2005+PLoS+Med+2%3Ae124" TargetMode="External" Id="rId4989"/><Relationship Type="http://schemas.openxmlformats.org/officeDocument/2006/relationships/hyperlink" Target="https://www.youtube.com/watch?v=0IE0GeuYNbA" TargetMode="External" Id="rId4990"/><Relationship Type="http://schemas.openxmlformats.org/officeDocument/2006/relationships/hyperlink" Target="https://scholar.google.com/scholar?q=Kapoor+%26+Narayanan+2023+Patterns+4%3A100804+Ioannidis+2005+PLoS+Med+2%3Ae124" TargetMode="External" Id="rId4991"/><Relationship Type="http://schemas.openxmlformats.org/officeDocument/2006/relationships/hyperlink" Target="https://www.youtube.com/watch?v=_h0S9pmcwgI" TargetMode="External" Id="rId4992"/><Relationship Type="http://schemas.openxmlformats.org/officeDocument/2006/relationships/hyperlink" Target="https://www.youtube.com/watch?v=hae6IpcDCc0" TargetMode="External" Id="rId4993"/><Relationship Type="http://schemas.openxmlformats.org/officeDocument/2006/relationships/hyperlink" Target="https://www.youtube.com/watch?v=ai_6pBZ8zsk" TargetMode="External" Id="rId4994"/><Relationship Type="http://schemas.openxmlformats.org/officeDocument/2006/relationships/hyperlink" Target="https://www.youtube.com/watch?v=px5iC79jtfc" TargetMode="External" Id="rId4995"/><Relationship Type="http://schemas.openxmlformats.org/officeDocument/2006/relationships/hyperlink" Target="https://www.youtube.com/watch?v=2yS3jydA8Ls" TargetMode="External" Id="rId4996"/><Relationship Type="http://schemas.openxmlformats.org/officeDocument/2006/relationships/hyperlink" Target="https://www.youtube.com/watch?v=bINUtEcppnc" TargetMode="External" Id="rId4997"/><Relationship Type="http://schemas.openxmlformats.org/officeDocument/2006/relationships/hyperlink" Target="https://www.youtube.com/watch?v=zUKOuCTLLcI" TargetMode="External" Id="rId4998"/><Relationship Type="http://schemas.openxmlformats.org/officeDocument/2006/relationships/hyperlink" Target="https://www.youtube.com/watch?v=J27XgQavGaU" TargetMode="External" Id="rId4999"/><Relationship Type="http://schemas.openxmlformats.org/officeDocument/2006/relationships/hyperlink" Target="https://www.youtube.com/watch?v=CylJ1p8jxXs" TargetMode="External" Id="rId5000"/><Relationship Type="http://schemas.openxmlformats.org/officeDocument/2006/relationships/hyperlink" Target="https://www.youtube.com/watch?v=r28m5Vk77Wk" TargetMode="External" Id="rId5001"/><Relationship Type="http://schemas.openxmlformats.org/officeDocument/2006/relationships/hyperlink" Target="https://www.youtube.com/watch?v=v7_KgsaeFBk" TargetMode="External" Id="rId5002"/><Relationship Type="http://schemas.openxmlformats.org/officeDocument/2006/relationships/hyperlink" Target="https://www.youtube.com/watch?v=7XnROkjo5Vg" TargetMode="External" Id="rId5003"/><Relationship Type="http://schemas.openxmlformats.org/officeDocument/2006/relationships/hyperlink" Target="https://www.youtube.com/watch?v=wTzRQynRBs0" TargetMode="External" Id="rId5004"/><Relationship Type="http://schemas.openxmlformats.org/officeDocument/2006/relationships/hyperlink" Target="https://www.youtube.com/watch?v=2G0d-RePc7c" TargetMode="External" Id="rId5005"/><Relationship Type="http://schemas.openxmlformats.org/officeDocument/2006/relationships/hyperlink" Target="https://www.youtube.com/watch?v=MF5JDj1OQTo" TargetMode="External" Id="rId5006"/><Relationship Type="http://schemas.openxmlformats.org/officeDocument/2006/relationships/hyperlink" Target="https://www.youtube.com/watch?v=5xavpvxo53Y" TargetMode="External" Id="rId5007"/><Relationship Type="http://schemas.openxmlformats.org/officeDocument/2006/relationships/hyperlink" Target="https://www.youtube.com/watch?v=RqyYeg2lkPo" TargetMode="External" Id="rId5008"/><Relationship Type="http://schemas.openxmlformats.org/officeDocument/2006/relationships/hyperlink" Target="https://www.youtube.com/watch?v=NPHhn-Tas8A" TargetMode="External" Id="rId5009"/><Relationship Type="http://schemas.openxmlformats.org/officeDocument/2006/relationships/hyperlink" Target="https://www.youtube.com/watch?v=-DLiunMIux0" TargetMode="External" Id="rId5010"/><Relationship Type="http://schemas.openxmlformats.org/officeDocument/2006/relationships/hyperlink" Target="https://www.youtube.com/watch?v=tMbns4UsMMI" TargetMode="External" Id="rId5011"/><Relationship Type="http://schemas.openxmlformats.org/officeDocument/2006/relationships/hyperlink" Target="https://www.youtube.com/watch?v=jX0yk47XX9o" TargetMode="External" Id="rId5012"/><Relationship Type="http://schemas.openxmlformats.org/officeDocument/2006/relationships/hyperlink" Target="https://www.youtube.com/watch?v=wpaZvUKxoQI" TargetMode="External" Id="rId5013"/><Relationship Type="http://schemas.openxmlformats.org/officeDocument/2006/relationships/hyperlink" Target="https://www.youtube.com/watch?v=oFAwHq4HJHQ" TargetMode="External" Id="rId5014"/><Relationship Type="http://schemas.openxmlformats.org/officeDocument/2006/relationships/hyperlink" Target="https://www.youtube.com/watch?v=tS0ycjUnBn0" TargetMode="External" Id="rId5015"/><Relationship Type="http://schemas.openxmlformats.org/officeDocument/2006/relationships/hyperlink" Target="https://www.youtube.com/watch?v=tHE980Utpc0" TargetMode="External" Id="rId5016"/><Relationship Type="http://schemas.openxmlformats.org/officeDocument/2006/relationships/hyperlink" Target="https://www.youtube.com/watch?v=4kZfTkMmk90" TargetMode="External" Id="rId5017"/><Relationship Type="http://schemas.openxmlformats.org/officeDocument/2006/relationships/hyperlink" Target="https://www.youtube.com/watch?v=62SA3PRvacI" TargetMode="External" Id="rId5018"/><Relationship Type="http://schemas.openxmlformats.org/officeDocument/2006/relationships/hyperlink" Target="https://www.youtube.com/watch?v=oZZumtlUXag" TargetMode="External" Id="rId5019"/><Relationship Type="http://schemas.openxmlformats.org/officeDocument/2006/relationships/hyperlink" Target="https://www.youtube.com/watch?v=zyJmWLzkh7Q" TargetMode="External" Id="rId5020"/><Relationship Type="http://schemas.openxmlformats.org/officeDocument/2006/relationships/hyperlink" Target="https://www.youtube.com/watch?v=2aaWh8yVq8U" TargetMode="External" Id="rId5021"/><Relationship Type="http://schemas.openxmlformats.org/officeDocument/2006/relationships/hyperlink" Target="https://www.youtube.com/watch?v=mkTgopOhSR4" TargetMode="External" Id="rId5022"/><Relationship Type="http://schemas.openxmlformats.org/officeDocument/2006/relationships/hyperlink" Target="https://www.youtube.com/watch?v=ZgrTrBYZE48" TargetMode="External" Id="rId5023"/><Relationship Type="http://schemas.openxmlformats.org/officeDocument/2006/relationships/hyperlink" Target="https://www.youtube.com/watch?v=FX7yBJKQuPg" TargetMode="External" Id="rId5024"/><Relationship Type="http://schemas.openxmlformats.org/officeDocument/2006/relationships/hyperlink" Target="https://www.youtube.com/watch?v=xZYI8cxW-3c" TargetMode="External" Id="rId5025"/><Relationship Type="http://schemas.openxmlformats.org/officeDocument/2006/relationships/hyperlink" Target="https://www.youtube.com/watch?v=aUMGuogMZCA" TargetMode="External" Id="rId5026"/><Relationship Type="http://schemas.openxmlformats.org/officeDocument/2006/relationships/hyperlink" Target="https://www.youtube.com/watch?v=okPKt8Eeq0M" TargetMode="External" Id="rId5027"/><Relationship Type="http://schemas.openxmlformats.org/officeDocument/2006/relationships/hyperlink" Target="https://www.youtube.com/watch?v=sSe4jUPPQrI" TargetMode="External" Id="rId5028"/><Relationship Type="http://schemas.openxmlformats.org/officeDocument/2006/relationships/hyperlink" Target="https://www.youtube.com/watch?v=R_crDHcrxB0" TargetMode="External" Id="rId5029"/><Relationship Type="http://schemas.openxmlformats.org/officeDocument/2006/relationships/hyperlink" Target="https://www.youtube.com/watch?v=0_j3WGG6eDA" TargetMode="External" Id="rId5030"/><Relationship Type="http://schemas.openxmlformats.org/officeDocument/2006/relationships/hyperlink" Target="https://www.youtube.com/watch?v=LIo-1jPfrns" TargetMode="External" Id="rId5031"/><Relationship Type="http://schemas.openxmlformats.org/officeDocument/2006/relationships/hyperlink" Target="https://www.youtube.com/watch?v=bSWkXy56rt8" TargetMode="External" Id="rId5032"/><Relationship Type="http://schemas.openxmlformats.org/officeDocument/2006/relationships/hyperlink" Target="https://www.youtube.com/watch?v=M_i0vTceWns" TargetMode="External" Id="rId5033"/><Relationship Type="http://schemas.openxmlformats.org/officeDocument/2006/relationships/hyperlink" Target="https://www.youtube.com/watch?v=dq-b2pJNcsU" TargetMode="External" Id="rId5034"/><Relationship Type="http://schemas.openxmlformats.org/officeDocument/2006/relationships/hyperlink" Target="https://www.youtube.com/watch?v=0S8XYalUVP4" TargetMode="External" Id="rId5035"/><Relationship Type="http://schemas.openxmlformats.org/officeDocument/2006/relationships/hyperlink" Target="https://www.youtube.com/watch?v=eMGlyJnQVcQ" TargetMode="External" Id="rId5036"/><Relationship Type="http://schemas.openxmlformats.org/officeDocument/2006/relationships/hyperlink" Target="https://www.youtube.com/watch?v=MlzFudaWylc" TargetMode="External" Id="rId5037"/><Relationship Type="http://schemas.openxmlformats.org/officeDocument/2006/relationships/hyperlink" Target="https://www.youtube.com/watch?v=ObkIfV9KvDM" TargetMode="External" Id="rId5038"/><Relationship Type="http://schemas.openxmlformats.org/officeDocument/2006/relationships/hyperlink" Target="https://www.youtube.com/watch?v=zX6pmHCxvrk" TargetMode="External" Id="rId5039"/><Relationship Type="http://schemas.openxmlformats.org/officeDocument/2006/relationships/hyperlink" Target="https://www.youtube.com/watch?v=WVmUIg0kN2E" TargetMode="External" Id="rId5040"/><Relationship Type="http://schemas.openxmlformats.org/officeDocument/2006/relationships/hyperlink" Target="https://www.youtube.com/watch?v=xQkegATmO-c" TargetMode="External" Id="rId5041"/><Relationship Type="http://schemas.openxmlformats.org/officeDocument/2006/relationships/hyperlink" Target="https://www.youtube.com/watch?v=oCmGYVh7tgQ" TargetMode="External" Id="rId5042"/><Relationship Type="http://schemas.openxmlformats.org/officeDocument/2006/relationships/hyperlink" Target="https://www.youtube.com/watch?v=WOSBRgQBSm4" TargetMode="External" Id="rId5043"/><Relationship Type="http://schemas.openxmlformats.org/officeDocument/2006/relationships/hyperlink" Target="https://www.youtube.com/watch?v=IvqyD7tehSo" TargetMode="External" Id="rId5044"/><Relationship Type="http://schemas.openxmlformats.org/officeDocument/2006/relationships/hyperlink" Target="https://www.youtube.com/watch?v=nVmuGyvV9Lg" TargetMode="External" Id="rId5045"/><Relationship Type="http://schemas.openxmlformats.org/officeDocument/2006/relationships/hyperlink" Target="https://www.youtube.com/watch?v=gzg-v00Jnhc" TargetMode="External" Id="rId5046"/><Relationship Type="http://schemas.openxmlformats.org/officeDocument/2006/relationships/hyperlink" Target="https://www.youtube.com/watch?v=ekeXqoPSusI" TargetMode="External" Id="rId5047"/><Relationship Type="http://schemas.openxmlformats.org/officeDocument/2006/relationships/hyperlink" Target="https://www.youtube.com/watch?v=7fh90mdg2pI" TargetMode="External" Id="rId5048"/><Relationship Type="http://schemas.openxmlformats.org/officeDocument/2006/relationships/hyperlink" Target="https://www.youtube.com/watch?v=NPmz1ln9AYQ" TargetMode="External" Id="rId5049"/><Relationship Type="http://schemas.openxmlformats.org/officeDocument/2006/relationships/hyperlink" Target="https://www.youtube.com/watch?v=uieL4B09SK8" TargetMode="External" Id="rId5050"/><Relationship Type="http://schemas.openxmlformats.org/officeDocument/2006/relationships/hyperlink" Target="https://www.youtube.com/watch?v=zkvk2k7KE8M" TargetMode="External" Id="rId5051"/><Relationship Type="http://schemas.openxmlformats.org/officeDocument/2006/relationships/hyperlink" Target="https://www.youtube.com/watch?v=ge-Tf6OwaoQ" TargetMode="External" Id="rId5052"/><Relationship Type="http://schemas.openxmlformats.org/officeDocument/2006/relationships/hyperlink" Target="https://www.youtube.com/watch?v=3z2Q4DTb4-A" TargetMode="External" Id="rId5053"/><Relationship Type="http://schemas.openxmlformats.org/officeDocument/2006/relationships/hyperlink" Target="https://www.youtube.com/watch?v=GJIjlmSpnsM" TargetMode="External" Id="rId5054"/><Relationship Type="http://schemas.openxmlformats.org/officeDocument/2006/relationships/hyperlink" Target="https://www.youtube.com/watch?v=Jq7jD6LvLeU" TargetMode="External" Id="rId5055"/><Relationship Type="http://schemas.openxmlformats.org/officeDocument/2006/relationships/hyperlink" Target="https://www.youtube.com/watch?v=DA0aMt_f2T0" TargetMode="External" Id="rId5056"/><Relationship Type="http://schemas.openxmlformats.org/officeDocument/2006/relationships/hyperlink" Target="https://www.youtube.com/watch?v=cf5GM0a3nAY" TargetMode="External" Id="rId5057"/><Relationship Type="http://schemas.openxmlformats.org/officeDocument/2006/relationships/hyperlink" Target="https://www.youtube.com/watch?v=HRPm-tm3jXU" TargetMode="External" Id="rId5058"/><Relationship Type="http://schemas.openxmlformats.org/officeDocument/2006/relationships/hyperlink" Target="https://www.youtube.com/watch?v=mO9bntPpQ74" TargetMode="External" Id="rId5059"/><Relationship Type="http://schemas.openxmlformats.org/officeDocument/2006/relationships/hyperlink" Target="https://www.youtube.com/watch?v=SVrn8_8aKO8" TargetMode="External" Id="rId5060"/><Relationship Type="http://schemas.openxmlformats.org/officeDocument/2006/relationships/hyperlink" Target="https://www.youtube.com/watch?v=28LbjlX_u4U" TargetMode="External" Id="rId5061"/><Relationship Type="http://schemas.openxmlformats.org/officeDocument/2006/relationships/hyperlink" Target="https://www.youtube.com/watch?v=thMFu8DKDtA" TargetMode="External" Id="rId5062"/><Relationship Type="http://schemas.openxmlformats.org/officeDocument/2006/relationships/hyperlink" Target="https://www.youtube.com/watch?v=XHzA7fVLk4I" TargetMode="External" Id="rId5063"/><Relationship Type="http://schemas.openxmlformats.org/officeDocument/2006/relationships/hyperlink" Target="https://www.youtube.com/watch?v=lndnL9iMnmc" TargetMode="External" Id="rId5064"/><Relationship Type="http://schemas.openxmlformats.org/officeDocument/2006/relationships/hyperlink" Target="https://www.youtube.com/watch?v=g-w8mHUgIJ0" TargetMode="External" Id="rId5065"/><Relationship Type="http://schemas.openxmlformats.org/officeDocument/2006/relationships/hyperlink" Target="https://www.youtube.com/watch?v=dVp3MMVZE14" TargetMode="External" Id="rId5066"/><Relationship Type="http://schemas.openxmlformats.org/officeDocument/2006/relationships/hyperlink" Target="https://www.youtube.com/watch?v=z4Le3PQXFAM" TargetMode="External" Id="rId5067"/><Relationship Type="http://schemas.openxmlformats.org/officeDocument/2006/relationships/hyperlink" Target="https://www.youtube.com/watch?v=JjfQ1-MVSP0" TargetMode="External" Id="rId5068"/><Relationship Type="http://schemas.openxmlformats.org/officeDocument/2006/relationships/hyperlink" Target="https://www.youtube.com/watch?v=_4t_g5wQX8c" TargetMode="External" Id="rId5069"/><Relationship Type="http://schemas.openxmlformats.org/officeDocument/2006/relationships/hyperlink" Target="https://www.youtube.com/watch?v=ubS-5KkzHts" TargetMode="External" Id="rId5070"/><Relationship Type="http://schemas.openxmlformats.org/officeDocument/2006/relationships/hyperlink" Target="https://www.youtube.com/watch?v=Ye_Wg6qTK9Y" TargetMode="External" Id="rId5071"/><Relationship Type="http://schemas.openxmlformats.org/officeDocument/2006/relationships/hyperlink" Target="https://www.youtube.com/watch?v=FdlNL0x29Uo" TargetMode="External" Id="rId5072"/><Relationship Type="http://schemas.openxmlformats.org/officeDocument/2006/relationships/hyperlink" Target="https://www.youtube.com/watch?v=JBo-osLbKcE" TargetMode="External" Id="rId5073"/><Relationship Type="http://schemas.openxmlformats.org/officeDocument/2006/relationships/hyperlink" Target="https://www.youtube.com/watch?v=lcN53Vhbz2Q" TargetMode="External" Id="rId5074"/><Relationship Type="http://schemas.openxmlformats.org/officeDocument/2006/relationships/hyperlink" Target="https://www.youtube.com/watch?v=cXxqV4phKck" TargetMode="External" Id="rId5075"/><Relationship Type="http://schemas.openxmlformats.org/officeDocument/2006/relationships/hyperlink" Target="https://www.youtube.com/watch?v=7Fn4sESLWA8" TargetMode="External" Id="rId5076"/><Relationship Type="http://schemas.openxmlformats.org/officeDocument/2006/relationships/hyperlink" Target="https://www.youtube.com/watch?v=B9zjcdIrwVo" TargetMode="External" Id="rId5077"/><Relationship Type="http://schemas.openxmlformats.org/officeDocument/2006/relationships/hyperlink" Target="https://www.youtube.com/watch?v=oToJIgDz-0Q" TargetMode="External" Id="rId5078"/><Relationship Type="http://schemas.openxmlformats.org/officeDocument/2006/relationships/hyperlink" Target="https://www.youtube.com/watch?v=1w7Hk3juvfQ" TargetMode="External" Id="rId5079"/><Relationship Type="http://schemas.openxmlformats.org/officeDocument/2006/relationships/hyperlink" Target="https://www.youtube.com/watch?v=iTNTvfg0kTY" TargetMode="External" Id="rId5080"/><Relationship Type="http://schemas.openxmlformats.org/officeDocument/2006/relationships/hyperlink" Target="https://www.youtube.com/watch?v=3Vm12X7SE4c" TargetMode="External" Id="rId5081"/><Relationship Type="http://schemas.openxmlformats.org/officeDocument/2006/relationships/hyperlink" Target="https://www.youtube.com/watch?v=qzACZcLWnTs" TargetMode="External" Id="rId5082"/><Relationship Type="http://schemas.openxmlformats.org/officeDocument/2006/relationships/hyperlink" Target="https://www.youtube.com/watch?v=wFZ_v8vm_70" TargetMode="External" Id="rId5083"/><Relationship Type="http://schemas.openxmlformats.org/officeDocument/2006/relationships/hyperlink" Target="https://www.youtube.com/watch?v=Rji1WPt_gig" TargetMode="External" Id="rId5084"/><Relationship Type="http://schemas.openxmlformats.org/officeDocument/2006/relationships/hyperlink" Target="https://www.youtube.com/watch?v=PE_BNLyNrP8" TargetMode="External" Id="rId5085"/><Relationship Type="http://schemas.openxmlformats.org/officeDocument/2006/relationships/hyperlink" Target="https://www.youtube.com/watch?v=OIyyPSa_bk8" TargetMode="External" Id="rId5086"/><Relationship Type="http://schemas.openxmlformats.org/officeDocument/2006/relationships/hyperlink" Target="https://www.youtube.com/watch?v=1Dv-_q9IEZU" TargetMode="External" Id="rId5087"/><Relationship Type="http://schemas.openxmlformats.org/officeDocument/2006/relationships/hyperlink" Target="https://www.youtube.com/watch?v=V_bhzcs4gnM" TargetMode="External" Id="rId5088"/><Relationship Type="http://schemas.openxmlformats.org/officeDocument/2006/relationships/hyperlink" Target="https://www.youtube.com/watch?v=7oEPjy5kUNg" TargetMode="External" Id="rId5089"/><Relationship Type="http://schemas.openxmlformats.org/officeDocument/2006/relationships/hyperlink" Target="https://www.youtube.com/watch?v=S6P1LCwzzVU" TargetMode="External" Id="rId5090"/><Relationship Type="http://schemas.openxmlformats.org/officeDocument/2006/relationships/hyperlink" Target="https://www.youtube.com/watch?v=NcGOCc-3uqg" TargetMode="External" Id="rId5091"/><Relationship Type="http://schemas.openxmlformats.org/officeDocument/2006/relationships/hyperlink" Target="https://www.youtube.com/watch?v=tuhVfvAb9To" TargetMode="External" Id="rId5092"/><Relationship Type="http://schemas.openxmlformats.org/officeDocument/2006/relationships/hyperlink" Target="https://www.youtube.com/watch?v=xMUvH57aOHk" TargetMode="External" Id="rId5093"/><Relationship Type="http://schemas.openxmlformats.org/officeDocument/2006/relationships/hyperlink" Target="https://www.youtube.com/watch?v=6YuUVgO1VDo" TargetMode="External" Id="rId5094"/><Relationship Type="http://schemas.openxmlformats.org/officeDocument/2006/relationships/hyperlink" Target="https://www.youtube.com/watch?v=aIDgF6BomlE" TargetMode="External" Id="rId5095"/><Relationship Type="http://schemas.openxmlformats.org/officeDocument/2006/relationships/hyperlink" Target="https://www.youtube.com/watch?v=Du5lX6XTP1E" TargetMode="External" Id="rId5096"/><Relationship Type="http://schemas.openxmlformats.org/officeDocument/2006/relationships/hyperlink" Target="https://www.youtube.com/watch?v=lFgSRmGKQas" TargetMode="External" Id="rId5097"/><Relationship Type="http://schemas.openxmlformats.org/officeDocument/2006/relationships/hyperlink" Target="https://www.youtube.com/watch?v=eT4W1Yx3sP0" TargetMode="External" Id="rId5098"/><Relationship Type="http://schemas.openxmlformats.org/officeDocument/2006/relationships/hyperlink" Target="https://www.youtube.com/watch?v=Kn2sCThgGZQ" TargetMode="External" Id="rId5099"/><Relationship Type="http://schemas.openxmlformats.org/officeDocument/2006/relationships/hyperlink" Target="https://www.youtube.com/watch?v=KvzgBWkFoVw" TargetMode="External" Id="rId5100"/><Relationship Type="http://schemas.openxmlformats.org/officeDocument/2006/relationships/hyperlink" Target="https://www.youtube.com/watch?v=XVczz-rPQ5w" TargetMode="External" Id="rId5101"/><Relationship Type="http://schemas.openxmlformats.org/officeDocument/2006/relationships/hyperlink" Target="https://www.youtube.com/watch?v=ltdC-FTHp4w" TargetMode="External" Id="rId5102"/><Relationship Type="http://schemas.openxmlformats.org/officeDocument/2006/relationships/hyperlink" Target="https://www.youtube.com/watch?v=X_z2d3gs2t4" TargetMode="External" Id="rId5103"/><Relationship Type="http://schemas.openxmlformats.org/officeDocument/2006/relationships/hyperlink" Target="https://www.youtube.com/watch?v=LUxi7JYL0mg" TargetMode="External" Id="rId5104"/><Relationship Type="http://schemas.openxmlformats.org/officeDocument/2006/relationships/hyperlink" Target="https://www.youtube.com/watch?v=6rFEaV7IyV4" TargetMode="External" Id="rId5105"/><Relationship Type="http://schemas.openxmlformats.org/officeDocument/2006/relationships/hyperlink" Target="https://www.youtube.com/watch?v=q1tS-n4hC5s" TargetMode="External" Id="rId5106"/><Relationship Type="http://schemas.openxmlformats.org/officeDocument/2006/relationships/hyperlink" Target="https://www.youtube.com/watch?v=iHazsSvn3VA" TargetMode="External" Id="rId5107"/><Relationship Type="http://schemas.openxmlformats.org/officeDocument/2006/relationships/hyperlink" Target="https://www.youtube.com/watch?v=a_Z5kFC2Ar8" TargetMode="External" Id="rId5108"/><Relationship Type="http://schemas.openxmlformats.org/officeDocument/2006/relationships/hyperlink" Target="https://www.youtube.com/watch?v=MMFUp9Kutm0" TargetMode="External" Id="rId5109"/><Relationship Type="http://schemas.openxmlformats.org/officeDocument/2006/relationships/hyperlink" Target="https://www.youtube.com/watch?v=ieZhnnvjyWU" TargetMode="External" Id="rId5110"/><Relationship Type="http://schemas.openxmlformats.org/officeDocument/2006/relationships/hyperlink" Target="https://www.youtube.com/watch?v=U7Bh41YnfB0" TargetMode="External" Id="rId5111"/><Relationship Type="http://schemas.openxmlformats.org/officeDocument/2006/relationships/hyperlink" Target="https://www.youtube.com/watch?v=G51_VojJ0mU" TargetMode="External" Id="rId5112"/><Relationship Type="http://schemas.openxmlformats.org/officeDocument/2006/relationships/hyperlink" Target="https://www.youtube.com/watch?v=8-eWLiZUKzc" TargetMode="External" Id="rId5113"/><Relationship Type="http://schemas.openxmlformats.org/officeDocument/2006/relationships/hyperlink" Target="https://www.youtube.com/watch?v=5uVvVmZPfzo" TargetMode="External" Id="rId5114"/><Relationship Type="http://schemas.openxmlformats.org/officeDocument/2006/relationships/hyperlink" Target="https://www.youtube.com/watch?v=R20_s8XPw8U" TargetMode="External" Id="rId5115"/><Relationship Type="http://schemas.openxmlformats.org/officeDocument/2006/relationships/hyperlink" Target="https://www.youtube.com/watch?v=LwaKdIQJHN8" TargetMode="External" Id="rId5116"/><Relationship Type="http://schemas.openxmlformats.org/officeDocument/2006/relationships/hyperlink" Target="https://www.youtube.com/watch?v=-UKL3kOlOds" TargetMode="External" Id="rId5117"/><Relationship Type="http://schemas.openxmlformats.org/officeDocument/2006/relationships/hyperlink" Target="https://www.youtube.com/watch?v=Ikv1jAJgPYE" TargetMode="External" Id="rId5118"/><Relationship Type="http://schemas.openxmlformats.org/officeDocument/2006/relationships/hyperlink" Target="https://www.youtube.com/watch?v=QLURMsm72cE" TargetMode="External" Id="rId5119"/><Relationship Type="http://schemas.openxmlformats.org/officeDocument/2006/relationships/hyperlink" Target="https://www.youtube.com/watch?v=MKD1ScU_XJs" TargetMode="External" Id="rId5120"/><Relationship Type="http://schemas.openxmlformats.org/officeDocument/2006/relationships/hyperlink" Target="https://www.youtube.com/watch?v=ucak3-5Vo6M" TargetMode="External" Id="rId5121"/><Relationship Type="http://schemas.openxmlformats.org/officeDocument/2006/relationships/hyperlink" Target="https://www.youtube.com/watch?v=bR8Ct75w3YE" TargetMode="External" Id="rId5122"/><Relationship Type="http://schemas.openxmlformats.org/officeDocument/2006/relationships/hyperlink" Target="https://www.youtube.com/watch?v=9YpTYdru0Rg" TargetMode="External" Id="rId5123"/><Relationship Type="http://schemas.openxmlformats.org/officeDocument/2006/relationships/hyperlink" Target="https://www.youtube.com/watch?v=12haMcrZqjI" TargetMode="External" Id="rId5124"/><Relationship Type="http://schemas.openxmlformats.org/officeDocument/2006/relationships/hyperlink" Target="https://www.youtube.com/watch?v=L_PcZaXjip0" TargetMode="External" Id="rId5125"/><Relationship Type="http://schemas.openxmlformats.org/officeDocument/2006/relationships/hyperlink" Target="https://www.youtube.com/watch?v=MsSYYc_qZ3U" TargetMode="External" Id="rId5126"/><Relationship Type="http://schemas.openxmlformats.org/officeDocument/2006/relationships/hyperlink" Target="https://www.youtube.com/watch?v=UA4LH3yaDeo" TargetMode="External" Id="rId5127"/><Relationship Type="http://schemas.openxmlformats.org/officeDocument/2006/relationships/hyperlink" Target="https://www.youtube.com/watch?v=XzpJaNhEKyw" TargetMode="External" Id="rId5128"/><Relationship Type="http://schemas.openxmlformats.org/officeDocument/2006/relationships/hyperlink" Target="https://www.youtube.com/watch?v=Cjby1HQg9zw" TargetMode="External" Id="rId5129"/><Relationship Type="http://schemas.openxmlformats.org/officeDocument/2006/relationships/hyperlink" Target="https://www.youtube.com/watch?v=KrfTYuDTF_U" TargetMode="External" Id="rId5130"/><Relationship Type="http://schemas.openxmlformats.org/officeDocument/2006/relationships/hyperlink" Target="https://www.youtube.com/watch?v=HOkkr4jXQVg" TargetMode="External" Id="rId5131"/><Relationship Type="http://schemas.openxmlformats.org/officeDocument/2006/relationships/hyperlink" Target="https://www.youtube.com/watch?v=WoCyfCm_kGM" TargetMode="External" Id="rId5132"/><Relationship Type="http://schemas.openxmlformats.org/officeDocument/2006/relationships/hyperlink" Target="https://www.youtube.com/watch?v=kfptzBEICEs" TargetMode="External" Id="rId5133"/><Relationship Type="http://schemas.openxmlformats.org/officeDocument/2006/relationships/hyperlink" Target="https://www.youtube.com/watch?v=XOZN3XZdoO0" TargetMode="External" Id="rId5134"/><Relationship Type="http://schemas.openxmlformats.org/officeDocument/2006/relationships/hyperlink" Target="https://www.youtube.com/watch?v=yyAu8axCcBA" TargetMode="External" Id="rId5135"/><Relationship Type="http://schemas.openxmlformats.org/officeDocument/2006/relationships/hyperlink" Target="https://www.youtube.com/watch?v=5RA-TMwdpbw" TargetMode="External" Id="rId5136"/><Relationship Type="http://schemas.openxmlformats.org/officeDocument/2006/relationships/hyperlink" Target="https://www.youtube.com/watch?v=zvrcyqcN9Wo" TargetMode="External" Id="rId5137"/><Relationship Type="http://schemas.openxmlformats.org/officeDocument/2006/relationships/hyperlink" Target="https://www.youtube.com/watch?v=bHOGP5o3Vu0" TargetMode="External" Id="rId5138"/><Relationship Type="http://schemas.openxmlformats.org/officeDocument/2006/relationships/hyperlink" Target="https://www.youtube.com/watch?v=Jp4UcgpVA2I" TargetMode="External" Id="rId5139"/><Relationship Type="http://schemas.openxmlformats.org/officeDocument/2006/relationships/hyperlink" Target="https://www.youtube.com/watch?v=ytnr_2dyyMU" TargetMode="External" Id="rId5140"/><Relationship Type="http://schemas.openxmlformats.org/officeDocument/2006/relationships/hyperlink" Target="https://www.youtube.com/watch?v=vJx7NiXFMi8" TargetMode="External" Id="rId5141"/><Relationship Type="http://schemas.openxmlformats.org/officeDocument/2006/relationships/hyperlink" Target="https://www.youtube.com/watch?v=vzlJxOWVA2w" TargetMode="External" Id="rId5142"/><Relationship Type="http://schemas.openxmlformats.org/officeDocument/2006/relationships/hyperlink" Target="https://www.youtube.com/watch?v=NLhVfI8jYdQ" TargetMode="External" Id="rId5143"/><Relationship Type="http://schemas.openxmlformats.org/officeDocument/2006/relationships/hyperlink" Target="https://www.youtube.com/watch?v=4nUXp7dLWiQ" TargetMode="External" Id="rId5144"/><Relationship Type="http://schemas.openxmlformats.org/officeDocument/2006/relationships/hyperlink" Target="https://www.youtube.com/watch?v=nhY3mQCtlYc" TargetMode="External" Id="rId5145"/><Relationship Type="http://schemas.openxmlformats.org/officeDocument/2006/relationships/hyperlink" Target="https://www.youtube.com/watch?v=_O7tKimyk0E" TargetMode="External" Id="rId5146"/><Relationship Type="http://schemas.openxmlformats.org/officeDocument/2006/relationships/hyperlink" Target="https://www.youtube.com/watch?v=1mvwCmqd6zQ" TargetMode="External" Id="rId5147"/><Relationship Type="http://schemas.openxmlformats.org/officeDocument/2006/relationships/hyperlink" Target="https://www.youtube.com/watch?v=3aqB_n087cE" TargetMode="External" Id="rId5148"/><Relationship Type="http://schemas.openxmlformats.org/officeDocument/2006/relationships/hyperlink" Target="https://www.youtube.com/watch?v=B7ub92OLw1g" TargetMode="External" Id="rId5149"/><Relationship Type="http://schemas.openxmlformats.org/officeDocument/2006/relationships/hyperlink" Target="https://www.youtube.com/watch?v=R2mN2FnrfOY" TargetMode="External" Id="rId5150"/><Relationship Type="http://schemas.openxmlformats.org/officeDocument/2006/relationships/hyperlink" Target="https://www.youtube.com/watch?v=LWFCcH-1JKs" TargetMode="External" Id="rId5151"/><Relationship Type="http://schemas.openxmlformats.org/officeDocument/2006/relationships/hyperlink" Target="https://www.youtube.com/watch?v=jwp1MsSXOZ4" TargetMode="External" Id="rId5152"/><Relationship Type="http://schemas.openxmlformats.org/officeDocument/2006/relationships/hyperlink" Target="https://www.youtube.com/watch?v=O3NxvLC-5s4" TargetMode="External" Id="rId5153"/><Relationship Type="http://schemas.openxmlformats.org/officeDocument/2006/relationships/hyperlink" Target="https://www.youtube.com/watch?v=GXs9Pmp6IKQ" TargetMode="External" Id="rId5154"/><Relationship Type="http://schemas.openxmlformats.org/officeDocument/2006/relationships/hyperlink" Target="https://www.youtube.com/watch?v=iB2d99K_vk8" TargetMode="External" Id="rId5155"/><Relationship Type="http://schemas.openxmlformats.org/officeDocument/2006/relationships/hyperlink" Target="https://www.youtube.com/watch?v=DYEYM0VNhAY" TargetMode="External" Id="rId5156"/><Relationship Type="http://schemas.openxmlformats.org/officeDocument/2006/relationships/hyperlink" Target="https://www.youtube.com/watch?v=eMOTc2TbK4M" TargetMode="External" Id="rId5157"/><Relationship Type="http://schemas.openxmlformats.org/officeDocument/2006/relationships/hyperlink" Target="https://www.youtube.com/watch?v=JmAPIozlph0" TargetMode="External" Id="rId5158"/><Relationship Type="http://schemas.openxmlformats.org/officeDocument/2006/relationships/hyperlink" Target="https://www.youtube.com/watch?v=Xnxnoq3oQCk" TargetMode="External" Id="rId5159"/><Relationship Type="http://schemas.openxmlformats.org/officeDocument/2006/relationships/hyperlink" Target="https://www.youtube.com/watch?v=H6BPgSiobYI" TargetMode="External" Id="rId5160"/><Relationship Type="http://schemas.openxmlformats.org/officeDocument/2006/relationships/hyperlink" Target="https://www.youtube.com/watch?v=Z6s7PrfJlQ0" TargetMode="External" Id="rId5161"/><Relationship Type="http://schemas.openxmlformats.org/officeDocument/2006/relationships/hyperlink" Target="https://www.youtube.com/watch?v=7rCC1RK5MC4" TargetMode="External" Id="rId5162"/><Relationship Type="http://schemas.openxmlformats.org/officeDocument/2006/relationships/hyperlink" Target="https://www.youtube.com/watch?v=V92jD4s3tpY" TargetMode="External" Id="rId5163"/><Relationship Type="http://schemas.openxmlformats.org/officeDocument/2006/relationships/hyperlink" Target="https://www.youtube.com/watch?v=qo-qvJPm7cY" TargetMode="External" Id="rId5164"/><Relationship Type="http://schemas.openxmlformats.org/officeDocument/2006/relationships/hyperlink" Target="https://www.youtube.com/watch?v=RyYOG8DH224" TargetMode="External" Id="rId5165"/><Relationship Type="http://schemas.openxmlformats.org/officeDocument/2006/relationships/hyperlink" Target="https://www.youtube.com/watch?v=jsjYcugNoTk" TargetMode="External" Id="rId5166"/><Relationship Type="http://schemas.openxmlformats.org/officeDocument/2006/relationships/hyperlink" Target="https://www.youtube.com/watch?v=x1l-ols4oiA" TargetMode="External" Id="rId5167"/><Relationship Type="http://schemas.openxmlformats.org/officeDocument/2006/relationships/hyperlink" Target="https://www.youtube.com/watch?v=QxfOdvarsIk" TargetMode="External" Id="rId5168"/><Relationship Type="http://schemas.openxmlformats.org/officeDocument/2006/relationships/hyperlink" Target="https://www.youtube.com/watch?v=DV8gBkYaax0" TargetMode="External" Id="rId5169"/><Relationship Type="http://schemas.openxmlformats.org/officeDocument/2006/relationships/hyperlink" Target="https://www.youtube.com/watch?v=lNyzVdBft2g" TargetMode="External" Id="rId5170"/><Relationship Type="http://schemas.openxmlformats.org/officeDocument/2006/relationships/hyperlink" Target="https://www.youtube.com/watch?v=EHWtCjP5VLo" TargetMode="External" Id="rId5171"/><Relationship Type="http://schemas.openxmlformats.org/officeDocument/2006/relationships/hyperlink" Target="https://www.youtube.com/watch?v=UP0fkMFaqlc" TargetMode="External" Id="rId5172"/><Relationship Type="http://schemas.openxmlformats.org/officeDocument/2006/relationships/hyperlink" Target="https://www.youtube.com/watch?v=tWzIK1cGsvk" TargetMode="External" Id="rId5173"/><Relationship Type="http://schemas.openxmlformats.org/officeDocument/2006/relationships/hyperlink" Target="https://www.youtube.com/watch?v=h1ggj0hSv2I" TargetMode="External" Id="rId5174"/><Relationship Type="http://schemas.openxmlformats.org/officeDocument/2006/relationships/hyperlink" Target="https://www.youtube.com/watch?v=g_x7okd6tZs" TargetMode="External" Id="rId5175"/><Relationship Type="http://schemas.openxmlformats.org/officeDocument/2006/relationships/hyperlink" Target="https://www.youtube.com/watch?v=aWQqE_ZkKZs" TargetMode="External" Id="rId5176"/><Relationship Type="http://schemas.openxmlformats.org/officeDocument/2006/relationships/hyperlink" Target="https://www.youtube.com/watch?v=Xknm_pO_J1E" TargetMode="External" Id="rId5177"/><Relationship Type="http://schemas.openxmlformats.org/officeDocument/2006/relationships/hyperlink" Target="https://www.youtube.com/watch?v=cwDAfDUBjPU" TargetMode="External" Id="rId5178"/><Relationship Type="http://schemas.openxmlformats.org/officeDocument/2006/relationships/hyperlink" Target="https://www.youtube.com/watch?v=WENk6EoZ7SA" TargetMode="External" Id="rId5179"/><Relationship Type="http://schemas.openxmlformats.org/officeDocument/2006/relationships/hyperlink" Target="https://www.youtube.com/watch?v=OyL0NMhPWRM" TargetMode="External" Id="rId5180"/><Relationship Type="http://schemas.openxmlformats.org/officeDocument/2006/relationships/hyperlink" Target="https://www.youtube.com/watch?v=I9Ck9ebR2Lc" TargetMode="External" Id="rId5181"/><Relationship Type="http://schemas.openxmlformats.org/officeDocument/2006/relationships/hyperlink" Target="https://www.youtube.com/watch?v=DgLlPo6dVV0" TargetMode="External" Id="rId5182"/><Relationship Type="http://schemas.openxmlformats.org/officeDocument/2006/relationships/hyperlink" Target="https://www.youtube.com/watch?v=DMKuZl1EuP0" TargetMode="External" Id="rId5183"/><Relationship Type="http://schemas.openxmlformats.org/officeDocument/2006/relationships/hyperlink" Target="https://www.youtube.com/watch?v=BaO6sF1HtWg" TargetMode="External" Id="rId5184"/><Relationship Type="http://schemas.openxmlformats.org/officeDocument/2006/relationships/hyperlink" Target="https://www.youtube.com/watch?v=7AMRTLlbl9E" TargetMode="External" Id="rId5185"/><Relationship Type="http://schemas.openxmlformats.org/officeDocument/2006/relationships/hyperlink" Target="https://www.youtube.com/watch?v=-NH-b3Fk5dA" TargetMode="External" Id="rId5186"/><Relationship Type="http://schemas.openxmlformats.org/officeDocument/2006/relationships/hyperlink" Target="https://www.youtube.com/watch?v=3yYUaiL8THk" TargetMode="External" Id="rId5187"/><Relationship Type="http://schemas.openxmlformats.org/officeDocument/2006/relationships/hyperlink" Target="https://www.youtube.com/watch?v=5Er2sV8gJHA" TargetMode="External" Id="rId5188"/><Relationship Type="http://schemas.openxmlformats.org/officeDocument/2006/relationships/hyperlink" Target="https://www.youtube.com/watch?v=geKQuddx2dI" TargetMode="External" Id="rId5189"/><Relationship Type="http://schemas.openxmlformats.org/officeDocument/2006/relationships/hyperlink" Target="https://www.youtube.com/watch?v=7QoFvEZkWTY" TargetMode="External" Id="rId5190"/><Relationship Type="http://schemas.openxmlformats.org/officeDocument/2006/relationships/hyperlink" Target="https://www.youtube.com/watch?v=NYxf9N2TE9s" TargetMode="External" Id="rId5191"/><Relationship Type="http://schemas.openxmlformats.org/officeDocument/2006/relationships/hyperlink" Target="https://www.youtube.com/watch?v=_FXv7aYHbsg" TargetMode="External" Id="rId5192"/><Relationship Type="http://schemas.openxmlformats.org/officeDocument/2006/relationships/hyperlink" Target="https://www.youtube.com/watch?v=FdtdY7Er3II" TargetMode="External" Id="rId5193"/><Relationship Type="http://schemas.openxmlformats.org/officeDocument/2006/relationships/hyperlink" Target="https://www.youtube.com/watch?v=-RIt6nMbU7o" TargetMode="External" Id="rId5194"/><Relationship Type="http://schemas.openxmlformats.org/officeDocument/2006/relationships/hyperlink" Target="https://www.youtube.com/watch?v=Zdg0re5rEfs" TargetMode="External" Id="rId5195"/><Relationship Type="http://schemas.openxmlformats.org/officeDocument/2006/relationships/hyperlink" Target="https://www.youtube.com/watch?v=8-RrX8kYXls" TargetMode="External" Id="rId5196"/><Relationship Type="http://schemas.openxmlformats.org/officeDocument/2006/relationships/hyperlink" Target="https://www.youtube.com/watch?v=qrWuVEVthJs" TargetMode="External" Id="rId5197"/><Relationship Type="http://schemas.openxmlformats.org/officeDocument/2006/relationships/hyperlink" Target="https://www.youtube.com/watch?v=rVyFakH5WCQ" TargetMode="External" Id="rId5198"/><Relationship Type="http://schemas.openxmlformats.org/officeDocument/2006/relationships/hyperlink" Target="https://www.youtube.com/watch?v=-qXUD9GgH5E" TargetMode="External" Id="rId5199"/><Relationship Type="http://schemas.openxmlformats.org/officeDocument/2006/relationships/hyperlink" Target="https://www.youtube.com/watch?v=tQgChwzxmJM" TargetMode="External" Id="rId5200"/><Relationship Type="http://schemas.openxmlformats.org/officeDocument/2006/relationships/hyperlink" Target="https://www.youtube.com/watch?v=DRRTyPsDlyA" TargetMode="External" Id="rId5201"/><Relationship Type="http://schemas.openxmlformats.org/officeDocument/2006/relationships/hyperlink" Target="https://www.youtube.com/watch?v=XuCAe6DoGj8" TargetMode="External" Id="rId5202"/><Relationship Type="http://schemas.openxmlformats.org/officeDocument/2006/relationships/hyperlink" Target="https://www.youtube.com/watch?v=pxzct77qaFU" TargetMode="External" Id="rId5203"/><Relationship Type="http://schemas.openxmlformats.org/officeDocument/2006/relationships/hyperlink" Target="https://www.youtube.com/watch?v=L8s9Q0-wdwc" TargetMode="External" Id="rId5204"/><Relationship Type="http://schemas.openxmlformats.org/officeDocument/2006/relationships/hyperlink" Target="https://www.youtube.com/watch?v=Krth2YthLCc" TargetMode="External" Id="rId5205"/><Relationship Type="http://schemas.openxmlformats.org/officeDocument/2006/relationships/hyperlink" Target="https://www.youtube.com/watch?v=BIIvqDVml64" TargetMode="External" Id="rId5206"/><Relationship Type="http://schemas.openxmlformats.org/officeDocument/2006/relationships/hyperlink" Target="https://www.youtube.com/watch?v=Ggv5k4Fubbs" TargetMode="External" Id="rId5207"/><Relationship Type="http://schemas.openxmlformats.org/officeDocument/2006/relationships/hyperlink" Target="https://www.youtube.com/watch?v=n5qsgDY4B50" TargetMode="External" Id="rId5208"/><Relationship Type="http://schemas.openxmlformats.org/officeDocument/2006/relationships/hyperlink" Target="https://www.youtube.com/watch?v=fDLPu14BCvU" TargetMode="External" Id="rId5209"/><Relationship Type="http://schemas.openxmlformats.org/officeDocument/2006/relationships/hyperlink" Target="https://www.youtube.com/watch?v=Xtps_pNZIv4" TargetMode="External" Id="rId5210"/><Relationship Type="http://schemas.openxmlformats.org/officeDocument/2006/relationships/hyperlink" Target="https://www.youtube.com/watch?v=4XvGg5vZGNQ" TargetMode="External" Id="rId5211"/><Relationship Type="http://schemas.openxmlformats.org/officeDocument/2006/relationships/hyperlink" Target="https://www.youtube.com/watch?v=P-PbHZKOhLQ" TargetMode="External" Id="rId5212"/><Relationship Type="http://schemas.openxmlformats.org/officeDocument/2006/relationships/hyperlink" Target="https://www.youtube.com/watch?v=sp0nkLhVFKo" TargetMode="External" Id="rId5213"/><Relationship Type="http://schemas.openxmlformats.org/officeDocument/2006/relationships/hyperlink" Target="https://www.youtube.com/watch?v=F__otfYfCI4" TargetMode="External" Id="rId5214"/><Relationship Type="http://schemas.openxmlformats.org/officeDocument/2006/relationships/hyperlink" Target="https://www.youtube.com/watch?v=rpe7hpdvqYg" TargetMode="External" Id="rId5215"/><Relationship Type="http://schemas.openxmlformats.org/officeDocument/2006/relationships/hyperlink" Target="https://www.youtube.com/watch?v=g96tXNwrYXc" TargetMode="External" Id="rId5216"/><Relationship Type="http://schemas.openxmlformats.org/officeDocument/2006/relationships/hyperlink" Target="https://www.youtube.com/watch?v=jhTgd5MCpdU" TargetMode="External" Id="rId5217"/><Relationship Type="http://schemas.openxmlformats.org/officeDocument/2006/relationships/hyperlink" Target="https://www.youtube.com/watch?v=bS71K2U0amA" TargetMode="External" Id="rId5218"/><Relationship Type="http://schemas.openxmlformats.org/officeDocument/2006/relationships/hyperlink" Target="https://www.youtube.com/watch?v=ODEIN5V3yLg" TargetMode="External" Id="rId5219"/><Relationship Type="http://schemas.openxmlformats.org/officeDocument/2006/relationships/hyperlink" Target="https://www.youtube.com/watch?v=Rld4FvjFca4" TargetMode="External" Id="rId5220"/><Relationship Type="http://schemas.openxmlformats.org/officeDocument/2006/relationships/hyperlink" Target="https://www.youtube.com/watch?v=jBNCj2vqau0" TargetMode="External" Id="rId5221"/><Relationship Type="http://schemas.openxmlformats.org/officeDocument/2006/relationships/hyperlink" Target="https://www.youtube.com/watch?v=PJLT0cAPNfs" TargetMode="External" Id="rId5222"/><Relationship Type="http://schemas.openxmlformats.org/officeDocument/2006/relationships/hyperlink" Target="https://www.youtube.com/watch?v=cAJQbSLlonI" TargetMode="External" Id="rId5223"/><Relationship Type="http://schemas.openxmlformats.org/officeDocument/2006/relationships/hyperlink" Target="https://www.youtube.com/watch?v=GUauLxZjSyo" TargetMode="External" Id="rId5224"/><Relationship Type="http://schemas.openxmlformats.org/officeDocument/2006/relationships/hyperlink" Target="https://www.youtube.com/watch?v=1OKVJmYO6LY" TargetMode="External" Id="rId5225"/><Relationship Type="http://schemas.openxmlformats.org/officeDocument/2006/relationships/hyperlink" Target="https://www.youtube.com/watch?v=s6EoDNSZ7oM" TargetMode="External" Id="rId5226"/><Relationship Type="http://schemas.openxmlformats.org/officeDocument/2006/relationships/hyperlink" Target="https://www.youtube.com/watch?v=URpaGQSyGd8" TargetMode="External" Id="rId5227"/><Relationship Type="http://schemas.openxmlformats.org/officeDocument/2006/relationships/hyperlink" Target="https://www.youtube.com/watch?v=V_4DNC9bIZ4" TargetMode="External" Id="rId5228"/><Relationship Type="http://schemas.openxmlformats.org/officeDocument/2006/relationships/hyperlink" Target="https://www.youtube.com/watch?v=YZU-ImJI2Wk" TargetMode="External" Id="rId5229"/><Relationship Type="http://schemas.openxmlformats.org/officeDocument/2006/relationships/hyperlink" Target="https://www.youtube.com/watch?v=Q0Phty48zrE" TargetMode="External" Id="rId5230"/><Relationship Type="http://schemas.openxmlformats.org/officeDocument/2006/relationships/hyperlink" Target="https://www.youtube.com/watch?v=m9jywPz6vHs" TargetMode="External" Id="rId5231"/><Relationship Type="http://schemas.openxmlformats.org/officeDocument/2006/relationships/hyperlink" Target="https://www.youtube.com/watch?v=VmQoQlcsxFo" TargetMode="External" Id="rId5232"/><Relationship Type="http://schemas.openxmlformats.org/officeDocument/2006/relationships/hyperlink" Target="https://www.youtube.com/watch?v=MqGzcEwzQoc" TargetMode="External" Id="rId5233"/><Relationship Type="http://schemas.openxmlformats.org/officeDocument/2006/relationships/hyperlink" Target="https://www.youtube.com/watch?v=Lf5hv-DiYY4" TargetMode="External" Id="rId5234"/><Relationship Type="http://schemas.openxmlformats.org/officeDocument/2006/relationships/hyperlink" Target="https://www.youtube.com/watch?v=XS-u135larc" TargetMode="External" Id="rId5235"/><Relationship Type="http://schemas.openxmlformats.org/officeDocument/2006/relationships/hyperlink" Target="https://www.youtube.com/watch?v=AQBFdspMvqo" TargetMode="External" Id="rId5236"/><Relationship Type="http://schemas.openxmlformats.org/officeDocument/2006/relationships/hyperlink" Target="https://www.youtube.com/watch?v=btJqEG8k52g" TargetMode="External" Id="rId5237"/><Relationship Type="http://schemas.openxmlformats.org/officeDocument/2006/relationships/hyperlink" Target="https://www.youtube.com/watch?v=-gYkUGBYGtE" TargetMode="External" Id="rId5238"/><Relationship Type="http://schemas.openxmlformats.org/officeDocument/2006/relationships/hyperlink" Target="https://www.youtube.com/watch?v=IYIeGnJ12UQ" TargetMode="External" Id="rId5239"/><Relationship Type="http://schemas.openxmlformats.org/officeDocument/2006/relationships/hyperlink" Target="https://www.youtube.com/watch?v=ON1ltprZKPo" TargetMode="External" Id="rId5240"/><Relationship Type="http://schemas.openxmlformats.org/officeDocument/2006/relationships/hyperlink" Target="https://www.youtube.com/watch?v=EPxDI0ytfQU" TargetMode="External" Id="rId5241"/><Relationship Type="http://schemas.openxmlformats.org/officeDocument/2006/relationships/hyperlink" Target="https://www.youtube.com/watch?v=6ZepfBhzYUM" TargetMode="External" Id="rId5242"/><Relationship Type="http://schemas.openxmlformats.org/officeDocument/2006/relationships/hyperlink" Target="https://www.youtube.com/watch?v=h7Rifw0Nuv4" TargetMode="External" Id="rId5243"/><Relationship Type="http://schemas.openxmlformats.org/officeDocument/2006/relationships/hyperlink" Target="https://www.youtube.com/watch?v=VO0sP8E_Q3I" TargetMode="External" Id="rId5244"/><Relationship Type="http://schemas.openxmlformats.org/officeDocument/2006/relationships/hyperlink" Target="https://www.youtube.com/watch?v=WbHEqvBZtlY" TargetMode="External" Id="rId5245"/><Relationship Type="http://schemas.openxmlformats.org/officeDocument/2006/relationships/hyperlink" Target="https://www.youtube.com/watch?v=_3g9VFmBBq8" TargetMode="External" Id="rId5246"/><Relationship Type="http://schemas.openxmlformats.org/officeDocument/2006/relationships/hyperlink" Target="https://www.youtube.com/watch?v=3tIWDOjOlYE" TargetMode="External" Id="rId5247"/><Relationship Type="http://schemas.openxmlformats.org/officeDocument/2006/relationships/hyperlink" Target="https://www.youtube.com/watch?v=aC1urW7NQTA" TargetMode="External" Id="rId5248"/><Relationship Type="http://schemas.openxmlformats.org/officeDocument/2006/relationships/hyperlink" Target="https://www.youtube.com/watch?v=ycBf2lDzKAE" TargetMode="External" Id="rId5249"/><Relationship Type="http://schemas.openxmlformats.org/officeDocument/2006/relationships/hyperlink" Target="https://www.youtube.com/watch?v=R4O7eKgeTXs" TargetMode="External" Id="rId5250"/><Relationship Type="http://schemas.openxmlformats.org/officeDocument/2006/relationships/hyperlink" Target="https://www.youtube.com/watch?v=phb9N8qD1Z8" TargetMode="External" Id="rId5251"/><Relationship Type="http://schemas.openxmlformats.org/officeDocument/2006/relationships/hyperlink" Target="https://www.youtube.com/watch?v=wC3to0bBoL8" TargetMode="External" Id="rId5252"/><Relationship Type="http://schemas.openxmlformats.org/officeDocument/2006/relationships/hyperlink" Target="https://www.youtube.com/watch?v=l4Z-4c4Xw0s" TargetMode="External" Id="rId5253"/><Relationship Type="http://schemas.openxmlformats.org/officeDocument/2006/relationships/hyperlink" Target="https://www.youtube.com/watch?v=UrF7XwdwUq4" TargetMode="External" Id="rId5254"/><Relationship Type="http://schemas.openxmlformats.org/officeDocument/2006/relationships/hyperlink" Target="https://www.youtube.com/watch?v=4wedkryo8jg" TargetMode="External" Id="rId5255"/><Relationship Type="http://schemas.openxmlformats.org/officeDocument/2006/relationships/hyperlink" Target="https://www.youtube.com/watch?v=gXpqdseNZBM" TargetMode="External" Id="rId5256"/><Relationship Type="http://schemas.openxmlformats.org/officeDocument/2006/relationships/hyperlink" Target="https://www.youtube.com/watch?v=P73oEikxI3Y" TargetMode="External" Id="rId5257"/><Relationship Type="http://schemas.openxmlformats.org/officeDocument/2006/relationships/hyperlink" Target="https://www.youtube.com/watch?v=4eyh3GhhvHg" TargetMode="External" Id="rId5258"/><Relationship Type="http://schemas.openxmlformats.org/officeDocument/2006/relationships/hyperlink" Target="https://www.youtube.com/watch?v=xvYMqNAxTEA" TargetMode="External" Id="rId5259"/><Relationship Type="http://schemas.openxmlformats.org/officeDocument/2006/relationships/hyperlink" Target="https://www.youtube.com/watch?v=vh9yeKYwumA" TargetMode="External" Id="rId5260"/><Relationship Type="http://schemas.openxmlformats.org/officeDocument/2006/relationships/hyperlink" Target="https://www.youtube.com/watch?v=xoKbrerI20k" TargetMode="External" Id="rId5261"/><Relationship Type="http://schemas.openxmlformats.org/officeDocument/2006/relationships/hyperlink" Target="https://www.youtube.com/watch?v=mTt9naDEvmU" TargetMode="External" Id="rId5262"/><Relationship Type="http://schemas.openxmlformats.org/officeDocument/2006/relationships/hyperlink" Target="https://www.youtube.com/watch?v=oJsj5vWmD3c" TargetMode="External" Id="rId5263"/><Relationship Type="http://schemas.openxmlformats.org/officeDocument/2006/relationships/hyperlink" Target="https://www.youtube.com/watch?v=a-9dQofSgCU" TargetMode="External" Id="rId5264"/><Relationship Type="http://schemas.openxmlformats.org/officeDocument/2006/relationships/hyperlink" Target="https://www.youtube.com/watch?v=T02AzMQvVTA" TargetMode="External" Id="rId5265"/><Relationship Type="http://schemas.openxmlformats.org/officeDocument/2006/relationships/hyperlink" Target="https://www.youtube.com/watch?v=0EmYfNG0PvA" TargetMode="External" Id="rId5266"/><Relationship Type="http://schemas.openxmlformats.org/officeDocument/2006/relationships/hyperlink" Target="https://www.youtube.com/watch?v=15bHUOjp6IU" TargetMode="External" Id="rId5267"/><Relationship Type="http://schemas.openxmlformats.org/officeDocument/2006/relationships/hyperlink" Target="https://www.youtube.com/watch?v=1g9oP8MeSls" TargetMode="External" Id="rId5268"/><Relationship Type="http://schemas.openxmlformats.org/officeDocument/2006/relationships/hyperlink" Target="https://www.youtube.com/watch?v=Z2k02-O_c9Q" TargetMode="External" Id="rId5269"/><Relationship Type="http://schemas.openxmlformats.org/officeDocument/2006/relationships/hyperlink" Target="https://www.youtube.com/watch?v=zlDVEAJNaOo" TargetMode="External" Id="rId5270"/><Relationship Type="http://schemas.openxmlformats.org/officeDocument/2006/relationships/hyperlink" Target="https://www.youtube.com/watch?v=WM9XPym8A5Q" TargetMode="External" Id="rId5271"/><Relationship Type="http://schemas.openxmlformats.org/officeDocument/2006/relationships/hyperlink" Target="https://www.youtube.com/watch?v=3_Qx5vXe6mI" TargetMode="External" Id="rId5272"/><Relationship Type="http://schemas.openxmlformats.org/officeDocument/2006/relationships/hyperlink" Target="https://www.youtube.com/watch?v=xh_BBqX0LWQ" TargetMode="External" Id="rId5273"/><Relationship Type="http://schemas.openxmlformats.org/officeDocument/2006/relationships/hyperlink" Target="https://www.youtube.com/watch?v=9qBozIg-oHo" TargetMode="External" Id="rId5274"/><Relationship Type="http://schemas.openxmlformats.org/officeDocument/2006/relationships/hyperlink" Target="https://www.youtube.com/watch?v=4UKAQaCZwSQ" TargetMode="External" Id="rId5275"/><Relationship Type="http://schemas.openxmlformats.org/officeDocument/2006/relationships/hyperlink" Target="https://www.youtube.com/watch?v=6lDbMpkkGYo" TargetMode="External" Id="rId5276"/><Relationship Type="http://schemas.openxmlformats.org/officeDocument/2006/relationships/hyperlink" Target="https://www.youtube.com/watch?v=oSTHQQYoGQs" TargetMode="External" Id="rId5277"/><Relationship Type="http://schemas.openxmlformats.org/officeDocument/2006/relationships/hyperlink" Target="https://www.youtube.com/watch?v=D4OP2vjOFGM" TargetMode="External" Id="rId5278"/><Relationship Type="http://schemas.openxmlformats.org/officeDocument/2006/relationships/hyperlink" Target="https://www.youtube.com/watch?v=P_UtuhX4gAI" TargetMode="External" Id="rId5279"/><Relationship Type="http://schemas.openxmlformats.org/officeDocument/2006/relationships/hyperlink" Target="https://www.youtube.com/watch?v=ITN1BQ_rpss" TargetMode="External" Id="rId5280"/><Relationship Type="http://schemas.openxmlformats.org/officeDocument/2006/relationships/hyperlink" Target="https://www.youtube.com/watch?v=KdnfTp8iUjo" TargetMode="External" Id="rId5281"/><Relationship Type="http://schemas.openxmlformats.org/officeDocument/2006/relationships/hyperlink" Target="https://www.youtube.com/watch?v=vQU_Lsg53Ak" TargetMode="External" Id="rId5282"/><Relationship Type="http://schemas.openxmlformats.org/officeDocument/2006/relationships/hyperlink" Target="https://www.youtube.com/watch?v=hXvbSvCJCSo" TargetMode="External" Id="rId5283"/><Relationship Type="http://schemas.openxmlformats.org/officeDocument/2006/relationships/hyperlink" Target="https://www.youtube.com/watch?v=5yqPPA-jIU0" TargetMode="External" Id="rId5284"/><Relationship Type="http://schemas.openxmlformats.org/officeDocument/2006/relationships/hyperlink" Target="https://www.youtube.com/watch?v=Czv8yUEtBh8" TargetMode="External" Id="rId5285"/><Relationship Type="http://schemas.openxmlformats.org/officeDocument/2006/relationships/hyperlink" Target="https://www.youtube.com/watch?v=_GCXLm6IuEA" TargetMode="External" Id="rId5286"/><Relationship Type="http://schemas.openxmlformats.org/officeDocument/2006/relationships/hyperlink" Target="https://www.youtube.com/watch?v=raflrAX-yeo" TargetMode="External" Id="rId5287"/><Relationship Type="http://schemas.openxmlformats.org/officeDocument/2006/relationships/hyperlink" Target="https://www.youtube.com/watch?v=RslpOobX390" TargetMode="External" Id="rId5288"/><Relationship Type="http://schemas.openxmlformats.org/officeDocument/2006/relationships/hyperlink" Target="https://www.youtube.com/watch?v=A7LdwxVVB2w" TargetMode="External" Id="rId5289"/><Relationship Type="http://schemas.openxmlformats.org/officeDocument/2006/relationships/hyperlink" Target="https://www.youtube.com/watch?v=SouUG60QmkA" TargetMode="External" Id="rId5290"/><Relationship Type="http://schemas.openxmlformats.org/officeDocument/2006/relationships/hyperlink" Target="https://www.youtube.com/watch?v=wa8Mgz6r080" TargetMode="External" Id="rId5291"/><Relationship Type="http://schemas.openxmlformats.org/officeDocument/2006/relationships/hyperlink" Target="https://www.youtube.com/watch?v=EQqYntD0eqY" TargetMode="External" Id="rId5292"/><Relationship Type="http://schemas.openxmlformats.org/officeDocument/2006/relationships/hyperlink" Target="https://www.youtube.com/watch?v=pk6Rw67-2jQ" TargetMode="External" Id="rId5293"/><Relationship Type="http://schemas.openxmlformats.org/officeDocument/2006/relationships/hyperlink" Target="https://www.youtube.com/watch?v=f_hmzt6xBNM" TargetMode="External" Id="rId5294"/><Relationship Type="http://schemas.openxmlformats.org/officeDocument/2006/relationships/hyperlink" Target="https://www.youtube.com/watch?v=V_fCi0Cam4I" TargetMode="External" Id="rId5295"/><Relationship Type="http://schemas.openxmlformats.org/officeDocument/2006/relationships/hyperlink" Target="https://www.youtube.com/watch?v=T8vg9fnM_ic" TargetMode="External" Id="rId5296"/><Relationship Type="http://schemas.openxmlformats.org/officeDocument/2006/relationships/hyperlink" Target="https://www.youtube.com/watch?v=rqIESCN3Zts" TargetMode="External" Id="rId5297"/><Relationship Type="http://schemas.openxmlformats.org/officeDocument/2006/relationships/hyperlink" Target="https://www.youtube.com/watch?v=9oZfsOO1iJM" TargetMode="External" Id="rId5298"/><Relationship Type="http://schemas.openxmlformats.org/officeDocument/2006/relationships/hyperlink" Target="https://www.youtube.com/watch?v=05tqHuKqorA" TargetMode="External" Id="rId5299"/><Relationship Type="http://schemas.openxmlformats.org/officeDocument/2006/relationships/hyperlink" Target="https://www.youtube.com/watch?v=pDb-aLP2XQM" TargetMode="External" Id="rId5300"/><Relationship Type="http://schemas.openxmlformats.org/officeDocument/2006/relationships/hyperlink" Target="https://www.youtube.com/watch?v=jeFx_gaA_FE" TargetMode="External" Id="rId5301"/><Relationship Type="http://schemas.openxmlformats.org/officeDocument/2006/relationships/hyperlink" Target="https://www.youtube.com/watch?v=AZOATml4WJA" TargetMode="External" Id="rId5302"/><Relationship Type="http://schemas.openxmlformats.org/officeDocument/2006/relationships/hyperlink" Target="https://www.youtube.com/watch?v=GFlsQc1O70c" TargetMode="External" Id="rId5303"/><Relationship Type="http://schemas.openxmlformats.org/officeDocument/2006/relationships/hyperlink" Target="https://www.youtube.com/watch?v=-YZ6XRahjHo" TargetMode="External" Id="rId5304"/><Relationship Type="http://schemas.openxmlformats.org/officeDocument/2006/relationships/hyperlink" Target="https://www.youtube.com/watch?v=FRHSmjMH3Uk" TargetMode="External" Id="rId5305"/><Relationship Type="http://schemas.openxmlformats.org/officeDocument/2006/relationships/hyperlink" Target="https://www.youtube.com/watch?v=X30dOkyWnFM" TargetMode="External" Id="rId5306"/><Relationship Type="http://schemas.openxmlformats.org/officeDocument/2006/relationships/hyperlink" Target="https://www.youtube.com/watch?v=2eGhMSdIJEs" TargetMode="External" Id="rId5307"/><Relationship Type="http://schemas.openxmlformats.org/officeDocument/2006/relationships/hyperlink" Target="https://www.youtube.com/watch?v=TzSxBnX4uDk" TargetMode="External" Id="rId5308"/><Relationship Type="http://schemas.openxmlformats.org/officeDocument/2006/relationships/hyperlink" Target="https://www.youtube.com/watch?v=dJKajNwbJ74" TargetMode="External" Id="rId5309"/><Relationship Type="http://schemas.openxmlformats.org/officeDocument/2006/relationships/hyperlink" Target="https://www.youtube.com/watch?v=XKqislC2GYA" TargetMode="External" Id="rId5310"/><Relationship Type="http://schemas.openxmlformats.org/officeDocument/2006/relationships/hyperlink" Target="https://www.youtube.com/watch?v=gHXXGYIgasE" TargetMode="External" Id="rId5311"/><Relationship Type="http://schemas.openxmlformats.org/officeDocument/2006/relationships/hyperlink" Target="https://www.youtube.com/watch?v=SuHcOYqIOrY" TargetMode="External" Id="rId5312"/><Relationship Type="http://schemas.openxmlformats.org/officeDocument/2006/relationships/hyperlink" Target="https://www.youtube.com/watch?v=q0RHlFAk544" TargetMode="External" Id="rId5313"/><Relationship Type="http://schemas.openxmlformats.org/officeDocument/2006/relationships/hyperlink" Target="https://www.youtube.com/watch?v=UgTIGQxJtOc" TargetMode="External" Id="rId5314"/><Relationship Type="http://schemas.openxmlformats.org/officeDocument/2006/relationships/hyperlink" Target="https://www.youtube.com/watch?v=v_CCLyjQ3yI" TargetMode="External" Id="rId5315"/><Relationship Type="http://schemas.openxmlformats.org/officeDocument/2006/relationships/hyperlink" Target="https://www.youtube.com/watch?v=0o9rV2cWiJU" TargetMode="External" Id="rId5316"/><Relationship Type="http://schemas.openxmlformats.org/officeDocument/2006/relationships/hyperlink" Target="https://www.youtube.com/watch?v=EoErcfzwtA8" TargetMode="External" Id="rId5317"/><Relationship Type="http://schemas.openxmlformats.org/officeDocument/2006/relationships/hyperlink" Target="https://www.youtube.com/watch?v=PJovdFGb8KQ" TargetMode="External" Id="rId5318"/><Relationship Type="http://schemas.openxmlformats.org/officeDocument/2006/relationships/hyperlink" Target="https://www.youtube.com/watch?v=2k7RacpoIBk" TargetMode="External" Id="rId5319"/><Relationship Type="http://schemas.openxmlformats.org/officeDocument/2006/relationships/hyperlink" Target="https://www.youtube.com/watch?v=RftHvdwrEEk" TargetMode="External" Id="rId5320"/><Relationship Type="http://schemas.openxmlformats.org/officeDocument/2006/relationships/hyperlink" Target="https://www.youtube.com/watch?v=7nHU4S5uCnA" TargetMode="External" Id="rId5321"/><Relationship Type="http://schemas.openxmlformats.org/officeDocument/2006/relationships/hyperlink" Target="https://www.youtube.com/watch?v=HCI_FtnSnck" TargetMode="External" Id="rId5322"/><Relationship Type="http://schemas.openxmlformats.org/officeDocument/2006/relationships/hyperlink" Target="https://www.youtube.com/watch?v=T8a-kP6V3_g" TargetMode="External" Id="rId5323"/><Relationship Type="http://schemas.openxmlformats.org/officeDocument/2006/relationships/hyperlink" Target="https://www.youtube.com/watch?v=q1D39A_LQag" TargetMode="External" Id="rId5324"/><Relationship Type="http://schemas.openxmlformats.org/officeDocument/2006/relationships/hyperlink" Target="https://www.youtube.com/watch?v=1XYGfA4kJ1c" TargetMode="External" Id="rId5325"/><Relationship Type="http://schemas.openxmlformats.org/officeDocument/2006/relationships/hyperlink" Target="https://www.youtube.com/watch?v=Rn5JgItgKX4" TargetMode="External" Id="rId5326"/><Relationship Type="http://schemas.openxmlformats.org/officeDocument/2006/relationships/hyperlink" Target="https://www.youtube.com/watch?v=XsRBGl1wWAU" TargetMode="External" Id="rId5327"/><Relationship Type="http://schemas.openxmlformats.org/officeDocument/2006/relationships/hyperlink" Target="https://www.youtube.com/watch?v=veSnKC9hmWo" TargetMode="External" Id="rId5328"/><Relationship Type="http://schemas.openxmlformats.org/officeDocument/2006/relationships/hyperlink" Target="https://www.youtube.com/watch?v=A7mOOXZvqbQ" TargetMode="External" Id="rId5329"/><Relationship Type="http://schemas.openxmlformats.org/officeDocument/2006/relationships/hyperlink" Target="https://www.youtube.com/watch?v=o4IMzRr04AY" TargetMode="External" Id="rId5330"/><Relationship Type="http://schemas.openxmlformats.org/officeDocument/2006/relationships/hyperlink" Target="https://www.youtube.com/watch?v=vsN_Ff3bluU" TargetMode="External" Id="rId5331"/><Relationship Type="http://schemas.openxmlformats.org/officeDocument/2006/relationships/hyperlink" Target="https://www.youtube.com/watch?v=b2_1LccKj9c" TargetMode="External" Id="rId5332"/><Relationship Type="http://schemas.openxmlformats.org/officeDocument/2006/relationships/hyperlink" Target="https://www.youtube.com/watch?v=_WBRLitZZY8" TargetMode="External" Id="rId5333"/><Relationship Type="http://schemas.openxmlformats.org/officeDocument/2006/relationships/hyperlink" Target="https://www.youtube.com/watch?v=H1nFtEf96-M" TargetMode="External" Id="rId5334"/><Relationship Type="http://schemas.openxmlformats.org/officeDocument/2006/relationships/hyperlink" Target="https://www.youtube.com/watch?v=ADXJErS9vgs" TargetMode="External" Id="rId5335"/><Relationship Type="http://schemas.openxmlformats.org/officeDocument/2006/relationships/hyperlink" Target="https://www.youtube.com/watch?v=m5eTgR232V4" TargetMode="External" Id="rId5336"/><Relationship Type="http://schemas.openxmlformats.org/officeDocument/2006/relationships/hyperlink" Target="https://www.youtube.com/watch?v=LexZoELjR5c" TargetMode="External" Id="rId5337"/><Relationship Type="http://schemas.openxmlformats.org/officeDocument/2006/relationships/hyperlink" Target="https://www.youtube.com/watch?v=xAWhtFk5cMM" TargetMode="External" Id="rId5338"/><Relationship Type="http://schemas.openxmlformats.org/officeDocument/2006/relationships/hyperlink" Target="https://www.youtube.com/watch?v=Cmw_v2Y8o9k" TargetMode="External" Id="rId5339"/><Relationship Type="http://schemas.openxmlformats.org/officeDocument/2006/relationships/hyperlink" Target="https://www.youtube.com/watch?v=rVFEF4YNLnk" TargetMode="External" Id="rId5340"/><Relationship Type="http://schemas.openxmlformats.org/officeDocument/2006/relationships/hyperlink" Target="https://www.youtube.com/watch?v=tPHxDmNW7to" TargetMode="External" Id="rId5341"/><Relationship Type="http://schemas.openxmlformats.org/officeDocument/2006/relationships/hyperlink" Target="https://www.youtube.com/watch?v=H1KfRU8aEFY" TargetMode="External" Id="rId5342"/><Relationship Type="http://schemas.openxmlformats.org/officeDocument/2006/relationships/hyperlink" Target="https://www.youtube.com/watch?v=ViI55NckukI" TargetMode="External" Id="rId5343"/><Relationship Type="http://schemas.openxmlformats.org/officeDocument/2006/relationships/hyperlink" Target="https://www.youtube.com/watch?v=TeiEeR3jwd0" TargetMode="External" Id="rId5344"/><Relationship Type="http://schemas.openxmlformats.org/officeDocument/2006/relationships/hyperlink" Target="https://www.youtube.com/watch?v=1GSKhM57lo0" TargetMode="External" Id="rId5345"/><Relationship Type="http://schemas.openxmlformats.org/officeDocument/2006/relationships/hyperlink" Target="https://www.youtube.com/watch?v=JjpKSzb9kJM" TargetMode="External" Id="rId5346"/><Relationship Type="http://schemas.openxmlformats.org/officeDocument/2006/relationships/hyperlink" Target="https://www.youtube.com/watch?v=6zGBxlx0qeE" TargetMode="External" Id="rId5347"/><Relationship Type="http://schemas.openxmlformats.org/officeDocument/2006/relationships/hyperlink" Target="https://www.youtube.com/watch?v=srZfm_TIgwc" TargetMode="External" Id="rId5348"/><Relationship Type="http://schemas.openxmlformats.org/officeDocument/2006/relationships/hyperlink" Target="https://www.youtube.com/watch?v=T4zEx-l10BQ" TargetMode="External" Id="rId5349"/><Relationship Type="http://schemas.openxmlformats.org/officeDocument/2006/relationships/hyperlink" Target="https://www.youtube.com/watch?v=Rc5t1-TAanc" TargetMode="External" Id="rId5350"/><Relationship Type="http://schemas.openxmlformats.org/officeDocument/2006/relationships/hyperlink" Target="https://www.youtube.com/watch?v=EnkCuajMyeg" TargetMode="External" Id="rId5351"/><Relationship Type="http://schemas.openxmlformats.org/officeDocument/2006/relationships/hyperlink" Target="https://www.youtube.com/watch?v=FH9pBid4D1E" TargetMode="External" Id="rId5352"/><Relationship Type="http://schemas.openxmlformats.org/officeDocument/2006/relationships/hyperlink" Target="https://www.youtube.com/watch?v=e_NesMGx5Bg" TargetMode="External" Id="rId5353"/><Relationship Type="http://schemas.openxmlformats.org/officeDocument/2006/relationships/hyperlink" Target="https://www.youtube.com/watch?v=0WQK7RHQuBs" TargetMode="External" Id="rId5354"/><Relationship Type="http://schemas.openxmlformats.org/officeDocument/2006/relationships/hyperlink" Target="https://www.youtube.com/watch?v=c77B60_QIYI" TargetMode="External" Id="rId5355"/><Relationship Type="http://schemas.openxmlformats.org/officeDocument/2006/relationships/hyperlink" Target="https://www.youtube.com/watch?v=B-rrtNhikJc" TargetMode="External" Id="rId5356"/><Relationship Type="http://schemas.openxmlformats.org/officeDocument/2006/relationships/hyperlink" Target="https://www.youtube.com/watch?v=T9sVLbrBHm8" TargetMode="External" Id="rId5357"/><Relationship Type="http://schemas.openxmlformats.org/officeDocument/2006/relationships/hyperlink" Target="https://www.youtube.com/watch?v=k1ET4nEuQyQ" TargetMode="External" Id="rId5358"/><Relationship Type="http://schemas.openxmlformats.org/officeDocument/2006/relationships/hyperlink" Target="https://www.youtube.com/watch?v=um6zly4FF98" TargetMode="External" Id="rId5359"/><Relationship Type="http://schemas.openxmlformats.org/officeDocument/2006/relationships/hyperlink" Target="https://www.youtube.com/watch?v=spKFrvsnrj4" TargetMode="External" Id="rId5360"/><Relationship Type="http://schemas.openxmlformats.org/officeDocument/2006/relationships/hyperlink" Target="https://www.youtube.com/watch?v=QioNHmssyXU" TargetMode="External" Id="rId5361"/><Relationship Type="http://schemas.openxmlformats.org/officeDocument/2006/relationships/hyperlink" Target="https://www.youtube.com/watch?v=LlanDeYdjfc" TargetMode="External" Id="rId5362"/><Relationship Type="http://schemas.openxmlformats.org/officeDocument/2006/relationships/hyperlink" Target="https://www.youtube.com/watch?v=K0MP5gRdmt8" TargetMode="External" Id="rId5363"/><Relationship Type="http://schemas.openxmlformats.org/officeDocument/2006/relationships/hyperlink" Target="https://www.youtube.com/watch?v=byt-WpQBLW0" TargetMode="External" Id="rId5364"/><Relationship Type="http://schemas.openxmlformats.org/officeDocument/2006/relationships/hyperlink" Target="https://www.youtube.com/watch?v=Be8qwWrXNnU" TargetMode="External" Id="rId5365"/><Relationship Type="http://schemas.openxmlformats.org/officeDocument/2006/relationships/hyperlink" Target="https://www.youtube.com/watch?v=6NgKBo-teXg" TargetMode="External" Id="rId5366"/><Relationship Type="http://schemas.openxmlformats.org/officeDocument/2006/relationships/hyperlink" Target="https://www.youtube.com/watch?v=cjNRGN3-BOs" TargetMode="External" Id="rId5367"/><Relationship Type="http://schemas.openxmlformats.org/officeDocument/2006/relationships/hyperlink" Target="https://www.youtube.com/watch?v=dQOYroEYdtA" TargetMode="External" Id="rId5368"/><Relationship Type="http://schemas.openxmlformats.org/officeDocument/2006/relationships/hyperlink" Target="https://www.youtube.com/watch?v=d8FCo2x2Q2Y" TargetMode="External" Id="rId5369"/><Relationship Type="http://schemas.openxmlformats.org/officeDocument/2006/relationships/hyperlink" Target="https://www.youtube.com/watch?v=jzReGTcAWBs" TargetMode="External" Id="rId5370"/><Relationship Type="http://schemas.openxmlformats.org/officeDocument/2006/relationships/hyperlink" Target="https://www.youtube.com/watch?v=RTgTM8r__wA" TargetMode="External" Id="rId5371"/><Relationship Type="http://schemas.openxmlformats.org/officeDocument/2006/relationships/hyperlink" Target="https://www.youtube.com/watch?v=f8wJ-A0Z2Do" TargetMode="External" Id="rId5372"/><Relationship Type="http://schemas.openxmlformats.org/officeDocument/2006/relationships/hyperlink" Target="https://www.youtube.com/watch?v=Thoae_V1dk0" TargetMode="External" Id="rId5373"/><Relationship Type="http://schemas.openxmlformats.org/officeDocument/2006/relationships/hyperlink" Target="https://www.youtube.com/watch?v=Sj0CsTG680c" TargetMode="External" Id="rId5374"/><Relationship Type="http://schemas.openxmlformats.org/officeDocument/2006/relationships/hyperlink" Target="https://www.youtube.com/watch?v=uj6oIIb_1rA" TargetMode="External" Id="rId5375"/><Relationship Type="http://schemas.openxmlformats.org/officeDocument/2006/relationships/hyperlink" Target="https://www.youtube.com/watch?v=aQ5B6uOcj9w" TargetMode="External" Id="rId5376"/><Relationship Type="http://schemas.openxmlformats.org/officeDocument/2006/relationships/hyperlink" Target="https://www.youtube.com/watch?v=kXG5OplPk0U" TargetMode="External" Id="rId5377"/><Relationship Type="http://schemas.openxmlformats.org/officeDocument/2006/relationships/hyperlink" Target="https://www.youtube.com/watch?v=-41HHxpYf4k" TargetMode="External" Id="rId5378"/><Relationship Type="http://schemas.openxmlformats.org/officeDocument/2006/relationships/hyperlink" Target="https://www.youtube.com/watch?v=-WzSlDY3Dv0" TargetMode="External" Id="rId5379"/><Relationship Type="http://schemas.openxmlformats.org/officeDocument/2006/relationships/hyperlink" Target="https://www.youtube.com/watch?v=I9apisj8HD8" TargetMode="External" Id="rId5380"/><Relationship Type="http://schemas.openxmlformats.org/officeDocument/2006/relationships/hyperlink" Target="https://www.youtube.com/watch?v=ks_OX-G6qkI" TargetMode="External" Id="rId5381"/><Relationship Type="http://schemas.openxmlformats.org/officeDocument/2006/relationships/hyperlink" Target="https://www.youtube.com/watch?v=5c_-KX1sRDQ" TargetMode="External" Id="rId5382"/><Relationship Type="http://schemas.openxmlformats.org/officeDocument/2006/relationships/hyperlink" Target="https://www.youtube.com/watch?v=plIJYzVKfdI" TargetMode="External" Id="rId5383"/><Relationship Type="http://schemas.openxmlformats.org/officeDocument/2006/relationships/hyperlink" Target="https://www.youtube.com/watch?v=qEjWMhRlXgY" TargetMode="External" Id="rId5384"/><Relationship Type="http://schemas.openxmlformats.org/officeDocument/2006/relationships/hyperlink" Target="https://www.youtube.com/watch?v=DpnA8NNUtyU" TargetMode="External" Id="rId5385"/><Relationship Type="http://schemas.openxmlformats.org/officeDocument/2006/relationships/hyperlink" Target="https://www.youtube.com/watch?v=J2bLt3-SSpg" TargetMode="External" Id="rId5386"/><Relationship Type="http://schemas.openxmlformats.org/officeDocument/2006/relationships/hyperlink" Target="https://www.youtube.com/watch?v=HvQw7Zq1jtU" TargetMode="External" Id="rId5387"/><Relationship Type="http://schemas.openxmlformats.org/officeDocument/2006/relationships/hyperlink" Target="https://www.youtube.com/watch?v=Mj7UoabhWYQ" TargetMode="External" Id="rId5388"/><Relationship Type="http://schemas.openxmlformats.org/officeDocument/2006/relationships/hyperlink" Target="https://www.youtube.com/watch?v=SGiQ3pm06nI" TargetMode="External" Id="rId5389"/><Relationship Type="http://schemas.openxmlformats.org/officeDocument/2006/relationships/hyperlink" Target="https://www.youtube.com/watch?v=YCncgm38-bA" TargetMode="External" Id="rId5390"/><Relationship Type="http://schemas.openxmlformats.org/officeDocument/2006/relationships/hyperlink" Target="https://www.youtube.com/watch?v=vu8-uSB6BAA" TargetMode="External" Id="rId5391"/><Relationship Type="http://schemas.openxmlformats.org/officeDocument/2006/relationships/hyperlink" Target="https://www.youtube.com/watch?v=LewIYn0UTEU" TargetMode="External" Id="rId5392"/><Relationship Type="http://schemas.openxmlformats.org/officeDocument/2006/relationships/hyperlink" Target="https://www.youtube.com/watch?v=Icwz214_7eI" TargetMode="External" Id="rId5393"/><Relationship Type="http://schemas.openxmlformats.org/officeDocument/2006/relationships/hyperlink" Target="https://www.youtube.com/watch?v=pG_akmY02Bo" TargetMode="External" Id="rId5394"/><Relationship Type="http://schemas.openxmlformats.org/officeDocument/2006/relationships/hyperlink" Target="https://www.youtube.com/watch?v=PxJ5o4y4FUA" TargetMode="External" Id="rId5395"/><Relationship Type="http://schemas.openxmlformats.org/officeDocument/2006/relationships/hyperlink" Target="https://www.youtube.com/watch?v=XPVrVeRmMY0" TargetMode="External" Id="rId5396"/><Relationship Type="http://schemas.openxmlformats.org/officeDocument/2006/relationships/hyperlink" Target="https://www.youtube.com/watch?v=TgPMuvH5j1I" TargetMode="External" Id="rId5397"/><Relationship Type="http://schemas.openxmlformats.org/officeDocument/2006/relationships/hyperlink" Target="https://www.youtube.com/watch?v=1FluhB_ZgNI" TargetMode="External" Id="rId5398"/><Relationship Type="http://schemas.openxmlformats.org/officeDocument/2006/relationships/hyperlink" Target="https://www.youtube.com/watch?v=z2OEyUgSH2c" TargetMode="External" Id="rId5399"/><Relationship Type="http://schemas.openxmlformats.org/officeDocument/2006/relationships/hyperlink" Target="https://www.youtube.com/watch?v=F0OxOCZwm1Q" TargetMode="External" Id="rId5400"/><Relationship Type="http://schemas.openxmlformats.org/officeDocument/2006/relationships/hyperlink" Target="https://www.youtube.com/watch?v=cWG_1IzI0uI" TargetMode="External" Id="rId5401"/><Relationship Type="http://schemas.openxmlformats.org/officeDocument/2006/relationships/hyperlink" Target="https://www.youtube.com/watch?v=X3gP1voalDE" TargetMode="External" Id="rId5402"/><Relationship Type="http://schemas.openxmlformats.org/officeDocument/2006/relationships/hyperlink" Target="https://www.youtube.com/watch?v=kTvow5-eCCQ" TargetMode="External" Id="rId5403"/><Relationship Type="http://schemas.openxmlformats.org/officeDocument/2006/relationships/hyperlink" Target="https://www.youtube.com/watch?v=mntjPJYxwTI" TargetMode="External" Id="rId5404"/><Relationship Type="http://schemas.openxmlformats.org/officeDocument/2006/relationships/hyperlink" Target="https://www.youtube.com/watch?v=erlCaoj6sTg" TargetMode="External" Id="rId5405"/><Relationship Type="http://schemas.openxmlformats.org/officeDocument/2006/relationships/hyperlink" Target="https://www.youtube.com/watch?v=Lm5vZRtGysc" TargetMode="External" Id="rId5406"/><Relationship Type="http://schemas.openxmlformats.org/officeDocument/2006/relationships/hyperlink" Target="https://www.youtube.com/watch?v=OHFwsEglmrE" TargetMode="External" Id="rId5407"/><Relationship Type="http://schemas.openxmlformats.org/officeDocument/2006/relationships/hyperlink" Target="https://www.youtube.com/watch?v=qnqcLumE3vg" TargetMode="External" Id="rId5408"/><Relationship Type="http://schemas.openxmlformats.org/officeDocument/2006/relationships/hyperlink" Target="https://www.youtube.com/watch?v=lkXO0Zi65Uc" TargetMode="External" Id="rId5409"/><Relationship Type="http://schemas.openxmlformats.org/officeDocument/2006/relationships/hyperlink" Target="https://www.youtube.com/watch?v=sDpdtKHgDbE" TargetMode="External" Id="rId5410"/><Relationship Type="http://schemas.openxmlformats.org/officeDocument/2006/relationships/hyperlink" Target="https://www.youtube.com/watch?v=b8K6adf_zY0" TargetMode="External" Id="rId5411"/><Relationship Type="http://schemas.openxmlformats.org/officeDocument/2006/relationships/hyperlink" Target="https://www.youtube.com/watch?v=EBzqL1OXigM" TargetMode="External" Id="rId5412"/><Relationship Type="http://schemas.openxmlformats.org/officeDocument/2006/relationships/hyperlink" Target="https://www.youtube.com/watch?v=kly4xvYbb8o" TargetMode="External" Id="rId5413"/><Relationship Type="http://schemas.openxmlformats.org/officeDocument/2006/relationships/hyperlink" Target="https://www.youtube.com/watch?v=o-KcYASwUco" TargetMode="External" Id="rId5414"/><Relationship Type="http://schemas.openxmlformats.org/officeDocument/2006/relationships/hyperlink" Target="https://www.youtube.com/watch?v=04hNKKyj_V4" TargetMode="External" Id="rId5415"/><Relationship Type="http://schemas.openxmlformats.org/officeDocument/2006/relationships/hyperlink" Target="https://www.youtube.com/watch?v=cB4zsnLnZfo" TargetMode="External" Id="rId5416"/><Relationship Type="http://schemas.openxmlformats.org/officeDocument/2006/relationships/hyperlink" Target="https://www.youtube.com/watch?v=CIoXyqDfeok" TargetMode="External" Id="rId5417"/><Relationship Type="http://schemas.openxmlformats.org/officeDocument/2006/relationships/hyperlink" Target="https://www.youtube.com/watch?v=PbLRvOri_KM" TargetMode="External" Id="rId5418"/><Relationship Type="http://schemas.openxmlformats.org/officeDocument/2006/relationships/hyperlink" Target="https://www.youtube.com/watch?v=NAeYGsz4kMA" TargetMode="External" Id="rId5419"/><Relationship Type="http://schemas.openxmlformats.org/officeDocument/2006/relationships/hyperlink" Target="https://www.youtube.com/watch?v=JAB_plj2rbA" TargetMode="External" Id="rId5420"/><Relationship Type="http://schemas.openxmlformats.org/officeDocument/2006/relationships/hyperlink" Target="https://www.youtube.com/watch?v=3IS7UhNMQ3U" TargetMode="External" Id="rId5421"/><Relationship Type="http://schemas.openxmlformats.org/officeDocument/2006/relationships/hyperlink" Target="https://www.youtube.com/watch?v=4dVwlE9jYxY" TargetMode="External" Id="rId5422"/><Relationship Type="http://schemas.openxmlformats.org/officeDocument/2006/relationships/hyperlink" Target="https://www.youtube.com/watch?v=buzsHTa4Hgs" TargetMode="External" Id="rId5423"/><Relationship Type="http://schemas.openxmlformats.org/officeDocument/2006/relationships/hyperlink" Target="https://www.youtube.com/watch?v=rMq21iY61SE" TargetMode="External" Id="rId5424"/><Relationship Type="http://schemas.openxmlformats.org/officeDocument/2006/relationships/hyperlink" Target="https://www.youtube.com/watch?v=Xv0wRy66Big" TargetMode="External" Id="rId5425"/><Relationship Type="http://schemas.openxmlformats.org/officeDocument/2006/relationships/hyperlink" Target="https://www.youtube.com/watch?v=eliMLfJeu7A" TargetMode="External" Id="rId5426"/><Relationship Type="http://schemas.openxmlformats.org/officeDocument/2006/relationships/hyperlink" Target="https://www.youtube.com/watch?v=F3PgltDzllc" TargetMode="External" Id="rId5427"/><Relationship Type="http://schemas.openxmlformats.org/officeDocument/2006/relationships/hyperlink" Target="https://www.youtube.com/watch?v=tutlI9YzJ2g" TargetMode="External" Id="rId5428"/><Relationship Type="http://schemas.openxmlformats.org/officeDocument/2006/relationships/hyperlink" Target="https://www.youtube.com/watch?v=MH4yvtgAR-4" TargetMode="External" Id="rId5429"/><Relationship Type="http://schemas.openxmlformats.org/officeDocument/2006/relationships/hyperlink" Target="https://www.youtube.com/watch?v=RU9uTa_-ZOw" TargetMode="External" Id="rId5430"/><Relationship Type="http://schemas.openxmlformats.org/officeDocument/2006/relationships/hyperlink" Target="https://www.youtube.com/watch?v=247Mkqj_wRM" TargetMode="External" Id="rId5431"/><Relationship Type="http://schemas.openxmlformats.org/officeDocument/2006/relationships/hyperlink" Target="https://www.youtube.com/watch?v=ew1cnUjRgl4" TargetMode="External" Id="rId5432"/><Relationship Type="http://schemas.openxmlformats.org/officeDocument/2006/relationships/hyperlink" Target="https://www.youtube.com/watch?v=1A6VoEkQnhQ" TargetMode="External" Id="rId5433"/><Relationship Type="http://schemas.openxmlformats.org/officeDocument/2006/relationships/hyperlink" Target="https://www.youtube.com/watch?v=eXIIH8YVxKI" TargetMode="External" Id="rId5434"/><Relationship Type="http://schemas.openxmlformats.org/officeDocument/2006/relationships/hyperlink" Target="https://www.youtube.com/watch?v=ewEW_EMzRuo" TargetMode="External" Id="rId5435"/><Relationship Type="http://schemas.openxmlformats.org/officeDocument/2006/relationships/hyperlink" Target="https://www.youtube.com/watch?v=5vMEgYbka0A" TargetMode="External" Id="rId5436"/><Relationship Type="http://schemas.openxmlformats.org/officeDocument/2006/relationships/hyperlink" Target="https://www.youtube.com/watch?v=B5y47gWt3co" TargetMode="External" Id="rId5437"/><Relationship Type="http://schemas.openxmlformats.org/officeDocument/2006/relationships/hyperlink" Target="https://www.youtube.com/watch?v=IMpkHvQ0LA4" TargetMode="External" Id="rId5438"/><Relationship Type="http://schemas.openxmlformats.org/officeDocument/2006/relationships/hyperlink" Target="https://www.youtube.com/watch?v=xGDUYQGvRac" TargetMode="External" Id="rId5439"/><Relationship Type="http://schemas.openxmlformats.org/officeDocument/2006/relationships/hyperlink" Target="https://www.youtube.com/watch?v=kDu5YY9d1TM" TargetMode="External" Id="rId5440"/><Relationship Type="http://schemas.openxmlformats.org/officeDocument/2006/relationships/hyperlink" Target="https://www.youtube.com/watch?v=SdBk8fMmwUU" TargetMode="External" Id="rId5441"/><Relationship Type="http://schemas.openxmlformats.org/officeDocument/2006/relationships/hyperlink" Target="https://www.youtube.com/watch?v=yT5PziOXxQg" TargetMode="External" Id="rId5442"/><Relationship Type="http://schemas.openxmlformats.org/officeDocument/2006/relationships/hyperlink" Target="https://www.youtube.com/watch?v=6ZFvToZUjGA" TargetMode="External" Id="rId5443"/><Relationship Type="http://schemas.openxmlformats.org/officeDocument/2006/relationships/hyperlink" Target="https://www.youtube.com/watch?v=SJqWQGh__N8" TargetMode="External" Id="rId5444"/><Relationship Type="http://schemas.openxmlformats.org/officeDocument/2006/relationships/hyperlink" Target="https://www.youtube.com/watch?v=uBmtTL3EitI" TargetMode="External" Id="rId5445"/><Relationship Type="http://schemas.openxmlformats.org/officeDocument/2006/relationships/hyperlink" Target="https://www.youtube.com/watch?v=2nPCw3yHlnI" TargetMode="External" Id="rId5446"/><Relationship Type="http://schemas.openxmlformats.org/officeDocument/2006/relationships/hyperlink" Target="https://www.youtube.com/watch?v=LLUxwHc7O4A" TargetMode="External" Id="rId5447"/><Relationship Type="http://schemas.openxmlformats.org/officeDocument/2006/relationships/hyperlink" Target="https://www.youtube.com/watch?v=RJkR8Ig6dXI" TargetMode="External" Id="rId5448"/><Relationship Type="http://schemas.openxmlformats.org/officeDocument/2006/relationships/hyperlink" Target="https://www.youtube.com/watch?v=iTRW9Gh7yKI" TargetMode="External" Id="rId5449"/><Relationship Type="http://schemas.openxmlformats.org/officeDocument/2006/relationships/hyperlink" Target="https://www.youtube.com/watch?v=_hy9AgZXhbQ" TargetMode="External" Id="rId5450"/><Relationship Type="http://schemas.openxmlformats.org/officeDocument/2006/relationships/hyperlink" Target="https://www.youtube.com/watch?v=JDW82csukhE" TargetMode="External" Id="rId5451"/><Relationship Type="http://schemas.openxmlformats.org/officeDocument/2006/relationships/hyperlink" Target="https://www.youtube.com/watch?v=m2zoddmgvd0" TargetMode="External" Id="rId5452"/><Relationship Type="http://schemas.openxmlformats.org/officeDocument/2006/relationships/hyperlink" Target="https://www.youtube.com/watch?v=8OhnwzT9ypg" TargetMode="External" Id="rId5453"/><Relationship Type="http://schemas.openxmlformats.org/officeDocument/2006/relationships/hyperlink" Target="https://www.youtube.com/watch?v=XZ0PMRWXBEU" TargetMode="External" Id="rId5454"/><Relationship Type="http://schemas.openxmlformats.org/officeDocument/2006/relationships/hyperlink" Target="https://www.youtube.com/watch?v=rNEujZmD2Tg" TargetMode="External" Id="rId5455"/><Relationship Type="http://schemas.openxmlformats.org/officeDocument/2006/relationships/hyperlink" Target="https://www.youtube.com/watch?v=tRArbBf-AbI" TargetMode="External" Id="rId5456"/><Relationship Type="http://schemas.openxmlformats.org/officeDocument/2006/relationships/hyperlink" Target="https://www.youtube.com/watch?v=bt3dqcbMLa0" TargetMode="External" Id="rId5457"/><Relationship Type="http://schemas.openxmlformats.org/officeDocument/2006/relationships/hyperlink" Target="https://www.youtube.com/watch?v=MAGBUh77bNg" TargetMode="External" Id="rId5458"/><Relationship Type="http://schemas.openxmlformats.org/officeDocument/2006/relationships/hyperlink" Target="https://www.youtube.com/watch?v=8cO61e_8oPY" TargetMode="External" Id="rId5459"/><Relationship Type="http://schemas.openxmlformats.org/officeDocument/2006/relationships/hyperlink" Target="https://www.youtube.com/watch?v=m6dKKRsZwBQ" TargetMode="External" Id="rId5460"/><Relationship Type="http://schemas.openxmlformats.org/officeDocument/2006/relationships/hyperlink" Target="https://www.youtube.com/watch?v=qgTvgBCOyn8" TargetMode="External" Id="rId5461"/><Relationship Type="http://schemas.openxmlformats.org/officeDocument/2006/relationships/hyperlink" Target="https://www.youtube.com/watch?v=3Zv-gokhLu8" TargetMode="External" Id="rId5462"/><Relationship Type="http://schemas.openxmlformats.org/officeDocument/2006/relationships/hyperlink" Target="https://www.youtube.com/watch?v=M3Fkvu78ZXc" TargetMode="External" Id="rId5463"/><Relationship Type="http://schemas.openxmlformats.org/officeDocument/2006/relationships/hyperlink" Target="https://www.youtube.com/watch?v=m61KiAMCJ5Q" TargetMode="External" Id="rId5464"/><Relationship Type="http://schemas.openxmlformats.org/officeDocument/2006/relationships/hyperlink" Target="https://www.youtube.com/watch?v=Nci1Bepcy0g" TargetMode="External" Id="rId5465"/><Relationship Type="http://schemas.openxmlformats.org/officeDocument/2006/relationships/hyperlink" Target="https://www.youtube.com/watch?v=8G-OsDs1RLI" TargetMode="External" Id="rId5466"/><Relationship Type="http://schemas.openxmlformats.org/officeDocument/2006/relationships/hyperlink" Target="https://www.youtube.com/watch?v=E69Lp_T9nVg" TargetMode="External" Id="rId5467"/><Relationship Type="http://schemas.openxmlformats.org/officeDocument/2006/relationships/hyperlink" Target="https://www.youtube.com/watch?v=MJt_ahtO-to" TargetMode="External" Id="rId5468"/><Relationship Type="http://schemas.openxmlformats.org/officeDocument/2006/relationships/hyperlink" Target="https://www.youtube.com/watch?v=VsllsC2JMGY" TargetMode="External" Id="rId5469"/><Relationship Type="http://schemas.openxmlformats.org/officeDocument/2006/relationships/hyperlink" Target="https://www.youtube.com/watch?v=vBv7Mf1zsg8" TargetMode="External" Id="rId5470"/><Relationship Type="http://schemas.openxmlformats.org/officeDocument/2006/relationships/hyperlink" Target="https://www.youtube.com/watch?v=mCaRNnEnYwA" TargetMode="External" Id="rId5471"/><Relationship Type="http://schemas.openxmlformats.org/officeDocument/2006/relationships/hyperlink" Target="https://www.youtube.com/watch?v=rY-IJcLFiaM" TargetMode="External" Id="rId5472"/><Relationship Type="http://schemas.openxmlformats.org/officeDocument/2006/relationships/hyperlink" Target="https://www.youtube.com/watch?v=l1SmGx77hKo" TargetMode="External" Id="rId5473"/><Relationship Type="http://schemas.openxmlformats.org/officeDocument/2006/relationships/hyperlink" Target="https://www.youtube.com/watch?v=rMFvcHOOxZc" TargetMode="External" Id="rId5474"/><Relationship Type="http://schemas.openxmlformats.org/officeDocument/2006/relationships/hyperlink" Target="https://www.youtube.com/watch?v=ycZngEpcpK8" TargetMode="External" Id="rId5475"/><Relationship Type="http://schemas.openxmlformats.org/officeDocument/2006/relationships/hyperlink" Target="https://www.youtube.com/watch?v=ShtrAD-tT7c" TargetMode="External" Id="rId5476"/><Relationship Type="http://schemas.openxmlformats.org/officeDocument/2006/relationships/hyperlink" Target="https://www.youtube.com/watch?v=yHfKD-dG_oY" TargetMode="External" Id="rId5477"/><Relationship Type="http://schemas.openxmlformats.org/officeDocument/2006/relationships/hyperlink" Target="https://www.youtube.com/watch?v=7s8-r7qFc-I" TargetMode="External" Id="rId5478"/><Relationship Type="http://schemas.openxmlformats.org/officeDocument/2006/relationships/hyperlink" Target="https://www.youtube.com/watch?v=vHJHhQXPCAg" TargetMode="External" Id="rId5479"/><Relationship Type="http://schemas.openxmlformats.org/officeDocument/2006/relationships/hyperlink" Target="https://www.youtube.com/watch?v=6KMYAuD--4c" TargetMode="External" Id="rId5480"/><Relationship Type="http://schemas.openxmlformats.org/officeDocument/2006/relationships/hyperlink" Target="https://www.youtube.com/watch?v=ufLAf2T8r3o" TargetMode="External" Id="rId5481"/><Relationship Type="http://schemas.openxmlformats.org/officeDocument/2006/relationships/hyperlink" Target="https://www.youtube.com/watch?v=zvgYjfQ9Vb8" TargetMode="External" Id="rId5482"/><Relationship Type="http://schemas.openxmlformats.org/officeDocument/2006/relationships/hyperlink" Target="https://www.youtube.com/watch?v=jAEkTYDwj1s" TargetMode="External" Id="rId5483"/><Relationship Type="http://schemas.openxmlformats.org/officeDocument/2006/relationships/hyperlink" Target="https://www.youtube.com/watch?v=aBMEs8VGtYM" TargetMode="External" Id="rId5484"/><Relationship Type="http://schemas.openxmlformats.org/officeDocument/2006/relationships/hyperlink" Target="https://www.youtube.com/watch?v=8z9kYAfb67A" TargetMode="External" Id="rId5485"/><Relationship Type="http://schemas.openxmlformats.org/officeDocument/2006/relationships/hyperlink" Target="https://www.youtube.com/watch?v=xl1sDuTZkRg" TargetMode="External" Id="rId5486"/><Relationship Type="http://schemas.openxmlformats.org/officeDocument/2006/relationships/hyperlink" Target="https://www.youtube.com/watch?v=p8fe6vFav8w" TargetMode="External" Id="rId5487"/><Relationship Type="http://schemas.openxmlformats.org/officeDocument/2006/relationships/hyperlink" Target="https://www.youtube.com/watch?v=nTpwmLRHZNA" TargetMode="External" Id="rId5488"/><Relationship Type="http://schemas.openxmlformats.org/officeDocument/2006/relationships/hyperlink" Target="https://www.youtube.com/watch?v=AT69NfUMV2U" TargetMode="External" Id="rId5489"/><Relationship Type="http://schemas.openxmlformats.org/officeDocument/2006/relationships/hyperlink" Target="https://www.youtube.com/watch?v=mgdvHYI6FMc" TargetMode="External" Id="rId5490"/><Relationship Type="http://schemas.openxmlformats.org/officeDocument/2006/relationships/hyperlink" Target="https://www.youtube.com/watch?v=kKC4ccoUHGU" TargetMode="External" Id="rId5491"/><Relationship Type="http://schemas.openxmlformats.org/officeDocument/2006/relationships/hyperlink" Target="https://www.youtube.com/watch?v=aO_DmbqHWYs" TargetMode="External" Id="rId5492"/><Relationship Type="http://schemas.openxmlformats.org/officeDocument/2006/relationships/hyperlink" Target="https://www.youtube.com/watch?v=u4ec4EYsgkQ" TargetMode="External" Id="rId5493"/><Relationship Type="http://schemas.openxmlformats.org/officeDocument/2006/relationships/hyperlink" Target="https://www.youtube.com/watch?v=jXMaCSSOSgg" TargetMode="External" Id="rId5494"/><Relationship Type="http://schemas.openxmlformats.org/officeDocument/2006/relationships/hyperlink" Target="https://www.youtube.com/watch?v=JW23py5kOgM" TargetMode="External" Id="rId5495"/><Relationship Type="http://schemas.openxmlformats.org/officeDocument/2006/relationships/hyperlink" Target="https://www.youtube.com/watch?v=HfTdS-kgG70" TargetMode="External" Id="rId5496"/><Relationship Type="http://schemas.openxmlformats.org/officeDocument/2006/relationships/hyperlink" Target="https://www.youtube.com/watch?v=VJHKiqTQhQE" TargetMode="External" Id="rId5497"/><Relationship Type="http://schemas.openxmlformats.org/officeDocument/2006/relationships/hyperlink" Target="https://www.youtube.com/watch?v=FmMCQTOkoxE" TargetMode="External" Id="rId5498"/><Relationship Type="http://schemas.openxmlformats.org/officeDocument/2006/relationships/hyperlink" Target="https://www.youtube.com/watch?v=iFi7LZwYXsQ" TargetMode="External" Id="rId5499"/></Relationships>
</file>

<file path=xl/worksheets/_rels/sheet4.xml.rels><Relationships xmlns="http://schemas.openxmlformats.org/package/2006/relationships"><Relationship Type="http://schemas.openxmlformats.org/officeDocument/2006/relationships/hyperlink" Target="https://www.youtube.com/watch?v=IlwG0ZLB2fU" TargetMode="External" Id="rId1"/><Relationship Type="http://schemas.openxmlformats.org/officeDocument/2006/relationships/hyperlink" Target="https://www.youtube.com/watch?v=J-nH26vbgug" TargetMode="External" Id="rId2"/><Relationship Type="http://schemas.openxmlformats.org/officeDocument/2006/relationships/hyperlink" Target="https://www.youtube.com/watch?v=TLjDHHXF6Os" TargetMode="External" Id="rId3"/><Relationship Type="http://schemas.openxmlformats.org/officeDocument/2006/relationships/hyperlink" Target="https://www.youtube.com/watch?v=Zb-7xXmJq3U" TargetMode="External" Id="rId4"/><Relationship Type="http://schemas.openxmlformats.org/officeDocument/2006/relationships/hyperlink" Target="https://www.youtube.com/watch?v=qnJ4Yt8ku7s" TargetMode="External" Id="rId5"/><Relationship Type="http://schemas.openxmlformats.org/officeDocument/2006/relationships/hyperlink" Target="https://www.youtube.com/watch?v=c_KV_KAEdvY" TargetMode="External" Id="rId6"/><Relationship Type="http://schemas.openxmlformats.org/officeDocument/2006/relationships/hyperlink" Target="https://www.youtube.com/watch?v=6OZu2S1nEA8" TargetMode="External" Id="rId7"/><Relationship Type="http://schemas.openxmlformats.org/officeDocument/2006/relationships/hyperlink" Target="https://www.youtube.com/watch?v=iAhb8CeKwnc" TargetMode="External" Id="rId8"/><Relationship Type="http://schemas.openxmlformats.org/officeDocument/2006/relationships/hyperlink" Target="https://www.youtube.com/watch?v=o5iwZpvtpiE" TargetMode="External" Id="rId9"/><Relationship Type="http://schemas.openxmlformats.org/officeDocument/2006/relationships/hyperlink" Target="https://www.youtube.com/watch?v=6tmby1Dv4aU" TargetMode="External" Id="rId10"/><Relationship Type="http://schemas.openxmlformats.org/officeDocument/2006/relationships/hyperlink" Target="https://www.youtube.com/watch?v=tdgnWgTfZnQ" TargetMode="External" Id="rId11"/><Relationship Type="http://schemas.openxmlformats.org/officeDocument/2006/relationships/hyperlink" Target="https://www.youtube.com/watch?v=EMZu-n4WCH0" TargetMode="External" Id="rId12"/><Relationship Type="http://schemas.openxmlformats.org/officeDocument/2006/relationships/hyperlink" Target="https://www.youtube.com/watch?v=ICQWQDBz87g" TargetMode="External" Id="rId13"/><Relationship Type="http://schemas.openxmlformats.org/officeDocument/2006/relationships/hyperlink" Target="https://www.youtube.com/watch?v=zIMX8NotwQg" TargetMode="External" Id="rId14"/><Relationship Type="http://schemas.openxmlformats.org/officeDocument/2006/relationships/hyperlink" Target="https://www.youtube.com/watch?v=IN1bqxj4pxE" TargetMode="External" Id="rId15"/><Relationship Type="http://schemas.openxmlformats.org/officeDocument/2006/relationships/hyperlink" Target="https://www.youtube.com/watch?v=qrI27pI0P1E" TargetMode="External" Id="rId16"/><Relationship Type="http://schemas.openxmlformats.org/officeDocument/2006/relationships/hyperlink" Target="https://www.youtube.com/watch?v=6SyySuGBm5I" TargetMode="External" Id="rId17"/><Relationship Type="http://schemas.openxmlformats.org/officeDocument/2006/relationships/hyperlink" Target="https://www.youtube.com/watch?v=SKrHs03i08Q" TargetMode="External" Id="rId18"/><Relationship Type="http://schemas.openxmlformats.org/officeDocument/2006/relationships/hyperlink" Target="https://www.youtube.com/watch?v=TUyo8NFi_3Q" TargetMode="External" Id="rId19"/><Relationship Type="http://schemas.openxmlformats.org/officeDocument/2006/relationships/hyperlink" Target="https://www.youtube.com/watch?v=q1pcAqOgYac" TargetMode="External" Id="rId20"/><Relationship Type="http://schemas.openxmlformats.org/officeDocument/2006/relationships/hyperlink" Target="https://www.youtube.com/watch?v=X_pLpIjEpas" TargetMode="External" Id="rId21"/><Relationship Type="http://schemas.openxmlformats.org/officeDocument/2006/relationships/hyperlink" Target="https://www.youtube.com/watch?v=wT_fjRATbVY" TargetMode="External" Id="rId22"/><Relationship Type="http://schemas.openxmlformats.org/officeDocument/2006/relationships/hyperlink" Target="https://www.youtube.com/watch?v=M1ooYaWQfvQ" TargetMode="External" Id="rId23"/><Relationship Type="http://schemas.openxmlformats.org/officeDocument/2006/relationships/hyperlink" Target="https://www.youtube.com/watch?v=OOp2v9-stXo" TargetMode="External" Id="rId24"/><Relationship Type="http://schemas.openxmlformats.org/officeDocument/2006/relationships/hyperlink" Target="https://www.youtube.com/watch?v=-mRl5Uk8IWk" TargetMode="External" Id="rId25"/><Relationship Type="http://schemas.openxmlformats.org/officeDocument/2006/relationships/hyperlink" Target="https://www.youtube.com/watch?v=2LQlPY7zyPM" TargetMode="External" Id="rId26"/><Relationship Type="http://schemas.openxmlformats.org/officeDocument/2006/relationships/hyperlink" Target="https://www.youtube.com/watch?v=4EfUus1qh9Q" TargetMode="External" Id="rId27"/><Relationship Type="http://schemas.openxmlformats.org/officeDocument/2006/relationships/hyperlink" Target="https://www.youtube.com/watch?v=pRbvRl0_FyE" TargetMode="External" Id="rId28"/><Relationship Type="http://schemas.openxmlformats.org/officeDocument/2006/relationships/hyperlink" Target="https://www.youtube.com/watch?v=k9IbNCKJc-c" TargetMode="External" Id="rId29"/><Relationship Type="http://schemas.openxmlformats.org/officeDocument/2006/relationships/hyperlink" Target="https://www.youtube.com/watch?v=hCVXXdJZJFo" TargetMode="External" Id="rId30"/><Relationship Type="http://schemas.openxmlformats.org/officeDocument/2006/relationships/hyperlink" Target="https://www.youtube.com/watch?v=vQD7VcZxXLI" TargetMode="External" Id="rId31"/><Relationship Type="http://schemas.openxmlformats.org/officeDocument/2006/relationships/hyperlink" Target="https://www.youtube.com/watch?v=vw55OE08x_0" TargetMode="External" Id="rId32"/><Relationship Type="http://schemas.openxmlformats.org/officeDocument/2006/relationships/hyperlink" Target="https://www.youtube.com/watch?v=vtusNLxgxTg" TargetMode="External" Id="rId33"/><Relationship Type="http://schemas.openxmlformats.org/officeDocument/2006/relationships/hyperlink" Target="https://www.youtube.com/watch?v=M3fARv8GYA8" TargetMode="External" Id="rId34"/><Relationship Type="http://schemas.openxmlformats.org/officeDocument/2006/relationships/hyperlink" Target="https://www.youtube.com/watch?v=C7PnokVsT4I" TargetMode="External" Id="rId35"/><Relationship Type="http://schemas.openxmlformats.org/officeDocument/2006/relationships/hyperlink" Target="https://www.youtube.com/watch?v=Cl2B_hmg4gA" TargetMode="External" Id="rId36"/><Relationship Type="http://schemas.openxmlformats.org/officeDocument/2006/relationships/hyperlink" Target="https://www.youtube.com/watch?v=MC223HlPdK0" TargetMode="External" Id="rId37"/><Relationship Type="http://schemas.openxmlformats.org/officeDocument/2006/relationships/hyperlink" Target="https://www.youtube.com/watch?v=bh9cbi_HN4A" TargetMode="External" Id="rId38"/><Relationship Type="http://schemas.openxmlformats.org/officeDocument/2006/relationships/hyperlink" Target="https://www.youtube.com/watch?v=ODeprwr3Jho" TargetMode="External" Id="rId39"/><Relationship Type="http://schemas.openxmlformats.org/officeDocument/2006/relationships/hyperlink" Target="https://www.youtube.com/watch?v=we3i5VuoPWk" TargetMode="External" Id="rId40"/><Relationship Type="http://schemas.openxmlformats.org/officeDocument/2006/relationships/hyperlink" Target="https://www.youtube.com/watch?v=VogqOscJYvk" TargetMode="External" Id="rId41"/><Relationship Type="http://schemas.openxmlformats.org/officeDocument/2006/relationships/hyperlink" Target="https://www.youtube.com/watch?v=rsxCZAE8QNA" TargetMode="External" Id="rId42"/><Relationship Type="http://schemas.openxmlformats.org/officeDocument/2006/relationships/hyperlink" Target="https://www.youtube.com/watch?v=vMhA-xl3dbA" TargetMode="External" Id="rId43"/><Relationship Type="http://schemas.openxmlformats.org/officeDocument/2006/relationships/hyperlink" Target="https://www.youtube.com/watch?v=GL7ImGZj-Oc" TargetMode="External" Id="rId44"/><Relationship Type="http://schemas.openxmlformats.org/officeDocument/2006/relationships/hyperlink" Target="https://www.youtube.com/watch?v=v_q2JTIqE20" TargetMode="External" Id="rId45"/><Relationship Type="http://schemas.openxmlformats.org/officeDocument/2006/relationships/hyperlink" Target="https://www.youtube.com/watch?v=pBQJAwogMoE" TargetMode="External" Id="rId46"/><Relationship Type="http://schemas.openxmlformats.org/officeDocument/2006/relationships/hyperlink" Target="https://www.youtube.com/watch?v=31ZyYkoClT4" TargetMode="External" Id="rId47"/><Relationship Type="http://schemas.openxmlformats.org/officeDocument/2006/relationships/hyperlink" Target="https://www.youtube.com/watch?v=DA-_EK8PbTY" TargetMode="External" Id="rId48"/><Relationship Type="http://schemas.openxmlformats.org/officeDocument/2006/relationships/hyperlink" Target="https://www.youtube.com/watch?v=zHY7iF_2RyU" TargetMode="External" Id="rId49"/><Relationship Type="http://schemas.openxmlformats.org/officeDocument/2006/relationships/hyperlink" Target="https://www.youtube.com/watch?v=g5ZKBH6UQvE" TargetMode="External" Id="rId50"/><Relationship Type="http://schemas.openxmlformats.org/officeDocument/2006/relationships/hyperlink" Target="https://www.youtube.com/watch?v=6AVEPOqJfOk" TargetMode="External" Id="rId51"/><Relationship Type="http://schemas.openxmlformats.org/officeDocument/2006/relationships/hyperlink" Target="https://www.youtube.com/watch?v=awcTLCJbNNs" TargetMode="External" Id="rId52"/><Relationship Type="http://schemas.openxmlformats.org/officeDocument/2006/relationships/hyperlink" Target="https://www.youtube.com/watch?v=RsJobEJVdbk" TargetMode="External" Id="rId53"/><Relationship Type="http://schemas.openxmlformats.org/officeDocument/2006/relationships/hyperlink" Target="https://www.youtube.com/watch?v=Jomj8_6GOZc" TargetMode="External" Id="rId54"/><Relationship Type="http://schemas.openxmlformats.org/officeDocument/2006/relationships/hyperlink" Target="https://www.youtube.com/watch?v=LuhJEEJQgUM" TargetMode="External" Id="rId55"/><Relationship Type="http://schemas.openxmlformats.org/officeDocument/2006/relationships/hyperlink" Target="https://www.youtube.com/watch?v=NQ-0D5Ti2dc" TargetMode="External" Id="rId56"/><Relationship Type="http://schemas.openxmlformats.org/officeDocument/2006/relationships/hyperlink" Target="https://www.youtube.com/watch?v=4sgKnKbR-WE" TargetMode="External" Id="rId57"/><Relationship Type="http://schemas.openxmlformats.org/officeDocument/2006/relationships/hyperlink" Target="https://www.youtube.com/watch?v=lTmYrKwjSOU" TargetMode="External" Id="rId58"/><Relationship Type="http://schemas.openxmlformats.org/officeDocument/2006/relationships/hyperlink" Target="https://www.youtube.com/watch?v=wVsR-YhaHlM" TargetMode="External" Id="rId59"/><Relationship Type="http://schemas.openxmlformats.org/officeDocument/2006/relationships/hyperlink" Target="https://www.youtube.com/watch?v=1u9xUK3G4VM" TargetMode="External" Id="rId60"/><Relationship Type="http://schemas.openxmlformats.org/officeDocument/2006/relationships/hyperlink" Target="https://www.youtube.com/watch?v=SGhfUhlowB4" TargetMode="External" Id="rId61"/><Relationship Type="http://schemas.openxmlformats.org/officeDocument/2006/relationships/hyperlink" Target="https://www.youtube.com/watch?v=09wntC6BT5o" TargetMode="External" Id="rId62"/><Relationship Type="http://schemas.openxmlformats.org/officeDocument/2006/relationships/hyperlink" Target="https://www.youtube.com/watch?v=mGDnOLcfE8g" TargetMode="External" Id="rId63"/><Relationship Type="http://schemas.openxmlformats.org/officeDocument/2006/relationships/hyperlink" Target="https://www.youtube.com/watch?v=DdTsX6DQk24" TargetMode="External" Id="rId64"/><Relationship Type="http://schemas.openxmlformats.org/officeDocument/2006/relationships/hyperlink" Target="https://www.youtube.com/watch?v=G6q719ck7ww" TargetMode="External" Id="rId65"/><Relationship Type="http://schemas.openxmlformats.org/officeDocument/2006/relationships/hyperlink" Target="https://www.youtube.com/watch?v=SKV6kDk1s94" TargetMode="External" Id="rId66"/><Relationship Type="http://schemas.openxmlformats.org/officeDocument/2006/relationships/hyperlink" Target="https://www.youtube.com/watch?v=T22e3fgit-A" TargetMode="External" Id="rId67"/><Relationship Type="http://schemas.openxmlformats.org/officeDocument/2006/relationships/hyperlink" Target="https://www.youtube.com/watch?v=m6BSREnQ84U" TargetMode="External" Id="rId68"/><Relationship Type="http://schemas.openxmlformats.org/officeDocument/2006/relationships/hyperlink" Target="https://www.youtube.com/watch?v=hQ9GPnV0-50" TargetMode="External" Id="rId69"/><Relationship Type="http://schemas.openxmlformats.org/officeDocument/2006/relationships/hyperlink" Target="https://www.youtube.com/watch?v=gWble4FreV4" TargetMode="External" Id="rId70"/><Relationship Type="http://schemas.openxmlformats.org/officeDocument/2006/relationships/hyperlink" Target="https://www.youtube.com/watch?v=njgow_zaJMw" TargetMode="External" Id="rId71"/><Relationship Type="http://schemas.openxmlformats.org/officeDocument/2006/relationships/hyperlink" Target="https://www.youtube.com/watch?v=Br07GsnnvWc" TargetMode="External" Id="rId72"/><Relationship Type="http://schemas.openxmlformats.org/officeDocument/2006/relationships/hyperlink" Target="https://www.youtube.com/watch?v=iA49QqWwMcA" TargetMode="External" Id="rId73"/><Relationship Type="http://schemas.openxmlformats.org/officeDocument/2006/relationships/hyperlink" Target="https://www.youtube.com/watch?v=7c3c3bCGzKU" TargetMode="External" Id="rId74"/><Relationship Type="http://schemas.openxmlformats.org/officeDocument/2006/relationships/hyperlink" Target="https://www.youtube.com/watch?v=VYWRjcUqW6w" TargetMode="External" Id="rId75"/><Relationship Type="http://schemas.openxmlformats.org/officeDocument/2006/relationships/hyperlink" Target="https://www.youtube.com/watch?v=qmpGv72qPCE" TargetMode="External" Id="rId76"/><Relationship Type="http://schemas.openxmlformats.org/officeDocument/2006/relationships/hyperlink" Target="https://www.youtube.com/watch?v=BgGe_erJB1A" TargetMode="External" Id="rId77"/><Relationship Type="http://schemas.openxmlformats.org/officeDocument/2006/relationships/hyperlink" Target="https://www.youtube.com/watch?v=F_BazucyCMw" TargetMode="External" Id="rId78"/><Relationship Type="http://schemas.openxmlformats.org/officeDocument/2006/relationships/hyperlink" Target="https://www.youtube.com/watch?v=ErTmTCRP1_U" TargetMode="External" Id="rId79"/><Relationship Type="http://schemas.openxmlformats.org/officeDocument/2006/relationships/hyperlink" Target="https://www.youtube.com/watch?v=NHRTCQBZokg" TargetMode="External" Id="rId80"/><Relationship Type="http://schemas.openxmlformats.org/officeDocument/2006/relationships/hyperlink" Target="https://www.youtube.com/watch?v=mG8TRTWs9Aw" TargetMode="External" Id="rId81"/><Relationship Type="http://schemas.openxmlformats.org/officeDocument/2006/relationships/hyperlink" Target="https://www.youtube.com/watch?v=CtrqBmYtSEk" TargetMode="External" Id="rId82"/><Relationship Type="http://schemas.openxmlformats.org/officeDocument/2006/relationships/hyperlink" Target="https://www.youtube.com/watch?v=vzUhbDO_0qk" TargetMode="External" Id="rId83"/><Relationship Type="http://schemas.openxmlformats.org/officeDocument/2006/relationships/hyperlink" Target="https://www.youtube.com/watch?v=tIPDwUepXcA" TargetMode="External" Id="rId84"/><Relationship Type="http://schemas.openxmlformats.org/officeDocument/2006/relationships/hyperlink" Target="https://www.youtube.com/watch?v=RTJKXK5L8gw" TargetMode="External" Id="rId85"/><Relationship Type="http://schemas.openxmlformats.org/officeDocument/2006/relationships/hyperlink" Target="https://www.youtube.com/watch?v=BgeFR4UfajQ" TargetMode="External" Id="rId86"/><Relationship Type="http://schemas.openxmlformats.org/officeDocument/2006/relationships/hyperlink" Target="https://www.youtube.com/watch?v=zxGVvMN6WaM" TargetMode="External" Id="rId87"/><Relationship Type="http://schemas.openxmlformats.org/officeDocument/2006/relationships/hyperlink" Target="https://www.youtube.com/watch?v=beuOWBbiJfQ" TargetMode="External" Id="rId88"/><Relationship Type="http://schemas.openxmlformats.org/officeDocument/2006/relationships/hyperlink" Target="https://www.youtube.com/watch?v=XVo17Q7YapA" TargetMode="External" Id="rId89"/><Relationship Type="http://schemas.openxmlformats.org/officeDocument/2006/relationships/hyperlink" Target="https://www.youtube.com/watch?v=2KUyEdlVBsw" TargetMode="External" Id="rId90"/><Relationship Type="http://schemas.openxmlformats.org/officeDocument/2006/relationships/hyperlink" Target="https://www.youtube.com/watch?v=6Cxnnvv3DnY" TargetMode="External" Id="rId91"/><Relationship Type="http://schemas.openxmlformats.org/officeDocument/2006/relationships/hyperlink" Target="https://www.youtube.com/watch?v=5qSN-R_E3w0" TargetMode="External" Id="rId92"/><Relationship Type="http://schemas.openxmlformats.org/officeDocument/2006/relationships/hyperlink" Target="https://www.youtube.com/watch?v=i6Y2EelEC04" TargetMode="External" Id="rId93"/><Relationship Type="http://schemas.openxmlformats.org/officeDocument/2006/relationships/hyperlink" Target="https://www.youtube.com/watch?v=MBOPzfl1JBo" TargetMode="External" Id="rId94"/><Relationship Type="http://schemas.openxmlformats.org/officeDocument/2006/relationships/hyperlink" Target="https://www.youtube.com/watch?v=ua2NhlenIKo" TargetMode="External" Id="rId95"/><Relationship Type="http://schemas.openxmlformats.org/officeDocument/2006/relationships/hyperlink" Target="https://www.youtube.com/watch?v=9-dfte_N3yk" TargetMode="External" Id="rId96"/><Relationship Type="http://schemas.openxmlformats.org/officeDocument/2006/relationships/hyperlink" Target="https://www.youtube.com/watch?v=6bqnqDZg4_0" TargetMode="External" Id="rId97"/><Relationship Type="http://schemas.openxmlformats.org/officeDocument/2006/relationships/hyperlink" Target="https://www.youtube.com/watch?v=_b4I4rKpsGA" TargetMode="External" Id="rId98"/><Relationship Type="http://schemas.openxmlformats.org/officeDocument/2006/relationships/hyperlink" Target="https://www.youtube.com/watch?v=TH1i-GmMZuQ" TargetMode="External" Id="rId99"/><Relationship Type="http://schemas.openxmlformats.org/officeDocument/2006/relationships/hyperlink" Target="https://www.youtube.com/watch?v=jsYyF03Fs3o" TargetMode="External" Id="rId100"/><Relationship Type="http://schemas.openxmlformats.org/officeDocument/2006/relationships/hyperlink" Target="https://www.youtube.com/watch?v=-6FlMJ-AP74" TargetMode="External" Id="rId101"/><Relationship Type="http://schemas.openxmlformats.org/officeDocument/2006/relationships/hyperlink" Target="https://www.youtube.com/watch?v=jGouxuAHIfQ" TargetMode="External" Id="rId102"/><Relationship Type="http://schemas.openxmlformats.org/officeDocument/2006/relationships/hyperlink" Target="https://www.youtube.com/watch?v=E0G3hf4DneA" TargetMode="External" Id="rId103"/><Relationship Type="http://schemas.openxmlformats.org/officeDocument/2006/relationships/hyperlink" Target="https://www.youtube.com/watch?v=MVh_guNbWMA" TargetMode="External" Id="rId104"/><Relationship Type="http://schemas.openxmlformats.org/officeDocument/2006/relationships/hyperlink" Target="https://www.youtube.com/watch?v=oYs_qtuk2Pg" TargetMode="External" Id="rId105"/><Relationship Type="http://schemas.openxmlformats.org/officeDocument/2006/relationships/hyperlink" Target="https://www.youtube.com/watch?v=HcnybHRbTcc" TargetMode="External" Id="rId106"/><Relationship Type="http://schemas.openxmlformats.org/officeDocument/2006/relationships/hyperlink" Target="https://www.youtube.com/watch?v=Ok8vi6JemVQ" TargetMode="External" Id="rId107"/><Relationship Type="http://schemas.openxmlformats.org/officeDocument/2006/relationships/hyperlink" Target="https://www.youtube.com/watch?v=wiaUh82NEoE" TargetMode="External" Id="rId108"/><Relationship Type="http://schemas.openxmlformats.org/officeDocument/2006/relationships/hyperlink" Target="https://www.youtube.com/watch?v=loZ4xQ5RZuU" TargetMode="External" Id="rId109"/><Relationship Type="http://schemas.openxmlformats.org/officeDocument/2006/relationships/hyperlink" Target="https://www.youtube.com/watch?v=TZnJYRTSGVk" TargetMode="External" Id="rId110"/><Relationship Type="http://schemas.openxmlformats.org/officeDocument/2006/relationships/hyperlink" Target="https://www.youtube.com/watch?v=_LmOPM5HnZ0" TargetMode="External" Id="rId111"/><Relationship Type="http://schemas.openxmlformats.org/officeDocument/2006/relationships/hyperlink" Target="https://www.youtube.com/watch?v=WnBG7je7tO4" TargetMode="External" Id="rId112"/><Relationship Type="http://schemas.openxmlformats.org/officeDocument/2006/relationships/hyperlink" Target="https://www.youtube.com/watch?v=KqeI23SpJx8" TargetMode="External" Id="rId113"/><Relationship Type="http://schemas.openxmlformats.org/officeDocument/2006/relationships/hyperlink" Target="https://www.youtube.com/watch?v=PGUw2P55ZYM" TargetMode="External" Id="rId114"/><Relationship Type="http://schemas.openxmlformats.org/officeDocument/2006/relationships/hyperlink" Target="https://www.youtube.com/watch?v=qRycGTCHuuY" TargetMode="External" Id="rId115"/><Relationship Type="http://schemas.openxmlformats.org/officeDocument/2006/relationships/hyperlink" Target="https://www.youtube.com/watch?v=u7xJwEJVWdM" TargetMode="External" Id="rId116"/><Relationship Type="http://schemas.openxmlformats.org/officeDocument/2006/relationships/hyperlink" Target="https://www.youtube.com/watch?v=ccMl2KLb-iY" TargetMode="External" Id="rId117"/><Relationship Type="http://schemas.openxmlformats.org/officeDocument/2006/relationships/hyperlink" Target="https://www.youtube.com/watch?v=Av1za_0o2Qs" TargetMode="External" Id="rId118"/><Relationship Type="http://schemas.openxmlformats.org/officeDocument/2006/relationships/hyperlink" Target="https://www.youtube.com/watch?v=PAsL680eWUw" TargetMode="External" Id="rId119"/><Relationship Type="http://schemas.openxmlformats.org/officeDocument/2006/relationships/hyperlink" Target="https://www.youtube.com/watch?v=RW2-HtWaOS0" TargetMode="External" Id="rId120"/><Relationship Type="http://schemas.openxmlformats.org/officeDocument/2006/relationships/hyperlink" Target="https://www.youtube.com/watch?v=tnADC2XuAr0" TargetMode="External" Id="rId121"/><Relationship Type="http://schemas.openxmlformats.org/officeDocument/2006/relationships/hyperlink" Target="https://www.youtube.com/watch?v=V3Q9IjsgXvA" TargetMode="External" Id="rId122"/><Relationship Type="http://schemas.openxmlformats.org/officeDocument/2006/relationships/hyperlink" Target="https://www.youtube.com/watch?v=IrkNZG8MJ64" TargetMode="External" Id="rId123"/><Relationship Type="http://schemas.openxmlformats.org/officeDocument/2006/relationships/hyperlink" Target="https://www.youtube.com/watch?v=ATfDVKBU65k" TargetMode="External" Id="rId124"/><Relationship Type="http://schemas.openxmlformats.org/officeDocument/2006/relationships/hyperlink" Target="https://www.youtube.com/watch?v=uHN5fpfu8As" TargetMode="External" Id="rId125"/><Relationship Type="http://schemas.openxmlformats.org/officeDocument/2006/relationships/hyperlink" Target="https://www.youtube.com/watch?v=5btb5qcUPbU" TargetMode="External" Id="rId126"/><Relationship Type="http://schemas.openxmlformats.org/officeDocument/2006/relationships/hyperlink" Target="https://www.youtube.com/watch?v=pe0N7LqNg9w" TargetMode="External" Id="rId127"/><Relationship Type="http://schemas.openxmlformats.org/officeDocument/2006/relationships/hyperlink" Target="https://www.youtube.com/watch?v=ju-KlcuWlbk" TargetMode="External" Id="rId128"/><Relationship Type="http://schemas.openxmlformats.org/officeDocument/2006/relationships/hyperlink" Target="https://www.youtube.com/watch?v=18YupYsH5vY" TargetMode="External" Id="rId129"/><Relationship Type="http://schemas.openxmlformats.org/officeDocument/2006/relationships/hyperlink" Target="https://www.youtube.com/watch?v=gr487xsMpO8" TargetMode="External" Id="rId130"/><Relationship Type="http://schemas.openxmlformats.org/officeDocument/2006/relationships/hyperlink" Target="https://www.youtube.com/watch?v=GmhnYe9QQoM" TargetMode="External" Id="rId131"/><Relationship Type="http://schemas.openxmlformats.org/officeDocument/2006/relationships/hyperlink" Target="https://www.youtube.com/watch?v=2dY8vPQ349Q" TargetMode="External" Id="rId132"/><Relationship Type="http://schemas.openxmlformats.org/officeDocument/2006/relationships/hyperlink" Target="https://www.youtube.com/watch?v=Lg8F4F_qZxk" TargetMode="External" Id="rId133"/><Relationship Type="http://schemas.openxmlformats.org/officeDocument/2006/relationships/hyperlink" Target="https://www.youtube.com/watch?v=TB07_mUMt0U" TargetMode="External" Id="rId134"/><Relationship Type="http://schemas.openxmlformats.org/officeDocument/2006/relationships/hyperlink" Target="https://www.youtube.com/watch?v=L_lgdbYSGxY" TargetMode="External" Id="rId135"/><Relationship Type="http://schemas.openxmlformats.org/officeDocument/2006/relationships/hyperlink" Target="https://www.youtube.com/watch?v=ouK0gwYOA_Y" TargetMode="External" Id="rId136"/><Relationship Type="http://schemas.openxmlformats.org/officeDocument/2006/relationships/hyperlink" Target="https://www.youtube.com/watch?v=BHqoXoRuH-I" TargetMode="External" Id="rId137"/><Relationship Type="http://schemas.openxmlformats.org/officeDocument/2006/relationships/hyperlink" Target="https://www.youtube.com/watch?v=napEsaJ5hMU" TargetMode="External" Id="rId138"/><Relationship Type="http://schemas.openxmlformats.org/officeDocument/2006/relationships/hyperlink" Target="https://www.youtube.com/watch?v=f2Ohpqb8GWw" TargetMode="External" Id="rId139"/><Relationship Type="http://schemas.openxmlformats.org/officeDocument/2006/relationships/hyperlink" Target="https://www.youtube.com/watch?v=rTUz28f8p6g" TargetMode="External" Id="rId140"/><Relationship Type="http://schemas.openxmlformats.org/officeDocument/2006/relationships/hyperlink" Target="https://www.youtube.com/watch?v=RUqdzntAgMc" TargetMode="External" Id="rId141"/><Relationship Type="http://schemas.openxmlformats.org/officeDocument/2006/relationships/hyperlink" Target="https://www.youtube.com/watch?v=43gRI03rRWY" TargetMode="External" Id="rId142"/><Relationship Type="http://schemas.openxmlformats.org/officeDocument/2006/relationships/hyperlink" Target="https://www.youtube.com/watch?v=LUnOuUdTSwA" TargetMode="External" Id="rId143"/><Relationship Type="http://schemas.openxmlformats.org/officeDocument/2006/relationships/hyperlink" Target="https://www.youtube.com/watch?v=Uf2IBTfpfms" TargetMode="External" Id="rId144"/><Relationship Type="http://schemas.openxmlformats.org/officeDocument/2006/relationships/hyperlink" Target="https://www.youtube.com/watch?v=6r3_2LjCzPg" TargetMode="External" Id="rId145"/><Relationship Type="http://schemas.openxmlformats.org/officeDocument/2006/relationships/hyperlink" Target="https://www.youtube.com/watch?v=VIDmDKvgglg" TargetMode="External" Id="rId146"/><Relationship Type="http://schemas.openxmlformats.org/officeDocument/2006/relationships/hyperlink" Target="https://www.youtube.com/watch?v=-hiCMAtX0Hc" TargetMode="External" Id="rId147"/><Relationship Type="http://schemas.openxmlformats.org/officeDocument/2006/relationships/hyperlink" Target="https://www.youtube.com/watch?v=pv1zwx1cN7k" TargetMode="External" Id="rId148"/><Relationship Type="http://schemas.openxmlformats.org/officeDocument/2006/relationships/hyperlink" Target="https://www.youtube.com/watch?v=TIMHJWmKv4k" TargetMode="External" Id="rId149"/><Relationship Type="http://schemas.openxmlformats.org/officeDocument/2006/relationships/hyperlink" Target="https://www.youtube.com/watch?v=IIoEORrDKPE" TargetMode="External" Id="rId150"/><Relationship Type="http://schemas.openxmlformats.org/officeDocument/2006/relationships/hyperlink" Target="https://www.youtube.com/watch?v=jJTQ8-vjEb0" TargetMode="External" Id="rId151"/><Relationship Type="http://schemas.openxmlformats.org/officeDocument/2006/relationships/hyperlink" Target="https://www.youtube.com/watch?v=BJKwBnpq21s" TargetMode="External" Id="rId152"/><Relationship Type="http://schemas.openxmlformats.org/officeDocument/2006/relationships/hyperlink" Target="https://www.youtube.com/watch?v=IGVgpicqQkM" TargetMode="External" Id="rId153"/><Relationship Type="http://schemas.openxmlformats.org/officeDocument/2006/relationships/hyperlink" Target="https://www.youtube.com/watch?v=kLFv33vCajc" TargetMode="External" Id="rId154"/><Relationship Type="http://schemas.openxmlformats.org/officeDocument/2006/relationships/hyperlink" Target="https://www.youtube.com/watch?v=J18ecB-LuJI" TargetMode="External" Id="rId155"/><Relationship Type="http://schemas.openxmlformats.org/officeDocument/2006/relationships/hyperlink" Target="https://www.youtube.com/watch?v=3vuano-RhEc" TargetMode="External" Id="rId156"/><Relationship Type="http://schemas.openxmlformats.org/officeDocument/2006/relationships/hyperlink" Target="https://www.youtube.com/watch?v=OHijtcMGm9I" TargetMode="External" Id="rId157"/><Relationship Type="http://schemas.openxmlformats.org/officeDocument/2006/relationships/hyperlink" Target="https://www.youtube.com/watch?v=jkwD48mGOwQ" TargetMode="External" Id="rId158"/><Relationship Type="http://schemas.openxmlformats.org/officeDocument/2006/relationships/hyperlink" Target="https://www.youtube.com/watch?v=YinsPbgr_mM" TargetMode="External" Id="rId159"/><Relationship Type="http://schemas.openxmlformats.org/officeDocument/2006/relationships/hyperlink" Target="https://www.youtube.com/watch?v=8MsRlPnh0HU" TargetMode="External" Id="rId160"/><Relationship Type="http://schemas.openxmlformats.org/officeDocument/2006/relationships/hyperlink" Target="https://www.youtube.com/watch?v=4_smHyqgDTU" TargetMode="External" Id="rId161"/><Relationship Type="http://schemas.openxmlformats.org/officeDocument/2006/relationships/hyperlink" Target="https://www.youtube.com/watch?v=IckwwgP8N1s" TargetMode="External" Id="rId162"/><Relationship Type="http://schemas.openxmlformats.org/officeDocument/2006/relationships/hyperlink" Target="https://www.youtube.com/watch?v=lCNawhPRGD4" TargetMode="External" Id="rId163"/><Relationship Type="http://schemas.openxmlformats.org/officeDocument/2006/relationships/hyperlink" Target="https://www.youtube.com/watch?v=9ZnwfPvAlHM" TargetMode="External" Id="rId164"/><Relationship Type="http://schemas.openxmlformats.org/officeDocument/2006/relationships/hyperlink" Target="https://www.youtube.com/watch?v=eb3dXivyTzE" TargetMode="External" Id="rId165"/><Relationship Type="http://schemas.openxmlformats.org/officeDocument/2006/relationships/hyperlink" Target="https://www.youtube.com/watch?v=EsdZlKvgRQk" TargetMode="External" Id="rId166"/><Relationship Type="http://schemas.openxmlformats.org/officeDocument/2006/relationships/hyperlink" Target="https://www.youtube.com/watch?v=AeaUfpybJfg" TargetMode="External" Id="rId167"/><Relationship Type="http://schemas.openxmlformats.org/officeDocument/2006/relationships/hyperlink" Target="https://www.youtube.com/watch?v=enU2Az-cQ98" TargetMode="External" Id="rId168"/><Relationship Type="http://schemas.openxmlformats.org/officeDocument/2006/relationships/hyperlink" Target="https://www.youtube.com/watch?v=9015kJyMBcw" TargetMode="External" Id="rId169"/><Relationship Type="http://schemas.openxmlformats.org/officeDocument/2006/relationships/hyperlink" Target="https://www.youtube.com/watch?v=3ZkzAuHCSSo" TargetMode="External" Id="rId170"/><Relationship Type="http://schemas.openxmlformats.org/officeDocument/2006/relationships/hyperlink" Target="https://www.youtube.com/watch?v=mV_I7rK7y0E" TargetMode="External" Id="rId171"/><Relationship Type="http://schemas.openxmlformats.org/officeDocument/2006/relationships/hyperlink" Target="https://www.youtube.com/watch?v=Uoi3-_xMPtk" TargetMode="External" Id="rId172"/><Relationship Type="http://schemas.openxmlformats.org/officeDocument/2006/relationships/hyperlink" Target="https://www.youtube.com/watch?v=O1dVhNqlO3Y" TargetMode="External" Id="rId173"/><Relationship Type="http://schemas.openxmlformats.org/officeDocument/2006/relationships/hyperlink" Target="https://www.youtube.com/watch?v=akHo2hJAD1o" TargetMode="External" Id="rId174"/><Relationship Type="http://schemas.openxmlformats.org/officeDocument/2006/relationships/hyperlink" Target="https://www.youtube.com/watch?v=wDwtEv3grdw" TargetMode="External" Id="rId175"/><Relationship Type="http://schemas.openxmlformats.org/officeDocument/2006/relationships/hyperlink" Target="https://www.youtube.com/watch?v=w6bo48SaINU" TargetMode="External" Id="rId176"/><Relationship Type="http://schemas.openxmlformats.org/officeDocument/2006/relationships/hyperlink" Target="https://www.youtube.com/watch?v=6lDbMpkkGYo" TargetMode="External" Id="rId177"/><Relationship Type="http://schemas.openxmlformats.org/officeDocument/2006/relationships/hyperlink" Target="https://www.youtube.com/watch?v=dJKajNwbJ74" TargetMode="External" Id="rId178"/><Relationship Type="http://schemas.openxmlformats.org/officeDocument/2006/relationships/hyperlink" Target="https://www.youtube.com/watch?v=XKqislC2GYA" TargetMode="External" Id="rId179"/><Relationship Type="http://schemas.openxmlformats.org/officeDocument/2006/relationships/hyperlink" Target="https://www.youtube.com/watch?v=gHXXGYIgasE" TargetMode="External" Id="rId180"/><Relationship Type="http://schemas.openxmlformats.org/officeDocument/2006/relationships/hyperlink" Target="https://www.youtube.com/watch?v=SuHcOYqIOrY" TargetMode="External" Id="rId181"/><Relationship Type="http://schemas.openxmlformats.org/officeDocument/2006/relationships/hyperlink" Target="https://www.youtube.com/watch?v=q0RHlFAk544" TargetMode="External" Id="rId182"/><Relationship Type="http://schemas.openxmlformats.org/officeDocument/2006/relationships/hyperlink" Target="https://www.youtube.com/watch?v=UgTIGQxJtOc" TargetMode="External" Id="rId183"/><Relationship Type="http://schemas.openxmlformats.org/officeDocument/2006/relationships/hyperlink" Target="https://www.youtube.com/watch?v=1XYGfA4kJ1c" TargetMode="External" Id="rId184"/><Relationship Type="http://schemas.openxmlformats.org/officeDocument/2006/relationships/hyperlink" Target="https://www.youtube.com/watch?v=Rn5JgItgKX4" TargetMode="External" Id="rId185"/><Relationship Type="http://schemas.openxmlformats.org/officeDocument/2006/relationships/hyperlink" Target="https://www.youtube.com/watch?v=XsRBGl1wWAU" TargetMode="External" Id="rId186"/><Relationship Type="http://schemas.openxmlformats.org/officeDocument/2006/relationships/hyperlink" Target="https://www.youtube.com/watch?v=veSnKC9hmWo" TargetMode="External" Id="rId187"/><Relationship Type="http://schemas.openxmlformats.org/officeDocument/2006/relationships/hyperlink" Target="https://www.youtube.com/watch?v=vsN_Ff3bluU" TargetMode="External" Id="rId188"/><Relationship Type="http://schemas.openxmlformats.org/officeDocument/2006/relationships/hyperlink" Target="https://www.youtube.com/watch?v=b2_1LccKj9c" TargetMode="External" Id="rId189"/><Relationship Type="http://schemas.openxmlformats.org/officeDocument/2006/relationships/hyperlink" Target="https://www.youtube.com/watch?v=ADXJErS9vgs" TargetMode="External" Id="rId190"/><Relationship Type="http://schemas.openxmlformats.org/officeDocument/2006/relationships/hyperlink" Target="https://www.youtube.com/watch?v=m5eTgR232V4" TargetMode="External" Id="rId191"/><Relationship Type="http://schemas.openxmlformats.org/officeDocument/2006/relationships/hyperlink" Target="https://www.youtube.com/watch?v=6zGBxlx0qeE" TargetMode="External" Id="rId192"/><Relationship Type="http://schemas.openxmlformats.org/officeDocument/2006/relationships/hyperlink" Target="https://www.youtube.com/watch?v=srZfm_TIgwc" TargetMode="External" Id="rId193"/><Relationship Type="http://schemas.openxmlformats.org/officeDocument/2006/relationships/hyperlink" Target="https://www.youtube.com/watch?v=T4zEx-l10BQ" TargetMode="External" Id="rId194"/><Relationship Type="http://schemas.openxmlformats.org/officeDocument/2006/relationships/hyperlink" Target="https://www.youtube.com/watch?v=Rc5t1-TAanc" TargetMode="External" Id="rId195"/><Relationship Type="http://schemas.openxmlformats.org/officeDocument/2006/relationships/hyperlink" Target="https://www.youtube.com/watch?v=EnkCuajMyeg" TargetMode="External" Id="rId196"/><Relationship Type="http://schemas.openxmlformats.org/officeDocument/2006/relationships/hyperlink" Target="https://www.youtube.com/watch?v=FH9pBid4D1E" TargetMode="External" Id="rId197"/><Relationship Type="http://schemas.openxmlformats.org/officeDocument/2006/relationships/hyperlink" Target="https://www.youtube.com/watch?v=c77B60_QIYI" TargetMode="External" Id="rId198"/><Relationship Type="http://schemas.openxmlformats.org/officeDocument/2006/relationships/hyperlink" Target="https://www.youtube.com/watch?v=B-rrtNhikJc" TargetMode="External" Id="rId199"/><Relationship Type="http://schemas.openxmlformats.org/officeDocument/2006/relationships/hyperlink" Target="https://www.youtube.com/watch?v=T9sVLbrBHm8" TargetMode="External" Id="rId200"/><Relationship Type="http://schemas.openxmlformats.org/officeDocument/2006/relationships/hyperlink" Target="https://www.youtube.com/watch?v=spKFrvsnrj4" TargetMode="External" Id="rId201"/><Relationship Type="http://schemas.openxmlformats.org/officeDocument/2006/relationships/hyperlink" Target="https://www.youtube.com/watch?v=QioNHmssyXU" TargetMode="External" Id="rId202"/><Relationship Type="http://schemas.openxmlformats.org/officeDocument/2006/relationships/hyperlink" Target="https://www.youtube.com/watch?v=byt-WpQBLW0" TargetMode="External" Id="rId203"/><Relationship Type="http://schemas.openxmlformats.org/officeDocument/2006/relationships/hyperlink" Target="https://www.youtube.com/watch?v=cjNRGN3-BOs" TargetMode="External" Id="rId204"/><Relationship Type="http://schemas.openxmlformats.org/officeDocument/2006/relationships/hyperlink" Target="https://www.youtube.com/watch?v=dQOYroEYdtA" TargetMode="External" Id="rId205"/><Relationship Type="http://schemas.openxmlformats.org/officeDocument/2006/relationships/hyperlink" Target="https://www.youtube.com/watch?v=d8FCo2x2Q2Y" TargetMode="External" Id="rId206"/><Relationship Type="http://schemas.openxmlformats.org/officeDocument/2006/relationships/hyperlink" Target="https://www.youtube.com/watch?v=jzReGTcAWBs" TargetMode="External" Id="rId207"/><Relationship Type="http://schemas.openxmlformats.org/officeDocument/2006/relationships/hyperlink" Target="https://www.youtube.com/watch?v=uj6oIIb_1rA" TargetMode="External" Id="rId208"/><Relationship Type="http://schemas.openxmlformats.org/officeDocument/2006/relationships/hyperlink" Target="https://www.youtube.com/watch?v=6KMYAuD--4c" TargetMode="External" Id="rId209"/><Relationship Type="http://schemas.openxmlformats.org/officeDocument/2006/relationships/hyperlink" Target="https://www.youtube.com/watch?v=ufLAf2T8r3o" TargetMode="External" Id="rId210"/><Relationship Type="http://schemas.openxmlformats.org/officeDocument/2006/relationships/hyperlink" Target="https://www.youtube.com/watch?v=8z9kYAfb67A" TargetMode="External" Id="rId211"/><Relationship Type="http://schemas.openxmlformats.org/officeDocument/2006/relationships/hyperlink" Target="https://www.youtube.com/watch?v=aO_DmbqHWYs" TargetMode="External" Id="rId212"/><Relationship Type="http://schemas.openxmlformats.org/officeDocument/2006/relationships/hyperlink" Target="https://www.youtube.com/watch?v=u4ec4EYsgkQ" TargetMode="External" Id="rId213"/><Relationship Type="http://schemas.openxmlformats.org/officeDocument/2006/relationships/hyperlink" Target="https://www.youtube.com/watch?v=jXMaCSSOSgg" TargetMode="External" Id="rId214"/><Relationship Type="http://schemas.openxmlformats.org/officeDocument/2006/relationships/hyperlink" Target="https://www.youtube.com/watch?v=JW23py5kOgM" TargetMode="External" Id="rId215"/><Relationship Type="http://schemas.openxmlformats.org/officeDocument/2006/relationships/hyperlink" Target="https://www.youtube.com/watch?v=FmMCQTOkoxE" TargetMode="External" Id="rId216"/><Relationship Type="http://schemas.openxmlformats.org/officeDocument/2006/relationships/hyperlink" Target="https://www.youtube.com/watch?v=iFi7LZwYXsQ" TargetMode="External" Id="rId217"/></Relationships>
</file>

<file path=xl/worksheets/sheet1.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3" customWidth="1" min="1" max="1"/>
    <col width="34" customWidth="1" min="2" max="2"/>
    <col width="92" customWidth="1" min="3" max="3"/>
  </cols>
  <sheetData>
    <row r="1">
      <c r="A1" s="1" t="n"/>
      <c r="B1" s="1" t="n"/>
      <c r="C1" s="1" t="n"/>
    </row>
    <row r="2">
      <c r="A2" s="1" t="n"/>
      <c r="B2" s="2" t="inlineStr">
        <is>
          <t>The Biomolecular Design Curriculum</t>
        </is>
      </c>
      <c r="C2" s="1" t="n"/>
    </row>
    <row r="3">
      <c r="A3" s="1" t="n"/>
      <c r="B3" s="3" t="inlineStr">
        <is>
          <t>Progress tracker · third edition · compiled October 2026</t>
        </is>
      </c>
      <c r="C3" s="1" t="n"/>
    </row>
    <row r="4">
      <c r="A4" s="1" t="n"/>
      <c r="B4" s="1" t="n"/>
      <c r="C4" s="1" t="n"/>
    </row>
    <row r="5" ht="26" customHeight="1">
      <c r="A5" s="1" t="n"/>
      <c r="B5" s="4" t="inlineStr">
        <is>
          <t>What this is</t>
        </is>
      </c>
      <c r="C5" s="5" t="inlineStr">
        <is>
          <t>A multi-year self-study program in every computational method for proteins, DNA and RNA, the AI research upstream of it, and the engineering that makes it fast.</t>
        </is>
      </c>
    </row>
    <row r="6" ht="15" customHeight="1">
      <c r="A6" s="1" t="n"/>
      <c r="B6" s="4" t="inlineStr">
        <is>
          <t>Videos tracked</t>
        </is>
      </c>
      <c r="C6" s="5" t="inlineStr">
        <is>
          <t>3,271 unique talks and lectures</t>
        </is>
      </c>
    </row>
    <row r="7" ht="15" customHeight="1">
      <c r="A7" s="1" t="n"/>
      <c r="B7" s="4" t="inlineStr">
        <is>
          <t>Timed runtime</t>
        </is>
      </c>
      <c r="C7" s="5" t="inlineStr">
        <is>
          <t>about 2,945 hours (not every entry carries a duration)</t>
        </is>
      </c>
    </row>
    <row r="8" ht="15" customHeight="1">
      <c r="A8" s="1" t="n"/>
      <c r="B8" s="4" t="inlineStr">
        <is>
          <t>Papers paired</t>
        </is>
      </c>
      <c r="C8" s="5" t="inlineStr">
        <is>
          <t>547 citations, linked to the section that discusses them</t>
        </is>
      </c>
    </row>
    <row r="9" ht="15" customHeight="1">
      <c r="A9" s="1" t="n"/>
      <c r="B9" s="4" t="inlineStr">
        <is>
          <t>Watch-then-read pairs</t>
        </is>
      </c>
      <c r="C9" s="5" t="inlineStr">
        <is>
          <t>467 — the core study device of this curriculum</t>
        </is>
      </c>
    </row>
    <row r="10" ht="15" customHeight="1">
      <c r="A10" s="1" t="n"/>
      <c r="B10" s="4" t="inlineStr">
        <is>
          <t>Derivation checkpoints</t>
        </is>
      </c>
      <c r="C10" s="5" t="inlineStr">
        <is>
          <t>73 — these are what convert watching into ability</t>
        </is>
      </c>
    </row>
    <row r="11" ht="15" customHeight="1">
      <c r="A11" s="1" t="n"/>
      <c r="B11" s="4" t="inlineStr">
        <is>
          <t>Capstone projects</t>
        </is>
      </c>
      <c r="C11" s="5" t="inlineStr">
        <is>
          <t>11</t>
        </is>
      </c>
    </row>
    <row r="12" ht="15" customHeight="1">
      <c r="A12" s="1" t="n"/>
      <c r="B12" s="4" t="inlineStr"/>
      <c r="C12" s="5" t="inlineStr"/>
    </row>
    <row r="13">
      <c r="A13" s="1" t="n"/>
      <c r="B13" s="6" t="inlineStr">
        <is>
          <t>HOW TO USE THIS</t>
        </is>
      </c>
      <c r="C13" s="1" t="n"/>
    </row>
    <row r="14" ht="26" customHeight="1">
      <c r="A14" s="1" t="n"/>
      <c r="B14" s="4" t="inlineStr">
        <is>
          <t>1 · Progress Tracker</t>
        </is>
      </c>
      <c r="C14" s="5" t="inlineStr">
        <is>
          <t>The main sheet. Every video in reading order. Set Status to Watching or Done and the Dashboard updates itself. Filter by Part, Section or Priority to carve out a study block.</t>
        </is>
      </c>
    </row>
    <row r="15" ht="65" customHeight="1">
      <c r="A15" s="1" t="n"/>
      <c r="B15" s="4" t="inlineStr">
        <is>
          <t xml:space="preserve">   · the paper columns</t>
        </is>
      </c>
      <c r="C15" s="5" t="inlineStr">
        <is>
          <t>Paired paper is the citation to read alongside the talk; Paper is a link straight to it (arXiv or DOI where the citation carries one, otherwise a Scholar search). How paired says where the pairing came from: stated with the talk is the strongest, paired reading comes from the curriculum's own watch-then-read tables, and section reading means it is the reading for that section rather than for that one talk.</t>
        </is>
      </c>
    </row>
    <row r="16" ht="26" customHeight="1">
      <c r="A16" s="1" t="n"/>
      <c r="B16" s="4" t="inlineStr">
        <is>
          <t>2 · Core Path</t>
        </is>
      </c>
      <c r="C16" s="5" t="inlineStr">
        <is>
          <t>If you do nothing else, do this. Roughly 150 hours that take you from running tools to understanding them.</t>
        </is>
      </c>
    </row>
    <row r="17" ht="15" customHeight="1">
      <c r="A17" s="1" t="n"/>
      <c r="B17" s="4" t="inlineStr">
        <is>
          <t>3 · Dashboard</t>
        </is>
      </c>
      <c r="C17" s="5" t="inlineStr">
        <is>
          <t>Live completion by Part and by Section. Formula-driven; do not type into it.</t>
        </is>
      </c>
    </row>
    <row r="18" ht="26" customHeight="1">
      <c r="A18" s="1" t="n"/>
      <c r="B18" s="4" t="inlineStr">
        <is>
          <t>4 · Paired Reading</t>
        </is>
      </c>
      <c r="C18" s="5" t="inlineStr">
        <is>
          <t>Watch this, then read that, holding this question. The single most useful device here — the gap between a talk and its paper is where the real understanding sits.</t>
        </is>
      </c>
    </row>
    <row r="19" ht="26" customHeight="1">
      <c r="A19" s="1" t="n"/>
      <c r="B19" s="4" t="inlineStr">
        <is>
          <t>5 · Checkpoints</t>
        </is>
      </c>
      <c r="C19" s="5" t="inlineStr">
        <is>
          <t>73 things to derive from a blank page. Only the third state — 'can reproduce from blank paper' — counts.</t>
        </is>
      </c>
    </row>
    <row r="20" ht="15" customHeight="1">
      <c r="A20" s="1" t="n"/>
      <c r="B20" s="4" t="inlineStr">
        <is>
          <t>6 · Capstones</t>
        </is>
      </c>
      <c r="C20" s="5" t="inlineStr">
        <is>
          <t>11 projects, each cross-referenced from the family that motivates it.</t>
        </is>
      </c>
    </row>
    <row r="21" ht="15" customHeight="1">
      <c r="A21" s="1" t="n"/>
      <c r="B21" s="4" t="inlineStr">
        <is>
          <t>7 · Papers</t>
        </is>
      </c>
      <c r="C21" s="5" t="inlineStr">
        <is>
          <t>Every citation, by section.</t>
        </is>
      </c>
    </row>
    <row r="22" ht="15" customHeight="1">
      <c r="A22" s="1" t="n"/>
      <c r="B22" s="4" t="inlineStr">
        <is>
          <t>8 · Sections</t>
        </is>
      </c>
      <c r="C22" s="5" t="inlineStr">
        <is>
          <t>The full table of contents with counts and hours.</t>
        </is>
      </c>
    </row>
    <row r="23" ht="15" customHeight="1">
      <c r="A23" s="1" t="n"/>
      <c r="B23" s="4" t="inlineStr"/>
      <c r="C23" s="5" t="inlineStr"/>
    </row>
    <row r="24" ht="39" customHeight="1">
      <c r="A24" s="1" t="n"/>
      <c r="B24" s="4" t="inlineStr">
        <is>
          <t>A note on the hours</t>
        </is>
      </c>
      <c r="C24" s="5" t="inlineStr">
        <is>
          <t>The runtime figure is not a target. It is the size of the field's recorded output. Nobody should watch all of it and this is not built on the assumption that anyone will. Treat it as a reference you work through and keep returning to.</t>
        </is>
      </c>
    </row>
    <row r="25" ht="15" customHeight="1">
      <c r="A25" s="1" t="n"/>
      <c r="B25" s="4" t="inlineStr">
        <is>
          <t>Priority column</t>
        </is>
      </c>
      <c r="C25" s="5" t="inlineStr">
        <is>
          <t>★ marks entries the curriculum flags as the ones to watch first within their section.</t>
        </is>
      </c>
    </row>
    <row r="26" ht="26" customHeight="1">
      <c r="A26" s="1" t="n"/>
      <c r="B26" s="4" t="inlineStr">
        <is>
          <t>Dead links</t>
        </is>
      </c>
      <c r="C26" s="5" t="inlineStr">
        <is>
          <t>Checked October 2026: none dead. A small number have embedding disabled, which means they play on YouTube but cannot be iframed.</t>
        </is>
      </c>
    </row>
  </sheetData>
  <mergeCells count="2">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27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30" customWidth="1" min="3" max="3"/>
    <col width="62" customWidth="1" min="4" max="4"/>
    <col width="30" customWidth="1" min="5" max="5"/>
    <col width="10" customWidth="1" min="6" max="6"/>
    <col width="8" customWidth="1" min="7" max="7"/>
    <col width="9" customWidth="1" min="8" max="8"/>
    <col width="13" customWidth="1" min="9" max="9"/>
    <col width="12" customWidth="1" min="10" max="10"/>
    <col width="30" customWidth="1" min="11" max="11"/>
    <col width="11" customWidth="1" min="12" max="12"/>
    <col width="70" customWidth="1" min="13" max="13"/>
    <col width="10" customWidth="1" min="14" max="14"/>
    <col width="22" customWidth="1" min="15" max="15"/>
    <col width="26" customWidth="1" min="16" max="16"/>
  </cols>
  <sheetData>
    <row r="1" ht="28" customHeight="1">
      <c r="A1" s="7" t="inlineStr">
        <is>
          <t>#</t>
        </is>
      </c>
      <c r="B1" s="7" t="inlineStr">
        <is>
          <t>Part</t>
        </is>
      </c>
      <c r="C1" s="7" t="inlineStr">
        <is>
          <t>Section</t>
        </is>
      </c>
      <c r="D1" s="7" t="inlineStr">
        <is>
          <t>Title</t>
        </is>
      </c>
      <c r="E1" s="7" t="inlineStr">
        <is>
          <t>Speaker / host</t>
        </is>
      </c>
      <c r="F1" s="7" t="inlineStr">
        <is>
          <t>Duration</t>
        </is>
      </c>
      <c r="G1" s="7" t="inlineStr">
        <is>
          <t>Hours</t>
        </is>
      </c>
      <c r="H1" s="7" t="inlineStr">
        <is>
          <t>Priority</t>
        </is>
      </c>
      <c r="I1" s="7" t="inlineStr">
        <is>
          <t>Status</t>
        </is>
      </c>
      <c r="J1" s="7" t="inlineStr">
        <is>
          <t>Date done</t>
        </is>
      </c>
      <c r="K1" s="7" t="inlineStr">
        <is>
          <t>Notes</t>
        </is>
      </c>
      <c r="L1" s="7" t="inlineStr">
        <is>
          <t>Watch</t>
        </is>
      </c>
      <c r="M1" s="7" t="inlineStr">
        <is>
          <t>Paired paper</t>
        </is>
      </c>
      <c r="N1" s="7" t="inlineStr">
        <is>
          <t>Paper</t>
        </is>
      </c>
      <c r="O1" s="7" t="inlineStr">
        <is>
          <t>How paired</t>
        </is>
      </c>
      <c r="P1" s="7" t="inlineStr">
        <is>
          <t>Also appears in</t>
        </is>
      </c>
    </row>
    <row r="2">
      <c r="A2" s="8" t="n">
        <v>1</v>
      </c>
      <c r="B2" s="8" t="inlineStr">
        <is>
          <t>Part I - Foundations</t>
        </is>
      </c>
      <c r="C2" s="9" t="inlineStr">
        <is>
          <t>MIT 18.065 - Matrix Methods in Data Analysis, Signal Processing and Machine Learning</t>
        </is>
      </c>
      <c r="D2" s="10" t="inlineStr">
        <is>
          <t>Course Introduction</t>
        </is>
      </c>
      <c r="E2" s="10" t="inlineStr"/>
      <c r="F2" s="11" t="inlineStr">
        <is>
          <t>7:04</t>
        </is>
      </c>
      <c r="G2" s="11" t="n">
        <v>0.12</v>
      </c>
      <c r="H2" s="12" t="inlineStr"/>
      <c r="I2" s="11" t="inlineStr">
        <is>
          <t>Not started</t>
        </is>
      </c>
      <c r="J2" s="13" t="n"/>
      <c r="K2" s="10" t="inlineStr"/>
      <c r="L2" s="14" t="inlineStr">
        <is>
          <t>▶ watch</t>
        </is>
      </c>
      <c r="M2" s="10" t="inlineStr"/>
      <c r="N2" s="11" t="inlineStr"/>
      <c r="O2" s="11" t="inlineStr">
        <is>
          <t>course lecture - no single paper</t>
        </is>
      </c>
      <c r="P2" s="10" t="inlineStr"/>
    </row>
    <row r="3">
      <c r="A3" s="8" t="n">
        <v>2</v>
      </c>
      <c r="B3" s="8" t="inlineStr">
        <is>
          <t>Part I - Foundations</t>
        </is>
      </c>
      <c r="C3" s="9" t="inlineStr">
        <is>
          <t>MIT 18.065 - Matrix Methods in Data Analysis, Signal Processing and Machine Learning</t>
        </is>
      </c>
      <c r="D3" s="10" t="inlineStr">
        <is>
          <t>Interview with Gilbert Strang on Teaching Matrix Methods</t>
        </is>
      </c>
      <c r="E3" s="10" t="inlineStr"/>
      <c r="F3" s="11" t="inlineStr">
        <is>
          <t>8:07</t>
        </is>
      </c>
      <c r="G3" s="11" t="n">
        <v>0.14</v>
      </c>
      <c r="H3" s="12" t="inlineStr"/>
      <c r="I3" s="11" t="inlineStr">
        <is>
          <t>Not started</t>
        </is>
      </c>
      <c r="J3" s="13" t="n"/>
      <c r="K3" s="10" t="inlineStr"/>
      <c r="L3" s="14" t="inlineStr">
        <is>
          <t>▶ watch</t>
        </is>
      </c>
      <c r="M3" s="10" t="inlineStr"/>
      <c r="N3" s="11" t="inlineStr"/>
      <c r="O3" s="11" t="inlineStr">
        <is>
          <t>course lecture - no single paper</t>
        </is>
      </c>
      <c r="P3" s="10" t="inlineStr"/>
    </row>
    <row r="4">
      <c r="A4" s="8" t="n">
        <v>3</v>
      </c>
      <c r="B4" s="8" t="inlineStr">
        <is>
          <t>Part I - Foundations</t>
        </is>
      </c>
      <c r="C4" s="9" t="inlineStr">
        <is>
          <t>MIT 18.065 - Matrix Methods in Data Analysis, Signal Processing and Machine Learning</t>
        </is>
      </c>
      <c r="D4" s="10" t="inlineStr">
        <is>
          <t>The Column Space of A Contains All Vectors Ax</t>
        </is>
      </c>
      <c r="E4" s="10" t="inlineStr"/>
      <c r="F4" s="11" t="inlineStr">
        <is>
          <t>52:15</t>
        </is>
      </c>
      <c r="G4" s="11" t="n">
        <v>0.87</v>
      </c>
      <c r="H4" s="12" t="inlineStr"/>
      <c r="I4" s="11" t="inlineStr">
        <is>
          <t>Not started</t>
        </is>
      </c>
      <c r="J4" s="13" t="n"/>
      <c r="K4" s="10" t="inlineStr"/>
      <c r="L4" s="14" t="inlineStr">
        <is>
          <t>▶ watch</t>
        </is>
      </c>
      <c r="M4" s="10" t="inlineStr"/>
      <c r="N4" s="11" t="inlineStr"/>
      <c r="O4" s="11" t="inlineStr">
        <is>
          <t>course lecture - no single paper</t>
        </is>
      </c>
      <c r="P4" s="10" t="inlineStr"/>
    </row>
    <row r="5">
      <c r="A5" s="8" t="n">
        <v>4</v>
      </c>
      <c r="B5" s="8" t="inlineStr">
        <is>
          <t>Part I - Foundations</t>
        </is>
      </c>
      <c r="C5" s="9" t="inlineStr">
        <is>
          <t>MIT 18.065 - Matrix Methods in Data Analysis, Signal Processing and Machine Learning</t>
        </is>
      </c>
      <c r="D5" s="10" t="inlineStr">
        <is>
          <t>Multiplying and Factoring Matrices</t>
        </is>
      </c>
      <c r="E5" s="10" t="inlineStr"/>
      <c r="F5" s="11" t="inlineStr">
        <is>
          <t>48:26</t>
        </is>
      </c>
      <c r="G5" s="11" t="n">
        <v>0.8100000000000001</v>
      </c>
      <c r="H5" s="12" t="inlineStr"/>
      <c r="I5" s="11" t="inlineStr">
        <is>
          <t>Not started</t>
        </is>
      </c>
      <c r="J5" s="13" t="n"/>
      <c r="K5" s="10" t="inlineStr"/>
      <c r="L5" s="14" t="inlineStr">
        <is>
          <t>▶ watch</t>
        </is>
      </c>
      <c r="M5" s="10" t="inlineStr"/>
      <c r="N5" s="11" t="inlineStr"/>
      <c r="O5" s="11" t="inlineStr">
        <is>
          <t>course lecture - no single paper</t>
        </is>
      </c>
      <c r="P5" s="10" t="inlineStr"/>
    </row>
    <row r="6">
      <c r="A6" s="8" t="n">
        <v>5</v>
      </c>
      <c r="B6" s="8" t="inlineStr">
        <is>
          <t>Part I - Foundations</t>
        </is>
      </c>
      <c r="C6" s="9" t="inlineStr">
        <is>
          <t>MIT 18.065 - Matrix Methods in Data Analysis, Signal Processing and Machine Learning</t>
        </is>
      </c>
      <c r="D6" s="10" t="inlineStr">
        <is>
          <t>Orthonormal Columns in Q Give Q'Q = I</t>
        </is>
      </c>
      <c r="E6" s="10" t="inlineStr"/>
      <c r="F6" s="11" t="inlineStr">
        <is>
          <t>49:24</t>
        </is>
      </c>
      <c r="G6" s="11" t="n">
        <v>0.82</v>
      </c>
      <c r="H6" s="12" t="inlineStr"/>
      <c r="I6" s="11" t="inlineStr">
        <is>
          <t>Not started</t>
        </is>
      </c>
      <c r="J6" s="13" t="n"/>
      <c r="K6" s="10" t="inlineStr"/>
      <c r="L6" s="14" t="inlineStr">
        <is>
          <t>▶ watch</t>
        </is>
      </c>
      <c r="M6" s="10" t="inlineStr"/>
      <c r="N6" s="11" t="inlineStr"/>
      <c r="O6" s="11" t="inlineStr">
        <is>
          <t>course lecture - no single paper</t>
        </is>
      </c>
      <c r="P6" s="10" t="inlineStr"/>
    </row>
    <row r="7">
      <c r="A7" s="8" t="n">
        <v>6</v>
      </c>
      <c r="B7" s="8" t="inlineStr">
        <is>
          <t>Part I - Foundations</t>
        </is>
      </c>
      <c r="C7" s="9" t="inlineStr">
        <is>
          <t>MIT 18.065 - Matrix Methods in Data Analysis, Signal Processing and Machine Learning</t>
        </is>
      </c>
      <c r="D7" s="10" t="inlineStr">
        <is>
          <t>Eigenvalues and Eigenvectors</t>
        </is>
      </c>
      <c r="E7" s="10" t="inlineStr"/>
      <c r="F7" s="11" t="inlineStr">
        <is>
          <t>48:56</t>
        </is>
      </c>
      <c r="G7" s="11" t="n">
        <v>0.82</v>
      </c>
      <c r="H7" s="12" t="inlineStr"/>
      <c r="I7" s="11" t="inlineStr">
        <is>
          <t>Not started</t>
        </is>
      </c>
      <c r="J7" s="13" t="n"/>
      <c r="K7" s="10" t="inlineStr"/>
      <c r="L7" s="14" t="inlineStr">
        <is>
          <t>▶ watch</t>
        </is>
      </c>
      <c r="M7" s="10" t="inlineStr"/>
      <c r="N7" s="11" t="inlineStr"/>
      <c r="O7" s="11" t="inlineStr">
        <is>
          <t>course lecture - no single paper</t>
        </is>
      </c>
      <c r="P7" s="10" t="inlineStr"/>
    </row>
    <row r="8">
      <c r="A8" s="8" t="n">
        <v>7</v>
      </c>
      <c r="B8" s="8" t="inlineStr">
        <is>
          <t>Part I - Foundations</t>
        </is>
      </c>
      <c r="C8" s="9" t="inlineStr">
        <is>
          <t>MIT 18.065 - Matrix Methods in Data Analysis, Signal Processing and Machine Learning</t>
        </is>
      </c>
      <c r="D8" s="10" t="inlineStr">
        <is>
          <t>Positive Definite and Semidefinite Matrices</t>
        </is>
      </c>
      <c r="E8" s="10" t="inlineStr"/>
      <c r="F8" s="11" t="inlineStr">
        <is>
          <t>45:27</t>
        </is>
      </c>
      <c r="G8" s="11" t="n">
        <v>0.76</v>
      </c>
      <c r="H8" s="12" t="inlineStr"/>
      <c r="I8" s="11" t="inlineStr">
        <is>
          <t>Not started</t>
        </is>
      </c>
      <c r="J8" s="13" t="n"/>
      <c r="K8" s="10" t="inlineStr"/>
      <c r="L8" s="14" t="inlineStr">
        <is>
          <t>▶ watch</t>
        </is>
      </c>
      <c r="M8" s="10" t="inlineStr"/>
      <c r="N8" s="11" t="inlineStr"/>
      <c r="O8" s="11" t="inlineStr">
        <is>
          <t>course lecture - no single paper</t>
        </is>
      </c>
      <c r="P8" s="10" t="inlineStr"/>
    </row>
    <row r="9">
      <c r="A9" s="8" t="n">
        <v>8</v>
      </c>
      <c r="B9" s="8" t="inlineStr">
        <is>
          <t>Part I - Foundations</t>
        </is>
      </c>
      <c r="C9" s="9" t="inlineStr">
        <is>
          <t>MIT 18.065 - Matrix Methods in Data Analysis, Signal Processing and Machine Learning</t>
        </is>
      </c>
      <c r="D9" s="10" t="inlineStr">
        <is>
          <t>Singular Value Decomposition (SVD</t>
        </is>
      </c>
      <c r="E9" s="10" t="inlineStr"/>
      <c r="F9" s="11" t="inlineStr">
        <is>
          <t>53:34</t>
        </is>
      </c>
      <c r="G9" s="11" t="n">
        <v>0.89</v>
      </c>
      <c r="H9" s="12" t="inlineStr"/>
      <c r="I9" s="11" t="inlineStr">
        <is>
          <t>Not started</t>
        </is>
      </c>
      <c r="J9" s="13" t="n"/>
      <c r="K9" s="10" t="inlineStr"/>
      <c r="L9" s="14" t="inlineStr">
        <is>
          <t>▶ watch</t>
        </is>
      </c>
      <c r="M9" s="10" t="inlineStr"/>
      <c r="N9" s="11" t="inlineStr"/>
      <c r="O9" s="11" t="inlineStr">
        <is>
          <t>course lecture - no single paper</t>
        </is>
      </c>
      <c r="P9" s="10" t="inlineStr"/>
    </row>
    <row r="10">
      <c r="A10" s="8" t="n">
        <v>9</v>
      </c>
      <c r="B10" s="8" t="inlineStr">
        <is>
          <t>Part I - Foundations</t>
        </is>
      </c>
      <c r="C10" s="9" t="inlineStr">
        <is>
          <t>MIT 18.065 - Matrix Methods in Data Analysis, Signal Processing and Machine Learning</t>
        </is>
      </c>
      <c r="D10" s="10" t="inlineStr">
        <is>
          <t>Eckart-Young: The Closest Rank k Matrix to A</t>
        </is>
      </c>
      <c r="E10" s="10" t="inlineStr"/>
      <c r="F10" s="11" t="inlineStr">
        <is>
          <t>47:16</t>
        </is>
      </c>
      <c r="G10" s="11" t="n">
        <v>0.79</v>
      </c>
      <c r="H10" s="12" t="inlineStr">
        <is>
          <t>★</t>
        </is>
      </c>
      <c r="I10" s="11" t="inlineStr">
        <is>
          <t>Not started</t>
        </is>
      </c>
      <c r="J10" s="13" t="n"/>
      <c r="K10" s="10" t="inlineStr"/>
      <c r="L10" s="14" t="inlineStr">
        <is>
          <t>▶ watch</t>
        </is>
      </c>
      <c r="M10" s="10" t="inlineStr"/>
      <c r="N10" s="11" t="inlineStr"/>
      <c r="O10" s="11" t="inlineStr">
        <is>
          <t>course lecture - no single paper</t>
        </is>
      </c>
      <c r="P10" s="10" t="inlineStr"/>
    </row>
    <row r="11">
      <c r="A11" s="8" t="n">
        <v>10</v>
      </c>
      <c r="B11" s="8" t="inlineStr">
        <is>
          <t>Part I - Foundations</t>
        </is>
      </c>
      <c r="C11" s="9" t="inlineStr">
        <is>
          <t>MIT 18.065 - Matrix Methods in Data Analysis, Signal Processing and Machine Learning</t>
        </is>
      </c>
      <c r="D11" s="10" t="inlineStr">
        <is>
          <t>Norms of Vectors and Matrices</t>
        </is>
      </c>
      <c r="E11" s="10" t="inlineStr"/>
      <c r="F11" s="11" t="inlineStr">
        <is>
          <t>49:21</t>
        </is>
      </c>
      <c r="G11" s="11" t="n">
        <v>0.82</v>
      </c>
      <c r="H11" s="12" t="inlineStr"/>
      <c r="I11" s="11" t="inlineStr">
        <is>
          <t>Not started</t>
        </is>
      </c>
      <c r="J11" s="13" t="n"/>
      <c r="K11" s="10" t="inlineStr"/>
      <c r="L11" s="14" t="inlineStr">
        <is>
          <t>▶ watch</t>
        </is>
      </c>
      <c r="M11" s="10" t="inlineStr"/>
      <c r="N11" s="11" t="inlineStr"/>
      <c r="O11" s="11" t="inlineStr">
        <is>
          <t>course lecture - no single paper</t>
        </is>
      </c>
      <c r="P11" s="10" t="inlineStr"/>
    </row>
    <row r="12">
      <c r="A12" s="8" t="n">
        <v>11</v>
      </c>
      <c r="B12" s="8" t="inlineStr">
        <is>
          <t>Part I - Foundations</t>
        </is>
      </c>
      <c r="C12" s="9" t="inlineStr">
        <is>
          <t>MIT 18.065 - Matrix Methods in Data Analysis, Signal Processing and Machine Learning</t>
        </is>
      </c>
      <c r="D12" s="10" t="inlineStr">
        <is>
          <t>Four Ways to Solve Least Squares Problems</t>
        </is>
      </c>
      <c r="E12" s="10" t="inlineStr"/>
      <c r="F12" s="11" t="inlineStr">
        <is>
          <t>49:51</t>
        </is>
      </c>
      <c r="G12" s="11" t="n">
        <v>0.83</v>
      </c>
      <c r="H12" s="12" t="inlineStr"/>
      <c r="I12" s="11" t="inlineStr">
        <is>
          <t>Not started</t>
        </is>
      </c>
      <c r="J12" s="13" t="n"/>
      <c r="K12" s="10" t="inlineStr"/>
      <c r="L12" s="14" t="inlineStr">
        <is>
          <t>▶ watch</t>
        </is>
      </c>
      <c r="M12" s="10" t="inlineStr"/>
      <c r="N12" s="11" t="inlineStr"/>
      <c r="O12" s="11" t="inlineStr">
        <is>
          <t>course lecture - no single paper</t>
        </is>
      </c>
      <c r="P12" s="10" t="inlineStr"/>
    </row>
    <row r="13">
      <c r="A13" s="8" t="n">
        <v>12</v>
      </c>
      <c r="B13" s="8" t="inlineStr">
        <is>
          <t>Part I - Foundations</t>
        </is>
      </c>
      <c r="C13" s="9" t="inlineStr">
        <is>
          <t>MIT 18.065 - Matrix Methods in Data Analysis, Signal Processing and Machine Learning</t>
        </is>
      </c>
      <c r="D13" s="10" t="inlineStr">
        <is>
          <t>Survey of Difficulties with Ax = b</t>
        </is>
      </c>
      <c r="E13" s="10" t="inlineStr"/>
      <c r="F13" s="11" t="inlineStr">
        <is>
          <t>49:36</t>
        </is>
      </c>
      <c r="G13" s="11" t="n">
        <v>0.83</v>
      </c>
      <c r="H13" s="12" t="inlineStr"/>
      <c r="I13" s="11" t="inlineStr">
        <is>
          <t>Not started</t>
        </is>
      </c>
      <c r="J13" s="13" t="n"/>
      <c r="K13" s="10" t="inlineStr"/>
      <c r="L13" s="14" t="inlineStr">
        <is>
          <t>▶ watch</t>
        </is>
      </c>
      <c r="M13" s="10" t="inlineStr"/>
      <c r="N13" s="11" t="inlineStr"/>
      <c r="O13" s="11" t="inlineStr">
        <is>
          <t>course lecture - no single paper</t>
        </is>
      </c>
      <c r="P13" s="10" t="inlineStr"/>
    </row>
    <row r="14">
      <c r="A14" s="8" t="n">
        <v>13</v>
      </c>
      <c r="B14" s="8" t="inlineStr">
        <is>
          <t>Part I - Foundations</t>
        </is>
      </c>
      <c r="C14" s="9" t="inlineStr">
        <is>
          <t>MIT 18.065 - Matrix Methods in Data Analysis, Signal Processing and Machine Learning</t>
        </is>
      </c>
      <c r="D14" s="10" t="inlineStr">
        <is>
          <t>Minimizing ‖x‖ Subject to Ax = b</t>
        </is>
      </c>
      <c r="E14" s="10" t="inlineStr"/>
      <c r="F14" s="11" t="inlineStr">
        <is>
          <t>50:22</t>
        </is>
      </c>
      <c r="G14" s="11" t="n">
        <v>0.84</v>
      </c>
      <c r="H14" s="12" t="inlineStr"/>
      <c r="I14" s="11" t="inlineStr">
        <is>
          <t>Not started</t>
        </is>
      </c>
      <c r="J14" s="13" t="n"/>
      <c r="K14" s="10" t="inlineStr"/>
      <c r="L14" s="14" t="inlineStr">
        <is>
          <t>▶ watch</t>
        </is>
      </c>
      <c r="M14" s="10" t="inlineStr"/>
      <c r="N14" s="11" t="inlineStr"/>
      <c r="O14" s="11" t="inlineStr">
        <is>
          <t>course lecture - no single paper</t>
        </is>
      </c>
      <c r="P14" s="10" t="inlineStr"/>
    </row>
    <row r="15">
      <c r="A15" s="8" t="n">
        <v>14</v>
      </c>
      <c r="B15" s="8" t="inlineStr">
        <is>
          <t>Part I - Foundations</t>
        </is>
      </c>
      <c r="C15" s="9" t="inlineStr">
        <is>
          <t>MIT 18.065 - Matrix Methods in Data Analysis, Signal Processing and Machine Learning</t>
        </is>
      </c>
      <c r="D15" s="10" t="inlineStr">
        <is>
          <t>Computing Eigenvalues and Singular Values</t>
        </is>
      </c>
      <c r="E15" s="10" t="inlineStr"/>
      <c r="F15" s="11" t="inlineStr">
        <is>
          <t>49:28</t>
        </is>
      </c>
      <c r="G15" s="11" t="n">
        <v>0.82</v>
      </c>
      <c r="H15" s="12" t="inlineStr"/>
      <c r="I15" s="11" t="inlineStr">
        <is>
          <t>Not started</t>
        </is>
      </c>
      <c r="J15" s="13" t="n"/>
      <c r="K15" s="10" t="inlineStr"/>
      <c r="L15" s="14" t="inlineStr">
        <is>
          <t>▶ watch</t>
        </is>
      </c>
      <c r="M15" s="10" t="inlineStr"/>
      <c r="N15" s="11" t="inlineStr"/>
      <c r="O15" s="11" t="inlineStr">
        <is>
          <t>course lecture - no single paper</t>
        </is>
      </c>
      <c r="P15" s="10" t="inlineStr"/>
    </row>
    <row r="16">
      <c r="A16" s="8" t="n">
        <v>15</v>
      </c>
      <c r="B16" s="8" t="inlineStr">
        <is>
          <t>Part I - Foundations</t>
        </is>
      </c>
      <c r="C16" s="9" t="inlineStr">
        <is>
          <t>MIT 18.065 - Matrix Methods in Data Analysis, Signal Processing and Machine Learning</t>
        </is>
      </c>
      <c r="D16" s="10" t="inlineStr">
        <is>
          <t>Randomized Matrix Multiplication</t>
        </is>
      </c>
      <c r="E16" s="10" t="inlineStr"/>
      <c r="F16" s="11" t="inlineStr">
        <is>
          <t>52:24</t>
        </is>
      </c>
      <c r="G16" s="11" t="n">
        <v>0.87</v>
      </c>
      <c r="H16" s="12" t="inlineStr">
        <is>
          <t>★</t>
        </is>
      </c>
      <c r="I16" s="11" t="inlineStr">
        <is>
          <t>Not started</t>
        </is>
      </c>
      <c r="J16" s="13" t="n"/>
      <c r="K16" s="10" t="inlineStr"/>
      <c r="L16" s="14" t="inlineStr">
        <is>
          <t>▶ watch</t>
        </is>
      </c>
      <c r="M16" s="10" t="inlineStr"/>
      <c r="N16" s="11" t="inlineStr"/>
      <c r="O16" s="11" t="inlineStr">
        <is>
          <t>course lecture - no single paper</t>
        </is>
      </c>
      <c r="P16" s="10" t="inlineStr"/>
    </row>
    <row r="17">
      <c r="A17" s="8" t="n">
        <v>16</v>
      </c>
      <c r="B17" s="8" t="inlineStr">
        <is>
          <t>Part I - Foundations</t>
        </is>
      </c>
      <c r="C17" s="9" t="inlineStr">
        <is>
          <t>MIT 18.065 - Matrix Methods in Data Analysis, Signal Processing and Machine Learning</t>
        </is>
      </c>
      <c r="D17" s="10" t="inlineStr">
        <is>
          <t>Low Rank Changes in A and Its Inverse</t>
        </is>
      </c>
      <c r="E17" s="10" t="inlineStr"/>
      <c r="F17" s="11" t="inlineStr">
        <is>
          <t>50:34</t>
        </is>
      </c>
      <c r="G17" s="11" t="n">
        <v>0.84</v>
      </c>
      <c r="H17" s="12" t="inlineStr"/>
      <c r="I17" s="11" t="inlineStr">
        <is>
          <t>Not started</t>
        </is>
      </c>
      <c r="J17" s="13" t="n"/>
      <c r="K17" s="10" t="inlineStr"/>
      <c r="L17" s="14" t="inlineStr">
        <is>
          <t>▶ watch</t>
        </is>
      </c>
      <c r="M17" s="10" t="inlineStr"/>
      <c r="N17" s="11" t="inlineStr"/>
      <c r="O17" s="11" t="inlineStr">
        <is>
          <t>course lecture - no single paper</t>
        </is>
      </c>
      <c r="P17" s="10" t="inlineStr"/>
    </row>
    <row r="18">
      <c r="A18" s="8" t="n">
        <v>17</v>
      </c>
      <c r="B18" s="8" t="inlineStr">
        <is>
          <t>Part I - Foundations</t>
        </is>
      </c>
      <c r="C18" s="9" t="inlineStr">
        <is>
          <t>MIT 18.065 - Matrix Methods in Data Analysis, Signal Processing and Machine Learning</t>
        </is>
      </c>
      <c r="D18" s="10" t="inlineStr">
        <is>
          <t>Matrices A(t) Depending on t, Derivative = dA/dt</t>
        </is>
      </c>
      <c r="E18" s="10" t="inlineStr"/>
      <c r="F18" s="11" t="inlineStr">
        <is>
          <t>50:52</t>
        </is>
      </c>
      <c r="G18" s="11" t="n">
        <v>0.85</v>
      </c>
      <c r="H18" s="12" t="inlineStr"/>
      <c r="I18" s="11" t="inlineStr">
        <is>
          <t>Not started</t>
        </is>
      </c>
      <c r="J18" s="13" t="n"/>
      <c r="K18" s="10" t="inlineStr"/>
      <c r="L18" s="14" t="inlineStr">
        <is>
          <t>▶ watch</t>
        </is>
      </c>
      <c r="M18" s="10" t="inlineStr"/>
      <c r="N18" s="11" t="inlineStr"/>
      <c r="O18" s="11" t="inlineStr">
        <is>
          <t>course lecture - no single paper</t>
        </is>
      </c>
      <c r="P18" s="10" t="inlineStr"/>
    </row>
    <row r="19">
      <c r="A19" s="8" t="n">
        <v>18</v>
      </c>
      <c r="B19" s="8" t="inlineStr">
        <is>
          <t>Part I - Foundations</t>
        </is>
      </c>
      <c r="C19" s="9" t="inlineStr">
        <is>
          <t>MIT 18.065 - Matrix Methods in Data Analysis, Signal Processing and Machine Learning</t>
        </is>
      </c>
      <c r="D19" s="10" t="inlineStr">
        <is>
          <t>Derivatives of Inverse and Singular Values</t>
        </is>
      </c>
      <c r="E19" s="10" t="inlineStr"/>
      <c r="F19" s="11" t="inlineStr">
        <is>
          <t>43:08</t>
        </is>
      </c>
      <c r="G19" s="11" t="n">
        <v>0.72</v>
      </c>
      <c r="H19" s="12" t="inlineStr"/>
      <c r="I19" s="11" t="inlineStr">
        <is>
          <t>Not started</t>
        </is>
      </c>
      <c r="J19" s="13" t="n"/>
      <c r="K19" s="10" t="inlineStr"/>
      <c r="L19" s="14" t="inlineStr">
        <is>
          <t>▶ watch</t>
        </is>
      </c>
      <c r="M19" s="10" t="inlineStr"/>
      <c r="N19" s="11" t="inlineStr"/>
      <c r="O19" s="11" t="inlineStr">
        <is>
          <t>course lecture - no single paper</t>
        </is>
      </c>
      <c r="P19" s="10" t="inlineStr"/>
    </row>
    <row r="20">
      <c r="A20" s="8" t="n">
        <v>19</v>
      </c>
      <c r="B20" s="8" t="inlineStr">
        <is>
          <t>Part I - Foundations</t>
        </is>
      </c>
      <c r="C20" s="9" t="inlineStr">
        <is>
          <t>MIT 18.065 - Matrix Methods in Data Analysis, Signal Processing and Machine Learning</t>
        </is>
      </c>
      <c r="D20" s="10" t="inlineStr">
        <is>
          <t>Rapidly Decreasing Singular Values</t>
        </is>
      </c>
      <c r="E20" s="10" t="inlineStr"/>
      <c r="F20" s="11" t="inlineStr">
        <is>
          <t>50:34</t>
        </is>
      </c>
      <c r="G20" s="11" t="n">
        <v>0.84</v>
      </c>
      <c r="H20" s="12" t="inlineStr">
        <is>
          <t>★</t>
        </is>
      </c>
      <c r="I20" s="11" t="inlineStr">
        <is>
          <t>Not started</t>
        </is>
      </c>
      <c r="J20" s="13" t="n"/>
      <c r="K20" s="10" t="inlineStr"/>
      <c r="L20" s="14" t="inlineStr">
        <is>
          <t>▶ watch</t>
        </is>
      </c>
      <c r="M20" s="10" t="inlineStr"/>
      <c r="N20" s="11" t="inlineStr"/>
      <c r="O20" s="11" t="inlineStr">
        <is>
          <t>course lecture - no single paper</t>
        </is>
      </c>
      <c r="P20" s="10" t="inlineStr"/>
    </row>
    <row r="21">
      <c r="A21" s="8" t="n">
        <v>20</v>
      </c>
      <c r="B21" s="8" t="inlineStr">
        <is>
          <t>Part I - Foundations</t>
        </is>
      </c>
      <c r="C21" s="9" t="inlineStr">
        <is>
          <t>MIT 18.065 - Matrix Methods in Data Analysis, Signal Processing and Machine Learning</t>
        </is>
      </c>
      <c r="D21" s="10" t="inlineStr">
        <is>
          <t>Counting Parameters in SVD, LU, QR, Saddle Points</t>
        </is>
      </c>
      <c r="E21" s="10" t="inlineStr"/>
      <c r="F21" s="11" t="inlineStr">
        <is>
          <t>49:00</t>
        </is>
      </c>
      <c r="G21" s="11" t="n">
        <v>0.82</v>
      </c>
      <c r="H21" s="12" t="inlineStr"/>
      <c r="I21" s="11" t="inlineStr">
        <is>
          <t>Not started</t>
        </is>
      </c>
      <c r="J21" s="13" t="n"/>
      <c r="K21" s="10" t="inlineStr"/>
      <c r="L21" s="14" t="inlineStr">
        <is>
          <t>▶ watch</t>
        </is>
      </c>
      <c r="M21" s="10" t="inlineStr"/>
      <c r="N21" s="11" t="inlineStr"/>
      <c r="O21" s="11" t="inlineStr">
        <is>
          <t>course lecture - no single paper</t>
        </is>
      </c>
      <c r="P21" s="10" t="inlineStr"/>
    </row>
    <row r="22">
      <c r="A22" s="8" t="n">
        <v>21</v>
      </c>
      <c r="B22" s="8" t="inlineStr">
        <is>
          <t>Part I - Foundations</t>
        </is>
      </c>
      <c r="C22" s="9" t="inlineStr">
        <is>
          <t>MIT 18.065 - Matrix Methods in Data Analysis, Signal Processing and Machine Learning</t>
        </is>
      </c>
      <c r="D22" s="10" t="inlineStr">
        <is>
          <t>Saddle Points Continued, Maxmin Principle</t>
        </is>
      </c>
      <c r="E22" s="10" t="inlineStr"/>
      <c r="F22" s="11" t="inlineStr">
        <is>
          <t>52:13</t>
        </is>
      </c>
      <c r="G22" s="11" t="n">
        <v>0.87</v>
      </c>
      <c r="H22" s="12" t="inlineStr"/>
      <c r="I22" s="11" t="inlineStr">
        <is>
          <t>Not started</t>
        </is>
      </c>
      <c r="J22" s="13" t="n"/>
      <c r="K22" s="10" t="inlineStr"/>
      <c r="L22" s="14" t="inlineStr">
        <is>
          <t>▶ watch</t>
        </is>
      </c>
      <c r="M22" s="10" t="inlineStr"/>
      <c r="N22" s="11" t="inlineStr"/>
      <c r="O22" s="11" t="inlineStr">
        <is>
          <t>course lecture - no single paper</t>
        </is>
      </c>
      <c r="P22" s="10" t="inlineStr"/>
    </row>
    <row r="23">
      <c r="A23" s="8" t="n">
        <v>22</v>
      </c>
      <c r="B23" s="8" t="inlineStr">
        <is>
          <t>Part I - Foundations</t>
        </is>
      </c>
      <c r="C23" s="9" t="inlineStr">
        <is>
          <t>MIT 18.065 - Matrix Methods in Data Analysis, Signal Processing and Machine Learning</t>
        </is>
      </c>
      <c r="D23" s="10" t="inlineStr">
        <is>
          <t>Definitions and Inequalities</t>
        </is>
      </c>
      <c r="E23" s="10" t="inlineStr"/>
      <c r="F23" s="11" t="inlineStr">
        <is>
          <t>55:01</t>
        </is>
      </c>
      <c r="G23" s="11" t="n">
        <v>0.92</v>
      </c>
      <c r="H23" s="12" t="inlineStr"/>
      <c r="I23" s="11" t="inlineStr">
        <is>
          <t>Not started</t>
        </is>
      </c>
      <c r="J23" s="13" t="n"/>
      <c r="K23" s="10" t="inlineStr"/>
      <c r="L23" s="14" t="inlineStr">
        <is>
          <t>▶ watch</t>
        </is>
      </c>
      <c r="M23" s="10" t="inlineStr"/>
      <c r="N23" s="11" t="inlineStr"/>
      <c r="O23" s="11" t="inlineStr">
        <is>
          <t>course lecture - no single paper</t>
        </is>
      </c>
      <c r="P23" s="10" t="inlineStr"/>
    </row>
    <row r="24">
      <c r="A24" s="8" t="n">
        <v>23</v>
      </c>
      <c r="B24" s="8" t="inlineStr">
        <is>
          <t>Part I - Foundations</t>
        </is>
      </c>
      <c r="C24" s="9" t="inlineStr">
        <is>
          <t>MIT 18.065 - Matrix Methods in Data Analysis, Signal Processing and Machine Learning</t>
        </is>
      </c>
      <c r="D24" s="10" t="inlineStr">
        <is>
          <t>Minimizing a Function Step by Step</t>
        </is>
      </c>
      <c r="E24" s="10" t="inlineStr"/>
      <c r="F24" s="11" t="inlineStr">
        <is>
          <t>53:45</t>
        </is>
      </c>
      <c r="G24" s="11" t="n">
        <v>0.9</v>
      </c>
      <c r="H24" s="12" t="inlineStr"/>
      <c r="I24" s="11" t="inlineStr">
        <is>
          <t>Not started</t>
        </is>
      </c>
      <c r="J24" s="13" t="n"/>
      <c r="K24" s="10" t="inlineStr"/>
      <c r="L24" s="14" t="inlineStr">
        <is>
          <t>▶ watch</t>
        </is>
      </c>
      <c r="M24" s="10" t="inlineStr"/>
      <c r="N24" s="11" t="inlineStr"/>
      <c r="O24" s="11" t="inlineStr">
        <is>
          <t>course lecture - no single paper</t>
        </is>
      </c>
      <c r="P24" s="10" t="inlineStr"/>
    </row>
    <row r="25">
      <c r="A25" s="8" t="n">
        <v>24</v>
      </c>
      <c r="B25" s="8" t="inlineStr">
        <is>
          <t>Part I - Foundations</t>
        </is>
      </c>
      <c r="C25" s="9" t="inlineStr">
        <is>
          <t>MIT 18.065 - Matrix Methods in Data Analysis, Signal Processing and Machine Learning</t>
        </is>
      </c>
      <c r="D25" s="10" t="inlineStr">
        <is>
          <t>Gradient Descent: Downhill to a Minimum</t>
        </is>
      </c>
      <c r="E25" s="10" t="inlineStr"/>
      <c r="F25" s="11" t="inlineStr">
        <is>
          <t>52:44</t>
        </is>
      </c>
      <c r="G25" s="11" t="n">
        <v>0.88</v>
      </c>
      <c r="H25" s="12" t="inlineStr"/>
      <c r="I25" s="11" t="inlineStr">
        <is>
          <t>Not started</t>
        </is>
      </c>
      <c r="J25" s="13" t="n"/>
      <c r="K25" s="10" t="inlineStr"/>
      <c r="L25" s="14" t="inlineStr">
        <is>
          <t>▶ watch</t>
        </is>
      </c>
      <c r="M25" s="10" t="inlineStr"/>
      <c r="N25" s="11" t="inlineStr"/>
      <c r="O25" s="11" t="inlineStr">
        <is>
          <t>course lecture - no single paper</t>
        </is>
      </c>
      <c r="P25" s="10" t="inlineStr"/>
    </row>
    <row r="26">
      <c r="A26" s="8" t="n">
        <v>25</v>
      </c>
      <c r="B26" s="8" t="inlineStr">
        <is>
          <t>Part I - Foundations</t>
        </is>
      </c>
      <c r="C26" s="9" t="inlineStr">
        <is>
          <t>MIT 18.065 - Matrix Methods in Data Analysis, Signal Processing and Machine Learning</t>
        </is>
      </c>
      <c r="D26" s="10" t="inlineStr">
        <is>
          <t>Accelerating Gradient Descent (Use Momentum</t>
        </is>
      </c>
      <c r="E26" s="10" t="inlineStr"/>
      <c r="F26" s="11" t="inlineStr">
        <is>
          <t>49:02</t>
        </is>
      </c>
      <c r="G26" s="11" t="n">
        <v>0.82</v>
      </c>
      <c r="H26" s="12" t="inlineStr"/>
      <c r="I26" s="11" t="inlineStr">
        <is>
          <t>Not started</t>
        </is>
      </c>
      <c r="J26" s="13" t="n"/>
      <c r="K26" s="10" t="inlineStr"/>
      <c r="L26" s="14" t="inlineStr">
        <is>
          <t>▶ watch</t>
        </is>
      </c>
      <c r="M26" s="10" t="inlineStr"/>
      <c r="N26" s="11" t="inlineStr"/>
      <c r="O26" s="11" t="inlineStr">
        <is>
          <t>course lecture - no single paper</t>
        </is>
      </c>
      <c r="P26" s="10" t="inlineStr"/>
    </row>
    <row r="27">
      <c r="A27" s="8" t="n">
        <v>26</v>
      </c>
      <c r="B27" s="8" t="inlineStr">
        <is>
          <t>Part I - Foundations</t>
        </is>
      </c>
      <c r="C27" s="9" t="inlineStr">
        <is>
          <t>MIT 18.065 - Matrix Methods in Data Analysis, Signal Processing and Machine Learning</t>
        </is>
      </c>
      <c r="D27" s="10" t="inlineStr">
        <is>
          <t>Linear Programming and Two-Person Games</t>
        </is>
      </c>
      <c r="E27" s="10" t="inlineStr"/>
      <c r="F27" s="11" t="inlineStr">
        <is>
          <t>53:34</t>
        </is>
      </c>
      <c r="G27" s="11" t="n">
        <v>0.89</v>
      </c>
      <c r="H27" s="12" t="inlineStr"/>
      <c r="I27" s="11" t="inlineStr">
        <is>
          <t>Not started</t>
        </is>
      </c>
      <c r="J27" s="13" t="n"/>
      <c r="K27" s="10" t="inlineStr"/>
      <c r="L27" s="14" t="inlineStr">
        <is>
          <t>▶ watch</t>
        </is>
      </c>
      <c r="M27" s="10" t="inlineStr"/>
      <c r="N27" s="11" t="inlineStr"/>
      <c r="O27" s="11" t="inlineStr">
        <is>
          <t>course lecture - no single paper</t>
        </is>
      </c>
      <c r="P27" s="10" t="inlineStr"/>
    </row>
    <row r="28">
      <c r="A28" s="8" t="n">
        <v>27</v>
      </c>
      <c r="B28" s="8" t="inlineStr">
        <is>
          <t>Part I - Foundations</t>
        </is>
      </c>
      <c r="C28" s="9" t="inlineStr">
        <is>
          <t>MIT 18.065 - Matrix Methods in Data Analysis, Signal Processing and Machine Learning</t>
        </is>
      </c>
      <c r="D28" s="10" t="inlineStr">
        <is>
          <t>Stochastic Gradient Descent</t>
        </is>
      </c>
      <c r="E28" s="10" t="inlineStr"/>
      <c r="F28" s="11" t="inlineStr">
        <is>
          <t>53:03</t>
        </is>
      </c>
      <c r="G28" s="11" t="n">
        <v>0.88</v>
      </c>
      <c r="H28" s="12" t="inlineStr"/>
      <c r="I28" s="11" t="inlineStr">
        <is>
          <t>Not started</t>
        </is>
      </c>
      <c r="J28" s="13" t="n"/>
      <c r="K28" s="10" t="inlineStr"/>
      <c r="L28" s="14" t="inlineStr">
        <is>
          <t>▶ watch</t>
        </is>
      </c>
      <c r="M28" s="10" t="inlineStr"/>
      <c r="N28" s="11" t="inlineStr"/>
      <c r="O28" s="11" t="inlineStr">
        <is>
          <t>course lecture - no single paper</t>
        </is>
      </c>
      <c r="P28" s="10" t="inlineStr"/>
    </row>
    <row r="29">
      <c r="A29" s="8" t="n">
        <v>28</v>
      </c>
      <c r="B29" s="8" t="inlineStr">
        <is>
          <t>Part I - Foundations</t>
        </is>
      </c>
      <c r="C29" s="9" t="inlineStr">
        <is>
          <t>MIT 18.065 - Matrix Methods in Data Analysis, Signal Processing and Machine Learning</t>
        </is>
      </c>
      <c r="D29" s="10" t="inlineStr">
        <is>
          <t>Structure of Neural Nets for Deep Learning</t>
        </is>
      </c>
      <c r="E29" s="10" t="inlineStr"/>
      <c r="F29" s="11" t="inlineStr">
        <is>
          <t>53:17</t>
        </is>
      </c>
      <c r="G29" s="11" t="n">
        <v>0.89</v>
      </c>
      <c r="H29" s="12" t="inlineStr"/>
      <c r="I29" s="11" t="inlineStr">
        <is>
          <t>Not started</t>
        </is>
      </c>
      <c r="J29" s="13" t="n"/>
      <c r="K29" s="10" t="inlineStr"/>
      <c r="L29" s="14" t="inlineStr">
        <is>
          <t>▶ watch</t>
        </is>
      </c>
      <c r="M29" s="10" t="inlineStr"/>
      <c r="N29" s="11" t="inlineStr"/>
      <c r="O29" s="11" t="inlineStr">
        <is>
          <t>course lecture - no single paper</t>
        </is>
      </c>
      <c r="P29" s="10" t="inlineStr"/>
    </row>
    <row r="30">
      <c r="A30" s="8" t="n">
        <v>29</v>
      </c>
      <c r="B30" s="8" t="inlineStr">
        <is>
          <t>Part I - Foundations</t>
        </is>
      </c>
      <c r="C30" s="9" t="inlineStr">
        <is>
          <t>MIT 18.065 - Matrix Methods in Data Analysis, Signal Processing and Machine Learning</t>
        </is>
      </c>
      <c r="D30" s="10" t="inlineStr">
        <is>
          <t>Backpropagation: Find Partial Derivatives</t>
        </is>
      </c>
      <c r="E30" s="10" t="inlineStr"/>
      <c r="F30" s="11" t="inlineStr">
        <is>
          <t>52:38</t>
        </is>
      </c>
      <c r="G30" s="11" t="n">
        <v>0.88</v>
      </c>
      <c r="H30" s="12" t="inlineStr"/>
      <c r="I30" s="11" t="inlineStr">
        <is>
          <t>Not started</t>
        </is>
      </c>
      <c r="J30" s="13" t="n"/>
      <c r="K30" s="10" t="inlineStr"/>
      <c r="L30" s="14" t="inlineStr">
        <is>
          <t>▶ watch</t>
        </is>
      </c>
      <c r="M30" s="10" t="inlineStr"/>
      <c r="N30" s="11" t="inlineStr"/>
      <c r="O30" s="11" t="inlineStr">
        <is>
          <t>course lecture - no single paper</t>
        </is>
      </c>
      <c r="P30" s="10" t="inlineStr"/>
    </row>
    <row r="31">
      <c r="A31" s="8" t="n">
        <v>30</v>
      </c>
      <c r="B31" s="8" t="inlineStr">
        <is>
          <t>Part I - Foundations</t>
        </is>
      </c>
      <c r="C31" s="9" t="inlineStr">
        <is>
          <t>MIT 18.065 - Matrix Methods in Data Analysis, Signal Processing and Machine Learning</t>
        </is>
      </c>
      <c r="D31" s="10" t="inlineStr">
        <is>
          <t>Completing a Rank-One Matrix, Circulants</t>
        </is>
      </c>
      <c r="E31" s="10" t="inlineStr"/>
      <c r="F31" s="11" t="inlineStr">
        <is>
          <t>49:53</t>
        </is>
      </c>
      <c r="G31" s="11" t="n">
        <v>0.83</v>
      </c>
      <c r="H31" s="12" t="inlineStr"/>
      <c r="I31" s="11" t="inlineStr">
        <is>
          <t>Not started</t>
        </is>
      </c>
      <c r="J31" s="13" t="n"/>
      <c r="K31" s="10" t="inlineStr"/>
      <c r="L31" s="14" t="inlineStr">
        <is>
          <t>▶ watch</t>
        </is>
      </c>
      <c r="M31" s="10" t="inlineStr"/>
      <c r="N31" s="11" t="inlineStr"/>
      <c r="O31" s="11" t="inlineStr">
        <is>
          <t>course lecture - no single paper</t>
        </is>
      </c>
      <c r="P31" s="10" t="inlineStr"/>
    </row>
    <row r="32">
      <c r="A32" s="8" t="n">
        <v>31</v>
      </c>
      <c r="B32" s="8" t="inlineStr">
        <is>
          <t>Part I - Foundations</t>
        </is>
      </c>
      <c r="C32" s="9" t="inlineStr">
        <is>
          <t>MIT 18.065 - Matrix Methods in Data Analysis, Signal Processing and Machine Learning</t>
        </is>
      </c>
      <c r="D32" s="10" t="inlineStr">
        <is>
          <t>Eigenvectors of Circulant Matrices: Fourier Matrix</t>
        </is>
      </c>
      <c r="E32" s="10" t="inlineStr"/>
      <c r="F32" s="11" t="inlineStr">
        <is>
          <t>52:37</t>
        </is>
      </c>
      <c r="G32" s="11" t="n">
        <v>0.88</v>
      </c>
      <c r="H32" s="12" t="inlineStr"/>
      <c r="I32" s="11" t="inlineStr">
        <is>
          <t>Not started</t>
        </is>
      </c>
      <c r="J32" s="13" t="n"/>
      <c r="K32" s="10" t="inlineStr"/>
      <c r="L32" s="14" t="inlineStr">
        <is>
          <t>▶ watch</t>
        </is>
      </c>
      <c r="M32" s="10" t="inlineStr"/>
      <c r="N32" s="11" t="inlineStr"/>
      <c r="O32" s="11" t="inlineStr">
        <is>
          <t>course lecture - no single paper</t>
        </is>
      </c>
      <c r="P32" s="10" t="inlineStr"/>
    </row>
    <row r="33">
      <c r="A33" s="8" t="n">
        <v>32</v>
      </c>
      <c r="B33" s="8" t="inlineStr">
        <is>
          <t>Part I - Foundations</t>
        </is>
      </c>
      <c r="C33" s="9" t="inlineStr">
        <is>
          <t>MIT 18.065 - Matrix Methods in Data Analysis, Signal Processing and Machine Learning</t>
        </is>
      </c>
      <c r="D33" s="10" t="inlineStr">
        <is>
          <t>ImageNet is a CNN; The Convolution Rule</t>
        </is>
      </c>
      <c r="E33" s="10" t="inlineStr"/>
      <c r="F33" s="11" t="inlineStr">
        <is>
          <t>47:19</t>
        </is>
      </c>
      <c r="G33" s="11" t="n">
        <v>0.79</v>
      </c>
      <c r="H33" s="12" t="inlineStr"/>
      <c r="I33" s="11" t="inlineStr">
        <is>
          <t>Not started</t>
        </is>
      </c>
      <c r="J33" s="13" t="n"/>
      <c r="K33" s="10" t="inlineStr"/>
      <c r="L33" s="14" t="inlineStr">
        <is>
          <t>▶ watch</t>
        </is>
      </c>
      <c r="M33" s="10" t="inlineStr"/>
      <c r="N33" s="11" t="inlineStr"/>
      <c r="O33" s="11" t="inlineStr">
        <is>
          <t>course lecture - no single paper</t>
        </is>
      </c>
      <c r="P33" s="10" t="inlineStr"/>
    </row>
    <row r="34">
      <c r="A34" s="8" t="n">
        <v>33</v>
      </c>
      <c r="B34" s="8" t="inlineStr">
        <is>
          <t>Part I - Foundations</t>
        </is>
      </c>
      <c r="C34" s="9" t="inlineStr">
        <is>
          <t>MIT 18.065 - Matrix Methods in Data Analysis, Signal Processing and Machine Learning</t>
        </is>
      </c>
      <c r="D34" s="10" t="inlineStr">
        <is>
          <t>Neural Nets and the Learning Function</t>
        </is>
      </c>
      <c r="E34" s="10" t="inlineStr"/>
      <c r="F34" s="11" t="inlineStr">
        <is>
          <t>56:07</t>
        </is>
      </c>
      <c r="G34" s="11" t="n">
        <v>0.9399999999999999</v>
      </c>
      <c r="H34" s="12" t="inlineStr"/>
      <c r="I34" s="11" t="inlineStr">
        <is>
          <t>Not started</t>
        </is>
      </c>
      <c r="J34" s="13" t="n"/>
      <c r="K34" s="10" t="inlineStr"/>
      <c r="L34" s="14" t="inlineStr">
        <is>
          <t>▶ watch</t>
        </is>
      </c>
      <c r="M34" s="10" t="inlineStr"/>
      <c r="N34" s="11" t="inlineStr"/>
      <c r="O34" s="11" t="inlineStr">
        <is>
          <t>course lecture - no single paper</t>
        </is>
      </c>
      <c r="P34" s="10" t="inlineStr"/>
    </row>
    <row r="35">
      <c r="A35" s="8" t="n">
        <v>34</v>
      </c>
      <c r="B35" s="8" t="inlineStr">
        <is>
          <t>Part I - Foundations</t>
        </is>
      </c>
      <c r="C35" s="9" t="inlineStr">
        <is>
          <t>MIT 18.065 - Matrix Methods in Data Analysis, Signal Processing and Machine Learning</t>
        </is>
      </c>
      <c r="D35" s="10" t="inlineStr">
        <is>
          <t>Distance Matrices, Procrustes Problem</t>
        </is>
      </c>
      <c r="E35" s="10" t="inlineStr"/>
      <c r="F35" s="11" t="inlineStr">
        <is>
          <t>29:17</t>
        </is>
      </c>
      <c r="G35" s="11" t="n">
        <v>0.49</v>
      </c>
      <c r="H35" s="12" t="inlineStr"/>
      <c r="I35" s="11" t="inlineStr">
        <is>
          <t>Not started</t>
        </is>
      </c>
      <c r="J35" s="13" t="n"/>
      <c r="K35" s="10" t="inlineStr"/>
      <c r="L35" s="14" t="inlineStr">
        <is>
          <t>▶ watch</t>
        </is>
      </c>
      <c r="M35" s="10" t="inlineStr"/>
      <c r="N35" s="11" t="inlineStr"/>
      <c r="O35" s="11" t="inlineStr">
        <is>
          <t>course lecture - no single paper</t>
        </is>
      </c>
      <c r="P35" s="10" t="inlineStr"/>
    </row>
    <row r="36">
      <c r="A36" s="8" t="n">
        <v>35</v>
      </c>
      <c r="B36" s="8" t="inlineStr">
        <is>
          <t>Part I - Foundations</t>
        </is>
      </c>
      <c r="C36" s="9" t="inlineStr">
        <is>
          <t>MIT 18.065 - Matrix Methods in Data Analysis, Signal Processing and Machine Learning</t>
        </is>
      </c>
      <c r="D36" s="10" t="inlineStr">
        <is>
          <t>Finding Clusters in Graphs</t>
        </is>
      </c>
      <c r="E36" s="10" t="inlineStr"/>
      <c r="F36" s="11" t="inlineStr">
        <is>
          <t>34:49</t>
        </is>
      </c>
      <c r="G36" s="11" t="n">
        <v>0.58</v>
      </c>
      <c r="H36" s="12" t="inlineStr"/>
      <c r="I36" s="11" t="inlineStr">
        <is>
          <t>Not started</t>
        </is>
      </c>
      <c r="J36" s="13" t="n"/>
      <c r="K36" s="10" t="inlineStr"/>
      <c r="L36" s="14" t="inlineStr">
        <is>
          <t>▶ watch</t>
        </is>
      </c>
      <c r="M36" s="10" t="inlineStr"/>
      <c r="N36" s="11" t="inlineStr"/>
      <c r="O36" s="11" t="inlineStr">
        <is>
          <t>course lecture - no single paper</t>
        </is>
      </c>
      <c r="P36" s="10" t="inlineStr"/>
    </row>
    <row r="37">
      <c r="A37" s="8" t="n">
        <v>36</v>
      </c>
      <c r="B37" s="8" t="inlineStr">
        <is>
          <t>Part I - Foundations</t>
        </is>
      </c>
      <c r="C37" s="9" t="inlineStr">
        <is>
          <t>MIT 18.065 - Matrix Methods in Data Analysis, Signal Processing and Machine Learning</t>
        </is>
      </c>
      <c r="D37" s="10" t="inlineStr">
        <is>
          <t>Alan Edelman and Julia Language</t>
        </is>
      </c>
      <c r="E37" s="10" t="inlineStr"/>
      <c r="F37" s="11" t="inlineStr">
        <is>
          <t>38:11</t>
        </is>
      </c>
      <c r="G37" s="11" t="n">
        <v>0.64</v>
      </c>
      <c r="H37" s="12" t="inlineStr"/>
      <c r="I37" s="11" t="inlineStr">
        <is>
          <t>Not started</t>
        </is>
      </c>
      <c r="J37" s="13" t="n"/>
      <c r="K37" s="10" t="inlineStr"/>
      <c r="L37" s="14" t="inlineStr">
        <is>
          <t>▶ watch</t>
        </is>
      </c>
      <c r="M37" s="10" t="inlineStr"/>
      <c r="N37" s="11" t="inlineStr"/>
      <c r="O37" s="11" t="inlineStr">
        <is>
          <t>course lecture - no single paper</t>
        </is>
      </c>
      <c r="P37" s="10" t="inlineStr"/>
    </row>
    <row r="38">
      <c r="A38" s="8" t="n">
        <v>37</v>
      </c>
      <c r="B38" s="8" t="inlineStr">
        <is>
          <t>Part I - Foundations</t>
        </is>
      </c>
      <c r="C38" s="9" t="inlineStr">
        <is>
          <t>MIT 18.S096 - Matrix Calculus for Machine Learning and Beyond</t>
        </is>
      </c>
      <c r="D38" s="10" t="inlineStr">
        <is>
          <t>Introduction and Motivation</t>
        </is>
      </c>
      <c r="E38" s="10" t="inlineStr"/>
      <c r="F38" s="11" t="inlineStr">
        <is>
          <t>57:42</t>
        </is>
      </c>
      <c r="G38" s="11" t="n">
        <v>0.96</v>
      </c>
      <c r="H38" s="12" t="inlineStr"/>
      <c r="I38" s="11" t="inlineStr">
        <is>
          <t>Not started</t>
        </is>
      </c>
      <c r="J38" s="13" t="n"/>
      <c r="K38" s="10" t="inlineStr"/>
      <c r="L38" s="14" t="inlineStr">
        <is>
          <t>▶ watch</t>
        </is>
      </c>
      <c r="M38" s="10" t="inlineStr"/>
      <c r="N38" s="11" t="inlineStr"/>
      <c r="O38" s="11" t="inlineStr">
        <is>
          <t>course lecture - no single paper</t>
        </is>
      </c>
      <c r="P38" s="10" t="inlineStr"/>
    </row>
    <row r="39">
      <c r="A39" s="8" t="n">
        <v>38</v>
      </c>
      <c r="B39" s="8" t="inlineStr">
        <is>
          <t>Part I - Foundations</t>
        </is>
      </c>
      <c r="C39" s="9" t="inlineStr">
        <is>
          <t>MIT 18.S096 - Matrix Calculus for Machine Learning and Beyond</t>
        </is>
      </c>
      <c r="D39" s="10" t="inlineStr">
        <is>
          <t>Derivatives as Linear Operators</t>
        </is>
      </c>
      <c r="E39" s="10" t="inlineStr"/>
      <c r="F39" s="11" t="inlineStr">
        <is>
          <t>48:28</t>
        </is>
      </c>
      <c r="G39" s="11" t="n">
        <v>0.8100000000000001</v>
      </c>
      <c r="H39" s="12" t="inlineStr"/>
      <c r="I39" s="11" t="inlineStr">
        <is>
          <t>Not started</t>
        </is>
      </c>
      <c r="J39" s="13" t="n"/>
      <c r="K39" s="10" t="inlineStr"/>
      <c r="L39" s="14" t="inlineStr">
        <is>
          <t>▶ watch</t>
        </is>
      </c>
      <c r="M39" s="10" t="inlineStr"/>
      <c r="N39" s="11" t="inlineStr"/>
      <c r="O39" s="11" t="inlineStr">
        <is>
          <t>course lecture - no single paper</t>
        </is>
      </c>
      <c r="P39" s="10" t="inlineStr"/>
    </row>
    <row r="40">
      <c r="A40" s="8" t="n">
        <v>39</v>
      </c>
      <c r="B40" s="8" t="inlineStr">
        <is>
          <t>Part I - Foundations</t>
        </is>
      </c>
      <c r="C40" s="9" t="inlineStr">
        <is>
          <t>MIT 18.S096 - Matrix Calculus for Machine Learning and Beyond</t>
        </is>
      </c>
      <c r="D40" s="10" t="inlineStr">
        <is>
          <t>Derivatives in Higher Dimensions: Jacobians and Matrix Functions</t>
        </is>
      </c>
      <c r="E40" s="10" t="inlineStr"/>
      <c r="F40" s="11" t="inlineStr">
        <is>
          <t>1:13:57</t>
        </is>
      </c>
      <c r="G40" s="11" t="n">
        <v>1.23</v>
      </c>
      <c r="H40" s="12" t="inlineStr"/>
      <c r="I40" s="11" t="inlineStr">
        <is>
          <t>Not started</t>
        </is>
      </c>
      <c r="J40" s="13" t="n"/>
      <c r="K40" s="10" t="inlineStr"/>
      <c r="L40" s="14" t="inlineStr">
        <is>
          <t>▶ watch</t>
        </is>
      </c>
      <c r="M40" s="10" t="inlineStr"/>
      <c r="N40" s="11" t="inlineStr"/>
      <c r="O40" s="11" t="inlineStr">
        <is>
          <t>course lecture - no single paper</t>
        </is>
      </c>
      <c r="P40" s="10" t="inlineStr"/>
    </row>
    <row r="41">
      <c r="A41" s="8" t="n">
        <v>40</v>
      </c>
      <c r="B41" s="8" t="inlineStr">
        <is>
          <t>Part I - Foundations</t>
        </is>
      </c>
      <c r="C41" s="9" t="inlineStr">
        <is>
          <t>MIT 18.S096 - Matrix Calculus for Machine Learning and Beyond</t>
        </is>
      </c>
      <c r="D41" s="10" t="inlineStr">
        <is>
          <t>Vectorization of Matrix Functions</t>
        </is>
      </c>
      <c r="E41" s="10" t="inlineStr"/>
      <c r="F41" s="11" t="inlineStr">
        <is>
          <t>30:18</t>
        </is>
      </c>
      <c r="G41" s="11" t="n">
        <v>0.51</v>
      </c>
      <c r="H41" s="12" t="inlineStr"/>
      <c r="I41" s="11" t="inlineStr">
        <is>
          <t>Not started</t>
        </is>
      </c>
      <c r="J41" s="13" t="n"/>
      <c r="K41" s="10" t="inlineStr"/>
      <c r="L41" s="14" t="inlineStr">
        <is>
          <t>▶ watch</t>
        </is>
      </c>
      <c r="M41" s="10" t="inlineStr"/>
      <c r="N41" s="11" t="inlineStr"/>
      <c r="O41" s="11" t="inlineStr">
        <is>
          <t>course lecture - no single paper</t>
        </is>
      </c>
      <c r="P41" s="10" t="inlineStr"/>
    </row>
    <row r="42">
      <c r="A42" s="8" t="n">
        <v>41</v>
      </c>
      <c r="B42" s="8" t="inlineStr">
        <is>
          <t>Part I - Foundations</t>
        </is>
      </c>
      <c r="C42" s="9" t="inlineStr">
        <is>
          <t>MIT 18.S096 - Matrix Calculus for Machine Learning and Beyond</t>
        </is>
      </c>
      <c r="D42" s="10" t="inlineStr">
        <is>
          <t>Kronecker Products and Jacobians</t>
        </is>
      </c>
      <c r="E42" s="10" t="inlineStr"/>
      <c r="F42" s="11" t="inlineStr">
        <is>
          <t>53:05</t>
        </is>
      </c>
      <c r="G42" s="11" t="n">
        <v>0.88</v>
      </c>
      <c r="H42" s="12" t="inlineStr"/>
      <c r="I42" s="11" t="inlineStr">
        <is>
          <t>Not started</t>
        </is>
      </c>
      <c r="J42" s="13" t="n"/>
      <c r="K42" s="10" t="inlineStr"/>
      <c r="L42" s="14" t="inlineStr">
        <is>
          <t>▶ watch</t>
        </is>
      </c>
      <c r="M42" s="10" t="inlineStr"/>
      <c r="N42" s="11" t="inlineStr"/>
      <c r="O42" s="11" t="inlineStr">
        <is>
          <t>course lecture - no single paper</t>
        </is>
      </c>
      <c r="P42" s="10" t="inlineStr"/>
    </row>
    <row r="43">
      <c r="A43" s="8" t="n">
        <v>42</v>
      </c>
      <c r="B43" s="8" t="inlineStr">
        <is>
          <t>Part I - Foundations</t>
        </is>
      </c>
      <c r="C43" s="9" t="inlineStr">
        <is>
          <t>MIT 18.S096 - Matrix Calculus for Machine Learning and Beyond</t>
        </is>
      </c>
      <c r="D43" s="10" t="inlineStr">
        <is>
          <t>Finite-Difference Approximations</t>
        </is>
      </c>
      <c r="E43" s="10" t="inlineStr"/>
      <c r="F43" s="11" t="inlineStr">
        <is>
          <t>51:10</t>
        </is>
      </c>
      <c r="G43" s="11" t="n">
        <v>0.85</v>
      </c>
      <c r="H43" s="12" t="inlineStr"/>
      <c r="I43" s="11" t="inlineStr">
        <is>
          <t>Not started</t>
        </is>
      </c>
      <c r="J43" s="13" t="n"/>
      <c r="K43" s="10" t="inlineStr"/>
      <c r="L43" s="14" t="inlineStr">
        <is>
          <t>▶ watch</t>
        </is>
      </c>
      <c r="M43" s="10" t="inlineStr"/>
      <c r="N43" s="11" t="inlineStr"/>
      <c r="O43" s="11" t="inlineStr">
        <is>
          <t>course lecture - no single paper</t>
        </is>
      </c>
      <c r="P43" s="10" t="inlineStr"/>
    </row>
    <row r="44">
      <c r="A44" s="8" t="n">
        <v>43</v>
      </c>
      <c r="B44" s="8" t="inlineStr">
        <is>
          <t>Part I - Foundations</t>
        </is>
      </c>
      <c r="C44" s="9" t="inlineStr">
        <is>
          <t>MIT 18.S096 - Matrix Calculus for Machine Learning and Beyond</t>
        </is>
      </c>
      <c r="D44" s="10" t="inlineStr">
        <is>
          <t>Gradients and Inner Products in Other Vector Spaces</t>
        </is>
      </c>
      <c r="E44" s="10" t="inlineStr"/>
      <c r="F44" s="11" t="inlineStr">
        <is>
          <t>1:03:49</t>
        </is>
      </c>
      <c r="G44" s="11" t="n">
        <v>1.06</v>
      </c>
      <c r="H44" s="12" t="inlineStr"/>
      <c r="I44" s="11" t="inlineStr">
        <is>
          <t>Not started</t>
        </is>
      </c>
      <c r="J44" s="13" t="n"/>
      <c r="K44" s="10" t="inlineStr"/>
      <c r="L44" s="14" t="inlineStr">
        <is>
          <t>▶ watch</t>
        </is>
      </c>
      <c r="M44" s="10" t="inlineStr"/>
      <c r="N44" s="11" t="inlineStr"/>
      <c r="O44" s="11" t="inlineStr">
        <is>
          <t>course lecture - no single paper</t>
        </is>
      </c>
      <c r="P44" s="10" t="inlineStr"/>
    </row>
    <row r="45">
      <c r="A45" s="8" t="n">
        <v>44</v>
      </c>
      <c r="B45" s="8" t="inlineStr">
        <is>
          <t>Part I - Foundations</t>
        </is>
      </c>
      <c r="C45" s="9" t="inlineStr">
        <is>
          <t>MIT 18.S096 - Matrix Calculus for Machine Learning and Beyond</t>
        </is>
      </c>
      <c r="D45" s="10" t="inlineStr">
        <is>
          <t>Nonlinear Root Finding, Optimization, and Adjoint Gradient Methods</t>
        </is>
      </c>
      <c r="E45" s="10" t="inlineStr"/>
      <c r="F45" s="11" t="inlineStr">
        <is>
          <t>44:26</t>
        </is>
      </c>
      <c r="G45" s="11" t="n">
        <v>0.74</v>
      </c>
      <c r="H45" s="12" t="inlineStr">
        <is>
          <t>★</t>
        </is>
      </c>
      <c r="I45" s="11" t="inlineStr">
        <is>
          <t>Not started</t>
        </is>
      </c>
      <c r="J45" s="13" t="n"/>
      <c r="K45" s="10" t="inlineStr"/>
      <c r="L45" s="14" t="inlineStr">
        <is>
          <t>▶ watch</t>
        </is>
      </c>
      <c r="M45" s="10" t="inlineStr"/>
      <c r="N45" s="11" t="inlineStr"/>
      <c r="O45" s="11" t="inlineStr">
        <is>
          <t>course lecture - no single paper</t>
        </is>
      </c>
      <c r="P45" s="10" t="inlineStr"/>
    </row>
    <row r="46">
      <c r="A46" s="8" t="n">
        <v>45</v>
      </c>
      <c r="B46" s="8" t="inlineStr">
        <is>
          <t>Part I - Foundations</t>
        </is>
      </c>
      <c r="C46" s="9" t="inlineStr">
        <is>
          <t>MIT 18.S096 - Matrix Calculus for Machine Learning and Beyond</t>
        </is>
      </c>
      <c r="D46" s="10" t="inlineStr">
        <is>
          <t>Derivative of Matrix Determinant and Inverse</t>
        </is>
      </c>
      <c r="E46" s="10" t="inlineStr"/>
      <c r="F46" s="11" t="inlineStr">
        <is>
          <t>28:03</t>
        </is>
      </c>
      <c r="G46" s="11" t="n">
        <v>0.47</v>
      </c>
      <c r="H46" s="12" t="inlineStr"/>
      <c r="I46" s="11" t="inlineStr">
        <is>
          <t>Not started</t>
        </is>
      </c>
      <c r="J46" s="13" t="n"/>
      <c r="K46" s="10" t="inlineStr"/>
      <c r="L46" s="14" t="inlineStr">
        <is>
          <t>▶ watch</t>
        </is>
      </c>
      <c r="M46" s="10" t="inlineStr"/>
      <c r="N46" s="11" t="inlineStr"/>
      <c r="O46" s="11" t="inlineStr">
        <is>
          <t>course lecture - no single paper</t>
        </is>
      </c>
      <c r="P46" s="10" t="inlineStr"/>
    </row>
    <row r="47">
      <c r="A47" s="8" t="n">
        <v>46</v>
      </c>
      <c r="B47" s="8" t="inlineStr">
        <is>
          <t>Part I - Foundations</t>
        </is>
      </c>
      <c r="C47" s="9" t="inlineStr">
        <is>
          <t>MIT 18.S096 - Matrix Calculus for Machine Learning and Beyond</t>
        </is>
      </c>
      <c r="D47" s="10" t="inlineStr">
        <is>
          <t>Forward Automatic Differentiation via Dual Numbers</t>
        </is>
      </c>
      <c r="E47" s="10" t="inlineStr"/>
      <c r="F47" s="11" t="inlineStr">
        <is>
          <t>36:02</t>
        </is>
      </c>
      <c r="G47" s="11" t="n">
        <v>0.6</v>
      </c>
      <c r="H47" s="12" t="inlineStr"/>
      <c r="I47" s="11" t="inlineStr">
        <is>
          <t>Not started</t>
        </is>
      </c>
      <c r="J47" s="13" t="n"/>
      <c r="K47" s="10" t="inlineStr"/>
      <c r="L47" s="14" t="inlineStr">
        <is>
          <t>▶ watch</t>
        </is>
      </c>
      <c r="M47" s="10" t="inlineStr"/>
      <c r="N47" s="11" t="inlineStr"/>
      <c r="O47" s="11" t="inlineStr">
        <is>
          <t>course lecture - no single paper</t>
        </is>
      </c>
      <c r="P47" s="10" t="inlineStr"/>
    </row>
    <row r="48">
      <c r="A48" s="8" t="n">
        <v>47</v>
      </c>
      <c r="B48" s="8" t="inlineStr">
        <is>
          <t>Part I - Foundations</t>
        </is>
      </c>
      <c r="C48" s="9" t="inlineStr">
        <is>
          <t>MIT 18.S096 - Matrix Calculus for Machine Learning and Beyond</t>
        </is>
      </c>
      <c r="D48" s="10" t="inlineStr">
        <is>
          <t>Differentiation on Computational Graphs</t>
        </is>
      </c>
      <c r="E48" s="10" t="inlineStr"/>
      <c r="F48" s="11" t="inlineStr">
        <is>
          <t>32:46</t>
        </is>
      </c>
      <c r="G48" s="11" t="n">
        <v>0.55</v>
      </c>
      <c r="H48" s="12" t="inlineStr"/>
      <c r="I48" s="11" t="inlineStr">
        <is>
          <t>Not started</t>
        </is>
      </c>
      <c r="J48" s="13" t="n"/>
      <c r="K48" s="10" t="inlineStr"/>
      <c r="L48" s="14" t="inlineStr">
        <is>
          <t>▶ watch</t>
        </is>
      </c>
      <c r="M48" s="10" t="inlineStr"/>
      <c r="N48" s="11" t="inlineStr"/>
      <c r="O48" s="11" t="inlineStr">
        <is>
          <t>course lecture - no single paper</t>
        </is>
      </c>
      <c r="P48" s="10" t="inlineStr"/>
    </row>
    <row r="49">
      <c r="A49" s="8" t="n">
        <v>48</v>
      </c>
      <c r="B49" s="8" t="inlineStr">
        <is>
          <t>Part I - Foundations</t>
        </is>
      </c>
      <c r="C49" s="9" t="inlineStr">
        <is>
          <t>MIT 18.S096 - Matrix Calculus for Machine Learning and Beyond</t>
        </is>
      </c>
      <c r="D49" s="10" t="inlineStr">
        <is>
          <t>Adjoint Differentiation of ODE Solutions</t>
        </is>
      </c>
      <c r="E49" s="10" t="inlineStr"/>
      <c r="F49" s="11" t="inlineStr">
        <is>
          <t>58:21</t>
        </is>
      </c>
      <c r="G49" s="11" t="n">
        <v>0.97</v>
      </c>
      <c r="H49" s="12" t="inlineStr">
        <is>
          <t>★</t>
        </is>
      </c>
      <c r="I49" s="11" t="inlineStr">
        <is>
          <t>Not started</t>
        </is>
      </c>
      <c r="J49" s="13" t="n"/>
      <c r="K49" s="10" t="inlineStr"/>
      <c r="L49" s="14" t="inlineStr">
        <is>
          <t>▶ watch</t>
        </is>
      </c>
      <c r="M49" s="10" t="inlineStr"/>
      <c r="N49" s="11" t="inlineStr"/>
      <c r="O49" s="11" t="inlineStr">
        <is>
          <t>course lecture - no single paper</t>
        </is>
      </c>
      <c r="P49" s="10" t="inlineStr"/>
    </row>
    <row r="50">
      <c r="A50" s="8" t="n">
        <v>49</v>
      </c>
      <c r="B50" s="8" t="inlineStr">
        <is>
          <t>Part I - Foundations</t>
        </is>
      </c>
      <c r="C50" s="9" t="inlineStr">
        <is>
          <t>MIT 18.S096 - Matrix Calculus for Machine Learning and Beyond</t>
        </is>
      </c>
      <c r="D50" s="10" t="inlineStr">
        <is>
          <t>Calculus of Variations and Gradients of Functionals</t>
        </is>
      </c>
      <c r="E50" s="10" t="inlineStr"/>
      <c r="F50" s="11" t="inlineStr">
        <is>
          <t>42:32</t>
        </is>
      </c>
      <c r="G50" s="11" t="n">
        <v>0.71</v>
      </c>
      <c r="H50" s="12" t="inlineStr"/>
      <c r="I50" s="11" t="inlineStr">
        <is>
          <t>Not started</t>
        </is>
      </c>
      <c r="J50" s="13" t="n"/>
      <c r="K50" s="10" t="inlineStr"/>
      <c r="L50" s="14" t="inlineStr">
        <is>
          <t>▶ watch</t>
        </is>
      </c>
      <c r="M50" s="10" t="inlineStr"/>
      <c r="N50" s="11" t="inlineStr"/>
      <c r="O50" s="11" t="inlineStr">
        <is>
          <t>course lecture - no single paper</t>
        </is>
      </c>
      <c r="P50" s="10" t="inlineStr"/>
    </row>
    <row r="51">
      <c r="A51" s="8" t="n">
        <v>50</v>
      </c>
      <c r="B51" s="8" t="inlineStr">
        <is>
          <t>Part I - Foundations</t>
        </is>
      </c>
      <c r="C51" s="9" t="inlineStr">
        <is>
          <t>MIT 18.S096 - Matrix Calculus for Machine Learning and Beyond</t>
        </is>
      </c>
      <c r="D51" s="10" t="inlineStr">
        <is>
          <t>Derivatives of Random Functions</t>
        </is>
      </c>
      <c r="E51" s="10" t="inlineStr"/>
      <c r="F51" s="11" t="inlineStr">
        <is>
          <t>1:06:18</t>
        </is>
      </c>
      <c r="G51" s="11" t="n">
        <v>1.1</v>
      </c>
      <c r="H51" s="12" t="inlineStr"/>
      <c r="I51" s="11" t="inlineStr">
        <is>
          <t>Not started</t>
        </is>
      </c>
      <c r="J51" s="13" t="n"/>
      <c r="K51" s="10" t="inlineStr"/>
      <c r="L51" s="14" t="inlineStr">
        <is>
          <t>▶ watch</t>
        </is>
      </c>
      <c r="M51" s="10" t="inlineStr"/>
      <c r="N51" s="11" t="inlineStr"/>
      <c r="O51" s="11" t="inlineStr">
        <is>
          <t>course lecture - no single paper</t>
        </is>
      </c>
      <c r="P51" s="10" t="inlineStr"/>
    </row>
    <row r="52">
      <c r="A52" s="8" t="n">
        <v>51</v>
      </c>
      <c r="B52" s="8" t="inlineStr">
        <is>
          <t>Part I - Foundations</t>
        </is>
      </c>
      <c r="C52" s="9" t="inlineStr">
        <is>
          <t>MIT 18.S096 - Matrix Calculus for Machine Learning and Beyond</t>
        </is>
      </c>
      <c r="D52" s="10" t="inlineStr">
        <is>
          <t>Second Derivatives, Bilinear Forms, and Hessian Matrices</t>
        </is>
      </c>
      <c r="E52" s="10" t="inlineStr"/>
      <c r="F52" s="11" t="inlineStr">
        <is>
          <t>46:09</t>
        </is>
      </c>
      <c r="G52" s="11" t="n">
        <v>0.77</v>
      </c>
      <c r="H52" s="12" t="inlineStr"/>
      <c r="I52" s="11" t="inlineStr">
        <is>
          <t>Not started</t>
        </is>
      </c>
      <c r="J52" s="13" t="n"/>
      <c r="K52" s="10" t="inlineStr"/>
      <c r="L52" s="14" t="inlineStr">
        <is>
          <t>▶ watch</t>
        </is>
      </c>
      <c r="M52" s="10" t="inlineStr"/>
      <c r="N52" s="11" t="inlineStr"/>
      <c r="O52" s="11" t="inlineStr">
        <is>
          <t>course lecture - no single paper</t>
        </is>
      </c>
      <c r="P52" s="10" t="inlineStr"/>
    </row>
    <row r="53">
      <c r="A53" s="8" t="n">
        <v>52</v>
      </c>
      <c r="B53" s="8" t="inlineStr">
        <is>
          <t>Part I - Foundations</t>
        </is>
      </c>
      <c r="C53" s="9" t="inlineStr">
        <is>
          <t>MIT 18.S096 - Matrix Calculus for Machine Learning and Beyond</t>
        </is>
      </c>
      <c r="D53" s="10" t="inlineStr">
        <is>
          <t>Derivatives of Eigenproblems</t>
        </is>
      </c>
      <c r="E53" s="10" t="inlineStr"/>
      <c r="F53" s="11" t="inlineStr">
        <is>
          <t>36:37</t>
        </is>
      </c>
      <c r="G53" s="11" t="n">
        <v>0.61</v>
      </c>
      <c r="H53" s="12" t="inlineStr"/>
      <c r="I53" s="11" t="inlineStr">
        <is>
          <t>Not started</t>
        </is>
      </c>
      <c r="J53" s="13" t="n"/>
      <c r="K53" s="10" t="inlineStr"/>
      <c r="L53" s="14" t="inlineStr">
        <is>
          <t>▶ watch</t>
        </is>
      </c>
      <c r="M53" s="10" t="inlineStr"/>
      <c r="N53" s="11" t="inlineStr"/>
      <c r="O53" s="11" t="inlineStr">
        <is>
          <t>course lecture - no single paper</t>
        </is>
      </c>
      <c r="P53" s="10" t="inlineStr"/>
    </row>
    <row r="54">
      <c r="A54" s="8" t="n">
        <v>53</v>
      </c>
      <c r="B54" s="8" t="inlineStr">
        <is>
          <t>Part I - Foundations</t>
        </is>
      </c>
      <c r="C54" s="9" t="inlineStr">
        <is>
          <t>MIT 18.S096 - Matrix Calculus for Machine Learning and Beyond</t>
        </is>
      </c>
      <c r="D54" s="10" t="inlineStr">
        <is>
          <t>Automatic Differentiation on Computational Graphs</t>
        </is>
      </c>
      <c r="E54" s="10" t="inlineStr"/>
      <c r="F54" s="11" t="inlineStr">
        <is>
          <t>1:05:29</t>
        </is>
      </c>
      <c r="G54" s="11" t="n">
        <v>1.09</v>
      </c>
      <c r="H54" s="12" t="inlineStr"/>
      <c r="I54" s="11" t="inlineStr">
        <is>
          <t>Not started</t>
        </is>
      </c>
      <c r="J54" s="13" t="n"/>
      <c r="K54" s="10" t="inlineStr"/>
      <c r="L54" s="14" t="inlineStr">
        <is>
          <t>▶ watch</t>
        </is>
      </c>
      <c r="M54" s="10" t="inlineStr"/>
      <c r="N54" s="11" t="inlineStr"/>
      <c r="O54" s="11" t="inlineStr">
        <is>
          <t>course lecture - no single paper</t>
        </is>
      </c>
      <c r="P54" s="10" t="inlineStr"/>
    </row>
    <row r="55">
      <c r="A55" s="8" t="n">
        <v>54</v>
      </c>
      <c r="B55" s="8" t="inlineStr">
        <is>
          <t>Part I - Foundations</t>
        </is>
      </c>
      <c r="C55" s="9" t="inlineStr">
        <is>
          <t>David MacKay - Information Theory, Pattern Recognition and Neural Networks</t>
        </is>
      </c>
      <c r="D55" s="10" t="inlineStr">
        <is>
          <t>Introduction to Information Theory</t>
        </is>
      </c>
      <c r="E55" s="10" t="inlineStr"/>
      <c r="F55" s="11" t="inlineStr">
        <is>
          <t>1:01:51</t>
        </is>
      </c>
      <c r="G55" s="11" t="n">
        <v>1.03</v>
      </c>
      <c r="H55" s="12" t="inlineStr"/>
      <c r="I55" s="11" t="inlineStr">
        <is>
          <t>Not started</t>
        </is>
      </c>
      <c r="J55" s="13" t="n"/>
      <c r="K55" s="10" t="inlineStr"/>
      <c r="L55" s="14" t="inlineStr">
        <is>
          <t>▶ watch</t>
        </is>
      </c>
      <c r="M55" s="10" t="inlineStr"/>
      <c r="N55" s="11" t="inlineStr"/>
      <c r="O55" s="11" t="inlineStr">
        <is>
          <t>course lecture - no single paper</t>
        </is>
      </c>
      <c r="P55" s="10" t="inlineStr"/>
    </row>
    <row r="56">
      <c r="A56" s="8" t="n">
        <v>55</v>
      </c>
      <c r="B56" s="8" t="inlineStr">
        <is>
          <t>Part I - Foundations</t>
        </is>
      </c>
      <c r="C56" s="9" t="inlineStr">
        <is>
          <t>David MacKay - Information Theory, Pattern Recognition and Neural Networks</t>
        </is>
      </c>
      <c r="D56" s="10" t="inlineStr">
        <is>
          <t>Entropy and Data Compression I: Introduction to Compression, Inf. Theory and Entropy</t>
        </is>
      </c>
      <c r="E56" s="10" t="inlineStr"/>
      <c r="F56" s="11" t="inlineStr">
        <is>
          <t>51:09</t>
        </is>
      </c>
      <c r="G56" s="11" t="n">
        <v>0.85</v>
      </c>
      <c r="H56" s="12" t="inlineStr"/>
      <c r="I56" s="11" t="inlineStr">
        <is>
          <t>Not started</t>
        </is>
      </c>
      <c r="J56" s="13" t="n"/>
      <c r="K56" s="10" t="inlineStr"/>
      <c r="L56" s="14" t="inlineStr">
        <is>
          <t>▶ watch</t>
        </is>
      </c>
      <c r="M56" s="10" t="inlineStr"/>
      <c r="N56" s="11" t="inlineStr"/>
      <c r="O56" s="11" t="inlineStr">
        <is>
          <t>course lecture - no single paper</t>
        </is>
      </c>
      <c r="P56" s="10" t="inlineStr"/>
    </row>
    <row r="57">
      <c r="A57" s="8" t="n">
        <v>56</v>
      </c>
      <c r="B57" s="8" t="inlineStr">
        <is>
          <t>Part I - Foundations</t>
        </is>
      </c>
      <c r="C57" s="9" t="inlineStr">
        <is>
          <t>David MacKay - Information Theory, Pattern Recognition and Neural Networks</t>
        </is>
      </c>
      <c r="D57" s="10" t="inlineStr">
        <is>
          <t>Entropy and Data Compression II: Shannon's Source Coding Theorem, The Bent Coin Lottery</t>
        </is>
      </c>
      <c r="E57" s="10" t="inlineStr"/>
      <c r="F57" s="11" t="inlineStr">
        <is>
          <t>51:01</t>
        </is>
      </c>
      <c r="G57" s="11" t="n">
        <v>0.85</v>
      </c>
      <c r="H57" s="12" t="inlineStr"/>
      <c r="I57" s="11" t="inlineStr">
        <is>
          <t>Not started</t>
        </is>
      </c>
      <c r="J57" s="13" t="n"/>
      <c r="K57" s="10" t="inlineStr"/>
      <c r="L57" s="14" t="inlineStr">
        <is>
          <t>▶ watch</t>
        </is>
      </c>
      <c r="M57" s="10" t="inlineStr"/>
      <c r="N57" s="11" t="inlineStr"/>
      <c r="O57" s="11" t="inlineStr">
        <is>
          <t>course lecture - no single paper</t>
        </is>
      </c>
      <c r="P57" s="10" t="inlineStr"/>
    </row>
    <row r="58">
      <c r="A58" s="8" t="n">
        <v>57</v>
      </c>
      <c r="B58" s="8" t="inlineStr">
        <is>
          <t>Part I - Foundations</t>
        </is>
      </c>
      <c r="C58" s="9" t="inlineStr">
        <is>
          <t>David MacKay - Information Theory, Pattern Recognition and Neural Networks</t>
        </is>
      </c>
      <c r="D58" s="10" t="inlineStr">
        <is>
          <t>Entropy and Data Compression III: Source Coding Theorem, Symbol Codes</t>
        </is>
      </c>
      <c r="E58" s="10" t="inlineStr"/>
      <c r="F58" s="11" t="inlineStr">
        <is>
          <t>56:58</t>
        </is>
      </c>
      <c r="G58" s="11" t="n">
        <v>0.95</v>
      </c>
      <c r="H58" s="12" t="inlineStr"/>
      <c r="I58" s="11" t="inlineStr">
        <is>
          <t>Not started</t>
        </is>
      </c>
      <c r="J58" s="13" t="n"/>
      <c r="K58" s="10" t="inlineStr"/>
      <c r="L58" s="14" t="inlineStr">
        <is>
          <t>▶ watch</t>
        </is>
      </c>
      <c r="M58" s="10" t="inlineStr"/>
      <c r="N58" s="11" t="inlineStr"/>
      <c r="O58" s="11" t="inlineStr">
        <is>
          <t>course lecture - no single paper</t>
        </is>
      </c>
      <c r="P58" s="10" t="inlineStr"/>
    </row>
    <row r="59">
      <c r="A59" s="8" t="n">
        <v>58</v>
      </c>
      <c r="B59" s="8" t="inlineStr">
        <is>
          <t>Part I - Foundations</t>
        </is>
      </c>
      <c r="C59" s="9" t="inlineStr">
        <is>
          <t>David MacKay - Information Theory, Pattern Recognition and Neural Networks</t>
        </is>
      </c>
      <c r="D59" s="10" t="inlineStr">
        <is>
          <t>Entropy and Data Compression IV: Source Coding Theorem, Symbol Codes</t>
        </is>
      </c>
      <c r="E59" s="10" t="inlineStr"/>
      <c r="F59" s="11" t="inlineStr">
        <is>
          <t>1:02:48</t>
        </is>
      </c>
      <c r="G59" s="11" t="n">
        <v>1.05</v>
      </c>
      <c r="H59" s="12" t="inlineStr"/>
      <c r="I59" s="11" t="inlineStr">
        <is>
          <t>Not started</t>
        </is>
      </c>
      <c r="J59" s="13" t="n"/>
      <c r="K59" s="10" t="inlineStr"/>
      <c r="L59" s="14" t="inlineStr">
        <is>
          <t>▶ watch</t>
        </is>
      </c>
      <c r="M59" s="10" t="inlineStr"/>
      <c r="N59" s="11" t="inlineStr"/>
      <c r="O59" s="11" t="inlineStr">
        <is>
          <t>course lecture - no single paper</t>
        </is>
      </c>
      <c r="P59" s="10" t="inlineStr"/>
    </row>
    <row r="60">
      <c r="A60" s="8" t="n">
        <v>59</v>
      </c>
      <c r="B60" s="8" t="inlineStr">
        <is>
          <t>Part I - Foundations</t>
        </is>
      </c>
      <c r="C60" s="9" t="inlineStr">
        <is>
          <t>David MacKay - Information Theory, Pattern Recognition and Neural Networks</t>
        </is>
      </c>
      <c r="D60" s="10" t="inlineStr">
        <is>
          <t>Noisy Channel Coding I: Inference and Information Measures for Noisy Channels</t>
        </is>
      </c>
      <c r="E60" s="10" t="inlineStr"/>
      <c r="F60" s="11" t="inlineStr">
        <is>
          <t>54:42</t>
        </is>
      </c>
      <c r="G60" s="11" t="n">
        <v>0.91</v>
      </c>
      <c r="H60" s="12" t="inlineStr"/>
      <c r="I60" s="11" t="inlineStr">
        <is>
          <t>Not started</t>
        </is>
      </c>
      <c r="J60" s="13" t="n"/>
      <c r="K60" s="10" t="inlineStr"/>
      <c r="L60" s="14" t="inlineStr">
        <is>
          <t>▶ watch</t>
        </is>
      </c>
      <c r="M60" s="10" t="inlineStr"/>
      <c r="N60" s="11" t="inlineStr"/>
      <c r="O60" s="11" t="inlineStr">
        <is>
          <t>course lecture - no single paper</t>
        </is>
      </c>
      <c r="P60" s="10" t="inlineStr"/>
    </row>
    <row r="61">
      <c r="A61" s="8" t="n">
        <v>60</v>
      </c>
      <c r="B61" s="8" t="inlineStr">
        <is>
          <t>Part I - Foundations</t>
        </is>
      </c>
      <c r="C61" s="9" t="inlineStr">
        <is>
          <t>David MacKay - Information Theory, Pattern Recognition and Neural Networks</t>
        </is>
      </c>
      <c r="D61" s="10" t="inlineStr">
        <is>
          <t>Noisy Channel Coding II: The Capacity of a Noisy Channel</t>
        </is>
      </c>
      <c r="E61" s="10" t="inlineStr"/>
      <c r="F61" s="11" t="inlineStr">
        <is>
          <t>46:54</t>
        </is>
      </c>
      <c r="G61" s="11" t="n">
        <v>0.78</v>
      </c>
      <c r="H61" s="12" t="inlineStr"/>
      <c r="I61" s="11" t="inlineStr">
        <is>
          <t>Not started</t>
        </is>
      </c>
      <c r="J61" s="13" t="n"/>
      <c r="K61" s="10" t="inlineStr"/>
      <c r="L61" s="14" t="inlineStr">
        <is>
          <t>▶ watch</t>
        </is>
      </c>
      <c r="M61" s="10" t="inlineStr"/>
      <c r="N61" s="11" t="inlineStr"/>
      <c r="O61" s="11" t="inlineStr">
        <is>
          <t>course lecture - no single paper</t>
        </is>
      </c>
      <c r="P61" s="10" t="inlineStr"/>
    </row>
    <row r="62">
      <c r="A62" s="8" t="n">
        <v>61</v>
      </c>
      <c r="B62" s="8" t="inlineStr">
        <is>
          <t>Part I - Foundations</t>
        </is>
      </c>
      <c r="C62" s="9" t="inlineStr">
        <is>
          <t>David MacKay - Information Theory, Pattern Recognition and Neural Networks</t>
        </is>
      </c>
      <c r="D62" s="10" t="inlineStr">
        <is>
          <t>Noisy Channel Coding III: The Noisy-Channel Coding Theorem</t>
        </is>
      </c>
      <c r="E62" s="10" t="inlineStr"/>
      <c r="F62" s="11" t="inlineStr">
        <is>
          <t>1:08:59</t>
        </is>
      </c>
      <c r="G62" s="11" t="n">
        <v>1.15</v>
      </c>
      <c r="H62" s="12" t="inlineStr"/>
      <c r="I62" s="11" t="inlineStr">
        <is>
          <t>Not started</t>
        </is>
      </c>
      <c r="J62" s="13" t="n"/>
      <c r="K62" s="10" t="inlineStr"/>
      <c r="L62" s="14" t="inlineStr">
        <is>
          <t>▶ watch</t>
        </is>
      </c>
      <c r="M62" s="10" t="inlineStr"/>
      <c r="N62" s="11" t="inlineStr"/>
      <c r="O62" s="11" t="inlineStr">
        <is>
          <t>course lecture - no single paper</t>
        </is>
      </c>
      <c r="P62" s="10" t="inlineStr"/>
    </row>
    <row r="63">
      <c r="A63" s="8" t="n">
        <v>62</v>
      </c>
      <c r="B63" s="8" t="inlineStr">
        <is>
          <t>Part I - Foundations</t>
        </is>
      </c>
      <c r="C63" s="9" t="inlineStr">
        <is>
          <t>David MacKay - Information Theory, Pattern Recognition and Neural Networks</t>
        </is>
      </c>
      <c r="D63" s="10" t="inlineStr">
        <is>
          <t>A Noisy Channel Coding Gem, and an Introduction to Bayesian Inference I</t>
        </is>
      </c>
      <c r="E63" s="10" t="inlineStr"/>
      <c r="F63" s="11" t="inlineStr">
        <is>
          <t>48:36</t>
        </is>
      </c>
      <c r="G63" s="11" t="n">
        <v>0.8100000000000001</v>
      </c>
      <c r="H63" s="12" t="inlineStr"/>
      <c r="I63" s="11" t="inlineStr">
        <is>
          <t>Not started</t>
        </is>
      </c>
      <c r="J63" s="13" t="n"/>
      <c r="K63" s="10" t="inlineStr"/>
      <c r="L63" s="14" t="inlineStr">
        <is>
          <t>▶ watch</t>
        </is>
      </c>
      <c r="M63" s="10" t="inlineStr"/>
      <c r="N63" s="11" t="inlineStr"/>
      <c r="O63" s="11" t="inlineStr">
        <is>
          <t>course lecture - no single paper</t>
        </is>
      </c>
      <c r="P63" s="10" t="inlineStr"/>
    </row>
    <row r="64">
      <c r="A64" s="8" t="n">
        <v>63</v>
      </c>
      <c r="B64" s="8" t="inlineStr">
        <is>
          <t>Part I - Foundations</t>
        </is>
      </c>
      <c r="C64" s="9" t="inlineStr">
        <is>
          <t>David MacKay - Information Theory, Pattern Recognition and Neural Networks</t>
        </is>
      </c>
      <c r="D64" s="10" t="inlineStr">
        <is>
          <t>Bayesian Inference II: Inference of Parameters and Models</t>
        </is>
      </c>
      <c r="E64" s="10" t="inlineStr"/>
      <c r="F64" s="11" t="inlineStr">
        <is>
          <t>1:15:53</t>
        </is>
      </c>
      <c r="G64" s="11" t="n">
        <v>1.26</v>
      </c>
      <c r="H64" s="12" t="inlineStr"/>
      <c r="I64" s="11" t="inlineStr">
        <is>
          <t>Not started</t>
        </is>
      </c>
      <c r="J64" s="13" t="n"/>
      <c r="K64" s="10" t="inlineStr"/>
      <c r="L64" s="14" t="inlineStr">
        <is>
          <t>▶ watch</t>
        </is>
      </c>
      <c r="M64" s="10" t="inlineStr"/>
      <c r="N64" s="11" t="inlineStr"/>
      <c r="O64" s="11" t="inlineStr">
        <is>
          <t>course lecture - no single paper</t>
        </is>
      </c>
      <c r="P64" s="10" t="inlineStr"/>
    </row>
    <row r="65">
      <c r="A65" s="8" t="n">
        <v>64</v>
      </c>
      <c r="B65" s="8" t="inlineStr">
        <is>
          <t>Part I - Foundations</t>
        </is>
      </c>
      <c r="C65" s="9" t="inlineStr">
        <is>
          <t>David MacKay - Information Theory, Pattern Recognition and Neural Networks</t>
        </is>
      </c>
      <c r="D65" s="10" t="inlineStr">
        <is>
          <t>Approximating Probability Distributions I: Clustering as an Inference Problem</t>
        </is>
      </c>
      <c r="E65" s="10" t="inlineStr"/>
      <c r="F65" s="11" t="inlineStr">
        <is>
          <t>56:56</t>
        </is>
      </c>
      <c r="G65" s="11" t="n">
        <v>0.95</v>
      </c>
      <c r="H65" s="12" t="inlineStr"/>
      <c r="I65" s="11" t="inlineStr">
        <is>
          <t>Not started</t>
        </is>
      </c>
      <c r="J65" s="13" t="n"/>
      <c r="K65" s="10" t="inlineStr"/>
      <c r="L65" s="14" t="inlineStr">
        <is>
          <t>▶ watch</t>
        </is>
      </c>
      <c r="M65" s="10" t="inlineStr"/>
      <c r="N65" s="11" t="inlineStr"/>
      <c r="O65" s="11" t="inlineStr">
        <is>
          <t>course lecture - no single paper</t>
        </is>
      </c>
      <c r="P65" s="10" t="inlineStr"/>
    </row>
    <row r="66">
      <c r="A66" s="8" t="n">
        <v>65</v>
      </c>
      <c r="B66" s="8" t="inlineStr">
        <is>
          <t>Part I - Foundations</t>
        </is>
      </c>
      <c r="C66" s="9" t="inlineStr">
        <is>
          <t>David MacKay - Information Theory, Pattern Recognition and Neural Networks</t>
        </is>
      </c>
      <c r="D66" s="10" t="inlineStr">
        <is>
          <t>Approximating Probability Distributions II: Monte Carlo Methods I</t>
        </is>
      </c>
      <c r="E66" s="10" t="inlineStr">
        <is>
          <t>David MacKay (Cambridge</t>
        </is>
      </c>
      <c r="F66" s="11" t="inlineStr">
        <is>
          <t>1:23:48</t>
        </is>
      </c>
      <c r="G66" s="11" t="n">
        <v>1.4</v>
      </c>
      <c r="H66" s="12" t="inlineStr">
        <is>
          <t>★</t>
        </is>
      </c>
      <c r="I66" s="11" t="inlineStr">
        <is>
          <t>Not started</t>
        </is>
      </c>
      <c r="J66" s="13" t="n"/>
      <c r="K66" s="10" t="inlineStr"/>
      <c r="L66" s="14" t="inlineStr">
        <is>
          <t>▶ watch</t>
        </is>
      </c>
      <c r="M66" s="10" t="inlineStr"/>
      <c r="N66" s="11" t="inlineStr"/>
      <c r="O66" s="11" t="inlineStr">
        <is>
          <t>course lecture - no single paper</t>
        </is>
      </c>
      <c r="P66" s="10" t="inlineStr">
        <is>
          <t>Why high-dimensional sampling needs MCMC at all</t>
        </is>
      </c>
    </row>
    <row r="67">
      <c r="A67" s="8" t="n">
        <v>66</v>
      </c>
      <c r="B67" s="8" t="inlineStr">
        <is>
          <t>Part I - Foundations</t>
        </is>
      </c>
      <c r="C67" s="9" t="inlineStr">
        <is>
          <t>David MacKay - Information Theory, Pattern Recognition and Neural Networks</t>
        </is>
      </c>
      <c r="D67" s="10" t="inlineStr">
        <is>
          <t>Approximating Probability Distributions III: Monte Carlo II, Slice Sampling</t>
        </is>
      </c>
      <c r="E67" s="10" t="inlineStr">
        <is>
          <t>David MacKay</t>
        </is>
      </c>
      <c r="F67" s="11" t="inlineStr">
        <is>
          <t>1:47:57</t>
        </is>
      </c>
      <c r="G67" s="11" t="n">
        <v>1.8</v>
      </c>
      <c r="H67" s="12" t="inlineStr">
        <is>
          <t>★</t>
        </is>
      </c>
      <c r="I67" s="11" t="inlineStr">
        <is>
          <t>Not started</t>
        </is>
      </c>
      <c r="J67" s="13" t="n"/>
      <c r="K67" s="10" t="inlineStr"/>
      <c r="L67" s="14" t="inlineStr">
        <is>
          <t>▶ watch</t>
        </is>
      </c>
      <c r="M67" s="10" t="inlineStr"/>
      <c r="N67" s="11" t="inlineStr"/>
      <c r="O67" s="11" t="inlineStr">
        <is>
          <t>course lecture - no single paper</t>
        </is>
      </c>
      <c r="P67" s="10" t="inlineStr">
        <is>
          <t>Why high-dimensional sampling needs MCMC at all</t>
        </is>
      </c>
    </row>
    <row r="68">
      <c r="A68" s="8" t="n">
        <v>67</v>
      </c>
      <c r="B68" s="8" t="inlineStr">
        <is>
          <t>Part I - Foundations</t>
        </is>
      </c>
      <c r="C68" s="9" t="inlineStr">
        <is>
          <t>David MacKay - Information Theory, Pattern Recognition and Neural Networks</t>
        </is>
      </c>
      <c r="D68" s="10" t="inlineStr">
        <is>
          <t>Approximating Probability Distributions IV: Variational Methods</t>
        </is>
      </c>
      <c r="E68" s="10" t="inlineStr"/>
      <c r="F68" s="11" t="inlineStr">
        <is>
          <t>46:35</t>
        </is>
      </c>
      <c r="G68" s="11" t="n">
        <v>0.78</v>
      </c>
      <c r="H68" s="12" t="inlineStr"/>
      <c r="I68" s="11" t="inlineStr">
        <is>
          <t>Not started</t>
        </is>
      </c>
      <c r="J68" s="13" t="n"/>
      <c r="K68" s="10" t="inlineStr"/>
      <c r="L68" s="14" t="inlineStr">
        <is>
          <t>▶ watch</t>
        </is>
      </c>
      <c r="M68" s="10" t="inlineStr"/>
      <c r="N68" s="11" t="inlineStr"/>
      <c r="O68" s="11" t="inlineStr">
        <is>
          <t>course lecture - no single paper</t>
        </is>
      </c>
      <c r="P68" s="10" t="inlineStr"/>
    </row>
    <row r="69">
      <c r="A69" s="8" t="n">
        <v>68</v>
      </c>
      <c r="B69" s="8" t="inlineStr">
        <is>
          <t>Part I - Foundations</t>
        </is>
      </c>
      <c r="C69" s="9" t="inlineStr">
        <is>
          <t>David MacKay - Information Theory, Pattern Recognition and Neural Networks</t>
        </is>
      </c>
      <c r="D69" s="10" t="inlineStr">
        <is>
          <t>Data Modelling with Neural Networks I: Feedforward Networks, Capacity of a Neuron</t>
        </is>
      </c>
      <c r="E69" s="10" t="inlineStr"/>
      <c r="F69" s="11" t="inlineStr">
        <is>
          <t>1:27:16</t>
        </is>
      </c>
      <c r="G69" s="11" t="n">
        <v>1.45</v>
      </c>
      <c r="H69" s="12" t="inlineStr"/>
      <c r="I69" s="11" t="inlineStr">
        <is>
          <t>Not started</t>
        </is>
      </c>
      <c r="J69" s="13" t="n"/>
      <c r="K69" s="10" t="inlineStr"/>
      <c r="L69" s="14" t="inlineStr">
        <is>
          <t>▶ watch</t>
        </is>
      </c>
      <c r="M69" s="10" t="inlineStr"/>
      <c r="N69" s="11" t="inlineStr"/>
      <c r="O69" s="11" t="inlineStr">
        <is>
          <t>course lecture - no single paper</t>
        </is>
      </c>
      <c r="P69" s="10" t="inlineStr"/>
    </row>
    <row r="70">
      <c r="A70" s="8" t="n">
        <v>69</v>
      </c>
      <c r="B70" s="8" t="inlineStr">
        <is>
          <t>Part I - Foundations</t>
        </is>
      </c>
      <c r="C70" s="9" t="inlineStr">
        <is>
          <t>David MacKay - Information Theory, Pattern Recognition and Neural Networks</t>
        </is>
      </c>
      <c r="D70" s="10" t="inlineStr">
        <is>
          <t>Data Modelling with Neural Networks II: Content-Addressable Memories</t>
        </is>
      </c>
      <c r="E70" s="10" t="inlineStr"/>
      <c r="F70" s="11" t="inlineStr">
        <is>
          <t>1:36:33</t>
        </is>
      </c>
      <c r="G70" s="11" t="n">
        <v>1.61</v>
      </c>
      <c r="H70" s="12" t="inlineStr"/>
      <c r="I70" s="11" t="inlineStr">
        <is>
          <t>Not started</t>
        </is>
      </c>
      <c r="J70" s="13" t="n"/>
      <c r="K70" s="10" t="inlineStr"/>
      <c r="L70" s="14" t="inlineStr">
        <is>
          <t>▶ watch</t>
        </is>
      </c>
      <c r="M70" s="10" t="inlineStr"/>
      <c r="N70" s="11" t="inlineStr"/>
      <c r="O70" s="11" t="inlineStr">
        <is>
          <t>course lecture - no single paper</t>
        </is>
      </c>
      <c r="P70" s="10" t="inlineStr"/>
    </row>
    <row r="71">
      <c r="A71" s="8" t="n">
        <v>70</v>
      </c>
      <c r="B71" s="8" t="inlineStr">
        <is>
          <t>Part I - Foundations</t>
        </is>
      </c>
      <c r="C71" s="9" t="inlineStr">
        <is>
          <t>Unit I - Thermodynamics</t>
        </is>
      </c>
      <c r="D71" s="10" t="inlineStr">
        <is>
          <t>Thermodynamics Part 1</t>
        </is>
      </c>
      <c r="E71" s="10" t="inlineStr"/>
      <c r="F71" s="11" t="inlineStr">
        <is>
          <t>1:26:25</t>
        </is>
      </c>
      <c r="G71" s="11" t="n">
        <v>1.44</v>
      </c>
      <c r="H71" s="12" t="inlineStr"/>
      <c r="I71" s="11" t="inlineStr">
        <is>
          <t>Not started</t>
        </is>
      </c>
      <c r="J71" s="13" t="n"/>
      <c r="K71" s="10" t="inlineStr"/>
      <c r="L71" s="14" t="inlineStr">
        <is>
          <t>▶ watch</t>
        </is>
      </c>
      <c r="M71" s="10" t="inlineStr"/>
      <c r="N71" s="11" t="inlineStr"/>
      <c r="O71" s="11" t="inlineStr">
        <is>
          <t>course lecture - no single paper</t>
        </is>
      </c>
      <c r="P71" s="10" t="inlineStr"/>
    </row>
    <row r="72">
      <c r="A72" s="8" t="n">
        <v>71</v>
      </c>
      <c r="B72" s="8" t="inlineStr">
        <is>
          <t>Part I - Foundations</t>
        </is>
      </c>
      <c r="C72" s="9" t="inlineStr">
        <is>
          <t>Unit I - Thermodynamics</t>
        </is>
      </c>
      <c r="D72" s="10" t="inlineStr">
        <is>
          <t>Thermodynamics Part 2</t>
        </is>
      </c>
      <c r="E72" s="10" t="inlineStr"/>
      <c r="F72" s="11" t="inlineStr">
        <is>
          <t>1:23:38</t>
        </is>
      </c>
      <c r="G72" s="11" t="n">
        <v>1.39</v>
      </c>
      <c r="H72" s="12" t="inlineStr"/>
      <c r="I72" s="11" t="inlineStr">
        <is>
          <t>Not started</t>
        </is>
      </c>
      <c r="J72" s="13" t="n"/>
      <c r="K72" s="10" t="inlineStr"/>
      <c r="L72" s="14" t="inlineStr">
        <is>
          <t>▶ watch</t>
        </is>
      </c>
      <c r="M72" s="10" t="inlineStr"/>
      <c r="N72" s="11" t="inlineStr"/>
      <c r="O72" s="11" t="inlineStr">
        <is>
          <t>course lecture - no single paper</t>
        </is>
      </c>
      <c r="P72" s="10" t="inlineStr"/>
    </row>
    <row r="73">
      <c r="A73" s="8" t="n">
        <v>72</v>
      </c>
      <c r="B73" s="8" t="inlineStr">
        <is>
          <t>Part I - Foundations</t>
        </is>
      </c>
      <c r="C73" s="9" t="inlineStr">
        <is>
          <t>Unit I - Thermodynamics</t>
        </is>
      </c>
      <c r="D73" s="10" t="inlineStr">
        <is>
          <t>Thermodynamics Part 3</t>
        </is>
      </c>
      <c r="E73" s="10" t="inlineStr"/>
      <c r="F73" s="11" t="inlineStr">
        <is>
          <t>1:23:44</t>
        </is>
      </c>
      <c r="G73" s="11" t="n">
        <v>1.4</v>
      </c>
      <c r="H73" s="12" t="inlineStr"/>
      <c r="I73" s="11" t="inlineStr">
        <is>
          <t>Not started</t>
        </is>
      </c>
      <c r="J73" s="13" t="n"/>
      <c r="K73" s="10" t="inlineStr"/>
      <c r="L73" s="14" t="inlineStr">
        <is>
          <t>▶ watch</t>
        </is>
      </c>
      <c r="M73" s="10" t="inlineStr"/>
      <c r="N73" s="11" t="inlineStr"/>
      <c r="O73" s="11" t="inlineStr">
        <is>
          <t>course lecture - no single paper</t>
        </is>
      </c>
      <c r="P73" s="10" t="inlineStr"/>
    </row>
    <row r="74">
      <c r="A74" s="8" t="n">
        <v>73</v>
      </c>
      <c r="B74" s="8" t="inlineStr">
        <is>
          <t>Part I - Foundations</t>
        </is>
      </c>
      <c r="C74" s="9" t="inlineStr">
        <is>
          <t>Unit I - Thermodynamics</t>
        </is>
      </c>
      <c r="D74" s="10" t="inlineStr">
        <is>
          <t>Thermodynamics Part 4</t>
        </is>
      </c>
      <c r="E74" s="10" t="inlineStr"/>
      <c r="F74" s="11" t="inlineStr">
        <is>
          <t>1:18:53</t>
        </is>
      </c>
      <c r="G74" s="11" t="n">
        <v>1.31</v>
      </c>
      <c r="H74" s="12" t="inlineStr"/>
      <c r="I74" s="11" t="inlineStr">
        <is>
          <t>Not started</t>
        </is>
      </c>
      <c r="J74" s="13" t="n"/>
      <c r="K74" s="10" t="inlineStr"/>
      <c r="L74" s="14" t="inlineStr">
        <is>
          <t>▶ watch</t>
        </is>
      </c>
      <c r="M74" s="10" t="inlineStr"/>
      <c r="N74" s="11" t="inlineStr"/>
      <c r="O74" s="11" t="inlineStr">
        <is>
          <t>course lecture - no single paper</t>
        </is>
      </c>
      <c r="P74" s="10" t="inlineStr"/>
    </row>
    <row r="75">
      <c r="A75" s="8" t="n">
        <v>74</v>
      </c>
      <c r="B75" s="8" t="inlineStr">
        <is>
          <t>Part I - Foundations</t>
        </is>
      </c>
      <c r="C75" s="9" t="inlineStr">
        <is>
          <t>Unit II - Probability</t>
        </is>
      </c>
      <c r="D75" s="10" t="inlineStr">
        <is>
          <t>Probability Part 1</t>
        </is>
      </c>
      <c r="E75" s="10" t="inlineStr"/>
      <c r="F75" s="11" t="inlineStr">
        <is>
          <t>1:21:30</t>
        </is>
      </c>
      <c r="G75" s="11" t="n">
        <v>1.36</v>
      </c>
      <c r="H75" s="12" t="inlineStr"/>
      <c r="I75" s="11" t="inlineStr">
        <is>
          <t>Not started</t>
        </is>
      </c>
      <c r="J75" s="13" t="n"/>
      <c r="K75" s="10" t="inlineStr"/>
      <c r="L75" s="14" t="inlineStr">
        <is>
          <t>▶ watch</t>
        </is>
      </c>
      <c r="M75" s="10" t="inlineStr"/>
      <c r="N75" s="11" t="inlineStr"/>
      <c r="O75" s="11" t="inlineStr">
        <is>
          <t>course lecture - no single paper</t>
        </is>
      </c>
      <c r="P75" s="10" t="inlineStr"/>
    </row>
    <row r="76">
      <c r="A76" s="8" t="n">
        <v>75</v>
      </c>
      <c r="B76" s="8" t="inlineStr">
        <is>
          <t>Part I - Foundations</t>
        </is>
      </c>
      <c r="C76" s="9" t="inlineStr">
        <is>
          <t>Unit II - Probability</t>
        </is>
      </c>
      <c r="D76" s="10" t="inlineStr">
        <is>
          <t>Probability Part 2</t>
        </is>
      </c>
      <c r="E76" s="10" t="inlineStr"/>
      <c r="F76" s="11" t="inlineStr">
        <is>
          <t>1:24:53</t>
        </is>
      </c>
      <c r="G76" s="11" t="n">
        <v>1.41</v>
      </c>
      <c r="H76" s="12" t="inlineStr"/>
      <c r="I76" s="11" t="inlineStr">
        <is>
          <t>Not started</t>
        </is>
      </c>
      <c r="J76" s="13" t="n"/>
      <c r="K76" s="10" t="inlineStr"/>
      <c r="L76" s="14" t="inlineStr">
        <is>
          <t>▶ watch</t>
        </is>
      </c>
      <c r="M76" s="10" t="inlineStr"/>
      <c r="N76" s="11" t="inlineStr"/>
      <c r="O76" s="11" t="inlineStr">
        <is>
          <t>course lecture - no single paper</t>
        </is>
      </c>
      <c r="P76" s="10" t="inlineStr"/>
    </row>
    <row r="77">
      <c r="A77" s="8" t="n">
        <v>76</v>
      </c>
      <c r="B77" s="8" t="inlineStr">
        <is>
          <t>Part I - Foundations</t>
        </is>
      </c>
      <c r="C77" s="9" t="inlineStr">
        <is>
          <t>Unit III - Kinetic Theory of Gases</t>
        </is>
      </c>
      <c r="D77" s="10" t="inlineStr">
        <is>
          <t>Kinetic Theory of Gases Part 1</t>
        </is>
      </c>
      <c r="E77" s="10" t="inlineStr"/>
      <c r="F77" s="11" t="inlineStr">
        <is>
          <t>1:18:39</t>
        </is>
      </c>
      <c r="G77" s="11" t="n">
        <v>1.31</v>
      </c>
      <c r="H77" s="12" t="inlineStr"/>
      <c r="I77" s="11" t="inlineStr">
        <is>
          <t>Not started</t>
        </is>
      </c>
      <c r="J77" s="13" t="n"/>
      <c r="K77" s="10" t="inlineStr"/>
      <c r="L77" s="14" t="inlineStr">
        <is>
          <t>▶ watch</t>
        </is>
      </c>
      <c r="M77" s="10" t="inlineStr"/>
      <c r="N77" s="11" t="inlineStr"/>
      <c r="O77" s="11" t="inlineStr">
        <is>
          <t>course lecture - no single paper</t>
        </is>
      </c>
      <c r="P77" s="10" t="inlineStr"/>
    </row>
    <row r="78">
      <c r="A78" s="8" t="n">
        <v>77</v>
      </c>
      <c r="B78" s="8" t="inlineStr">
        <is>
          <t>Part I - Foundations</t>
        </is>
      </c>
      <c r="C78" s="9" t="inlineStr">
        <is>
          <t>Unit III - Kinetic Theory of Gases</t>
        </is>
      </c>
      <c r="D78" s="10" t="inlineStr">
        <is>
          <t>Kinetic Theory of Gases Part 2</t>
        </is>
      </c>
      <c r="E78" s="10" t="inlineStr"/>
      <c r="F78" s="11" t="inlineStr">
        <is>
          <t>1:15:56</t>
        </is>
      </c>
      <c r="G78" s="11" t="n">
        <v>1.27</v>
      </c>
      <c r="H78" s="12" t="inlineStr"/>
      <c r="I78" s="11" t="inlineStr">
        <is>
          <t>Not started</t>
        </is>
      </c>
      <c r="J78" s="13" t="n"/>
      <c r="K78" s="10" t="inlineStr"/>
      <c r="L78" s="14" t="inlineStr">
        <is>
          <t>▶ watch</t>
        </is>
      </c>
      <c r="M78" s="10" t="inlineStr"/>
      <c r="N78" s="11" t="inlineStr"/>
      <c r="O78" s="11" t="inlineStr">
        <is>
          <t>course lecture - no single paper</t>
        </is>
      </c>
      <c r="P78" s="10" t="inlineStr"/>
    </row>
    <row r="79">
      <c r="A79" s="8" t="n">
        <v>78</v>
      </c>
      <c r="B79" s="8" t="inlineStr">
        <is>
          <t>Part I - Foundations</t>
        </is>
      </c>
      <c r="C79" s="9" t="inlineStr">
        <is>
          <t>Unit III - Kinetic Theory of Gases</t>
        </is>
      </c>
      <c r="D79" s="10" t="inlineStr">
        <is>
          <t>Kinetic Theory of Gases Part 3</t>
        </is>
      </c>
      <c r="E79" s="10" t="inlineStr"/>
      <c r="F79" s="11" t="inlineStr">
        <is>
          <t>1:25:36</t>
        </is>
      </c>
      <c r="G79" s="11" t="n">
        <v>1.43</v>
      </c>
      <c r="H79" s="12" t="inlineStr"/>
      <c r="I79" s="11" t="inlineStr">
        <is>
          <t>Not started</t>
        </is>
      </c>
      <c r="J79" s="13" t="n"/>
      <c r="K79" s="10" t="inlineStr"/>
      <c r="L79" s="14" t="inlineStr">
        <is>
          <t>▶ watch</t>
        </is>
      </c>
      <c r="M79" s="10" t="inlineStr"/>
      <c r="N79" s="11" t="inlineStr"/>
      <c r="O79" s="11" t="inlineStr">
        <is>
          <t>course lecture - no single paper</t>
        </is>
      </c>
      <c r="P79" s="10" t="inlineStr"/>
    </row>
    <row r="80">
      <c r="A80" s="8" t="n">
        <v>79</v>
      </c>
      <c r="B80" s="8" t="inlineStr">
        <is>
          <t>Part I - Foundations</t>
        </is>
      </c>
      <c r="C80" s="9" t="inlineStr">
        <is>
          <t>Unit III - Kinetic Theory of Gases</t>
        </is>
      </c>
      <c r="D80" s="10" t="inlineStr">
        <is>
          <t>Kinetic Theory of Gases Part 4</t>
        </is>
      </c>
      <c r="E80" s="10" t="inlineStr"/>
      <c r="F80" s="11" t="inlineStr">
        <is>
          <t>1:25:18</t>
        </is>
      </c>
      <c r="G80" s="11" t="n">
        <v>1.42</v>
      </c>
      <c r="H80" s="12" t="inlineStr"/>
      <c r="I80" s="11" t="inlineStr">
        <is>
          <t>Not started</t>
        </is>
      </c>
      <c r="J80" s="13" t="n"/>
      <c r="K80" s="10" t="inlineStr"/>
      <c r="L80" s="14" t="inlineStr">
        <is>
          <t>▶ watch</t>
        </is>
      </c>
      <c r="M80" s="10" t="inlineStr"/>
      <c r="N80" s="11" t="inlineStr"/>
      <c r="O80" s="11" t="inlineStr">
        <is>
          <t>course lecture - no single paper</t>
        </is>
      </c>
      <c r="P80" s="10" t="inlineStr"/>
    </row>
    <row r="81">
      <c r="A81" s="8" t="n">
        <v>80</v>
      </c>
      <c r="B81" s="8" t="inlineStr">
        <is>
          <t>Part I - Foundations</t>
        </is>
      </c>
      <c r="C81" s="9" t="inlineStr">
        <is>
          <t>Unit III - Kinetic Theory of Gases</t>
        </is>
      </c>
      <c r="D81" s="10" t="inlineStr">
        <is>
          <t>Kinetic Theory of Gases Part 5</t>
        </is>
      </c>
      <c r="E81" s="10" t="inlineStr"/>
      <c r="F81" s="11" t="inlineStr">
        <is>
          <t>1:22:23</t>
        </is>
      </c>
      <c r="G81" s="11" t="n">
        <v>1.37</v>
      </c>
      <c r="H81" s="12" t="inlineStr"/>
      <c r="I81" s="11" t="inlineStr">
        <is>
          <t>Not started</t>
        </is>
      </c>
      <c r="J81" s="13" t="n"/>
      <c r="K81" s="10" t="inlineStr"/>
      <c r="L81" s="14" t="inlineStr">
        <is>
          <t>▶ watch</t>
        </is>
      </c>
      <c r="M81" s="10" t="inlineStr"/>
      <c r="N81" s="11" t="inlineStr"/>
      <c r="O81" s="11" t="inlineStr">
        <is>
          <t>course lecture - no single paper</t>
        </is>
      </c>
      <c r="P81" s="10" t="inlineStr"/>
    </row>
    <row r="82">
      <c r="A82" s="8" t="n">
        <v>81</v>
      </c>
      <c r="B82" s="8" t="inlineStr">
        <is>
          <t>Part I - Foundations</t>
        </is>
      </c>
      <c r="C82" s="9" t="inlineStr">
        <is>
          <t>Unit IV - Classical Statistical Mechanics</t>
        </is>
      </c>
      <c r="D82" s="10" t="inlineStr">
        <is>
          <t>Classical Statistical Mechanics Part 1</t>
        </is>
      </c>
      <c r="E82" s="10" t="inlineStr"/>
      <c r="F82" s="11" t="inlineStr">
        <is>
          <t>1:25:38</t>
        </is>
      </c>
      <c r="G82" s="11" t="n">
        <v>1.43</v>
      </c>
      <c r="H82" s="12" t="inlineStr"/>
      <c r="I82" s="11" t="inlineStr">
        <is>
          <t>Not started</t>
        </is>
      </c>
      <c r="J82" s="13" t="n"/>
      <c r="K82" s="10" t="inlineStr"/>
      <c r="L82" s="14" t="inlineStr">
        <is>
          <t>▶ watch</t>
        </is>
      </c>
      <c r="M82" s="10" t="inlineStr"/>
      <c r="N82" s="11" t="inlineStr"/>
      <c r="O82" s="11" t="inlineStr">
        <is>
          <t>course lecture - no single paper</t>
        </is>
      </c>
      <c r="P82" s="10" t="inlineStr"/>
    </row>
    <row r="83">
      <c r="A83" s="8" t="n">
        <v>82</v>
      </c>
      <c r="B83" s="8" t="inlineStr">
        <is>
          <t>Part I - Foundations</t>
        </is>
      </c>
      <c r="C83" s="9" t="inlineStr">
        <is>
          <t>Unit IV - Classical Statistical Mechanics</t>
        </is>
      </c>
      <c r="D83" s="10" t="inlineStr">
        <is>
          <t>Classical Statistical Mechanics Part 2</t>
        </is>
      </c>
      <c r="E83" s="10" t="inlineStr"/>
      <c r="F83" s="11" t="inlineStr">
        <is>
          <t>1:22:35</t>
        </is>
      </c>
      <c r="G83" s="11" t="n">
        <v>1.38</v>
      </c>
      <c r="H83" s="12" t="inlineStr"/>
      <c r="I83" s="11" t="inlineStr">
        <is>
          <t>Not started</t>
        </is>
      </c>
      <c r="J83" s="13" t="n"/>
      <c r="K83" s="10" t="inlineStr"/>
      <c r="L83" s="14" t="inlineStr">
        <is>
          <t>▶ watch</t>
        </is>
      </c>
      <c r="M83" s="10" t="inlineStr"/>
      <c r="N83" s="11" t="inlineStr"/>
      <c r="O83" s="11" t="inlineStr">
        <is>
          <t>course lecture - no single paper</t>
        </is>
      </c>
      <c r="P83" s="10" t="inlineStr"/>
    </row>
    <row r="84">
      <c r="A84" s="8" t="n">
        <v>83</v>
      </c>
      <c r="B84" s="8" t="inlineStr">
        <is>
          <t>Part I - Foundations</t>
        </is>
      </c>
      <c r="C84" s="9" t="inlineStr">
        <is>
          <t>Unit IV - Classical Statistical Mechanics</t>
        </is>
      </c>
      <c r="D84" s="10" t="inlineStr">
        <is>
          <t>Classical Statistical Mechanics Part 3</t>
        </is>
      </c>
      <c r="E84" s="10" t="inlineStr"/>
      <c r="F84" s="11" t="inlineStr">
        <is>
          <t>1:25:17</t>
        </is>
      </c>
      <c r="G84" s="11" t="n">
        <v>1.42</v>
      </c>
      <c r="H84" s="12" t="inlineStr"/>
      <c r="I84" s="11" t="inlineStr">
        <is>
          <t>Not started</t>
        </is>
      </c>
      <c r="J84" s="13" t="n"/>
      <c r="K84" s="10" t="inlineStr"/>
      <c r="L84" s="14" t="inlineStr">
        <is>
          <t>▶ watch</t>
        </is>
      </c>
      <c r="M84" s="10" t="inlineStr"/>
      <c r="N84" s="11" t="inlineStr"/>
      <c r="O84" s="11" t="inlineStr">
        <is>
          <t>course lecture - no single paper</t>
        </is>
      </c>
      <c r="P84" s="10" t="inlineStr"/>
    </row>
    <row r="85">
      <c r="A85" s="8" t="n">
        <v>84</v>
      </c>
      <c r="B85" s="8" t="inlineStr">
        <is>
          <t>Part I - Foundations</t>
        </is>
      </c>
      <c r="C85" s="9" t="inlineStr">
        <is>
          <t>Unit V - Interacting Particles</t>
        </is>
      </c>
      <c r="D85" s="10" t="inlineStr">
        <is>
          <t>Interacting Particles Part 1</t>
        </is>
      </c>
      <c r="E85" s="10" t="inlineStr"/>
      <c r="F85" s="11" t="inlineStr">
        <is>
          <t>1:25:42</t>
        </is>
      </c>
      <c r="G85" s="11" t="n">
        <v>1.43</v>
      </c>
      <c r="H85" s="12" t="inlineStr"/>
      <c r="I85" s="11" t="inlineStr">
        <is>
          <t>Not started</t>
        </is>
      </c>
      <c r="J85" s="13" t="n"/>
      <c r="K85" s="10" t="inlineStr"/>
      <c r="L85" s="14" t="inlineStr">
        <is>
          <t>▶ watch</t>
        </is>
      </c>
      <c r="M85" s="10" t="inlineStr"/>
      <c r="N85" s="11" t="inlineStr"/>
      <c r="O85" s="11" t="inlineStr">
        <is>
          <t>course lecture - no single paper</t>
        </is>
      </c>
      <c r="P85" s="10" t="inlineStr"/>
    </row>
    <row r="86">
      <c r="A86" s="8" t="n">
        <v>85</v>
      </c>
      <c r="B86" s="8" t="inlineStr">
        <is>
          <t>Part I - Foundations</t>
        </is>
      </c>
      <c r="C86" s="9" t="inlineStr">
        <is>
          <t>Unit V - Interacting Particles</t>
        </is>
      </c>
      <c r="D86" s="10" t="inlineStr">
        <is>
          <t>Interacting Particles Part 2</t>
        </is>
      </c>
      <c r="E86" s="10" t="inlineStr"/>
      <c r="F86" s="11" t="inlineStr">
        <is>
          <t>1:22:06</t>
        </is>
      </c>
      <c r="G86" s="11" t="n">
        <v>1.37</v>
      </c>
      <c r="H86" s="12" t="inlineStr"/>
      <c r="I86" s="11" t="inlineStr">
        <is>
          <t>Not started</t>
        </is>
      </c>
      <c r="J86" s="13" t="n"/>
      <c r="K86" s="10" t="inlineStr"/>
      <c r="L86" s="14" t="inlineStr">
        <is>
          <t>▶ watch</t>
        </is>
      </c>
      <c r="M86" s="10" t="inlineStr"/>
      <c r="N86" s="11" t="inlineStr"/>
      <c r="O86" s="11" t="inlineStr">
        <is>
          <t>course lecture - no single paper</t>
        </is>
      </c>
      <c r="P86" s="10" t="inlineStr"/>
    </row>
    <row r="87">
      <c r="A87" s="8" t="n">
        <v>86</v>
      </c>
      <c r="B87" s="8" t="inlineStr">
        <is>
          <t>Part I - Foundations</t>
        </is>
      </c>
      <c r="C87" s="9" t="inlineStr">
        <is>
          <t>Unit V - Interacting Particles</t>
        </is>
      </c>
      <c r="D87" s="10" t="inlineStr">
        <is>
          <t>Interacting Particles Part 3</t>
        </is>
      </c>
      <c r="E87" s="10" t="inlineStr"/>
      <c r="F87" s="11" t="inlineStr">
        <is>
          <t>1:23:18</t>
        </is>
      </c>
      <c r="G87" s="11" t="n">
        <v>1.39</v>
      </c>
      <c r="H87" s="12" t="inlineStr"/>
      <c r="I87" s="11" t="inlineStr">
        <is>
          <t>Not started</t>
        </is>
      </c>
      <c r="J87" s="13" t="n"/>
      <c r="K87" s="10" t="inlineStr"/>
      <c r="L87" s="14" t="inlineStr">
        <is>
          <t>▶ watch</t>
        </is>
      </c>
      <c r="M87" s="10" t="inlineStr"/>
      <c r="N87" s="11" t="inlineStr"/>
      <c r="O87" s="11" t="inlineStr">
        <is>
          <t>course lecture - no single paper</t>
        </is>
      </c>
      <c r="P87" s="10" t="inlineStr"/>
    </row>
    <row r="88">
      <c r="A88" s="8" t="n">
        <v>87</v>
      </c>
      <c r="B88" s="8" t="inlineStr">
        <is>
          <t>Part I - Foundations</t>
        </is>
      </c>
      <c r="C88" s="9" t="inlineStr">
        <is>
          <t>Unit V - Interacting Particles</t>
        </is>
      </c>
      <c r="D88" s="10" t="inlineStr">
        <is>
          <t>Interacting Particles Part 4</t>
        </is>
      </c>
      <c r="E88" s="10" t="inlineStr"/>
      <c r="F88" s="11" t="inlineStr">
        <is>
          <t>1:24:22</t>
        </is>
      </c>
      <c r="G88" s="11" t="n">
        <v>1.41</v>
      </c>
      <c r="H88" s="12" t="inlineStr"/>
      <c r="I88" s="11" t="inlineStr">
        <is>
          <t>Not started</t>
        </is>
      </c>
      <c r="J88" s="13" t="n"/>
      <c r="K88" s="10" t="inlineStr"/>
      <c r="L88" s="14" t="inlineStr">
        <is>
          <t>▶ watch</t>
        </is>
      </c>
      <c r="M88" s="10" t="inlineStr"/>
      <c r="N88" s="11" t="inlineStr"/>
      <c r="O88" s="11" t="inlineStr">
        <is>
          <t>course lecture - no single paper</t>
        </is>
      </c>
      <c r="P88" s="10" t="inlineStr"/>
    </row>
    <row r="89">
      <c r="A89" s="8" t="n">
        <v>88</v>
      </c>
      <c r="B89" s="8" t="inlineStr">
        <is>
          <t>Part I - Foundations</t>
        </is>
      </c>
      <c r="C89" s="9" t="inlineStr">
        <is>
          <t>Unit V - Interacting Particles</t>
        </is>
      </c>
      <c r="D89" s="10" t="inlineStr">
        <is>
          <t>Interacting Particles Part 5</t>
        </is>
      </c>
      <c r="E89" s="10" t="inlineStr"/>
      <c r="F89" s="11" t="inlineStr">
        <is>
          <t>1:19:18</t>
        </is>
      </c>
      <c r="G89" s="11" t="n">
        <v>1.32</v>
      </c>
      <c r="H89" s="12" t="inlineStr"/>
      <c r="I89" s="11" t="inlineStr">
        <is>
          <t>Not started</t>
        </is>
      </c>
      <c r="J89" s="13" t="n"/>
      <c r="K89" s="10" t="inlineStr"/>
      <c r="L89" s="14" t="inlineStr">
        <is>
          <t>▶ watch</t>
        </is>
      </c>
      <c r="M89" s="10" t="inlineStr"/>
      <c r="N89" s="11" t="inlineStr"/>
      <c r="O89" s="11" t="inlineStr">
        <is>
          <t>course lecture - no single paper</t>
        </is>
      </c>
      <c r="P89" s="10" t="inlineStr"/>
    </row>
    <row r="90">
      <c r="A90" s="8" t="n">
        <v>89</v>
      </c>
      <c r="B90" s="8" t="inlineStr">
        <is>
          <t>Part I - Foundations</t>
        </is>
      </c>
      <c r="C90" s="9" t="inlineStr">
        <is>
          <t>Units VI–VII - Quantum Statistical Mechanics and Ideal Quantum Gases</t>
        </is>
      </c>
      <c r="D90" s="10" t="inlineStr">
        <is>
          <t>Quantum Statistical Mechanics Part 1</t>
        </is>
      </c>
      <c r="E90" s="10" t="inlineStr"/>
      <c r="F90" s="11" t="inlineStr">
        <is>
          <t>1:23:32</t>
        </is>
      </c>
      <c r="G90" s="11" t="n">
        <v>1.39</v>
      </c>
      <c r="H90" s="12" t="inlineStr"/>
      <c r="I90" s="11" t="inlineStr">
        <is>
          <t>Not started</t>
        </is>
      </c>
      <c r="J90" s="13" t="n"/>
      <c r="K90" s="10" t="inlineStr"/>
      <c r="L90" s="14" t="inlineStr">
        <is>
          <t>▶ watch</t>
        </is>
      </c>
      <c r="M90" s="10" t="inlineStr"/>
      <c r="N90" s="11" t="inlineStr"/>
      <c r="O90" s="11" t="inlineStr">
        <is>
          <t>course lecture - no single paper</t>
        </is>
      </c>
      <c r="P90" s="10" t="inlineStr"/>
    </row>
    <row r="91">
      <c r="A91" s="8" t="n">
        <v>90</v>
      </c>
      <c r="B91" s="8" t="inlineStr">
        <is>
          <t>Part I - Foundations</t>
        </is>
      </c>
      <c r="C91" s="9" t="inlineStr">
        <is>
          <t>Units VI–VII - Quantum Statistical Mechanics and Ideal Quantum Gases</t>
        </is>
      </c>
      <c r="D91" s="10" t="inlineStr">
        <is>
          <t>Quantum Statistical Mechanics Part 2</t>
        </is>
      </c>
      <c r="E91" s="10" t="inlineStr"/>
      <c r="F91" s="11" t="inlineStr">
        <is>
          <t>1:23:48</t>
        </is>
      </c>
      <c r="G91" s="11" t="n">
        <v>1.4</v>
      </c>
      <c r="H91" s="12" t="inlineStr"/>
      <c r="I91" s="11" t="inlineStr">
        <is>
          <t>Not started</t>
        </is>
      </c>
      <c r="J91" s="13" t="n"/>
      <c r="K91" s="10" t="inlineStr"/>
      <c r="L91" s="14" t="inlineStr">
        <is>
          <t>▶ watch</t>
        </is>
      </c>
      <c r="M91" s="10" t="inlineStr"/>
      <c r="N91" s="11" t="inlineStr"/>
      <c r="O91" s="11" t="inlineStr">
        <is>
          <t>course lecture - no single paper</t>
        </is>
      </c>
      <c r="P91" s="10" t="inlineStr"/>
    </row>
    <row r="92">
      <c r="A92" s="8" t="n">
        <v>91</v>
      </c>
      <c r="B92" s="8" t="inlineStr">
        <is>
          <t>Part I - Foundations</t>
        </is>
      </c>
      <c r="C92" s="9" t="inlineStr">
        <is>
          <t>Units VI–VII - Quantum Statistical Mechanics and Ideal Quantum Gases</t>
        </is>
      </c>
      <c r="D92" s="10" t="inlineStr">
        <is>
          <t>Ideal Quantum Gases Part 1</t>
        </is>
      </c>
      <c r="E92" s="10" t="inlineStr"/>
      <c r="F92" s="11" t="inlineStr">
        <is>
          <t>1:20:31</t>
        </is>
      </c>
      <c r="G92" s="11" t="n">
        <v>1.34</v>
      </c>
      <c r="H92" s="12" t="inlineStr"/>
      <c r="I92" s="11" t="inlineStr">
        <is>
          <t>Not started</t>
        </is>
      </c>
      <c r="J92" s="13" t="n"/>
      <c r="K92" s="10" t="inlineStr"/>
      <c r="L92" s="14" t="inlineStr">
        <is>
          <t>▶ watch</t>
        </is>
      </c>
      <c r="M92" s="10" t="inlineStr"/>
      <c r="N92" s="11" t="inlineStr"/>
      <c r="O92" s="11" t="inlineStr">
        <is>
          <t>course lecture - no single paper</t>
        </is>
      </c>
      <c r="P92" s="10" t="inlineStr"/>
    </row>
    <row r="93">
      <c r="A93" s="8" t="n">
        <v>92</v>
      </c>
      <c r="B93" s="8" t="inlineStr">
        <is>
          <t>Part I - Foundations</t>
        </is>
      </c>
      <c r="C93" s="9" t="inlineStr">
        <is>
          <t>Units VI–VII - Quantum Statistical Mechanics and Ideal Quantum Gases</t>
        </is>
      </c>
      <c r="D93" s="10" t="inlineStr">
        <is>
          <t>Ideal Quantum Gases Part 2</t>
        </is>
      </c>
      <c r="E93" s="10" t="inlineStr"/>
      <c r="F93" s="11" t="inlineStr">
        <is>
          <t>1:23:42</t>
        </is>
      </c>
      <c r="G93" s="11" t="n">
        <v>1.4</v>
      </c>
      <c r="H93" s="12" t="inlineStr"/>
      <c r="I93" s="11" t="inlineStr">
        <is>
          <t>Not started</t>
        </is>
      </c>
      <c r="J93" s="13" t="n"/>
      <c r="K93" s="10" t="inlineStr"/>
      <c r="L93" s="14" t="inlineStr">
        <is>
          <t>▶ watch</t>
        </is>
      </c>
      <c r="M93" s="10" t="inlineStr"/>
      <c r="N93" s="11" t="inlineStr"/>
      <c r="O93" s="11" t="inlineStr">
        <is>
          <t>course lecture - no single paper</t>
        </is>
      </c>
      <c r="P93" s="10" t="inlineStr"/>
    </row>
    <row r="94">
      <c r="A94" s="8" t="n">
        <v>93</v>
      </c>
      <c r="B94" s="8" t="inlineStr">
        <is>
          <t>Part I - Foundations</t>
        </is>
      </c>
      <c r="C94" s="9" t="inlineStr">
        <is>
          <t>Units VI–VII - Quantum Statistical Mechanics and Ideal Quantum Gases</t>
        </is>
      </c>
      <c r="D94" s="10" t="inlineStr">
        <is>
          <t>Ideal Quantum Gases Part 3</t>
        </is>
      </c>
      <c r="E94" s="10" t="inlineStr"/>
      <c r="F94" s="11" t="inlineStr">
        <is>
          <t>1:23:42</t>
        </is>
      </c>
      <c r="G94" s="11" t="n">
        <v>1.4</v>
      </c>
      <c r="H94" s="12" t="inlineStr"/>
      <c r="I94" s="11" t="inlineStr">
        <is>
          <t>Not started</t>
        </is>
      </c>
      <c r="J94" s="13" t="n"/>
      <c r="K94" s="10" t="inlineStr"/>
      <c r="L94" s="14" t="inlineStr">
        <is>
          <t>▶ watch</t>
        </is>
      </c>
      <c r="M94" s="10" t="inlineStr"/>
      <c r="N94" s="11" t="inlineStr"/>
      <c r="O94" s="11" t="inlineStr">
        <is>
          <t>course lecture - no single paper</t>
        </is>
      </c>
      <c r="P94" s="10" t="inlineStr"/>
    </row>
    <row r="95">
      <c r="A95" s="8" t="n">
        <v>94</v>
      </c>
      <c r="B95" s="8" t="inlineStr">
        <is>
          <t>Part I - Foundations</t>
        </is>
      </c>
      <c r="C95" s="9" t="inlineStr">
        <is>
          <t>Units VI–VII - Quantum Statistical Mechanics and Ideal Quantum Gases</t>
        </is>
      </c>
      <c r="D95" s="10" t="inlineStr">
        <is>
          <t>Ideal Quantum Gases Part 4</t>
        </is>
      </c>
      <c r="E95" s="10" t="inlineStr"/>
      <c r="F95" s="11" t="inlineStr">
        <is>
          <t>1:22:55</t>
        </is>
      </c>
      <c r="G95" s="11" t="n">
        <v>1.38</v>
      </c>
      <c r="H95" s="12" t="inlineStr"/>
      <c r="I95" s="11" t="inlineStr">
        <is>
          <t>Not started</t>
        </is>
      </c>
      <c r="J95" s="13" t="n"/>
      <c r="K95" s="10" t="inlineStr"/>
      <c r="L95" s="14" t="inlineStr">
        <is>
          <t>▶ watch</t>
        </is>
      </c>
      <c r="M95" s="10" t="inlineStr"/>
      <c r="N95" s="11" t="inlineStr"/>
      <c r="O95" s="11" t="inlineStr">
        <is>
          <t>course lecture - no single paper</t>
        </is>
      </c>
      <c r="P95" s="10" t="inlineStr"/>
    </row>
    <row r="96">
      <c r="A96" s="8" t="n">
        <v>95</v>
      </c>
      <c r="B96" s="8" t="inlineStr">
        <is>
          <t>Part I - Foundations</t>
        </is>
      </c>
      <c r="C96" s="9" t="inlineStr">
        <is>
          <t>Units VI–VII - Quantum Statistical Mechanics and Ideal Quantum Gases</t>
        </is>
      </c>
      <c r="D96" s="10" t="inlineStr">
        <is>
          <t>Ideal Quantum Gases Part 5</t>
        </is>
      </c>
      <c r="E96" s="10" t="inlineStr"/>
      <c r="F96" s="11" t="inlineStr">
        <is>
          <t>1:21:05</t>
        </is>
      </c>
      <c r="G96" s="11" t="n">
        <v>1.35</v>
      </c>
      <c r="H96" s="12" t="inlineStr"/>
      <c r="I96" s="11" t="inlineStr">
        <is>
          <t>Not started</t>
        </is>
      </c>
      <c r="J96" s="13" t="n"/>
      <c r="K96" s="10" t="inlineStr"/>
      <c r="L96" s="14" t="inlineStr">
        <is>
          <t>▶ watch</t>
        </is>
      </c>
      <c r="M96" s="10" t="inlineStr"/>
      <c r="N96" s="11" t="inlineStr"/>
      <c r="O96" s="11" t="inlineStr">
        <is>
          <t>course lecture - no single paper</t>
        </is>
      </c>
      <c r="P96" s="10" t="inlineStr"/>
    </row>
    <row r="97">
      <c r="A97" s="8" t="n">
        <v>96</v>
      </c>
      <c r="B97" s="8" t="inlineStr">
        <is>
          <t>Part I - Foundations</t>
        </is>
      </c>
      <c r="C97" s="9" t="inlineStr">
        <is>
          <t>B.2.2 V. Balakrishnan - Physical Applications of Stochastic Processes</t>
        </is>
      </c>
      <c r="D97" s="10" t="inlineStr">
        <is>
          <t>Discrete probability distributions (Part 1</t>
        </is>
      </c>
      <c r="E97" s="10" t="inlineStr"/>
      <c r="F97" s="11" t="inlineStr">
        <is>
          <t>1:02:41</t>
        </is>
      </c>
      <c r="G97" s="11" t="n">
        <v>1.04</v>
      </c>
      <c r="H97" s="12" t="inlineStr"/>
      <c r="I97" s="11" t="inlineStr">
        <is>
          <t>Not started</t>
        </is>
      </c>
      <c r="J97" s="13" t="n"/>
      <c r="K97" s="10" t="inlineStr"/>
      <c r="L97" s="14" t="inlineStr">
        <is>
          <t>▶ watch</t>
        </is>
      </c>
      <c r="M97" s="10" t="inlineStr"/>
      <c r="N97" s="11" t="inlineStr"/>
      <c r="O97" s="11" t="inlineStr">
        <is>
          <t>course lecture - no single paper</t>
        </is>
      </c>
      <c r="P97" s="10" t="inlineStr"/>
    </row>
    <row r="98">
      <c r="A98" s="8" t="n">
        <v>97</v>
      </c>
      <c r="B98" s="8" t="inlineStr">
        <is>
          <t>Part I - Foundations</t>
        </is>
      </c>
      <c r="C98" s="9" t="inlineStr">
        <is>
          <t>B.2.2 V. Balakrishnan - Physical Applications of Stochastic Processes</t>
        </is>
      </c>
      <c r="D98" s="10" t="inlineStr">
        <is>
          <t>Discrete probability distributions (Part 2</t>
        </is>
      </c>
      <c r="E98" s="10" t="inlineStr"/>
      <c r="F98" s="11" t="inlineStr">
        <is>
          <t>54:54</t>
        </is>
      </c>
      <c r="G98" s="11" t="n">
        <v>0.92</v>
      </c>
      <c r="H98" s="12" t="inlineStr"/>
      <c r="I98" s="11" t="inlineStr">
        <is>
          <t>Not started</t>
        </is>
      </c>
      <c r="J98" s="13" t="n"/>
      <c r="K98" s="10" t="inlineStr"/>
      <c r="L98" s="14" t="inlineStr">
        <is>
          <t>▶ watch</t>
        </is>
      </c>
      <c r="M98" s="10" t="inlineStr"/>
      <c r="N98" s="11" t="inlineStr"/>
      <c r="O98" s="11" t="inlineStr">
        <is>
          <t>course lecture - no single paper</t>
        </is>
      </c>
      <c r="P98" s="10" t="inlineStr"/>
    </row>
    <row r="99">
      <c r="A99" s="8" t="n">
        <v>98</v>
      </c>
      <c r="B99" s="8" t="inlineStr">
        <is>
          <t>Part I - Foundations</t>
        </is>
      </c>
      <c r="C99" s="9" t="inlineStr">
        <is>
          <t>B.2.2 V. Balakrishnan - Physical Applications of Stochastic Processes</t>
        </is>
      </c>
      <c r="D99" s="10" t="inlineStr">
        <is>
          <t>Continuous random variables</t>
        </is>
      </c>
      <c r="E99" s="10" t="inlineStr"/>
      <c r="F99" s="11" t="inlineStr">
        <is>
          <t>56:50</t>
        </is>
      </c>
      <c r="G99" s="11" t="n">
        <v>0.95</v>
      </c>
      <c r="H99" s="12" t="inlineStr"/>
      <c r="I99" s="11" t="inlineStr">
        <is>
          <t>Not started</t>
        </is>
      </c>
      <c r="J99" s="13" t="n"/>
      <c r="K99" s="10" t="inlineStr"/>
      <c r="L99" s="14" t="inlineStr">
        <is>
          <t>▶ watch</t>
        </is>
      </c>
      <c r="M99" s="10" t="inlineStr"/>
      <c r="N99" s="11" t="inlineStr"/>
      <c r="O99" s="11" t="inlineStr">
        <is>
          <t>course lecture - no single paper</t>
        </is>
      </c>
      <c r="P99" s="10" t="inlineStr"/>
    </row>
    <row r="100">
      <c r="A100" s="8" t="n">
        <v>99</v>
      </c>
      <c r="B100" s="8" t="inlineStr">
        <is>
          <t>Part I - Foundations</t>
        </is>
      </c>
      <c r="C100" s="9" t="inlineStr">
        <is>
          <t>B.2.2 V. Balakrishnan - Physical Applications of Stochastic Processes</t>
        </is>
      </c>
      <c r="D100" s="10" t="inlineStr">
        <is>
          <t>Central Limit Theorem</t>
        </is>
      </c>
      <c r="E100" s="10" t="inlineStr"/>
      <c r="F100" s="11" t="inlineStr">
        <is>
          <t>1:00:54</t>
        </is>
      </c>
      <c r="G100" s="11" t="n">
        <v>1.01</v>
      </c>
      <c r="H100" s="12" t="inlineStr"/>
      <c r="I100" s="11" t="inlineStr">
        <is>
          <t>Not started</t>
        </is>
      </c>
      <c r="J100" s="13" t="n"/>
      <c r="K100" s="10" t="inlineStr"/>
      <c r="L100" s="14" t="inlineStr">
        <is>
          <t>▶ watch</t>
        </is>
      </c>
      <c r="M100" s="10" t="inlineStr"/>
      <c r="N100" s="11" t="inlineStr"/>
      <c r="O100" s="11" t="inlineStr">
        <is>
          <t>course lecture - no single paper</t>
        </is>
      </c>
      <c r="P100" s="10" t="inlineStr"/>
    </row>
    <row r="101">
      <c r="A101" s="8" t="n">
        <v>100</v>
      </c>
      <c r="B101" s="8" t="inlineStr">
        <is>
          <t>Part I - Foundations</t>
        </is>
      </c>
      <c r="C101" s="9" t="inlineStr">
        <is>
          <t>B.2.2 V. Balakrishnan - Physical Applications of Stochastic Processes</t>
        </is>
      </c>
      <c r="D101" s="10" t="inlineStr">
        <is>
          <t>Stable distributions</t>
        </is>
      </c>
      <c r="E101" s="10" t="inlineStr"/>
      <c r="F101" s="11" t="inlineStr">
        <is>
          <t>1:08:37</t>
        </is>
      </c>
      <c r="G101" s="11" t="n">
        <v>1.14</v>
      </c>
      <c r="H101" s="12" t="inlineStr"/>
      <c r="I101" s="11" t="inlineStr">
        <is>
          <t>Not started</t>
        </is>
      </c>
      <c r="J101" s="13" t="n"/>
      <c r="K101" s="10" t="inlineStr"/>
      <c r="L101" s="14" t="inlineStr">
        <is>
          <t>▶ watch</t>
        </is>
      </c>
      <c r="M101" s="10" t="inlineStr"/>
      <c r="N101" s="11" t="inlineStr"/>
      <c r="O101" s="11" t="inlineStr">
        <is>
          <t>course lecture - no single paper</t>
        </is>
      </c>
      <c r="P101" s="10" t="inlineStr"/>
    </row>
    <row r="102">
      <c r="A102" s="8" t="n">
        <v>101</v>
      </c>
      <c r="B102" s="8" t="inlineStr">
        <is>
          <t>Part I - Foundations</t>
        </is>
      </c>
      <c r="C102" s="9" t="inlineStr">
        <is>
          <t>B.2.2 V. Balakrishnan - Physical Applications of Stochastic Processes</t>
        </is>
      </c>
      <c r="D102" s="10" t="inlineStr">
        <is>
          <t>Stochastic processes</t>
        </is>
      </c>
      <c r="E102" s="10" t="inlineStr"/>
      <c r="F102" s="11" t="inlineStr">
        <is>
          <t>1:00:20</t>
        </is>
      </c>
      <c r="G102" s="11" t="n">
        <v>1.01</v>
      </c>
      <c r="H102" s="12" t="inlineStr"/>
      <c r="I102" s="11" t="inlineStr">
        <is>
          <t>Not started</t>
        </is>
      </c>
      <c r="J102" s="13" t="n"/>
      <c r="K102" s="10" t="inlineStr"/>
      <c r="L102" s="14" t="inlineStr">
        <is>
          <t>▶ watch</t>
        </is>
      </c>
      <c r="M102" s="10" t="inlineStr"/>
      <c r="N102" s="11" t="inlineStr"/>
      <c r="O102" s="11" t="inlineStr">
        <is>
          <t>course lecture - no single paper</t>
        </is>
      </c>
      <c r="P102" s="10" t="inlineStr"/>
    </row>
    <row r="103">
      <c r="A103" s="8" t="n">
        <v>102</v>
      </c>
      <c r="B103" s="8" t="inlineStr">
        <is>
          <t>Part I - Foundations</t>
        </is>
      </c>
      <c r="C103" s="9" t="inlineStr">
        <is>
          <t>B.2.2 V. Balakrishnan - Physical Applications of Stochastic Processes</t>
        </is>
      </c>
      <c r="D103" s="10" t="inlineStr">
        <is>
          <t>Markov processes (Part 1</t>
        </is>
      </c>
      <c r="E103" s="10" t="inlineStr"/>
      <c r="F103" s="11" t="inlineStr">
        <is>
          <t>54:12</t>
        </is>
      </c>
      <c r="G103" s="11" t="n">
        <v>0.9</v>
      </c>
      <c r="H103" s="12" t="inlineStr"/>
      <c r="I103" s="11" t="inlineStr">
        <is>
          <t>Not started</t>
        </is>
      </c>
      <c r="J103" s="13" t="n"/>
      <c r="K103" s="10" t="inlineStr"/>
      <c r="L103" s="14" t="inlineStr">
        <is>
          <t>▶ watch</t>
        </is>
      </c>
      <c r="M103" s="10" t="inlineStr"/>
      <c r="N103" s="11" t="inlineStr"/>
      <c r="O103" s="11" t="inlineStr">
        <is>
          <t>course lecture - no single paper</t>
        </is>
      </c>
      <c r="P103" s="10" t="inlineStr"/>
    </row>
    <row r="104">
      <c r="A104" s="8" t="n">
        <v>103</v>
      </c>
      <c r="B104" s="8" t="inlineStr">
        <is>
          <t>Part I - Foundations</t>
        </is>
      </c>
      <c r="C104" s="9" t="inlineStr">
        <is>
          <t>B.2.2 V. Balakrishnan - Physical Applications of Stochastic Processes</t>
        </is>
      </c>
      <c r="D104" s="10" t="inlineStr">
        <is>
          <t>Markov processes (Part 2</t>
        </is>
      </c>
      <c r="E104" s="10" t="inlineStr"/>
      <c r="F104" s="11" t="inlineStr">
        <is>
          <t>1:02:21</t>
        </is>
      </c>
      <c r="G104" s="11" t="n">
        <v>1.04</v>
      </c>
      <c r="H104" s="12" t="inlineStr"/>
      <c r="I104" s="11" t="inlineStr">
        <is>
          <t>Not started</t>
        </is>
      </c>
      <c r="J104" s="13" t="n"/>
      <c r="K104" s="10" t="inlineStr"/>
      <c r="L104" s="14" t="inlineStr">
        <is>
          <t>▶ watch</t>
        </is>
      </c>
      <c r="M104" s="10" t="inlineStr"/>
      <c r="N104" s="11" t="inlineStr"/>
      <c r="O104" s="11" t="inlineStr">
        <is>
          <t>course lecture - no single paper</t>
        </is>
      </c>
      <c r="P104" s="10" t="inlineStr"/>
    </row>
    <row r="105">
      <c r="A105" s="8" t="n">
        <v>104</v>
      </c>
      <c r="B105" s="8" t="inlineStr">
        <is>
          <t>Part I - Foundations</t>
        </is>
      </c>
      <c r="C105" s="9" t="inlineStr">
        <is>
          <t>B.2.2 V. Balakrishnan - Physical Applications of Stochastic Processes</t>
        </is>
      </c>
      <c r="D105" s="10" t="inlineStr">
        <is>
          <t>Markov processes (Part 3</t>
        </is>
      </c>
      <c r="E105" s="10" t="inlineStr"/>
      <c r="F105" s="11" t="inlineStr">
        <is>
          <t>52:22</t>
        </is>
      </c>
      <c r="G105" s="11" t="n">
        <v>0.87</v>
      </c>
      <c r="H105" s="12" t="inlineStr"/>
      <c r="I105" s="11" t="inlineStr">
        <is>
          <t>Not started</t>
        </is>
      </c>
      <c r="J105" s="13" t="n"/>
      <c r="K105" s="10" t="inlineStr"/>
      <c r="L105" s="14" t="inlineStr">
        <is>
          <t>▶ watch</t>
        </is>
      </c>
      <c r="M105" s="10" t="inlineStr"/>
      <c r="N105" s="11" t="inlineStr"/>
      <c r="O105" s="11" t="inlineStr">
        <is>
          <t>course lecture - no single paper</t>
        </is>
      </c>
      <c r="P105" s="10" t="inlineStr"/>
    </row>
    <row r="106">
      <c r="A106" s="8" t="n">
        <v>105</v>
      </c>
      <c r="B106" s="8" t="inlineStr">
        <is>
          <t>Part I - Foundations</t>
        </is>
      </c>
      <c r="C106" s="9" t="inlineStr">
        <is>
          <t>B.2.2 V. Balakrishnan - Physical Applications of Stochastic Processes</t>
        </is>
      </c>
      <c r="D106" s="10" t="inlineStr">
        <is>
          <t>Birth-and-death processes</t>
        </is>
      </c>
      <c r="E106" s="10" t="inlineStr"/>
      <c r="F106" s="11" t="inlineStr">
        <is>
          <t>51:20</t>
        </is>
      </c>
      <c r="G106" s="11" t="n">
        <v>0.86</v>
      </c>
      <c r="H106" s="12" t="inlineStr"/>
      <c r="I106" s="11" t="inlineStr">
        <is>
          <t>Not started</t>
        </is>
      </c>
      <c r="J106" s="13" t="n"/>
      <c r="K106" s="10" t="inlineStr"/>
      <c r="L106" s="14" t="inlineStr">
        <is>
          <t>▶ watch</t>
        </is>
      </c>
      <c r="M106" s="10" t="inlineStr"/>
      <c r="N106" s="11" t="inlineStr"/>
      <c r="O106" s="11" t="inlineStr">
        <is>
          <t>course lecture - no single paper</t>
        </is>
      </c>
      <c r="P106" s="10" t="inlineStr"/>
    </row>
    <row r="107">
      <c r="A107" s="8" t="n">
        <v>106</v>
      </c>
      <c r="B107" s="8" t="inlineStr">
        <is>
          <t>Part I - Foundations</t>
        </is>
      </c>
      <c r="C107" s="9" t="inlineStr">
        <is>
          <t>B.2.2 V. Balakrishnan - Physical Applications of Stochastic Processes</t>
        </is>
      </c>
      <c r="D107" s="10" t="inlineStr">
        <is>
          <t>Continuous Markov processes</t>
        </is>
      </c>
      <c r="E107" s="10" t="inlineStr"/>
      <c r="F107" s="11" t="inlineStr">
        <is>
          <t>57:36</t>
        </is>
      </c>
      <c r="G107" s="11" t="n">
        <v>0.96</v>
      </c>
      <c r="H107" s="12" t="inlineStr"/>
      <c r="I107" s="11" t="inlineStr">
        <is>
          <t>Not started</t>
        </is>
      </c>
      <c r="J107" s="13" t="n"/>
      <c r="K107" s="10" t="inlineStr"/>
      <c r="L107" s="14" t="inlineStr">
        <is>
          <t>▶ watch</t>
        </is>
      </c>
      <c r="M107" s="10" t="inlineStr"/>
      <c r="N107" s="11" t="inlineStr"/>
      <c r="O107" s="11" t="inlineStr">
        <is>
          <t>course lecture - no single paper</t>
        </is>
      </c>
      <c r="P107" s="10" t="inlineStr"/>
    </row>
    <row r="108">
      <c r="A108" s="8" t="n">
        <v>107</v>
      </c>
      <c r="B108" s="8" t="inlineStr">
        <is>
          <t>Part I - Foundations</t>
        </is>
      </c>
      <c r="C108" s="9" t="inlineStr">
        <is>
          <t>B.2.2 V. Balakrishnan - Physical Applications of Stochastic Processes</t>
        </is>
      </c>
      <c r="D108" s="10" t="inlineStr">
        <is>
          <t>Langevin dynamics (Part 1</t>
        </is>
      </c>
      <c r="E108" s="10" t="inlineStr"/>
      <c r="F108" s="11" t="inlineStr">
        <is>
          <t>57:53</t>
        </is>
      </c>
      <c r="G108" s="11" t="n">
        <v>0.96</v>
      </c>
      <c r="H108" s="12" t="inlineStr">
        <is>
          <t>★</t>
        </is>
      </c>
      <c r="I108" s="11" t="inlineStr">
        <is>
          <t>Not started</t>
        </is>
      </c>
      <c r="J108" s="13" t="n"/>
      <c r="K108" s="10" t="inlineStr"/>
      <c r="L108" s="14" t="inlineStr">
        <is>
          <t>▶ watch</t>
        </is>
      </c>
      <c r="M108" s="10" t="inlineStr"/>
      <c r="N108" s="11" t="inlineStr"/>
      <c r="O108" s="11" t="inlineStr">
        <is>
          <t>course lecture - no single paper</t>
        </is>
      </c>
      <c r="P108" s="10" t="inlineStr"/>
    </row>
    <row r="109">
      <c r="A109" s="8" t="n">
        <v>108</v>
      </c>
      <c r="B109" s="8" t="inlineStr">
        <is>
          <t>Part I - Foundations</t>
        </is>
      </c>
      <c r="C109" s="9" t="inlineStr">
        <is>
          <t>B.2.2 V. Balakrishnan - Physical Applications of Stochastic Processes</t>
        </is>
      </c>
      <c r="D109" s="10" t="inlineStr">
        <is>
          <t>Langevin dynamics (Part 2</t>
        </is>
      </c>
      <c r="E109" s="10" t="inlineStr"/>
      <c r="F109" s="11" t="inlineStr">
        <is>
          <t>51:46</t>
        </is>
      </c>
      <c r="G109" s="11" t="n">
        <v>0.86</v>
      </c>
      <c r="H109" s="12" t="inlineStr">
        <is>
          <t>★</t>
        </is>
      </c>
      <c r="I109" s="11" t="inlineStr">
        <is>
          <t>Not started</t>
        </is>
      </c>
      <c r="J109" s="13" t="n"/>
      <c r="K109" s="10" t="inlineStr"/>
      <c r="L109" s="14" t="inlineStr">
        <is>
          <t>▶ watch</t>
        </is>
      </c>
      <c r="M109" s="10" t="inlineStr"/>
      <c r="N109" s="11" t="inlineStr"/>
      <c r="O109" s="11" t="inlineStr">
        <is>
          <t>course lecture - no single paper</t>
        </is>
      </c>
      <c r="P109" s="10" t="inlineStr"/>
    </row>
    <row r="110">
      <c r="A110" s="8" t="n">
        <v>109</v>
      </c>
      <c r="B110" s="8" t="inlineStr">
        <is>
          <t>Part I - Foundations</t>
        </is>
      </c>
      <c r="C110" s="9" t="inlineStr">
        <is>
          <t>B.2.2 V. Balakrishnan - Physical Applications of Stochastic Processes</t>
        </is>
      </c>
      <c r="D110" s="10" t="inlineStr">
        <is>
          <t>Langevin dynamics (Part 3</t>
        </is>
      </c>
      <c r="E110" s="10" t="inlineStr"/>
      <c r="F110" s="11" t="inlineStr">
        <is>
          <t>58:39</t>
        </is>
      </c>
      <c r="G110" s="11" t="n">
        <v>0.98</v>
      </c>
      <c r="H110" s="12" t="inlineStr">
        <is>
          <t>★</t>
        </is>
      </c>
      <c r="I110" s="11" t="inlineStr">
        <is>
          <t>Not started</t>
        </is>
      </c>
      <c r="J110" s="13" t="n"/>
      <c r="K110" s="10" t="inlineStr"/>
      <c r="L110" s="14" t="inlineStr">
        <is>
          <t>▶ watch</t>
        </is>
      </c>
      <c r="M110" s="10" t="inlineStr"/>
      <c r="N110" s="11" t="inlineStr"/>
      <c r="O110" s="11" t="inlineStr">
        <is>
          <t>course lecture - no single paper</t>
        </is>
      </c>
      <c r="P110" s="10" t="inlineStr"/>
    </row>
    <row r="111">
      <c r="A111" s="8" t="n">
        <v>110</v>
      </c>
      <c r="B111" s="8" t="inlineStr">
        <is>
          <t>Part I - Foundations</t>
        </is>
      </c>
      <c r="C111" s="9" t="inlineStr">
        <is>
          <t>B.2.2 V. Balakrishnan - Physical Applications of Stochastic Processes</t>
        </is>
      </c>
      <c r="D111" s="10" t="inlineStr">
        <is>
          <t>Langevin dynamics (Part 4</t>
        </is>
      </c>
      <c r="E111" s="10" t="inlineStr"/>
      <c r="F111" s="11" t="inlineStr">
        <is>
          <t>57:15</t>
        </is>
      </c>
      <c r="G111" s="11" t="n">
        <v>0.95</v>
      </c>
      <c r="H111" s="12" t="inlineStr">
        <is>
          <t>★</t>
        </is>
      </c>
      <c r="I111" s="11" t="inlineStr">
        <is>
          <t>Not started</t>
        </is>
      </c>
      <c r="J111" s="13" t="n"/>
      <c r="K111" s="10" t="inlineStr"/>
      <c r="L111" s="14" t="inlineStr">
        <is>
          <t>▶ watch</t>
        </is>
      </c>
      <c r="M111" s="10" t="inlineStr"/>
      <c r="N111" s="11" t="inlineStr"/>
      <c r="O111" s="11" t="inlineStr">
        <is>
          <t>course lecture - no single paper</t>
        </is>
      </c>
      <c r="P111" s="10" t="inlineStr"/>
    </row>
    <row r="112">
      <c r="A112" s="8" t="n">
        <v>111</v>
      </c>
      <c r="B112" s="8" t="inlineStr">
        <is>
          <t>Part I - Foundations</t>
        </is>
      </c>
      <c r="C112" s="9" t="inlineStr">
        <is>
          <t>B.2.2 V. Balakrishnan - Physical Applications of Stochastic Processes</t>
        </is>
      </c>
      <c r="D112" s="10" t="inlineStr">
        <is>
          <t>Itô and Fokker-Planck equations for diffusion processes</t>
        </is>
      </c>
      <c r="E112" s="10" t="inlineStr"/>
      <c r="F112" s="11" t="inlineStr">
        <is>
          <t>47:42</t>
        </is>
      </c>
      <c r="G112" s="11" t="n">
        <v>0.8</v>
      </c>
      <c r="H112" s="12" t="inlineStr">
        <is>
          <t>★</t>
        </is>
      </c>
      <c r="I112" s="11" t="inlineStr">
        <is>
          <t>Not started</t>
        </is>
      </c>
      <c r="J112" s="13" t="n"/>
      <c r="K112" s="10" t="inlineStr"/>
      <c r="L112" s="14" t="inlineStr">
        <is>
          <t>▶ watch</t>
        </is>
      </c>
      <c r="M112" s="10" t="inlineStr"/>
      <c r="N112" s="11" t="inlineStr"/>
      <c r="O112" s="11" t="inlineStr">
        <is>
          <t>course lecture - no single paper</t>
        </is>
      </c>
      <c r="P112" s="10" t="inlineStr"/>
    </row>
    <row r="113">
      <c r="A113" s="8" t="n">
        <v>112</v>
      </c>
      <c r="B113" s="8" t="inlineStr">
        <is>
          <t>Part I - Foundations</t>
        </is>
      </c>
      <c r="C113" s="9" t="inlineStr">
        <is>
          <t>B.2.2 V. Balakrishnan - Physical Applications of Stochastic Processes</t>
        </is>
      </c>
      <c r="D113" s="10" t="inlineStr">
        <is>
          <t>Level-crossing statistics of a continuous random process</t>
        </is>
      </c>
      <c r="E113" s="10" t="inlineStr"/>
      <c r="F113" s="11" t="inlineStr">
        <is>
          <t>54:33</t>
        </is>
      </c>
      <c r="G113" s="11" t="n">
        <v>0.91</v>
      </c>
      <c r="H113" s="12" t="inlineStr"/>
      <c r="I113" s="11" t="inlineStr">
        <is>
          <t>Not started</t>
        </is>
      </c>
      <c r="J113" s="13" t="n"/>
      <c r="K113" s="10" t="inlineStr"/>
      <c r="L113" s="14" t="inlineStr">
        <is>
          <t>▶ watch</t>
        </is>
      </c>
      <c r="M113" s="10" t="inlineStr"/>
      <c r="N113" s="11" t="inlineStr"/>
      <c r="O113" s="11" t="inlineStr">
        <is>
          <t>course lecture - no single paper</t>
        </is>
      </c>
      <c r="P113" s="10" t="inlineStr"/>
    </row>
    <row r="114">
      <c r="A114" s="8" t="n">
        <v>113</v>
      </c>
      <c r="B114" s="8" t="inlineStr">
        <is>
          <t>Part I - Foundations</t>
        </is>
      </c>
      <c r="C114" s="9" t="inlineStr">
        <is>
          <t>B.2.2 V. Balakrishnan - Physical Applications of Stochastic Processes</t>
        </is>
      </c>
      <c r="D114" s="10" t="inlineStr">
        <is>
          <t>Diffusion of a charged particle in a magnetic field</t>
        </is>
      </c>
      <c r="E114" s="10" t="inlineStr"/>
      <c r="F114" s="11" t="inlineStr">
        <is>
          <t>59:56</t>
        </is>
      </c>
      <c r="G114" s="11" t="n">
        <v>1</v>
      </c>
      <c r="H114" s="12" t="inlineStr"/>
      <c r="I114" s="11" t="inlineStr">
        <is>
          <t>Not started</t>
        </is>
      </c>
      <c r="J114" s="13" t="n"/>
      <c r="K114" s="10" t="inlineStr"/>
      <c r="L114" s="14" t="inlineStr">
        <is>
          <t>▶ watch</t>
        </is>
      </c>
      <c r="M114" s="10" t="inlineStr"/>
      <c r="N114" s="11" t="inlineStr"/>
      <c r="O114" s="11" t="inlineStr">
        <is>
          <t>course lecture - no single paper</t>
        </is>
      </c>
      <c r="P114" s="10" t="inlineStr"/>
    </row>
    <row r="115">
      <c r="A115" s="8" t="n">
        <v>114</v>
      </c>
      <c r="B115" s="8" t="inlineStr">
        <is>
          <t>Part I - Foundations</t>
        </is>
      </c>
      <c r="C115" s="9" t="inlineStr">
        <is>
          <t>B.2.2 V. Balakrishnan - Physical Applications of Stochastic Processes</t>
        </is>
      </c>
      <c r="D115" s="10" t="inlineStr">
        <is>
          <t>Power spectrum of noise</t>
        </is>
      </c>
      <c r="E115" s="10" t="inlineStr"/>
      <c r="F115" s="11" t="inlineStr">
        <is>
          <t>53:38</t>
        </is>
      </c>
      <c r="G115" s="11" t="n">
        <v>0.89</v>
      </c>
      <c r="H115" s="12" t="inlineStr"/>
      <c r="I115" s="11" t="inlineStr">
        <is>
          <t>Not started</t>
        </is>
      </c>
      <c r="J115" s="13" t="n"/>
      <c r="K115" s="10" t="inlineStr"/>
      <c r="L115" s="14" t="inlineStr">
        <is>
          <t>▶ watch</t>
        </is>
      </c>
      <c r="M115" s="10" t="inlineStr"/>
      <c r="N115" s="11" t="inlineStr"/>
      <c r="O115" s="11" t="inlineStr">
        <is>
          <t>course lecture - no single paper</t>
        </is>
      </c>
      <c r="P115" s="10" t="inlineStr"/>
    </row>
    <row r="116">
      <c r="A116" s="8" t="n">
        <v>115</v>
      </c>
      <c r="B116" s="8" t="inlineStr">
        <is>
          <t>Part I - Foundations</t>
        </is>
      </c>
      <c r="C116" s="9" t="inlineStr">
        <is>
          <t>B.2.2 V. Balakrishnan - Physical Applications of Stochastic Processes</t>
        </is>
      </c>
      <c r="D116" s="10" t="inlineStr">
        <is>
          <t>Elements of linear response theory</t>
        </is>
      </c>
      <c r="E116" s="10" t="inlineStr"/>
      <c r="F116" s="11" t="inlineStr">
        <is>
          <t>1:01:50</t>
        </is>
      </c>
      <c r="G116" s="11" t="n">
        <v>1.03</v>
      </c>
      <c r="H116" s="12" t="inlineStr"/>
      <c r="I116" s="11" t="inlineStr">
        <is>
          <t>Not started</t>
        </is>
      </c>
      <c r="J116" s="13" t="n"/>
      <c r="K116" s="10" t="inlineStr"/>
      <c r="L116" s="14" t="inlineStr">
        <is>
          <t>▶ watch</t>
        </is>
      </c>
      <c r="M116" s="10" t="inlineStr"/>
      <c r="N116" s="11" t="inlineStr"/>
      <c r="O116" s="11" t="inlineStr">
        <is>
          <t>course lecture - no single paper</t>
        </is>
      </c>
      <c r="P116" s="10" t="inlineStr"/>
    </row>
    <row r="117">
      <c r="A117" s="8" t="n">
        <v>116</v>
      </c>
      <c r="B117" s="8" t="inlineStr">
        <is>
          <t>Part I - Foundations</t>
        </is>
      </c>
      <c r="C117" s="9" t="inlineStr">
        <is>
          <t>B.2.2 V. Balakrishnan - Physical Applications of Stochastic Processes</t>
        </is>
      </c>
      <c r="D117" s="10" t="inlineStr">
        <is>
          <t>Random pulse sequences</t>
        </is>
      </c>
      <c r="E117" s="10" t="inlineStr"/>
      <c r="F117" s="11" t="inlineStr">
        <is>
          <t>57:33</t>
        </is>
      </c>
      <c r="G117" s="11" t="n">
        <v>0.96</v>
      </c>
      <c r="H117" s="12" t="inlineStr"/>
      <c r="I117" s="11" t="inlineStr">
        <is>
          <t>Not started</t>
        </is>
      </c>
      <c r="J117" s="13" t="n"/>
      <c r="K117" s="10" t="inlineStr"/>
      <c r="L117" s="14" t="inlineStr">
        <is>
          <t>▶ watch</t>
        </is>
      </c>
      <c r="M117" s="10" t="inlineStr"/>
      <c r="N117" s="11" t="inlineStr"/>
      <c r="O117" s="11" t="inlineStr">
        <is>
          <t>course lecture - no single paper</t>
        </is>
      </c>
      <c r="P117" s="10" t="inlineStr"/>
    </row>
    <row r="118">
      <c r="A118" s="8" t="n">
        <v>117</v>
      </c>
      <c r="B118" s="8" t="inlineStr">
        <is>
          <t>Part I - Foundations</t>
        </is>
      </c>
      <c r="C118" s="9" t="inlineStr">
        <is>
          <t>B.2.2 V. Balakrishnan - Physical Applications of Stochastic Processes</t>
        </is>
      </c>
      <c r="D118" s="10" t="inlineStr">
        <is>
          <t>Dichotomous diffusion</t>
        </is>
      </c>
      <c r="E118" s="10" t="inlineStr"/>
      <c r="F118" s="11" t="inlineStr">
        <is>
          <t>1:07:31</t>
        </is>
      </c>
      <c r="G118" s="11" t="n">
        <v>1.13</v>
      </c>
      <c r="H118" s="12" t="inlineStr"/>
      <c r="I118" s="11" t="inlineStr">
        <is>
          <t>Not started</t>
        </is>
      </c>
      <c r="J118" s="13" t="n"/>
      <c r="K118" s="10" t="inlineStr"/>
      <c r="L118" s="14" t="inlineStr">
        <is>
          <t>▶ watch</t>
        </is>
      </c>
      <c r="M118" s="10" t="inlineStr"/>
      <c r="N118" s="11" t="inlineStr"/>
      <c r="O118" s="11" t="inlineStr">
        <is>
          <t>course lecture - no single paper</t>
        </is>
      </c>
      <c r="P118" s="10" t="inlineStr"/>
    </row>
    <row r="119">
      <c r="A119" s="8" t="n">
        <v>118</v>
      </c>
      <c r="B119" s="8" t="inlineStr">
        <is>
          <t>Part I - Foundations</t>
        </is>
      </c>
      <c r="C119" s="9" t="inlineStr">
        <is>
          <t>B.2.2 V. Balakrishnan - Physical Applications of Stochastic Processes</t>
        </is>
      </c>
      <c r="D119" s="10" t="inlineStr">
        <is>
          <t>First passage time (Part 1</t>
        </is>
      </c>
      <c r="E119" s="10" t="inlineStr"/>
      <c r="F119" s="11" t="inlineStr">
        <is>
          <t>59:50</t>
        </is>
      </c>
      <c r="G119" s="11" t="n">
        <v>1</v>
      </c>
      <c r="H119" s="12" t="inlineStr">
        <is>
          <t>★</t>
        </is>
      </c>
      <c r="I119" s="11" t="inlineStr">
        <is>
          <t>Not started</t>
        </is>
      </c>
      <c r="J119" s="13" t="n"/>
      <c r="K119" s="10" t="inlineStr"/>
      <c r="L119" s="14" t="inlineStr">
        <is>
          <t>▶ watch</t>
        </is>
      </c>
      <c r="M119" s="10" t="inlineStr"/>
      <c r="N119" s="11" t="inlineStr"/>
      <c r="O119" s="11" t="inlineStr">
        <is>
          <t>course lecture - no single paper</t>
        </is>
      </c>
      <c r="P119" s="10" t="inlineStr"/>
    </row>
    <row r="120">
      <c r="A120" s="8" t="n">
        <v>119</v>
      </c>
      <c r="B120" s="8" t="inlineStr">
        <is>
          <t>Part I - Foundations</t>
        </is>
      </c>
      <c r="C120" s="9" t="inlineStr">
        <is>
          <t>B.2.2 V. Balakrishnan - Physical Applications of Stochastic Processes</t>
        </is>
      </c>
      <c r="D120" s="10" t="inlineStr">
        <is>
          <t>First passage time (Part 2</t>
        </is>
      </c>
      <c r="E120" s="10" t="inlineStr"/>
      <c r="F120" s="11" t="inlineStr">
        <is>
          <t>1:03:14</t>
        </is>
      </c>
      <c r="G120" s="11" t="n">
        <v>1.05</v>
      </c>
      <c r="H120" s="12" t="inlineStr">
        <is>
          <t>★</t>
        </is>
      </c>
      <c r="I120" s="11" t="inlineStr">
        <is>
          <t>Not started</t>
        </is>
      </c>
      <c r="J120" s="13" t="n"/>
      <c r="K120" s="10" t="inlineStr"/>
      <c r="L120" s="14" t="inlineStr">
        <is>
          <t>▶ watch</t>
        </is>
      </c>
      <c r="M120" s="10" t="inlineStr"/>
      <c r="N120" s="11" t="inlineStr"/>
      <c r="O120" s="11" t="inlineStr">
        <is>
          <t>course lecture - no single paper</t>
        </is>
      </c>
      <c r="P120" s="10" t="inlineStr"/>
    </row>
    <row r="121">
      <c r="A121" s="8" t="n">
        <v>120</v>
      </c>
      <c r="B121" s="8" t="inlineStr">
        <is>
          <t>Part I - Foundations</t>
        </is>
      </c>
      <c r="C121" s="9" t="inlineStr">
        <is>
          <t>B.2.2 V. Balakrishnan - Physical Applications of Stochastic Processes</t>
        </is>
      </c>
      <c r="D121" s="10" t="inlineStr">
        <is>
          <t>First passage and recurrence in Markov chains</t>
        </is>
      </c>
      <c r="E121" s="10" t="inlineStr"/>
      <c r="F121" s="11" t="inlineStr">
        <is>
          <t>1:06:21</t>
        </is>
      </c>
      <c r="G121" s="11" t="n">
        <v>1.11</v>
      </c>
      <c r="H121" s="12" t="inlineStr"/>
      <c r="I121" s="11" t="inlineStr">
        <is>
          <t>Not started</t>
        </is>
      </c>
      <c r="J121" s="13" t="n"/>
      <c r="K121" s="10" t="inlineStr"/>
      <c r="L121" s="14" t="inlineStr">
        <is>
          <t>▶ watch</t>
        </is>
      </c>
      <c r="M121" s="10" t="inlineStr"/>
      <c r="N121" s="11" t="inlineStr"/>
      <c r="O121" s="11" t="inlineStr">
        <is>
          <t>course lecture - no single paper</t>
        </is>
      </c>
      <c r="P121" s="10" t="inlineStr"/>
    </row>
    <row r="122">
      <c r="A122" s="8" t="n">
        <v>121</v>
      </c>
      <c r="B122" s="8" t="inlineStr">
        <is>
          <t>Part I - Foundations</t>
        </is>
      </c>
      <c r="C122" s="9" t="inlineStr">
        <is>
          <t>B.2.2 V. Balakrishnan - Physical Applications of Stochastic Processes</t>
        </is>
      </c>
      <c r="D122" s="10" t="inlineStr">
        <is>
          <t>Recurrent and transient random walks</t>
        </is>
      </c>
      <c r="E122" s="10" t="inlineStr"/>
      <c r="F122" s="11" t="inlineStr">
        <is>
          <t>1:11:49</t>
        </is>
      </c>
      <c r="G122" s="11" t="n">
        <v>1.2</v>
      </c>
      <c r="H122" s="12" t="inlineStr"/>
      <c r="I122" s="11" t="inlineStr">
        <is>
          <t>Not started</t>
        </is>
      </c>
      <c r="J122" s="13" t="n"/>
      <c r="K122" s="10" t="inlineStr"/>
      <c r="L122" s="14" t="inlineStr">
        <is>
          <t>▶ watch</t>
        </is>
      </c>
      <c r="M122" s="10" t="inlineStr"/>
      <c r="N122" s="11" t="inlineStr"/>
      <c r="O122" s="11" t="inlineStr">
        <is>
          <t>course lecture - no single paper</t>
        </is>
      </c>
      <c r="P122" s="10" t="inlineStr"/>
    </row>
    <row r="123">
      <c r="A123" s="8" t="n">
        <v>122</v>
      </c>
      <c r="B123" s="8" t="inlineStr">
        <is>
          <t>Part I - Foundations</t>
        </is>
      </c>
      <c r="C123" s="9" t="inlineStr">
        <is>
          <t>B.2.2 V. Balakrishnan - Physical Applications of Stochastic Processes</t>
        </is>
      </c>
      <c r="D123" s="10" t="inlineStr">
        <is>
          <t>Non-Markovian random walks</t>
        </is>
      </c>
      <c r="E123" s="10" t="inlineStr"/>
      <c r="F123" s="11" t="inlineStr">
        <is>
          <t>51:31</t>
        </is>
      </c>
      <c r="G123" s="11" t="n">
        <v>0.86</v>
      </c>
      <c r="H123" s="12" t="inlineStr"/>
      <c r="I123" s="11" t="inlineStr">
        <is>
          <t>Not started</t>
        </is>
      </c>
      <c r="J123" s="13" t="n"/>
      <c r="K123" s="10" t="inlineStr"/>
      <c r="L123" s="14" t="inlineStr">
        <is>
          <t>▶ watch</t>
        </is>
      </c>
      <c r="M123" s="10" t="inlineStr"/>
      <c r="N123" s="11" t="inlineStr"/>
      <c r="O123" s="11" t="inlineStr">
        <is>
          <t>course lecture - no single paper</t>
        </is>
      </c>
      <c r="P123" s="10" t="inlineStr"/>
    </row>
    <row r="124">
      <c r="A124" s="8" t="n">
        <v>123</v>
      </c>
      <c r="B124" s="8" t="inlineStr">
        <is>
          <t>Part I - Foundations</t>
        </is>
      </c>
      <c r="C124" s="9" t="inlineStr">
        <is>
          <t>B.2.2 V. Balakrishnan - Physical Applications of Stochastic Processes</t>
        </is>
      </c>
      <c r="D124" s="10" t="inlineStr">
        <is>
          <t>Statistical aspects of deterministic dynamics (Part 1</t>
        </is>
      </c>
      <c r="E124" s="10" t="inlineStr"/>
      <c r="F124" s="11" t="inlineStr">
        <is>
          <t>54:36</t>
        </is>
      </c>
      <c r="G124" s="11" t="n">
        <v>0.91</v>
      </c>
      <c r="H124" s="12" t="inlineStr"/>
      <c r="I124" s="11" t="inlineStr">
        <is>
          <t>Not started</t>
        </is>
      </c>
      <c r="J124" s="13" t="n"/>
      <c r="K124" s="10" t="inlineStr"/>
      <c r="L124" s="14" t="inlineStr">
        <is>
          <t>▶ watch</t>
        </is>
      </c>
      <c r="M124" s="10" t="inlineStr"/>
      <c r="N124" s="11" t="inlineStr"/>
      <c r="O124" s="11" t="inlineStr">
        <is>
          <t>course lecture - no single paper</t>
        </is>
      </c>
      <c r="P124" s="10" t="inlineStr"/>
    </row>
    <row r="125">
      <c r="A125" s="8" t="n">
        <v>124</v>
      </c>
      <c r="B125" s="8" t="inlineStr">
        <is>
          <t>Part I - Foundations</t>
        </is>
      </c>
      <c r="C125" s="9" t="inlineStr">
        <is>
          <t>B.2.2 V. Balakrishnan - Physical Applications of Stochastic Processes</t>
        </is>
      </c>
      <c r="D125" s="10" t="inlineStr">
        <is>
          <t>Statistical aspects of deterministic dynamics (Part 2</t>
        </is>
      </c>
      <c r="E125" s="10" t="inlineStr"/>
      <c r="F125" s="11" t="inlineStr">
        <is>
          <t>1:01:54</t>
        </is>
      </c>
      <c r="G125" s="11" t="n">
        <v>1.03</v>
      </c>
      <c r="H125" s="12" t="inlineStr"/>
      <c r="I125" s="11" t="inlineStr">
        <is>
          <t>Not started</t>
        </is>
      </c>
      <c r="J125" s="13" t="n"/>
      <c r="K125" s="10" t="inlineStr"/>
      <c r="L125" s="14" t="inlineStr">
        <is>
          <t>▶ watch</t>
        </is>
      </c>
      <c r="M125" s="10" t="inlineStr"/>
      <c r="N125" s="11" t="inlineStr"/>
      <c r="O125" s="11" t="inlineStr">
        <is>
          <t>course lecture - no single paper</t>
        </is>
      </c>
      <c r="P125" s="10" t="inlineStr"/>
    </row>
    <row r="126">
      <c r="A126" s="8" t="n">
        <v>125</v>
      </c>
      <c r="B126" s="8" t="inlineStr">
        <is>
          <t>Part I - Foundations</t>
        </is>
      </c>
      <c r="C126" s="9" t="inlineStr">
        <is>
          <t>B.2.3 V. Balakrishnan - Nonequilibrium Statistical Mechanics</t>
        </is>
      </c>
      <c r="D126" s="10" t="inlineStr">
        <is>
          <t>Recapitulation of equilibrium statistical mechanics</t>
        </is>
      </c>
      <c r="E126" s="10" t="inlineStr"/>
      <c r="F126" s="11" t="inlineStr">
        <is>
          <t>50:36</t>
        </is>
      </c>
      <c r="G126" s="11" t="n">
        <v>0.84</v>
      </c>
      <c r="H126" s="12" t="inlineStr"/>
      <c r="I126" s="11" t="inlineStr">
        <is>
          <t>Not started</t>
        </is>
      </c>
      <c r="J126" s="13" t="n"/>
      <c r="K126" s="10" t="inlineStr"/>
      <c r="L126" s="14" t="inlineStr">
        <is>
          <t>▶ watch</t>
        </is>
      </c>
      <c r="M126" s="10" t="inlineStr"/>
      <c r="N126" s="11" t="inlineStr"/>
      <c r="O126" s="11" t="inlineStr">
        <is>
          <t>course lecture - no single paper</t>
        </is>
      </c>
      <c r="P126" s="10" t="inlineStr"/>
    </row>
    <row r="127">
      <c r="A127" s="8" t="n">
        <v>126</v>
      </c>
      <c r="B127" s="8" t="inlineStr">
        <is>
          <t>Part I - Foundations</t>
        </is>
      </c>
      <c r="C127" s="9" t="inlineStr">
        <is>
          <t>B.2.3 V. Balakrishnan - Nonequilibrium Statistical Mechanics</t>
        </is>
      </c>
      <c r="D127" s="10" t="inlineStr">
        <is>
          <t>The Langevin model (Part 1</t>
        </is>
      </c>
      <c r="E127" s="10" t="inlineStr"/>
      <c r="F127" s="11" t="inlineStr">
        <is>
          <t>52:25</t>
        </is>
      </c>
      <c r="G127" s="11" t="n">
        <v>0.87</v>
      </c>
      <c r="H127" s="12" t="inlineStr"/>
      <c r="I127" s="11" t="inlineStr">
        <is>
          <t>Not started</t>
        </is>
      </c>
      <c r="J127" s="13" t="n"/>
      <c r="K127" s="10" t="inlineStr"/>
      <c r="L127" s="14" t="inlineStr">
        <is>
          <t>▶ watch</t>
        </is>
      </c>
      <c r="M127" s="10" t="inlineStr"/>
      <c r="N127" s="11" t="inlineStr"/>
      <c r="O127" s="11" t="inlineStr">
        <is>
          <t>course lecture - no single paper</t>
        </is>
      </c>
      <c r="P127" s="10" t="inlineStr"/>
    </row>
    <row r="128">
      <c r="A128" s="8" t="n">
        <v>127</v>
      </c>
      <c r="B128" s="8" t="inlineStr">
        <is>
          <t>Part I - Foundations</t>
        </is>
      </c>
      <c r="C128" s="9" t="inlineStr">
        <is>
          <t>B.2.3 V. Balakrishnan - Nonequilibrium Statistical Mechanics</t>
        </is>
      </c>
      <c r="D128" s="10" t="inlineStr">
        <is>
          <t>The Langevin model (Part 2</t>
        </is>
      </c>
      <c r="E128" s="10" t="inlineStr"/>
      <c r="F128" s="11" t="inlineStr">
        <is>
          <t>51:20</t>
        </is>
      </c>
      <c r="G128" s="11" t="n">
        <v>0.86</v>
      </c>
      <c r="H128" s="12" t="inlineStr"/>
      <c r="I128" s="11" t="inlineStr">
        <is>
          <t>Not started</t>
        </is>
      </c>
      <c r="J128" s="13" t="n"/>
      <c r="K128" s="10" t="inlineStr"/>
      <c r="L128" s="14" t="inlineStr">
        <is>
          <t>▶ watch</t>
        </is>
      </c>
      <c r="M128" s="10" t="inlineStr"/>
      <c r="N128" s="11" t="inlineStr"/>
      <c r="O128" s="11" t="inlineStr">
        <is>
          <t>course lecture - no single paper</t>
        </is>
      </c>
      <c r="P128" s="10" t="inlineStr"/>
    </row>
    <row r="129">
      <c r="A129" s="8" t="n">
        <v>128</v>
      </c>
      <c r="B129" s="8" t="inlineStr">
        <is>
          <t>Part I - Foundations</t>
        </is>
      </c>
      <c r="C129" s="9" t="inlineStr">
        <is>
          <t>B.2.3 V. Balakrishnan - Nonequilibrium Statistical Mechanics</t>
        </is>
      </c>
      <c r="D129" s="10" t="inlineStr">
        <is>
          <t>The Langevin model (Part 3</t>
        </is>
      </c>
      <c r="E129" s="10" t="inlineStr"/>
      <c r="F129" s="11" t="inlineStr">
        <is>
          <t>57:12</t>
        </is>
      </c>
      <c r="G129" s="11" t="n">
        <v>0.95</v>
      </c>
      <c r="H129" s="12" t="inlineStr"/>
      <c r="I129" s="11" t="inlineStr">
        <is>
          <t>Not started</t>
        </is>
      </c>
      <c r="J129" s="13" t="n"/>
      <c r="K129" s="10" t="inlineStr"/>
      <c r="L129" s="14" t="inlineStr">
        <is>
          <t>▶ watch</t>
        </is>
      </c>
      <c r="M129" s="10" t="inlineStr"/>
      <c r="N129" s="11" t="inlineStr"/>
      <c r="O129" s="11" t="inlineStr">
        <is>
          <t>course lecture - no single paper</t>
        </is>
      </c>
      <c r="P129" s="10" t="inlineStr"/>
    </row>
    <row r="130">
      <c r="A130" s="8" t="n">
        <v>129</v>
      </c>
      <c r="B130" s="8" t="inlineStr">
        <is>
          <t>Part I - Foundations</t>
        </is>
      </c>
      <c r="C130" s="9" t="inlineStr">
        <is>
          <t>B.2.3 V. Balakrishnan - Nonequilibrium Statistical Mechanics</t>
        </is>
      </c>
      <c r="D130" s="10" t="inlineStr">
        <is>
          <t>The Langevin model (Part 4</t>
        </is>
      </c>
      <c r="E130" s="10" t="inlineStr"/>
      <c r="F130" s="11" t="inlineStr">
        <is>
          <t>49:57</t>
        </is>
      </c>
      <c r="G130" s="11" t="n">
        <v>0.83</v>
      </c>
      <c r="H130" s="12" t="inlineStr"/>
      <c r="I130" s="11" t="inlineStr">
        <is>
          <t>Not started</t>
        </is>
      </c>
      <c r="J130" s="13" t="n"/>
      <c r="K130" s="10" t="inlineStr"/>
      <c r="L130" s="14" t="inlineStr">
        <is>
          <t>▶ watch</t>
        </is>
      </c>
      <c r="M130" s="10" t="inlineStr"/>
      <c r="N130" s="11" t="inlineStr"/>
      <c r="O130" s="11" t="inlineStr">
        <is>
          <t>course lecture - no single paper</t>
        </is>
      </c>
      <c r="P130" s="10" t="inlineStr"/>
    </row>
    <row r="131">
      <c r="A131" s="8" t="n">
        <v>130</v>
      </c>
      <c r="B131" s="8" t="inlineStr">
        <is>
          <t>Part I - Foundations</t>
        </is>
      </c>
      <c r="C131" s="9" t="inlineStr">
        <is>
          <t>B.2.3 V. Balakrishnan - Nonequilibrium Statistical Mechanics</t>
        </is>
      </c>
      <c r="D131" s="10" t="inlineStr">
        <is>
          <t>Linear response theory (Part 1</t>
        </is>
      </c>
      <c r="E131" s="10" t="inlineStr"/>
      <c r="F131" s="11" t="inlineStr">
        <is>
          <t>47:55</t>
        </is>
      </c>
      <c r="G131" s="11" t="n">
        <v>0.8</v>
      </c>
      <c r="H131" s="12" t="inlineStr">
        <is>
          <t>★</t>
        </is>
      </c>
      <c r="I131" s="11" t="inlineStr">
        <is>
          <t>Not started</t>
        </is>
      </c>
      <c r="J131" s="13" t="n"/>
      <c r="K131" s="10" t="inlineStr"/>
      <c r="L131" s="14" t="inlineStr">
        <is>
          <t>▶ watch</t>
        </is>
      </c>
      <c r="M131" s="10" t="inlineStr"/>
      <c r="N131" s="11" t="inlineStr"/>
      <c r="O131" s="11" t="inlineStr">
        <is>
          <t>course lecture - no single paper</t>
        </is>
      </c>
      <c r="P131" s="10" t="inlineStr"/>
    </row>
    <row r="132">
      <c r="A132" s="8" t="n">
        <v>131</v>
      </c>
      <c r="B132" s="8" t="inlineStr">
        <is>
          <t>Part I - Foundations</t>
        </is>
      </c>
      <c r="C132" s="9" t="inlineStr">
        <is>
          <t>B.2.3 V. Balakrishnan - Nonequilibrium Statistical Mechanics</t>
        </is>
      </c>
      <c r="D132" s="10" t="inlineStr">
        <is>
          <t>Linear response theory (Part 2</t>
        </is>
      </c>
      <c r="E132" s="10" t="inlineStr"/>
      <c r="F132" s="11" t="inlineStr">
        <is>
          <t>51:08</t>
        </is>
      </c>
      <c r="G132" s="11" t="n">
        <v>0.85</v>
      </c>
      <c r="H132" s="12" t="inlineStr"/>
      <c r="I132" s="11" t="inlineStr">
        <is>
          <t>Not started</t>
        </is>
      </c>
      <c r="J132" s="13" t="n"/>
      <c r="K132" s="10" t="inlineStr"/>
      <c r="L132" s="14" t="inlineStr">
        <is>
          <t>▶ watch</t>
        </is>
      </c>
      <c r="M132" s="10" t="inlineStr"/>
      <c r="N132" s="11" t="inlineStr"/>
      <c r="O132" s="11" t="inlineStr">
        <is>
          <t>course lecture - no single paper</t>
        </is>
      </c>
      <c r="P132" s="10" t="inlineStr"/>
    </row>
    <row r="133">
      <c r="A133" s="8" t="n">
        <v>132</v>
      </c>
      <c r="B133" s="8" t="inlineStr">
        <is>
          <t>Part I - Foundations</t>
        </is>
      </c>
      <c r="C133" s="9" t="inlineStr">
        <is>
          <t>B.2.3 V. Balakrishnan - Nonequilibrium Statistical Mechanics</t>
        </is>
      </c>
      <c r="D133" s="10" t="inlineStr">
        <is>
          <t>Linear response (Part 3</t>
        </is>
      </c>
      <c r="E133" s="10" t="inlineStr"/>
      <c r="F133" s="11" t="inlineStr">
        <is>
          <t>50:24</t>
        </is>
      </c>
      <c r="G133" s="11" t="n">
        <v>0.84</v>
      </c>
      <c r="H133" s="12" t="inlineStr"/>
      <c r="I133" s="11" t="inlineStr">
        <is>
          <t>Not started</t>
        </is>
      </c>
      <c r="J133" s="13" t="n"/>
      <c r="K133" s="10" t="inlineStr"/>
      <c r="L133" s="14" t="inlineStr">
        <is>
          <t>▶ watch</t>
        </is>
      </c>
      <c r="M133" s="10" t="inlineStr"/>
      <c r="N133" s="11" t="inlineStr"/>
      <c r="O133" s="11" t="inlineStr">
        <is>
          <t>course lecture - no single paper</t>
        </is>
      </c>
      <c r="P133" s="10" t="inlineStr"/>
    </row>
    <row r="134">
      <c r="A134" s="8" t="n">
        <v>133</v>
      </c>
      <c r="B134" s="8" t="inlineStr">
        <is>
          <t>Part I - Foundations</t>
        </is>
      </c>
      <c r="C134" s="9" t="inlineStr">
        <is>
          <t>B.2.3 V. Balakrishnan - Nonequilibrium Statistical Mechanics</t>
        </is>
      </c>
      <c r="D134" s="10" t="inlineStr">
        <is>
          <t>Linear response (Part 4</t>
        </is>
      </c>
      <c r="E134" s="10" t="inlineStr"/>
      <c r="F134" s="11" t="inlineStr">
        <is>
          <t>49:40</t>
        </is>
      </c>
      <c r="G134" s="11" t="n">
        <v>0.83</v>
      </c>
      <c r="H134" s="12" t="inlineStr"/>
      <c r="I134" s="11" t="inlineStr">
        <is>
          <t>Not started</t>
        </is>
      </c>
      <c r="J134" s="13" t="n"/>
      <c r="K134" s="10" t="inlineStr"/>
      <c r="L134" s="14" t="inlineStr">
        <is>
          <t>▶ watch</t>
        </is>
      </c>
      <c r="M134" s="10" t="inlineStr"/>
      <c r="N134" s="11" t="inlineStr"/>
      <c r="O134" s="11" t="inlineStr">
        <is>
          <t>course lecture - no single paper</t>
        </is>
      </c>
      <c r="P134" s="10" t="inlineStr"/>
    </row>
    <row r="135">
      <c r="A135" s="8" t="n">
        <v>134</v>
      </c>
      <c r="B135" s="8" t="inlineStr">
        <is>
          <t>Part I - Foundations</t>
        </is>
      </c>
      <c r="C135" s="9" t="inlineStr">
        <is>
          <t>B.2.3 V. Balakrishnan - Nonequilibrium Statistical Mechanics</t>
        </is>
      </c>
      <c r="D135" s="10" t="inlineStr">
        <is>
          <t>Linear response (Part 5</t>
        </is>
      </c>
      <c r="E135" s="10" t="inlineStr"/>
      <c r="F135" s="11" t="inlineStr">
        <is>
          <t>49:05</t>
        </is>
      </c>
      <c r="G135" s="11" t="n">
        <v>0.82</v>
      </c>
      <c r="H135" s="12" t="inlineStr"/>
      <c r="I135" s="11" t="inlineStr">
        <is>
          <t>Not started</t>
        </is>
      </c>
      <c r="J135" s="13" t="n"/>
      <c r="K135" s="10" t="inlineStr"/>
      <c r="L135" s="14" t="inlineStr">
        <is>
          <t>▶ watch</t>
        </is>
      </c>
      <c r="M135" s="10" t="inlineStr"/>
      <c r="N135" s="11" t="inlineStr"/>
      <c r="O135" s="11" t="inlineStr">
        <is>
          <t>course lecture - no single paper</t>
        </is>
      </c>
      <c r="P135" s="10" t="inlineStr"/>
    </row>
    <row r="136">
      <c r="A136" s="8" t="n">
        <v>135</v>
      </c>
      <c r="B136" s="8" t="inlineStr">
        <is>
          <t>Part I - Foundations</t>
        </is>
      </c>
      <c r="C136" s="9" t="inlineStr">
        <is>
          <t>B.2.3 V. Balakrishnan - Nonequilibrium Statistical Mechanics</t>
        </is>
      </c>
      <c r="D136" s="10" t="inlineStr">
        <is>
          <t>Linear response (Part 6</t>
        </is>
      </c>
      <c r="E136" s="10" t="inlineStr"/>
      <c r="F136" s="11" t="inlineStr">
        <is>
          <t>49:19</t>
        </is>
      </c>
      <c r="G136" s="11" t="n">
        <v>0.82</v>
      </c>
      <c r="H136" s="12" t="inlineStr"/>
      <c r="I136" s="11" t="inlineStr">
        <is>
          <t>Not started</t>
        </is>
      </c>
      <c r="J136" s="13" t="n"/>
      <c r="K136" s="10" t="inlineStr"/>
      <c r="L136" s="14" t="inlineStr">
        <is>
          <t>▶ watch</t>
        </is>
      </c>
      <c r="M136" s="10" t="inlineStr"/>
      <c r="N136" s="11" t="inlineStr"/>
      <c r="O136" s="11" t="inlineStr">
        <is>
          <t>course lecture - no single paper</t>
        </is>
      </c>
      <c r="P136" s="10" t="inlineStr"/>
    </row>
    <row r="137">
      <c r="A137" s="8" t="n">
        <v>136</v>
      </c>
      <c r="B137" s="8" t="inlineStr">
        <is>
          <t>Part I - Foundations</t>
        </is>
      </c>
      <c r="C137" s="9" t="inlineStr">
        <is>
          <t>B.2.3 V. Balakrishnan - Nonequilibrium Statistical Mechanics</t>
        </is>
      </c>
      <c r="D137" s="10" t="inlineStr">
        <is>
          <t>Linear response theory (Part 7</t>
        </is>
      </c>
      <c r="E137" s="10" t="inlineStr"/>
      <c r="F137" s="11" t="inlineStr">
        <is>
          <t>52:16</t>
        </is>
      </c>
      <c r="G137" s="11" t="n">
        <v>0.87</v>
      </c>
      <c r="H137" s="12" t="inlineStr"/>
      <c r="I137" s="11" t="inlineStr">
        <is>
          <t>Not started</t>
        </is>
      </c>
      <c r="J137" s="13" t="n"/>
      <c r="K137" s="10" t="inlineStr"/>
      <c r="L137" s="14" t="inlineStr">
        <is>
          <t>▶ watch</t>
        </is>
      </c>
      <c r="M137" s="10" t="inlineStr"/>
      <c r="N137" s="11" t="inlineStr"/>
      <c r="O137" s="11" t="inlineStr">
        <is>
          <t>course lecture - no single paper</t>
        </is>
      </c>
      <c r="P137" s="10" t="inlineStr"/>
    </row>
    <row r="138">
      <c r="A138" s="8" t="n">
        <v>137</v>
      </c>
      <c r="B138" s="8" t="inlineStr">
        <is>
          <t>Part I - Foundations</t>
        </is>
      </c>
      <c r="C138" s="9" t="inlineStr">
        <is>
          <t>B.2.3 V. Balakrishnan - Nonequilibrium Statistical Mechanics</t>
        </is>
      </c>
      <c r="D138" s="10" t="inlineStr">
        <is>
          <t>Quiz 1 - questions and answers</t>
        </is>
      </c>
      <c r="E138" s="10" t="inlineStr"/>
      <c r="F138" s="11" t="inlineStr">
        <is>
          <t>51:17</t>
        </is>
      </c>
      <c r="G138" s="11" t="n">
        <v>0.85</v>
      </c>
      <c r="H138" s="12" t="inlineStr"/>
      <c r="I138" s="11" t="inlineStr">
        <is>
          <t>Not started</t>
        </is>
      </c>
      <c r="J138" s="13" t="n"/>
      <c r="K138" s="10" t="inlineStr"/>
      <c r="L138" s="14" t="inlineStr">
        <is>
          <t>▶ watch</t>
        </is>
      </c>
      <c r="M138" s="10" t="inlineStr"/>
      <c r="N138" s="11" t="inlineStr"/>
      <c r="O138" s="11" t="inlineStr">
        <is>
          <t>course lecture - no single paper</t>
        </is>
      </c>
      <c r="P138" s="10" t="inlineStr"/>
    </row>
    <row r="139">
      <c r="A139" s="8" t="n">
        <v>138</v>
      </c>
      <c r="B139" s="8" t="inlineStr">
        <is>
          <t>Part I - Foundations</t>
        </is>
      </c>
      <c r="C139" s="9" t="inlineStr">
        <is>
          <t>B.2.3 V. Balakrishnan - Nonequilibrium Statistical Mechanics</t>
        </is>
      </c>
      <c r="D139" s="10" t="inlineStr">
        <is>
          <t>Linear response theory (Part 8</t>
        </is>
      </c>
      <c r="E139" s="10" t="inlineStr"/>
      <c r="F139" s="11" t="inlineStr">
        <is>
          <t>48:23</t>
        </is>
      </c>
      <c r="G139" s="11" t="n">
        <v>0.8100000000000001</v>
      </c>
      <c r="H139" s="12" t="inlineStr"/>
      <c r="I139" s="11" t="inlineStr">
        <is>
          <t>Not started</t>
        </is>
      </c>
      <c r="J139" s="13" t="n"/>
      <c r="K139" s="10" t="inlineStr"/>
      <c r="L139" s="14" t="inlineStr">
        <is>
          <t>▶ watch</t>
        </is>
      </c>
      <c r="M139" s="10" t="inlineStr"/>
      <c r="N139" s="11" t="inlineStr"/>
      <c r="O139" s="11" t="inlineStr">
        <is>
          <t>course lecture - no single paper</t>
        </is>
      </c>
      <c r="P139" s="10" t="inlineStr"/>
    </row>
    <row r="140">
      <c r="A140" s="8" t="n">
        <v>139</v>
      </c>
      <c r="B140" s="8" t="inlineStr">
        <is>
          <t>Part I - Foundations</t>
        </is>
      </c>
      <c r="C140" s="9" t="inlineStr">
        <is>
          <t>B.2.3 V. Balakrishnan - Nonequilibrium Statistical Mechanics</t>
        </is>
      </c>
      <c r="D140" s="10" t="inlineStr">
        <is>
          <t>Linear response theory (Part 9</t>
        </is>
      </c>
      <c r="E140" s="10" t="inlineStr"/>
      <c r="F140" s="11" t="inlineStr">
        <is>
          <t>56:45</t>
        </is>
      </c>
      <c r="G140" s="11" t="n">
        <v>0.95</v>
      </c>
      <c r="H140" s="12" t="inlineStr"/>
      <c r="I140" s="11" t="inlineStr">
        <is>
          <t>Not started</t>
        </is>
      </c>
      <c r="J140" s="13" t="n"/>
      <c r="K140" s="10" t="inlineStr"/>
      <c r="L140" s="14" t="inlineStr">
        <is>
          <t>▶ watch</t>
        </is>
      </c>
      <c r="M140" s="10" t="inlineStr"/>
      <c r="N140" s="11" t="inlineStr"/>
      <c r="O140" s="11" t="inlineStr">
        <is>
          <t>course lecture - no single paper</t>
        </is>
      </c>
      <c r="P140" s="10" t="inlineStr"/>
    </row>
    <row r="141">
      <c r="A141" s="8" t="n">
        <v>140</v>
      </c>
      <c r="B141" s="8" t="inlineStr">
        <is>
          <t>Part I - Foundations</t>
        </is>
      </c>
      <c r="C141" s="9" t="inlineStr">
        <is>
          <t>B.2.3 V. Balakrishnan - Nonequilibrium Statistical Mechanics</t>
        </is>
      </c>
      <c r="D141" s="10" t="inlineStr">
        <is>
          <t>The dynamic mobility</t>
        </is>
      </c>
      <c r="E141" s="10" t="inlineStr"/>
      <c r="F141" s="11" t="inlineStr">
        <is>
          <t>52:21</t>
        </is>
      </c>
      <c r="G141" s="11" t="n">
        <v>0.87</v>
      </c>
      <c r="H141" s="12" t="inlineStr"/>
      <c r="I141" s="11" t="inlineStr">
        <is>
          <t>Not started</t>
        </is>
      </c>
      <c r="J141" s="13" t="n"/>
      <c r="K141" s="10" t="inlineStr"/>
      <c r="L141" s="14" t="inlineStr">
        <is>
          <t>▶ watch</t>
        </is>
      </c>
      <c r="M141" s="10" t="inlineStr"/>
      <c r="N141" s="11" t="inlineStr"/>
      <c r="O141" s="11" t="inlineStr">
        <is>
          <t>course lecture - no single paper</t>
        </is>
      </c>
      <c r="P141" s="10" t="inlineStr"/>
    </row>
    <row r="142">
      <c r="A142" s="8" t="n">
        <v>141</v>
      </c>
      <c r="B142" s="8" t="inlineStr">
        <is>
          <t>Part I - Foundations</t>
        </is>
      </c>
      <c r="C142" s="9" t="inlineStr">
        <is>
          <t>B.2.3 V. Balakrishnan - Nonequilibrium Statistical Mechanics</t>
        </is>
      </c>
      <c r="D142" s="10" t="inlineStr">
        <is>
          <t>Fokker-Planck equations (Part 1</t>
        </is>
      </c>
      <c r="E142" s="10" t="inlineStr"/>
      <c r="F142" s="11" t="inlineStr">
        <is>
          <t>50:22</t>
        </is>
      </c>
      <c r="G142" s="11" t="n">
        <v>0.84</v>
      </c>
      <c r="H142" s="12" t="inlineStr">
        <is>
          <t>★</t>
        </is>
      </c>
      <c r="I142" s="11" t="inlineStr">
        <is>
          <t>Not started</t>
        </is>
      </c>
      <c r="J142" s="13" t="n"/>
      <c r="K142" s="10" t="inlineStr"/>
      <c r="L142" s="14" t="inlineStr">
        <is>
          <t>▶ watch</t>
        </is>
      </c>
      <c r="M142" s="10" t="inlineStr"/>
      <c r="N142" s="11" t="inlineStr"/>
      <c r="O142" s="11" t="inlineStr">
        <is>
          <t>course lecture - no single paper</t>
        </is>
      </c>
      <c r="P142" s="10" t="inlineStr"/>
    </row>
    <row r="143">
      <c r="A143" s="8" t="n">
        <v>142</v>
      </c>
      <c r="B143" s="8" t="inlineStr">
        <is>
          <t>Part I - Foundations</t>
        </is>
      </c>
      <c r="C143" s="9" t="inlineStr">
        <is>
          <t>B.2.3 V. Balakrishnan - Nonequilibrium Statistical Mechanics</t>
        </is>
      </c>
      <c r="D143" s="10" t="inlineStr">
        <is>
          <t>Fokker-Planck equations (Part 2</t>
        </is>
      </c>
      <c r="E143" s="10" t="inlineStr"/>
      <c r="F143" s="11" t="inlineStr">
        <is>
          <t>52:36</t>
        </is>
      </c>
      <c r="G143" s="11" t="n">
        <v>0.88</v>
      </c>
      <c r="H143" s="12" t="inlineStr"/>
      <c r="I143" s="11" t="inlineStr">
        <is>
          <t>Not started</t>
        </is>
      </c>
      <c r="J143" s="13" t="n"/>
      <c r="K143" s="10" t="inlineStr"/>
      <c r="L143" s="14" t="inlineStr">
        <is>
          <t>▶ watch</t>
        </is>
      </c>
      <c r="M143" s="10" t="inlineStr"/>
      <c r="N143" s="11" t="inlineStr"/>
      <c r="O143" s="11" t="inlineStr">
        <is>
          <t>course lecture - no single paper</t>
        </is>
      </c>
      <c r="P143" s="10" t="inlineStr"/>
    </row>
    <row r="144">
      <c r="A144" s="8" t="n">
        <v>143</v>
      </c>
      <c r="B144" s="8" t="inlineStr">
        <is>
          <t>Part I - Foundations</t>
        </is>
      </c>
      <c r="C144" s="9" t="inlineStr">
        <is>
          <t>B.2.3 V. Balakrishnan - Nonequilibrium Statistical Mechanics</t>
        </is>
      </c>
      <c r="D144" s="10" t="inlineStr">
        <is>
          <t>Fokker-Planck equations (Part 3</t>
        </is>
      </c>
      <c r="E144" s="10" t="inlineStr"/>
      <c r="F144" s="11" t="inlineStr">
        <is>
          <t>1:00:26</t>
        </is>
      </c>
      <c r="G144" s="11" t="n">
        <v>1.01</v>
      </c>
      <c r="H144" s="12" t="inlineStr"/>
      <c r="I144" s="11" t="inlineStr">
        <is>
          <t>Not started</t>
        </is>
      </c>
      <c r="J144" s="13" t="n"/>
      <c r="K144" s="10" t="inlineStr"/>
      <c r="L144" s="14" t="inlineStr">
        <is>
          <t>▶ watch</t>
        </is>
      </c>
      <c r="M144" s="10" t="inlineStr"/>
      <c r="N144" s="11" t="inlineStr"/>
      <c r="O144" s="11" t="inlineStr">
        <is>
          <t>course lecture - no single paper</t>
        </is>
      </c>
      <c r="P144" s="10" t="inlineStr"/>
    </row>
    <row r="145">
      <c r="A145" s="8" t="n">
        <v>144</v>
      </c>
      <c r="B145" s="8" t="inlineStr">
        <is>
          <t>Part I - Foundations</t>
        </is>
      </c>
      <c r="C145" s="9" t="inlineStr">
        <is>
          <t>B.2.3 V. Balakrishnan - Nonequilibrium Statistical Mechanics</t>
        </is>
      </c>
      <c r="D145" s="10" t="inlineStr">
        <is>
          <t>The generalized Langevin equation (Part 1</t>
        </is>
      </c>
      <c r="E145" s="10" t="inlineStr"/>
      <c r="F145" s="11" t="inlineStr">
        <is>
          <t>1:00:14</t>
        </is>
      </c>
      <c r="G145" s="11" t="n">
        <v>1</v>
      </c>
      <c r="H145" s="12" t="inlineStr">
        <is>
          <t>★</t>
        </is>
      </c>
      <c r="I145" s="11" t="inlineStr">
        <is>
          <t>Not started</t>
        </is>
      </c>
      <c r="J145" s="13" t="n"/>
      <c r="K145" s="10" t="inlineStr"/>
      <c r="L145" s="14" t="inlineStr">
        <is>
          <t>▶ watch</t>
        </is>
      </c>
      <c r="M145" s="10" t="inlineStr"/>
      <c r="N145" s="11" t="inlineStr"/>
      <c r="O145" s="11" t="inlineStr">
        <is>
          <t>course lecture - no single paper</t>
        </is>
      </c>
      <c r="P145" s="10" t="inlineStr"/>
    </row>
    <row r="146">
      <c r="A146" s="8" t="n">
        <v>145</v>
      </c>
      <c r="B146" s="8" t="inlineStr">
        <is>
          <t>Part I - Foundations</t>
        </is>
      </c>
      <c r="C146" s="9" t="inlineStr">
        <is>
          <t>B.2.3 V. Balakrishnan - Nonequilibrium Statistical Mechanics</t>
        </is>
      </c>
      <c r="D146" s="10" t="inlineStr">
        <is>
          <t>The generalized Langevin equation (Part 2</t>
        </is>
      </c>
      <c r="E146" s="10" t="inlineStr"/>
      <c r="F146" s="11" t="inlineStr">
        <is>
          <t>56:27</t>
        </is>
      </c>
      <c r="G146" s="11" t="n">
        <v>0.9399999999999999</v>
      </c>
      <c r="H146" s="12" t="inlineStr"/>
      <c r="I146" s="11" t="inlineStr">
        <is>
          <t>Not started</t>
        </is>
      </c>
      <c r="J146" s="13" t="n"/>
      <c r="K146" s="10" t="inlineStr"/>
      <c r="L146" s="14" t="inlineStr">
        <is>
          <t>▶ watch</t>
        </is>
      </c>
      <c r="M146" s="10" t="inlineStr"/>
      <c r="N146" s="11" t="inlineStr"/>
      <c r="O146" s="11" t="inlineStr">
        <is>
          <t>course lecture - no single paper</t>
        </is>
      </c>
      <c r="P146" s="10" t="inlineStr"/>
    </row>
    <row r="147">
      <c r="A147" s="8" t="n">
        <v>146</v>
      </c>
      <c r="B147" s="8" t="inlineStr">
        <is>
          <t>Part I - Foundations</t>
        </is>
      </c>
      <c r="C147" s="9" t="inlineStr">
        <is>
          <t>B.2.3 V. Balakrishnan - Nonequilibrium Statistical Mechanics</t>
        </is>
      </c>
      <c r="D147" s="10" t="inlineStr">
        <is>
          <t>Diffusion in a magnetic field</t>
        </is>
      </c>
      <c r="E147" s="10" t="inlineStr"/>
      <c r="F147" s="11" t="inlineStr">
        <is>
          <t>51:17</t>
        </is>
      </c>
      <c r="G147" s="11" t="n">
        <v>0.85</v>
      </c>
      <c r="H147" s="12" t="inlineStr"/>
      <c r="I147" s="11" t="inlineStr">
        <is>
          <t>Not started</t>
        </is>
      </c>
      <c r="J147" s="13" t="n"/>
      <c r="K147" s="10" t="inlineStr"/>
      <c r="L147" s="14" t="inlineStr">
        <is>
          <t>▶ watch</t>
        </is>
      </c>
      <c r="M147" s="10" t="inlineStr"/>
      <c r="N147" s="11" t="inlineStr"/>
      <c r="O147" s="11" t="inlineStr">
        <is>
          <t>course lecture - no single paper</t>
        </is>
      </c>
      <c r="P147" s="10" t="inlineStr"/>
    </row>
    <row r="148">
      <c r="A148" s="8" t="n">
        <v>147</v>
      </c>
      <c r="B148" s="8" t="inlineStr">
        <is>
          <t>Part I - Foundations</t>
        </is>
      </c>
      <c r="C148" s="9" t="inlineStr">
        <is>
          <t>B.2.3 V. Balakrishnan - Nonequilibrium Statistical Mechanics</t>
        </is>
      </c>
      <c r="D148" s="10" t="inlineStr">
        <is>
          <t>The Boltzmann equation for a dilute gas (Part 1</t>
        </is>
      </c>
      <c r="E148" s="10" t="inlineStr"/>
      <c r="F148" s="11" t="inlineStr">
        <is>
          <t>57:24</t>
        </is>
      </c>
      <c r="G148" s="11" t="n">
        <v>0.96</v>
      </c>
      <c r="H148" s="12" t="inlineStr"/>
      <c r="I148" s="11" t="inlineStr">
        <is>
          <t>Not started</t>
        </is>
      </c>
      <c r="J148" s="13" t="n"/>
      <c r="K148" s="10" t="inlineStr"/>
      <c r="L148" s="14" t="inlineStr">
        <is>
          <t>▶ watch</t>
        </is>
      </c>
      <c r="M148" s="10" t="inlineStr"/>
      <c r="N148" s="11" t="inlineStr"/>
      <c r="O148" s="11" t="inlineStr">
        <is>
          <t>course lecture - no single paper</t>
        </is>
      </c>
      <c r="P148" s="10" t="inlineStr"/>
    </row>
    <row r="149">
      <c r="A149" s="8" t="n">
        <v>148</v>
      </c>
      <c r="B149" s="8" t="inlineStr">
        <is>
          <t>Part I - Foundations</t>
        </is>
      </c>
      <c r="C149" s="9" t="inlineStr">
        <is>
          <t>B.2.3 V. Balakrishnan - Nonequilibrium Statistical Mechanics</t>
        </is>
      </c>
      <c r="D149" s="10" t="inlineStr">
        <is>
          <t>The Boltzmann equation for a dilute gas (Part 2</t>
        </is>
      </c>
      <c r="E149" s="10" t="inlineStr"/>
      <c r="F149" s="11" t="inlineStr">
        <is>
          <t>54:58</t>
        </is>
      </c>
      <c r="G149" s="11" t="n">
        <v>0.92</v>
      </c>
      <c r="H149" s="12" t="inlineStr"/>
      <c r="I149" s="11" t="inlineStr">
        <is>
          <t>Not started</t>
        </is>
      </c>
      <c r="J149" s="13" t="n"/>
      <c r="K149" s="10" t="inlineStr"/>
      <c r="L149" s="14" t="inlineStr">
        <is>
          <t>▶ watch</t>
        </is>
      </c>
      <c r="M149" s="10" t="inlineStr"/>
      <c r="N149" s="11" t="inlineStr"/>
      <c r="O149" s="11" t="inlineStr">
        <is>
          <t>course lecture - no single paper</t>
        </is>
      </c>
      <c r="P149" s="10" t="inlineStr"/>
    </row>
    <row r="150">
      <c r="A150" s="8" t="n">
        <v>149</v>
      </c>
      <c r="B150" s="8" t="inlineStr">
        <is>
          <t>Part I - Foundations</t>
        </is>
      </c>
      <c r="C150" s="9" t="inlineStr">
        <is>
          <t>B.2.3 V. Balakrishnan - Nonequilibrium Statistical Mechanics</t>
        </is>
      </c>
      <c r="D150" s="10" t="inlineStr">
        <is>
          <t>The Boltzmann equation for a dilute gas (Part 3</t>
        </is>
      </c>
      <c r="E150" s="10" t="inlineStr"/>
      <c r="F150" s="11" t="inlineStr">
        <is>
          <t>52:12</t>
        </is>
      </c>
      <c r="G150" s="11" t="n">
        <v>0.87</v>
      </c>
      <c r="H150" s="12" t="inlineStr"/>
      <c r="I150" s="11" t="inlineStr">
        <is>
          <t>Not started</t>
        </is>
      </c>
      <c r="J150" s="13" t="n"/>
      <c r="K150" s="10" t="inlineStr"/>
      <c r="L150" s="14" t="inlineStr">
        <is>
          <t>▶ watch</t>
        </is>
      </c>
      <c r="M150" s="10" t="inlineStr"/>
      <c r="N150" s="11" t="inlineStr"/>
      <c r="O150" s="11" t="inlineStr">
        <is>
          <t>course lecture - no single paper</t>
        </is>
      </c>
      <c r="P150" s="10" t="inlineStr"/>
    </row>
    <row r="151">
      <c r="A151" s="8" t="n">
        <v>150</v>
      </c>
      <c r="B151" s="8" t="inlineStr">
        <is>
          <t>Part I - Foundations</t>
        </is>
      </c>
      <c r="C151" s="9" t="inlineStr">
        <is>
          <t>B.2.3 V. Balakrishnan - Nonequilibrium Statistical Mechanics</t>
        </is>
      </c>
      <c r="D151" s="10" t="inlineStr">
        <is>
          <t>The Boltzmann equation for a dilute gas (Part 4</t>
        </is>
      </c>
      <c r="E151" s="10" t="inlineStr"/>
      <c r="F151" s="11" t="inlineStr">
        <is>
          <t>56:23</t>
        </is>
      </c>
      <c r="G151" s="11" t="n">
        <v>0.9399999999999999</v>
      </c>
      <c r="H151" s="12" t="inlineStr"/>
      <c r="I151" s="11" t="inlineStr">
        <is>
          <t>Not started</t>
        </is>
      </c>
      <c r="J151" s="13" t="n"/>
      <c r="K151" s="10" t="inlineStr"/>
      <c r="L151" s="14" t="inlineStr">
        <is>
          <t>▶ watch</t>
        </is>
      </c>
      <c r="M151" s="10" t="inlineStr"/>
      <c r="N151" s="11" t="inlineStr"/>
      <c r="O151" s="11" t="inlineStr">
        <is>
          <t>course lecture - no single paper</t>
        </is>
      </c>
      <c r="P151" s="10" t="inlineStr"/>
    </row>
    <row r="152">
      <c r="A152" s="8" t="n">
        <v>151</v>
      </c>
      <c r="B152" s="8" t="inlineStr">
        <is>
          <t>Part I - Foundations</t>
        </is>
      </c>
      <c r="C152" s="9" t="inlineStr">
        <is>
          <t>B.2.3 V. Balakrishnan - Nonequilibrium Statistical Mechanics</t>
        </is>
      </c>
      <c r="D152" s="10" t="inlineStr">
        <is>
          <t>The Boltzmann equation for a dilute gas (Part 5</t>
        </is>
      </c>
      <c r="E152" s="10" t="inlineStr"/>
      <c r="F152" s="11" t="inlineStr">
        <is>
          <t>53:51</t>
        </is>
      </c>
      <c r="G152" s="11" t="n">
        <v>0.9</v>
      </c>
      <c r="H152" s="12" t="inlineStr"/>
      <c r="I152" s="11" t="inlineStr">
        <is>
          <t>Not started</t>
        </is>
      </c>
      <c r="J152" s="13" t="n"/>
      <c r="K152" s="10" t="inlineStr"/>
      <c r="L152" s="14" t="inlineStr">
        <is>
          <t>▶ watch</t>
        </is>
      </c>
      <c r="M152" s="10" t="inlineStr"/>
      <c r="N152" s="11" t="inlineStr"/>
      <c r="O152" s="11" t="inlineStr">
        <is>
          <t>course lecture - no single paper</t>
        </is>
      </c>
      <c r="P152" s="10" t="inlineStr"/>
    </row>
    <row r="153">
      <c r="A153" s="8" t="n">
        <v>152</v>
      </c>
      <c r="B153" s="8" t="inlineStr">
        <is>
          <t>Part I - Foundations</t>
        </is>
      </c>
      <c r="C153" s="9" t="inlineStr">
        <is>
          <t>B.2.3 V. Balakrishnan - Nonequilibrium Statistical Mechanics</t>
        </is>
      </c>
      <c r="D153" s="10" t="inlineStr">
        <is>
          <t>Quiz 2 - questions and answers</t>
        </is>
      </c>
      <c r="E153" s="10" t="inlineStr"/>
      <c r="F153" s="11" t="inlineStr">
        <is>
          <t>59:06</t>
        </is>
      </c>
      <c r="G153" s="11" t="n">
        <v>0.98</v>
      </c>
      <c r="H153" s="12" t="inlineStr"/>
      <c r="I153" s="11" t="inlineStr">
        <is>
          <t>Not started</t>
        </is>
      </c>
      <c r="J153" s="13" t="n"/>
      <c r="K153" s="10" t="inlineStr"/>
      <c r="L153" s="14" t="inlineStr">
        <is>
          <t>▶ watch</t>
        </is>
      </c>
      <c r="M153" s="10" t="inlineStr"/>
      <c r="N153" s="11" t="inlineStr"/>
      <c r="O153" s="11" t="inlineStr">
        <is>
          <t>course lecture - no single paper</t>
        </is>
      </c>
      <c r="P153" s="10" t="inlineStr"/>
    </row>
    <row r="154">
      <c r="A154" s="8" t="n">
        <v>153</v>
      </c>
      <c r="B154" s="8" t="inlineStr">
        <is>
          <t>Part I - Foundations</t>
        </is>
      </c>
      <c r="C154" s="9" t="inlineStr">
        <is>
          <t>B.2.3 V. Balakrishnan - Nonequilibrium Statistical Mechanics</t>
        </is>
      </c>
      <c r="D154" s="10" t="inlineStr">
        <is>
          <t>Critical phenomena (Part 1</t>
        </is>
      </c>
      <c r="E154" s="10" t="inlineStr"/>
      <c r="F154" s="11" t="inlineStr">
        <is>
          <t>1:06:56</t>
        </is>
      </c>
      <c r="G154" s="11" t="n">
        <v>1.12</v>
      </c>
      <c r="H154" s="12" t="inlineStr"/>
      <c r="I154" s="11" t="inlineStr">
        <is>
          <t>Not started</t>
        </is>
      </c>
      <c r="J154" s="13" t="n"/>
      <c r="K154" s="10" t="inlineStr"/>
      <c r="L154" s="14" t="inlineStr">
        <is>
          <t>▶ watch</t>
        </is>
      </c>
      <c r="M154" s="10" t="inlineStr"/>
      <c r="N154" s="11" t="inlineStr"/>
      <c r="O154" s="11" t="inlineStr">
        <is>
          <t>course lecture - no single paper</t>
        </is>
      </c>
      <c r="P154" s="10" t="inlineStr"/>
    </row>
    <row r="155">
      <c r="A155" s="8" t="n">
        <v>154</v>
      </c>
      <c r="B155" s="8" t="inlineStr">
        <is>
          <t>Part I - Foundations</t>
        </is>
      </c>
      <c r="C155" s="9" t="inlineStr">
        <is>
          <t>B.2.3 V. Balakrishnan - Nonequilibrium Statistical Mechanics</t>
        </is>
      </c>
      <c r="D155" s="10" t="inlineStr">
        <is>
          <t>Critical phenomena (Part 2</t>
        </is>
      </c>
      <c r="E155" s="10" t="inlineStr"/>
      <c r="F155" s="11" t="inlineStr">
        <is>
          <t>1:03:44</t>
        </is>
      </c>
      <c r="G155" s="11" t="n">
        <v>1.06</v>
      </c>
      <c r="H155" s="12" t="inlineStr"/>
      <c r="I155" s="11" t="inlineStr">
        <is>
          <t>Not started</t>
        </is>
      </c>
      <c r="J155" s="13" t="n"/>
      <c r="K155" s="10" t="inlineStr"/>
      <c r="L155" s="14" t="inlineStr">
        <is>
          <t>▶ watch</t>
        </is>
      </c>
      <c r="M155" s="10" t="inlineStr"/>
      <c r="N155" s="11" t="inlineStr"/>
      <c r="O155" s="11" t="inlineStr">
        <is>
          <t>course lecture - no single paper</t>
        </is>
      </c>
      <c r="P155" s="10" t="inlineStr"/>
    </row>
    <row r="156">
      <c r="A156" s="8" t="n">
        <v>155</v>
      </c>
      <c r="B156" s="8" t="inlineStr">
        <is>
          <t>Part I - Foundations</t>
        </is>
      </c>
      <c r="C156" s="9" t="inlineStr">
        <is>
          <t>B.2.3 V. Balakrishnan - Nonequilibrium Statistical Mechanics</t>
        </is>
      </c>
      <c r="D156" s="10" t="inlineStr">
        <is>
          <t>Critical phenomena (Part 3</t>
        </is>
      </c>
      <c r="E156" s="10" t="inlineStr"/>
      <c r="F156" s="11" t="inlineStr">
        <is>
          <t>1:04:57</t>
        </is>
      </c>
      <c r="G156" s="11" t="n">
        <v>1.08</v>
      </c>
      <c r="H156" s="12" t="inlineStr"/>
      <c r="I156" s="11" t="inlineStr">
        <is>
          <t>Not started</t>
        </is>
      </c>
      <c r="J156" s="13" t="n"/>
      <c r="K156" s="10" t="inlineStr"/>
      <c r="L156" s="14" t="inlineStr">
        <is>
          <t>▶ watch</t>
        </is>
      </c>
      <c r="M156" s="10" t="inlineStr"/>
      <c r="N156" s="11" t="inlineStr"/>
      <c r="O156" s="11" t="inlineStr">
        <is>
          <t>course lecture - no single paper</t>
        </is>
      </c>
      <c r="P156" s="10" t="inlineStr"/>
    </row>
    <row r="157">
      <c r="A157" s="8" t="n">
        <v>156</v>
      </c>
      <c r="B157" s="8" t="inlineStr">
        <is>
          <t>Part I - Foundations</t>
        </is>
      </c>
      <c r="C157" s="9" t="inlineStr">
        <is>
          <t>B.2.3 V. Balakrishnan - Nonequilibrium Statistical Mechanics</t>
        </is>
      </c>
      <c r="D157" s="10" t="inlineStr">
        <is>
          <t>Critical phenomena (Part 4</t>
        </is>
      </c>
      <c r="E157" s="10" t="inlineStr"/>
      <c r="F157" s="11" t="inlineStr">
        <is>
          <t>57:26</t>
        </is>
      </c>
      <c r="G157" s="11" t="n">
        <v>0.96</v>
      </c>
      <c r="H157" s="12" t="inlineStr"/>
      <c r="I157" s="11" t="inlineStr">
        <is>
          <t>Not started</t>
        </is>
      </c>
      <c r="J157" s="13" t="n"/>
      <c r="K157" s="10" t="inlineStr"/>
      <c r="L157" s="14" t="inlineStr">
        <is>
          <t>▶ watch</t>
        </is>
      </c>
      <c r="M157" s="10" t="inlineStr"/>
      <c r="N157" s="11" t="inlineStr"/>
      <c r="O157" s="11" t="inlineStr">
        <is>
          <t>course lecture - no single paper</t>
        </is>
      </c>
      <c r="P157" s="10" t="inlineStr"/>
    </row>
    <row r="158">
      <c r="A158" s="8" t="n">
        <v>157</v>
      </c>
      <c r="B158" s="8" t="inlineStr">
        <is>
          <t>Part I - Foundations</t>
        </is>
      </c>
      <c r="C158" s="9" t="inlineStr">
        <is>
          <t>B.2.3 V. Balakrishnan - Nonequilibrium Statistical Mechanics</t>
        </is>
      </c>
      <c r="D158" s="10" t="inlineStr">
        <is>
          <t>Critical phenomena (Part 5</t>
        </is>
      </c>
      <c r="E158" s="10" t="inlineStr"/>
      <c r="F158" s="11" t="inlineStr">
        <is>
          <t>1:00:27</t>
        </is>
      </c>
      <c r="G158" s="11" t="n">
        <v>1.01</v>
      </c>
      <c r="H158" s="12" t="inlineStr"/>
      <c r="I158" s="11" t="inlineStr">
        <is>
          <t>Not started</t>
        </is>
      </c>
      <c r="J158" s="13" t="n"/>
      <c r="K158" s="10" t="inlineStr"/>
      <c r="L158" s="14" t="inlineStr">
        <is>
          <t>▶ watch</t>
        </is>
      </c>
      <c r="M158" s="10" t="inlineStr"/>
      <c r="N158" s="11" t="inlineStr"/>
      <c r="O158" s="11" t="inlineStr">
        <is>
          <t>course lecture - no single paper</t>
        </is>
      </c>
      <c r="P158" s="10" t="inlineStr"/>
    </row>
    <row r="159">
      <c r="A159" s="8" t="n">
        <v>158</v>
      </c>
      <c r="B159" s="8" t="inlineStr">
        <is>
          <t>Part I - Foundations</t>
        </is>
      </c>
      <c r="C159" s="9" t="inlineStr">
        <is>
          <t>B.2.3 V. Balakrishnan - Nonequilibrium Statistical Mechanics</t>
        </is>
      </c>
      <c r="D159" s="10" t="inlineStr">
        <is>
          <t>Critical phenomena (Part 6</t>
        </is>
      </c>
      <c r="E159" s="10" t="inlineStr"/>
      <c r="F159" s="11" t="inlineStr">
        <is>
          <t>51:11</t>
        </is>
      </c>
      <c r="G159" s="11" t="n">
        <v>0.85</v>
      </c>
      <c r="H159" s="12" t="inlineStr"/>
      <c r="I159" s="11" t="inlineStr">
        <is>
          <t>Not started</t>
        </is>
      </c>
      <c r="J159" s="13" t="n"/>
      <c r="K159" s="10" t="inlineStr"/>
      <c r="L159" s="14" t="inlineStr">
        <is>
          <t>▶ watch</t>
        </is>
      </c>
      <c r="M159" s="10" t="inlineStr"/>
      <c r="N159" s="11" t="inlineStr"/>
      <c r="O159" s="11" t="inlineStr">
        <is>
          <t>course lecture - no single paper</t>
        </is>
      </c>
      <c r="P159" s="10" t="inlineStr"/>
    </row>
    <row r="160">
      <c r="A160" s="8" t="n">
        <v>159</v>
      </c>
      <c r="B160" s="8" t="inlineStr">
        <is>
          <t>Part I - Foundations</t>
        </is>
      </c>
      <c r="C160" s="9" t="inlineStr">
        <is>
          <t>B.2.3 V. Balakrishnan - Nonequilibrium Statistical Mechanics</t>
        </is>
      </c>
      <c r="D160" s="10" t="inlineStr">
        <is>
          <t>Critical phenomena (Part 7</t>
        </is>
      </c>
      <c r="E160" s="10" t="inlineStr"/>
      <c r="F160" s="11" t="inlineStr">
        <is>
          <t>53:47</t>
        </is>
      </c>
      <c r="G160" s="11" t="n">
        <v>0.9</v>
      </c>
      <c r="H160" s="12" t="inlineStr"/>
      <c r="I160" s="11" t="inlineStr">
        <is>
          <t>Not started</t>
        </is>
      </c>
      <c r="J160" s="13" t="n"/>
      <c r="K160" s="10" t="inlineStr"/>
      <c r="L160" s="14" t="inlineStr">
        <is>
          <t>▶ watch</t>
        </is>
      </c>
      <c r="M160" s="10" t="inlineStr"/>
      <c r="N160" s="11" t="inlineStr"/>
      <c r="O160" s="11" t="inlineStr">
        <is>
          <t>course lecture - no single paper</t>
        </is>
      </c>
      <c r="P160" s="10" t="inlineStr"/>
    </row>
    <row r="161">
      <c r="A161" s="8" t="n">
        <v>160</v>
      </c>
      <c r="B161" s="8" t="inlineStr">
        <is>
          <t>Part I - Foundations</t>
        </is>
      </c>
      <c r="C161" s="9" t="inlineStr">
        <is>
          <t>B.2.3 V. Balakrishnan - Nonequilibrium Statistical Mechanics</t>
        </is>
      </c>
      <c r="D161" s="10" t="inlineStr">
        <is>
          <t>The Wiener process (standard Brownian motion</t>
        </is>
      </c>
      <c r="E161" s="10" t="inlineStr"/>
      <c r="F161" s="11" t="inlineStr">
        <is>
          <t>1:03:10</t>
        </is>
      </c>
      <c r="G161" s="11" t="n">
        <v>1.05</v>
      </c>
      <c r="H161" s="12" t="inlineStr">
        <is>
          <t>★</t>
        </is>
      </c>
      <c r="I161" s="11" t="inlineStr">
        <is>
          <t>Not started</t>
        </is>
      </c>
      <c r="J161" s="13" t="n"/>
      <c r="K161" s="10" t="inlineStr"/>
      <c r="L161" s="14" t="inlineStr">
        <is>
          <t>▶ watch</t>
        </is>
      </c>
      <c r="M161" s="10" t="inlineStr"/>
      <c r="N161" s="11" t="inlineStr"/>
      <c r="O161" s="11" t="inlineStr">
        <is>
          <t>course lecture - no single paper</t>
        </is>
      </c>
      <c r="P161" s="10" t="inlineStr"/>
    </row>
    <row r="162">
      <c r="A162" s="8" t="n">
        <v>161</v>
      </c>
      <c r="B162" s="8" t="inlineStr">
        <is>
          <t>Part I - Foundations</t>
        </is>
      </c>
      <c r="C162" s="9" t="inlineStr">
        <is>
          <t>B.2.5 Statistical honesty: the Zuckerman thread</t>
        </is>
      </c>
      <c r="D162" s="10" t="inlineStr">
        <is>
          <t>Introduction to Weighted Ensemble Simulation</t>
        </is>
      </c>
      <c r="E162" s="10" t="inlineStr">
        <is>
          <t>video, 31 min</t>
        </is>
      </c>
      <c r="F162" s="11" t="inlineStr">
        <is>
          <t>31:14</t>
        </is>
      </c>
      <c r="G162" s="11" t="n">
        <v>0.52</v>
      </c>
      <c r="H162" s="12" t="inlineStr">
        <is>
          <t>★</t>
        </is>
      </c>
      <c r="I162" s="11" t="inlineStr">
        <is>
          <t>Not started</t>
        </is>
      </c>
      <c r="J162" s="13" t="n"/>
      <c r="K162" s="10" t="inlineStr"/>
      <c r="L162" s="14" t="inlineStr">
        <is>
          <t>▶ watch</t>
        </is>
      </c>
      <c r="M162" s="10" t="inlineStr"/>
      <c r="N162" s="11" t="inlineStr"/>
      <c r="O162" s="11" t="inlineStr">
        <is>
          <t>course lecture - no single paper</t>
        </is>
      </c>
      <c r="P162" s="10" t="inlineStr">
        <is>
          <t>B.9 WESTPA - weighted ensemble; C.4 Rare-event and path sampling</t>
        </is>
      </c>
    </row>
    <row r="163">
      <c r="A163" s="8" t="n">
        <v>162</v>
      </c>
      <c r="B163" s="8" t="inlineStr">
        <is>
          <t>Part I - Foundations</t>
        </is>
      </c>
      <c r="C163" s="9" t="inlineStr">
        <is>
          <t>B.2.5 Statistical honesty: the Zuckerman thread</t>
        </is>
      </c>
      <c r="D163" s="10" t="inlineStr">
        <is>
          <t>Recent Advances in Weighted Ensemble Simulation</t>
        </is>
      </c>
      <c r="E163" s="10" t="inlineStr">
        <is>
          <t>video, 36 min</t>
        </is>
      </c>
      <c r="F163" s="11" t="inlineStr">
        <is>
          <t>35:59</t>
        </is>
      </c>
      <c r="G163" s="11" t="n">
        <v>0.6</v>
      </c>
      <c r="H163" s="12" t="inlineStr">
        <is>
          <t>★</t>
        </is>
      </c>
      <c r="I163" s="11" t="inlineStr">
        <is>
          <t>Not started</t>
        </is>
      </c>
      <c r="J163" s="13" t="n"/>
      <c r="K163" s="10" t="inlineStr"/>
      <c r="L163" s="14" t="inlineStr">
        <is>
          <t>▶ watch</t>
        </is>
      </c>
      <c r="M163" s="10" t="inlineStr"/>
      <c r="N163" s="11" t="inlineStr"/>
      <c r="O163" s="11" t="inlineStr">
        <is>
          <t>course lecture - no single paper</t>
        </is>
      </c>
      <c r="P163" s="10" t="inlineStr">
        <is>
          <t>B.9 WESTPA - weighted ensemble; C.4 Rare-event and path sampling</t>
        </is>
      </c>
    </row>
    <row r="164">
      <c r="A164" s="8" t="n">
        <v>163</v>
      </c>
      <c r="B164" s="8" t="inlineStr">
        <is>
          <t>Part I - Foundations</t>
        </is>
      </c>
      <c r="C164" s="9" t="inlineStr">
        <is>
          <t>B.2.5 Statistical honesty: the Zuckerman thread</t>
        </is>
      </c>
      <c r="D164" s="10" t="inlineStr">
        <is>
          <t>Simple trajectory physics for path sampling and improving Markov models</t>
        </is>
      </c>
      <c r="E164" s="10" t="inlineStr">
        <is>
          <t>video, 33 min</t>
        </is>
      </c>
      <c r="F164" s="11" t="inlineStr">
        <is>
          <t>30:27</t>
        </is>
      </c>
      <c r="G164" s="11" t="n">
        <v>0.51</v>
      </c>
      <c r="H164" s="12" t="inlineStr">
        <is>
          <t>★</t>
        </is>
      </c>
      <c r="I164" s="11" t="inlineStr">
        <is>
          <t>Not started</t>
        </is>
      </c>
      <c r="J164" s="13" t="n"/>
      <c r="K164" s="10" t="inlineStr"/>
      <c r="L164" s="14" t="inlineStr">
        <is>
          <t>▶ watch</t>
        </is>
      </c>
      <c r="M164" s="10" t="inlineStr"/>
      <c r="N164" s="11" t="inlineStr"/>
      <c r="O164" s="11" t="inlineStr">
        <is>
          <t>course lecture - no single paper</t>
        </is>
      </c>
      <c r="P164" s="10" t="inlineStr">
        <is>
          <t>B.4 Workshop on Free Energy, Kinetics and MSM in Drug Design, 2018 - 43 videos</t>
        </is>
      </c>
    </row>
    <row r="165">
      <c r="A165" s="8" t="n">
        <v>164</v>
      </c>
      <c r="B165" s="8" t="inlineStr">
        <is>
          <t>Part I - Foundations</t>
        </is>
      </c>
      <c r="C165" s="9" t="inlineStr">
        <is>
          <t>CS229r individual lectures - the first twelve are the ones that matter</t>
        </is>
      </c>
      <c r="D165" s="10" t="inlineStr">
        <is>
          <t>Tail bounds; Morris approximate counting</t>
        </is>
      </c>
      <c r="E165" s="10" t="inlineStr"/>
      <c r="F165" s="11" t="inlineStr">
        <is>
          <t>1:26:05</t>
        </is>
      </c>
      <c r="G165" s="11" t="n">
        <v>1.43</v>
      </c>
      <c r="H165" s="12" t="inlineStr"/>
      <c r="I165" s="11" t="inlineStr">
        <is>
          <t>Not started</t>
        </is>
      </c>
      <c r="J165" s="13" t="n"/>
      <c r="K165" s="10" t="inlineStr"/>
      <c r="L165" s="14" t="inlineStr">
        <is>
          <t>▶ watch</t>
        </is>
      </c>
      <c r="M165" s="10" t="inlineStr"/>
      <c r="N165" s="11" t="inlineStr"/>
      <c r="O165" s="11" t="inlineStr">
        <is>
          <t>course lecture - no single paper</t>
        </is>
      </c>
      <c r="P165" s="10" t="inlineStr"/>
    </row>
    <row r="166">
      <c r="A166" s="8" t="n">
        <v>165</v>
      </c>
      <c r="B166" s="8" t="inlineStr">
        <is>
          <t>Part I - Foundations</t>
        </is>
      </c>
      <c r="C166" s="9" t="inlineStr">
        <is>
          <t>CS229r individual lectures - the first twelve are the ones that matter</t>
        </is>
      </c>
      <c r="D166" s="10" t="inlineStr">
        <is>
          <t>Distinct elements</t>
        </is>
      </c>
      <c r="E166" s="10" t="inlineStr"/>
      <c r="F166" s="11" t="inlineStr">
        <is>
          <t>1:23:57</t>
        </is>
      </c>
      <c r="G166" s="11" t="n">
        <v>1.4</v>
      </c>
      <c r="H166" s="12" t="inlineStr"/>
      <c r="I166" s="11" t="inlineStr">
        <is>
          <t>Not started</t>
        </is>
      </c>
      <c r="J166" s="13" t="n"/>
      <c r="K166" s="10" t="inlineStr"/>
      <c r="L166" s="14" t="inlineStr">
        <is>
          <t>▶ watch</t>
        </is>
      </c>
      <c r="M166" s="10" t="inlineStr"/>
      <c r="N166" s="11" t="inlineStr"/>
      <c r="O166" s="11" t="inlineStr">
        <is>
          <t>course lecture - no single paper</t>
        </is>
      </c>
      <c r="P166" s="10" t="inlineStr"/>
    </row>
    <row r="167">
      <c r="A167" s="8" t="n">
        <v>166</v>
      </c>
      <c r="B167" s="8" t="inlineStr">
        <is>
          <t>Part I - Foundations</t>
        </is>
      </c>
      <c r="C167" s="9" t="inlineStr">
        <is>
          <t>CS229r individual lectures - the first twelve are the ones that matter</t>
        </is>
      </c>
      <c r="D167" s="10" t="inlineStr">
        <is>
          <t>Turnstile streaming, AMS sketch, Johnson-Lindenstrauss lemma</t>
        </is>
      </c>
      <c r="E167" s="10" t="inlineStr"/>
      <c r="F167" s="11" t="inlineStr">
        <is>
          <t>1:22:13</t>
        </is>
      </c>
      <c r="G167" s="11" t="n">
        <v>1.37</v>
      </c>
      <c r="H167" s="12" t="inlineStr">
        <is>
          <t>★</t>
        </is>
      </c>
      <c r="I167" s="11" t="inlineStr">
        <is>
          <t>Not started</t>
        </is>
      </c>
      <c r="J167" s="13" t="n"/>
      <c r="K167" s="10" t="inlineStr"/>
      <c r="L167" s="14" t="inlineStr">
        <is>
          <t>▶ watch</t>
        </is>
      </c>
      <c r="M167" s="10" t="inlineStr"/>
      <c r="N167" s="11" t="inlineStr"/>
      <c r="O167" s="11" t="inlineStr">
        <is>
          <t>course lecture - no single paper</t>
        </is>
      </c>
      <c r="P167" s="10" t="inlineStr"/>
    </row>
    <row r="168">
      <c r="A168" s="8" t="n">
        <v>167</v>
      </c>
      <c r="B168" s="8" t="inlineStr">
        <is>
          <t>Part I - Foundations</t>
        </is>
      </c>
      <c r="C168" s="9" t="inlineStr">
        <is>
          <t>CS229r individual lectures - the first twelve are the ones that matter</t>
        </is>
      </c>
      <c r="D168" s="10" t="inlineStr">
        <is>
          <t>ℓp norm estimation</t>
        </is>
      </c>
      <c r="E168" s="10" t="inlineStr"/>
      <c r="F168" s="11" t="inlineStr">
        <is>
          <t>1:21:03</t>
        </is>
      </c>
      <c r="G168" s="11" t="n">
        <v>1.35</v>
      </c>
      <c r="H168" s="12" t="inlineStr"/>
      <c r="I168" s="11" t="inlineStr">
        <is>
          <t>Not started</t>
        </is>
      </c>
      <c r="J168" s="13" t="n"/>
      <c r="K168" s="10" t="inlineStr"/>
      <c r="L168" s="14" t="inlineStr">
        <is>
          <t>▶ watch</t>
        </is>
      </c>
      <c r="M168" s="10" t="inlineStr"/>
      <c r="N168" s="11" t="inlineStr"/>
      <c r="O168" s="11" t="inlineStr">
        <is>
          <t>course lecture - no single paper</t>
        </is>
      </c>
      <c r="P168" s="10" t="inlineStr"/>
    </row>
    <row r="169">
      <c r="A169" s="8" t="n">
        <v>168</v>
      </c>
      <c r="B169" s="8" t="inlineStr">
        <is>
          <t>Part I - Foundations</t>
        </is>
      </c>
      <c r="C169" s="9" t="inlineStr">
        <is>
          <t>CS229r individual lectures - the first twelve are the ones that matter</t>
        </is>
      </c>
      <c r="D169" s="10" t="inlineStr">
        <is>
          <t>Johnson-Lindenstrauss lower bound</t>
        </is>
      </c>
      <c r="E169" s="10" t="inlineStr"/>
      <c r="F169" s="11" t="inlineStr">
        <is>
          <t>1:23:03</t>
        </is>
      </c>
      <c r="G169" s="11" t="n">
        <v>1.38</v>
      </c>
      <c r="H169" s="12" t="inlineStr"/>
      <c r="I169" s="11" t="inlineStr">
        <is>
          <t>Not started</t>
        </is>
      </c>
      <c r="J169" s="13" t="n"/>
      <c r="K169" s="10" t="inlineStr"/>
      <c r="L169" s="14" t="inlineStr">
        <is>
          <t>▶ watch</t>
        </is>
      </c>
      <c r="M169" s="10" t="inlineStr"/>
      <c r="N169" s="11" t="inlineStr"/>
      <c r="O169" s="11" t="inlineStr">
        <is>
          <t>course lecture - no single paper</t>
        </is>
      </c>
      <c r="P169" s="10" t="inlineStr"/>
    </row>
    <row r="170">
      <c r="A170" s="8" t="n">
        <v>169</v>
      </c>
      <c r="B170" s="8" t="inlineStr">
        <is>
          <t>Part I - Foundations</t>
        </is>
      </c>
      <c r="C170" s="9" t="inlineStr">
        <is>
          <t>CS229r individual lectures - the first twelve are the ones that matter</t>
        </is>
      </c>
      <c r="D170" s="10" t="inlineStr">
        <is>
          <t>JL lower bound wrap-up; heavy hitters</t>
        </is>
      </c>
      <c r="E170" s="10" t="inlineStr"/>
      <c r="F170" s="11" t="inlineStr">
        <is>
          <t>1:25:47</t>
        </is>
      </c>
      <c r="G170" s="11" t="n">
        <v>1.43</v>
      </c>
      <c r="H170" s="12" t="inlineStr"/>
      <c r="I170" s="11" t="inlineStr">
        <is>
          <t>Not started</t>
        </is>
      </c>
      <c r="J170" s="13" t="n"/>
      <c r="K170" s="10" t="inlineStr"/>
      <c r="L170" s="14" t="inlineStr">
        <is>
          <t>▶ watch</t>
        </is>
      </c>
      <c r="M170" s="10" t="inlineStr"/>
      <c r="N170" s="11" t="inlineStr"/>
      <c r="O170" s="11" t="inlineStr">
        <is>
          <t>course lecture - no single paper</t>
        </is>
      </c>
      <c r="P170" s="10" t="inlineStr"/>
    </row>
    <row r="171">
      <c r="A171" s="8" t="n">
        <v>170</v>
      </c>
      <c r="B171" s="8" t="inlineStr">
        <is>
          <t>Part I - Foundations</t>
        </is>
      </c>
      <c r="C171" s="9" t="inlineStr">
        <is>
          <t>CS229r individual lectures - the first twelve are the ones that matter</t>
        </is>
      </c>
      <c r="D171" s="10" t="inlineStr">
        <is>
          <t>CountMin, CountSketch, insertion-only improvements</t>
        </is>
      </c>
      <c r="E171" s="10" t="inlineStr"/>
      <c r="F171" s="11" t="inlineStr">
        <is>
          <t>1:19:26</t>
        </is>
      </c>
      <c r="G171" s="11" t="n">
        <v>1.32</v>
      </c>
      <c r="H171" s="12" t="inlineStr"/>
      <c r="I171" s="11" t="inlineStr">
        <is>
          <t>Not started</t>
        </is>
      </c>
      <c r="J171" s="13" t="n"/>
      <c r="K171" s="10" t="inlineStr"/>
      <c r="L171" s="14" t="inlineStr">
        <is>
          <t>▶ watch</t>
        </is>
      </c>
      <c r="M171" s="10" t="inlineStr"/>
      <c r="N171" s="11" t="inlineStr"/>
      <c r="O171" s="11" t="inlineStr">
        <is>
          <t>course lecture - no single paper</t>
        </is>
      </c>
      <c r="P171" s="10" t="inlineStr"/>
    </row>
    <row r="172">
      <c r="A172" s="8" t="n">
        <v>171</v>
      </c>
      <c r="B172" s="8" t="inlineStr">
        <is>
          <t>Part I - Foundations</t>
        </is>
      </c>
      <c r="C172" s="9" t="inlineStr">
        <is>
          <t>CS229r individual lectures - the first twelve are the ones that matter</t>
        </is>
      </c>
      <c r="D172" s="10" t="inlineStr">
        <is>
          <t>Continuous monitoring; chaining</t>
        </is>
      </c>
      <c r="E172" s="10" t="inlineStr"/>
      <c r="F172" s="11" t="inlineStr">
        <is>
          <t>1:22:02</t>
        </is>
      </c>
      <c r="G172" s="11" t="n">
        <v>1.37</v>
      </c>
      <c r="H172" s="12" t="inlineStr"/>
      <c r="I172" s="11" t="inlineStr">
        <is>
          <t>Not started</t>
        </is>
      </c>
      <c r="J172" s="13" t="n"/>
      <c r="K172" s="10" t="inlineStr"/>
      <c r="L172" s="14" t="inlineStr">
        <is>
          <t>▶ watch</t>
        </is>
      </c>
      <c r="M172" s="10" t="inlineStr"/>
      <c r="N172" s="11" t="inlineStr"/>
      <c r="O172" s="11" t="inlineStr">
        <is>
          <t>course lecture - no single paper</t>
        </is>
      </c>
      <c r="P172" s="10" t="inlineStr"/>
    </row>
    <row r="173">
      <c r="A173" s="8" t="n">
        <v>172</v>
      </c>
      <c r="B173" s="8" t="inlineStr">
        <is>
          <t>Part I - Foundations</t>
        </is>
      </c>
      <c r="C173" s="9" t="inlineStr">
        <is>
          <t>CS229r individual lectures - the first twelve are the ones that matter</t>
        </is>
      </c>
      <c r="D173" s="10" t="inlineStr">
        <is>
          <t>Fast Johnson-Lindenstrauss Transform</t>
        </is>
      </c>
      <c r="E173" s="10" t="inlineStr"/>
      <c r="F173" s="11" t="inlineStr">
        <is>
          <t>1:23:12</t>
        </is>
      </c>
      <c r="G173" s="11" t="n">
        <v>1.39</v>
      </c>
      <c r="H173" s="12" t="inlineStr"/>
      <c r="I173" s="11" t="inlineStr">
        <is>
          <t>Not started</t>
        </is>
      </c>
      <c r="J173" s="13" t="n"/>
      <c r="K173" s="10" t="inlineStr"/>
      <c r="L173" s="14" t="inlineStr">
        <is>
          <t>▶ watch</t>
        </is>
      </c>
      <c r="M173" s="10" t="inlineStr"/>
      <c r="N173" s="11" t="inlineStr"/>
      <c r="O173" s="11" t="inlineStr">
        <is>
          <t>course lecture - no single paper</t>
        </is>
      </c>
      <c r="P173" s="10" t="inlineStr"/>
    </row>
    <row r="174">
      <c r="A174" s="8" t="n">
        <v>173</v>
      </c>
      <c r="B174" s="8" t="inlineStr">
        <is>
          <t>Part I - Foundations</t>
        </is>
      </c>
      <c r="C174" s="9" t="inlineStr">
        <is>
          <t>CS229r individual lectures - the first twelve are the ones that matter</t>
        </is>
      </c>
      <c r="D174" s="10" t="inlineStr">
        <is>
          <t>Sparse Johnson-Lindenstrauss Transform</t>
        </is>
      </c>
      <c r="E174" s="10" t="inlineStr"/>
      <c r="F174" s="11" t="inlineStr">
        <is>
          <t>1:18:47</t>
        </is>
      </c>
      <c r="G174" s="11" t="n">
        <v>1.31</v>
      </c>
      <c r="H174" s="12" t="inlineStr"/>
      <c r="I174" s="11" t="inlineStr">
        <is>
          <t>Not started</t>
        </is>
      </c>
      <c r="J174" s="13" t="n"/>
      <c r="K174" s="10" t="inlineStr"/>
      <c r="L174" s="14" t="inlineStr">
        <is>
          <t>▶ watch</t>
        </is>
      </c>
      <c r="M174" s="10" t="inlineStr"/>
      <c r="N174" s="11" t="inlineStr"/>
      <c r="O174" s="11" t="inlineStr">
        <is>
          <t>course lecture - no single paper</t>
        </is>
      </c>
      <c r="P174" s="10" t="inlineStr"/>
    </row>
    <row r="175">
      <c r="A175" s="8" t="n">
        <v>174</v>
      </c>
      <c r="B175" s="8" t="inlineStr">
        <is>
          <t>Part I - Foundations</t>
        </is>
      </c>
      <c r="C175" s="9" t="inlineStr">
        <is>
          <t>CS229r individual lectures - the first twelve are the ones that matter</t>
        </is>
      </c>
      <c r="D175" s="10" t="inlineStr">
        <is>
          <t>Randomized linear algebra: approximate matmul, subspace embeddings</t>
        </is>
      </c>
      <c r="E175" s="10" t="inlineStr"/>
      <c r="F175" s="11" t="inlineStr">
        <is>
          <t>1:19:20</t>
        </is>
      </c>
      <c r="G175" s="11" t="n">
        <v>1.32</v>
      </c>
      <c r="H175" s="12" t="inlineStr">
        <is>
          <t>★</t>
        </is>
      </c>
      <c r="I175" s="11" t="inlineStr">
        <is>
          <t>Not started</t>
        </is>
      </c>
      <c r="J175" s="13" t="n"/>
      <c r="K175" s="10" t="inlineStr"/>
      <c r="L175" s="14" t="inlineStr">
        <is>
          <t>▶ watch</t>
        </is>
      </c>
      <c r="M175" s="10" t="inlineStr"/>
      <c r="N175" s="11" t="inlineStr"/>
      <c r="O175" s="11" t="inlineStr">
        <is>
          <t>course lecture - no single paper</t>
        </is>
      </c>
      <c r="P175" s="10" t="inlineStr"/>
    </row>
    <row r="176">
      <c r="A176" s="8" t="n">
        <v>175</v>
      </c>
      <c r="B176" s="8" t="inlineStr">
        <is>
          <t>Part I - Foundations</t>
        </is>
      </c>
      <c r="C176" s="9" t="inlineStr">
        <is>
          <t>CS229r individual lectures - the first twelve are the ones that matter</t>
        </is>
      </c>
      <c r="D176" s="10" t="inlineStr">
        <is>
          <t>Randomized linear algebra: regression, low-rank approximation</t>
        </is>
      </c>
      <c r="E176" s="10" t="inlineStr"/>
      <c r="F176" s="11" t="inlineStr">
        <is>
          <t>1:30:06</t>
        </is>
      </c>
      <c r="G176" s="11" t="n">
        <v>1.5</v>
      </c>
      <c r="H176" s="12" t="inlineStr">
        <is>
          <t>★</t>
        </is>
      </c>
      <c r="I176" s="11" t="inlineStr">
        <is>
          <t>Not started</t>
        </is>
      </c>
      <c r="J176" s="13" t="n"/>
      <c r="K176" s="10" t="inlineStr"/>
      <c r="L176" s="14" t="inlineStr">
        <is>
          <t>▶ watch</t>
        </is>
      </c>
      <c r="M176" s="10" t="inlineStr"/>
      <c r="N176" s="11" t="inlineStr"/>
      <c r="O176" s="11" t="inlineStr">
        <is>
          <t>course lecture - no single paper</t>
        </is>
      </c>
      <c r="P176" s="10" t="inlineStr"/>
    </row>
    <row r="177">
      <c r="A177" s="8" t="n">
        <v>176</v>
      </c>
      <c r="B177" s="8" t="inlineStr">
        <is>
          <t>Part I - Foundations</t>
        </is>
      </c>
      <c r="C177" s="9" t="inlineStr">
        <is>
          <t>CS229r individual lectures - the first twelve are the ones that matter</t>
        </is>
      </c>
      <c r="D177" s="10" t="inlineStr">
        <is>
          <t>Compressive sensing, RIP, ℓ₁ minimization</t>
        </is>
      </c>
      <c r="E177" s="10" t="inlineStr"/>
      <c r="F177" s="11" t="inlineStr">
        <is>
          <t>1:21:48</t>
        </is>
      </c>
      <c r="G177" s="11" t="n">
        <v>1.36</v>
      </c>
      <c r="H177" s="12" t="inlineStr"/>
      <c r="I177" s="11" t="inlineStr">
        <is>
          <t>Not started</t>
        </is>
      </c>
      <c r="J177" s="13" t="n"/>
      <c r="K177" s="10" t="inlineStr"/>
      <c r="L177" s="14" t="inlineStr">
        <is>
          <t>▶ watch</t>
        </is>
      </c>
      <c r="M177" s="10" t="inlineStr"/>
      <c r="N177" s="11" t="inlineStr"/>
      <c r="O177" s="11" t="inlineStr">
        <is>
          <t>course lecture - no single paper</t>
        </is>
      </c>
      <c r="P177" s="10" t="inlineStr"/>
    </row>
    <row r="178">
      <c r="A178" s="8" t="n">
        <v>177</v>
      </c>
      <c r="B178" s="8" t="inlineStr">
        <is>
          <t>Part I - Foundations</t>
        </is>
      </c>
      <c r="C178" s="9" t="inlineStr">
        <is>
          <t>CS229r individual lectures - the first twelve are the ones that matter</t>
        </is>
      </c>
      <c r="D178" s="10" t="inlineStr">
        <is>
          <t>Iterative hard thresholding, model-based compressive sensing</t>
        </is>
      </c>
      <c r="E178" s="10" t="inlineStr"/>
      <c r="F178" s="11" t="inlineStr">
        <is>
          <t>1:21:38</t>
        </is>
      </c>
      <c r="G178" s="11" t="n">
        <v>1.36</v>
      </c>
      <c r="H178" s="12" t="inlineStr"/>
      <c r="I178" s="11" t="inlineStr">
        <is>
          <t>Not started</t>
        </is>
      </c>
      <c r="J178" s="13" t="n"/>
      <c r="K178" s="10" t="inlineStr"/>
      <c r="L178" s="14" t="inlineStr">
        <is>
          <t>▶ watch</t>
        </is>
      </c>
      <c r="M178" s="10" t="inlineStr"/>
      <c r="N178" s="11" t="inlineStr"/>
      <c r="O178" s="11" t="inlineStr">
        <is>
          <t>course lecture - no single paper</t>
        </is>
      </c>
      <c r="P178" s="10" t="inlineStr"/>
    </row>
    <row r="179">
      <c r="A179" s="8" t="n">
        <v>178</v>
      </c>
      <c r="B179" s="8" t="inlineStr">
        <is>
          <t>Part I - Foundations</t>
        </is>
      </c>
      <c r="C179" s="9" t="inlineStr">
        <is>
          <t>CS229r individual lectures - the first twelve are the ones that matter</t>
        </is>
      </c>
      <c r="D179" s="10" t="inlineStr">
        <is>
          <t>Sparse recovery using sparse matrices</t>
        </is>
      </c>
      <c r="E179" s="10" t="inlineStr"/>
      <c r="F179" s="11" t="inlineStr">
        <is>
          <t>1:23:56</t>
        </is>
      </c>
      <c r="G179" s="11" t="n">
        <v>1.4</v>
      </c>
      <c r="H179" s="12" t="inlineStr"/>
      <c r="I179" s="11" t="inlineStr">
        <is>
          <t>Not started</t>
        </is>
      </c>
      <c r="J179" s="13" t="n"/>
      <c r="K179" s="10" t="inlineStr"/>
      <c r="L179" s="14" t="inlineStr">
        <is>
          <t>▶ watch</t>
        </is>
      </c>
      <c r="M179" s="10" t="inlineStr"/>
      <c r="N179" s="11" t="inlineStr"/>
      <c r="O179" s="11" t="inlineStr">
        <is>
          <t>course lecture - no single paper</t>
        </is>
      </c>
      <c r="P179" s="10" t="inlineStr"/>
    </row>
    <row r="180">
      <c r="A180" s="8" t="n">
        <v>179</v>
      </c>
      <c r="B180" s="8" t="inlineStr">
        <is>
          <t>Part I - Foundations</t>
        </is>
      </c>
      <c r="C180" s="9" t="inlineStr">
        <is>
          <t>CS229r individual lectures - the first twelve are the ones that matter</t>
        </is>
      </c>
      <c r="D180" s="10" t="inlineStr">
        <is>
          <t>Sparse Fourier Transform</t>
        </is>
      </c>
      <c r="E180" s="10" t="inlineStr"/>
      <c r="F180" s="11" t="inlineStr">
        <is>
          <t>1:23:02</t>
        </is>
      </c>
      <c r="G180" s="11" t="n">
        <v>1.38</v>
      </c>
      <c r="H180" s="12" t="inlineStr"/>
      <c r="I180" s="11" t="inlineStr">
        <is>
          <t>Not started</t>
        </is>
      </c>
      <c r="J180" s="13" t="n"/>
      <c r="K180" s="10" t="inlineStr"/>
      <c r="L180" s="14" t="inlineStr">
        <is>
          <t>▶ watch</t>
        </is>
      </c>
      <c r="M180" s="10" t="inlineStr"/>
      <c r="N180" s="11" t="inlineStr"/>
      <c r="O180" s="11" t="inlineStr">
        <is>
          <t>course lecture - no single paper</t>
        </is>
      </c>
      <c r="P180" s="10" t="inlineStr"/>
    </row>
    <row r="181">
      <c r="A181" s="8" t="n">
        <v>180</v>
      </c>
      <c r="B181" s="8" t="inlineStr">
        <is>
          <t>Part I - Foundations</t>
        </is>
      </c>
      <c r="C181" s="9" t="inlineStr">
        <is>
          <t>CS229r individual lectures - the first twelve are the ones that matter</t>
        </is>
      </c>
      <c r="D181" s="10" t="inlineStr">
        <is>
          <t>ℓp sampling, graph sketching</t>
        </is>
      </c>
      <c r="E181" s="10" t="inlineStr"/>
      <c r="F181" s="11" t="inlineStr">
        <is>
          <t>1:23:14</t>
        </is>
      </c>
      <c r="G181" s="11" t="n">
        <v>1.39</v>
      </c>
      <c r="H181" s="12" t="inlineStr"/>
      <c r="I181" s="11" t="inlineStr">
        <is>
          <t>Not started</t>
        </is>
      </c>
      <c r="J181" s="13" t="n"/>
      <c r="K181" s="10" t="inlineStr"/>
      <c r="L181" s="14" t="inlineStr">
        <is>
          <t>▶ watch</t>
        </is>
      </c>
      <c r="M181" s="10" t="inlineStr"/>
      <c r="N181" s="11" t="inlineStr"/>
      <c r="O181" s="11" t="inlineStr">
        <is>
          <t>course lecture - no single paper</t>
        </is>
      </c>
      <c r="P181" s="10" t="inlineStr"/>
    </row>
    <row r="182">
      <c r="A182" s="8" t="n">
        <v>181</v>
      </c>
      <c r="B182" s="8" t="inlineStr">
        <is>
          <t>Part I - Foundations</t>
        </is>
      </c>
      <c r="C182" s="9" t="inlineStr">
        <is>
          <t>CS229r individual lectures - the first twelve are the ones that matter</t>
        </is>
      </c>
      <c r="D182" s="10" t="inlineStr">
        <is>
          <t>Lower bounds (communication complexity</t>
        </is>
      </c>
      <c r="E182" s="10" t="inlineStr"/>
      <c r="F182" s="11" t="inlineStr">
        <is>
          <t>1:19:58</t>
        </is>
      </c>
      <c r="G182" s="11" t="n">
        <v>1.33</v>
      </c>
      <c r="H182" s="12" t="inlineStr"/>
      <c r="I182" s="11" t="inlineStr">
        <is>
          <t>Not started</t>
        </is>
      </c>
      <c r="J182" s="13" t="n"/>
      <c r="K182" s="10" t="inlineStr"/>
      <c r="L182" s="14" t="inlineStr">
        <is>
          <t>▶ watch</t>
        </is>
      </c>
      <c r="M182" s="10" t="inlineStr"/>
      <c r="N182" s="11" t="inlineStr"/>
      <c r="O182" s="11" t="inlineStr">
        <is>
          <t>course lecture - no single paper</t>
        </is>
      </c>
      <c r="P182" s="10" t="inlineStr"/>
    </row>
    <row r="183">
      <c r="A183" s="8" t="n">
        <v>182</v>
      </c>
      <c r="B183" s="8" t="inlineStr">
        <is>
          <t>Part I - Foundations</t>
        </is>
      </c>
      <c r="C183" s="9" t="inlineStr">
        <is>
          <t>MIT 6.172 - the lectures that matter most</t>
        </is>
      </c>
      <c r="D183" s="10" t="inlineStr">
        <is>
          <t>Introduction and Matrix Multiplication</t>
        </is>
      </c>
      <c r="E183" s="10" t="inlineStr"/>
      <c r="F183" s="11" t="inlineStr">
        <is>
          <t>1:00:21</t>
        </is>
      </c>
      <c r="G183" s="11" t="n">
        <v>1.01</v>
      </c>
      <c r="H183" s="12" t="inlineStr">
        <is>
          <t>★</t>
        </is>
      </c>
      <c r="I183" s="11" t="inlineStr">
        <is>
          <t>Not started</t>
        </is>
      </c>
      <c r="J183" s="13" t="n"/>
      <c r="K183" s="10" t="inlineStr"/>
      <c r="L183" s="14" t="inlineStr">
        <is>
          <t>▶ watch</t>
        </is>
      </c>
      <c r="M183" s="10" t="inlineStr"/>
      <c r="N183" s="11" t="inlineStr"/>
      <c r="O183" s="11" t="inlineStr">
        <is>
          <t>course lecture - no single paper</t>
        </is>
      </c>
      <c r="P183" s="10" t="inlineStr">
        <is>
          <t>E.6.5 MIT 6.172 - Performance Engineering of Software Systems</t>
        </is>
      </c>
    </row>
    <row r="184">
      <c r="A184" s="8" t="n">
        <v>183</v>
      </c>
      <c r="B184" s="8" t="inlineStr">
        <is>
          <t>Part I - Foundations</t>
        </is>
      </c>
      <c r="C184" s="9" t="inlineStr">
        <is>
          <t>MIT 6.172 - the lectures that matter most</t>
        </is>
      </c>
      <c r="D184" s="10" t="inlineStr">
        <is>
          <t>Bentley Rules for Optimizing Work</t>
        </is>
      </c>
      <c r="E184" s="10" t="inlineStr"/>
      <c r="F184" s="11" t="inlineStr">
        <is>
          <t>1:20:10</t>
        </is>
      </c>
      <c r="G184" s="11" t="n">
        <v>1.34</v>
      </c>
      <c r="H184" s="12" t="inlineStr"/>
      <c r="I184" s="11" t="inlineStr">
        <is>
          <t>Not started</t>
        </is>
      </c>
      <c r="J184" s="13" t="n"/>
      <c r="K184" s="10" t="inlineStr"/>
      <c r="L184" s="14" t="inlineStr">
        <is>
          <t>▶ watch</t>
        </is>
      </c>
      <c r="M184" s="10" t="inlineStr"/>
      <c r="N184" s="11" t="inlineStr"/>
      <c r="O184" s="11" t="inlineStr">
        <is>
          <t>course lecture - no single paper</t>
        </is>
      </c>
      <c r="P184" s="10" t="inlineStr">
        <is>
          <t>E.6.5 MIT 6.172 - Performance Engineering of Software Systems</t>
        </is>
      </c>
    </row>
    <row r="185">
      <c r="A185" s="8" t="n">
        <v>184</v>
      </c>
      <c r="B185" s="8" t="inlineStr">
        <is>
          <t>Part I - Foundations</t>
        </is>
      </c>
      <c r="C185" s="9" t="inlineStr">
        <is>
          <t>MIT 6.172 - the lectures that matter most</t>
        </is>
      </c>
      <c r="D185" s="10" t="inlineStr">
        <is>
          <t>Multicore Programming</t>
        </is>
      </c>
      <c r="E185" s="10" t="inlineStr"/>
      <c r="F185" s="11" t="inlineStr">
        <is>
          <t>1:16:46</t>
        </is>
      </c>
      <c r="G185" s="11" t="n">
        <v>1.28</v>
      </c>
      <c r="H185" s="12" t="inlineStr"/>
      <c r="I185" s="11" t="inlineStr">
        <is>
          <t>Not started</t>
        </is>
      </c>
      <c r="J185" s="13" t="n"/>
      <c r="K185" s="10" t="inlineStr"/>
      <c r="L185" s="14" t="inlineStr">
        <is>
          <t>▶ watch</t>
        </is>
      </c>
      <c r="M185" s="10" t="inlineStr"/>
      <c r="N185" s="11" t="inlineStr"/>
      <c r="O185" s="11" t="inlineStr">
        <is>
          <t>course lecture - no single paper</t>
        </is>
      </c>
      <c r="P185" s="10" t="inlineStr">
        <is>
          <t>E.6.5 MIT 6.172 - Performance Engineering of Software Systems</t>
        </is>
      </c>
    </row>
    <row r="186">
      <c r="A186" s="8" t="n">
        <v>185</v>
      </c>
      <c r="B186" s="8" t="inlineStr">
        <is>
          <t>Part I - Foundations</t>
        </is>
      </c>
      <c r="C186" s="9" t="inlineStr">
        <is>
          <t>MIT 6.172 - the lectures that matter most</t>
        </is>
      </c>
      <c r="D186" s="10" t="inlineStr">
        <is>
          <t>Analysis of Multithreaded Algorithms</t>
        </is>
      </c>
      <c r="E186" s="10" t="inlineStr"/>
      <c r="F186" s="11" t="inlineStr">
        <is>
          <t>1:17:34</t>
        </is>
      </c>
      <c r="G186" s="11" t="n">
        <v>1.29</v>
      </c>
      <c r="H186" s="12" t="inlineStr"/>
      <c r="I186" s="11" t="inlineStr">
        <is>
          <t>Not started</t>
        </is>
      </c>
      <c r="J186" s="13" t="n"/>
      <c r="K186" s="10" t="inlineStr"/>
      <c r="L186" s="14" t="inlineStr">
        <is>
          <t>▶ watch</t>
        </is>
      </c>
      <c r="M186" s="10" t="inlineStr"/>
      <c r="N186" s="11" t="inlineStr"/>
      <c r="O186" s="11" t="inlineStr">
        <is>
          <t>course lecture - no single paper</t>
        </is>
      </c>
      <c r="P186" s="10" t="inlineStr"/>
    </row>
    <row r="187">
      <c r="A187" s="8" t="n">
        <v>186</v>
      </c>
      <c r="B187" s="8" t="inlineStr">
        <is>
          <t>Part I - Foundations</t>
        </is>
      </c>
      <c r="C187" s="9" t="inlineStr">
        <is>
          <t>MIT 6.172 - the lectures that matter most</t>
        </is>
      </c>
      <c r="D187" s="10" t="inlineStr">
        <is>
          <t>What Compilers Can and Cannot Do</t>
        </is>
      </c>
      <c r="E187" s="10" t="inlineStr"/>
      <c r="F187" s="11" t="inlineStr">
        <is>
          <t>1:18:46</t>
        </is>
      </c>
      <c r="G187" s="11" t="n">
        <v>1.31</v>
      </c>
      <c r="H187" s="12" t="inlineStr">
        <is>
          <t>★</t>
        </is>
      </c>
      <c r="I187" s="11" t="inlineStr">
        <is>
          <t>Not started</t>
        </is>
      </c>
      <c r="J187" s="13" t="n"/>
      <c r="K187" s="10" t="inlineStr"/>
      <c r="L187" s="14" t="inlineStr">
        <is>
          <t>▶ watch</t>
        </is>
      </c>
      <c r="M187" s="10" t="inlineStr"/>
      <c r="N187" s="11" t="inlineStr"/>
      <c r="O187" s="11" t="inlineStr">
        <is>
          <t>course lecture - no single paper</t>
        </is>
      </c>
      <c r="P187" s="10" t="inlineStr">
        <is>
          <t>E.6.5 MIT 6.172 - Performance Engineering of Software Systems</t>
        </is>
      </c>
    </row>
    <row r="188">
      <c r="A188" s="8" t="n">
        <v>187</v>
      </c>
      <c r="B188" s="8" t="inlineStr">
        <is>
          <t>Part I - Foundations</t>
        </is>
      </c>
      <c r="C188" s="9" t="inlineStr">
        <is>
          <t>MIT 6.172 - the lectures that matter most</t>
        </is>
      </c>
      <c r="D188" s="10" t="inlineStr">
        <is>
          <t>Measurement and Timing</t>
        </is>
      </c>
      <c r="E188" s="10" t="inlineStr"/>
      <c r="F188" s="11" t="inlineStr">
        <is>
          <t>1:21:28</t>
        </is>
      </c>
      <c r="G188" s="11" t="n">
        <v>1.36</v>
      </c>
      <c r="H188" s="12" t="inlineStr">
        <is>
          <t>★</t>
        </is>
      </c>
      <c r="I188" s="11" t="inlineStr">
        <is>
          <t>Not started</t>
        </is>
      </c>
      <c r="J188" s="13" t="n"/>
      <c r="K188" s="10" t="inlineStr"/>
      <c r="L188" s="14" t="inlineStr">
        <is>
          <t>▶ watch</t>
        </is>
      </c>
      <c r="M188" s="10" t="inlineStr"/>
      <c r="N188" s="11" t="inlineStr"/>
      <c r="O188" s="11" t="inlineStr">
        <is>
          <t>course lecture - no single paper</t>
        </is>
      </c>
      <c r="P188" s="10" t="inlineStr">
        <is>
          <t>E.6.5 MIT 6.172 - Performance Engineering of Software Systems</t>
        </is>
      </c>
    </row>
    <row r="189">
      <c r="A189" s="8" t="n">
        <v>188</v>
      </c>
      <c r="B189" s="8" t="inlineStr">
        <is>
          <t>Part I - Foundations</t>
        </is>
      </c>
      <c r="C189" s="9" t="inlineStr">
        <is>
          <t>MIT 6.172 - the lectures that matter most</t>
        </is>
      </c>
      <c r="D189" s="10" t="inlineStr">
        <is>
          <t>Caching and Cache-Efficient Algorithms</t>
        </is>
      </c>
      <c r="E189" s="10" t="inlineStr"/>
      <c r="F189" s="11" t="inlineStr">
        <is>
          <t>1:18:23</t>
        </is>
      </c>
      <c r="G189" s="11" t="n">
        <v>1.31</v>
      </c>
      <c r="H189" s="12" t="inlineStr">
        <is>
          <t>★</t>
        </is>
      </c>
      <c r="I189" s="11" t="inlineStr">
        <is>
          <t>Not started</t>
        </is>
      </c>
      <c r="J189" s="13" t="n"/>
      <c r="K189" s="10" t="inlineStr"/>
      <c r="L189" s="14" t="inlineStr">
        <is>
          <t>▶ watch</t>
        </is>
      </c>
      <c r="M189" s="10" t="inlineStr"/>
      <c r="N189" s="11" t="inlineStr"/>
      <c r="O189" s="11" t="inlineStr">
        <is>
          <t>course lecture - no single paper</t>
        </is>
      </c>
      <c r="P189" s="10" t="inlineStr">
        <is>
          <t>E.6.5 MIT 6.172 - Performance Engineering of Software Systems</t>
        </is>
      </c>
    </row>
    <row r="190">
      <c r="A190" s="8" t="n">
        <v>189</v>
      </c>
      <c r="B190" s="8" t="inlineStr">
        <is>
          <t>Part I - Foundations</t>
        </is>
      </c>
      <c r="C190" s="9" t="inlineStr">
        <is>
          <t>MIT 6.172 - the lectures that matter most</t>
        </is>
      </c>
      <c r="D190" s="10" t="inlineStr">
        <is>
          <t>Cache-Oblivious Algorithms</t>
        </is>
      </c>
      <c r="E190" s="10" t="inlineStr"/>
      <c r="F190" s="11" t="inlineStr">
        <is>
          <t>1:21:47</t>
        </is>
      </c>
      <c r="G190" s="11" t="n">
        <v>1.36</v>
      </c>
      <c r="H190" s="12" t="inlineStr">
        <is>
          <t>★</t>
        </is>
      </c>
      <c r="I190" s="11" t="inlineStr">
        <is>
          <t>Not started</t>
        </is>
      </c>
      <c r="J190" s="13" t="n"/>
      <c r="K190" s="10" t="inlineStr"/>
      <c r="L190" s="14" t="inlineStr">
        <is>
          <t>▶ watch</t>
        </is>
      </c>
      <c r="M190" s="10" t="inlineStr"/>
      <c r="N190" s="11" t="inlineStr"/>
      <c r="O190" s="11" t="inlineStr">
        <is>
          <t>course lecture - no single paper</t>
        </is>
      </c>
      <c r="P190" s="10" t="inlineStr">
        <is>
          <t>E.6.5 MIT 6.172 - Performance Engineering of Software Systems</t>
        </is>
      </c>
    </row>
    <row r="191">
      <c r="A191" s="8" t="n">
        <v>190</v>
      </c>
      <c r="B191" s="8" t="inlineStr">
        <is>
          <t>Part I - Foundations</t>
        </is>
      </c>
      <c r="C191" s="9" t="inlineStr">
        <is>
          <t>MIT 6.172 - the lectures that matter most</t>
        </is>
      </c>
      <c r="D191" s="10" t="inlineStr">
        <is>
          <t>Nondeterministic Parallel Programming</t>
        </is>
      </c>
      <c r="E191" s="10" t="inlineStr"/>
      <c r="F191" s="11" t="inlineStr">
        <is>
          <t>1:22:12</t>
        </is>
      </c>
      <c r="G191" s="11" t="n">
        <v>1.37</v>
      </c>
      <c r="H191" s="12" t="inlineStr"/>
      <c r="I191" s="11" t="inlineStr">
        <is>
          <t>Not started</t>
        </is>
      </c>
      <c r="J191" s="13" t="n"/>
      <c r="K191" s="10" t="inlineStr"/>
      <c r="L191" s="14" t="inlineStr">
        <is>
          <t>▶ watch</t>
        </is>
      </c>
      <c r="M191" s="10" t="inlineStr"/>
      <c r="N191" s="11" t="inlineStr"/>
      <c r="O191" s="11" t="inlineStr">
        <is>
          <t>course lecture - no single paper</t>
        </is>
      </c>
      <c r="P191" s="10" t="inlineStr"/>
    </row>
    <row r="192">
      <c r="A192" s="8" t="n">
        <v>191</v>
      </c>
      <c r="B192" s="8" t="inlineStr">
        <is>
          <t>Part I - Foundations</t>
        </is>
      </c>
      <c r="C192" s="9" t="inlineStr">
        <is>
          <t>MIT 6.172 - the lectures that matter most</t>
        </is>
      </c>
      <c r="D192" s="10" t="inlineStr">
        <is>
          <t>Domain Specific Languages and Autotuning</t>
        </is>
      </c>
      <c r="E192" s="10" t="inlineStr"/>
      <c r="F192" s="11" t="inlineStr">
        <is>
          <t>1:11:22</t>
        </is>
      </c>
      <c r="G192" s="11" t="n">
        <v>1.19</v>
      </c>
      <c r="H192" s="12" t="inlineStr"/>
      <c r="I192" s="11" t="inlineStr">
        <is>
          <t>Not started</t>
        </is>
      </c>
      <c r="J192" s="13" t="n"/>
      <c r="K192" s="10" t="inlineStr"/>
      <c r="L192" s="14" t="inlineStr">
        <is>
          <t>▶ watch</t>
        </is>
      </c>
      <c r="M192" s="10" t="inlineStr"/>
      <c r="N192" s="11" t="inlineStr"/>
      <c r="O192" s="11" t="inlineStr">
        <is>
          <t>course lecture - no single paper</t>
        </is>
      </c>
      <c r="P192" s="10" t="inlineStr"/>
    </row>
    <row r="193">
      <c r="A193" s="8" t="n">
        <v>192</v>
      </c>
      <c r="B193" s="8" t="inlineStr">
        <is>
          <t>Part I - Foundations</t>
        </is>
      </c>
      <c r="C193" s="9" t="inlineStr">
        <is>
          <t>MIT 6.172 - the lectures that matter most</t>
        </is>
      </c>
      <c r="D193" s="10" t="inlineStr">
        <is>
          <t>Graph Optimization</t>
        </is>
      </c>
      <c r="E193" s="10" t="inlineStr"/>
      <c r="F193" s="11" t="inlineStr">
        <is>
          <t>1:18:40</t>
        </is>
      </c>
      <c r="G193" s="11" t="n">
        <v>1.31</v>
      </c>
      <c r="H193" s="12" t="inlineStr">
        <is>
          <t>★</t>
        </is>
      </c>
      <c r="I193" s="11" t="inlineStr">
        <is>
          <t>Not started</t>
        </is>
      </c>
      <c r="J193" s="13" t="n"/>
      <c r="K193" s="10" t="inlineStr"/>
      <c r="L193" s="14" t="inlineStr">
        <is>
          <t>▶ watch</t>
        </is>
      </c>
      <c r="M193" s="10" t="inlineStr"/>
      <c r="N193" s="11" t="inlineStr"/>
      <c r="O193" s="11" t="inlineStr">
        <is>
          <t>course lecture - no single paper</t>
        </is>
      </c>
      <c r="P193" s="10" t="inlineStr">
        <is>
          <t>E.6.5 MIT 6.172 - Performance Engineering of Software Systems</t>
        </is>
      </c>
    </row>
    <row r="194">
      <c r="A194" s="8" t="n">
        <v>193</v>
      </c>
      <c r="B194" s="8" t="inlineStr">
        <is>
          <t>Part I - Foundations</t>
        </is>
      </c>
      <c r="C194" s="9" t="inlineStr">
        <is>
          <t>MIT 6.172 - the lectures that matter most</t>
        </is>
      </c>
      <c r="D194" s="10" t="inlineStr">
        <is>
          <t>High Performance in Dynamic Languages</t>
        </is>
      </c>
      <c r="E194" s="10" t="inlineStr"/>
      <c r="F194" s="11" t="inlineStr">
        <is>
          <t>1:25:44</t>
        </is>
      </c>
      <c r="G194" s="11" t="n">
        <v>1.43</v>
      </c>
      <c r="H194" s="12" t="inlineStr"/>
      <c r="I194" s="11" t="inlineStr">
        <is>
          <t>Not started</t>
        </is>
      </c>
      <c r="J194" s="13" t="n"/>
      <c r="K194" s="10" t="inlineStr"/>
      <c r="L194" s="14" t="inlineStr">
        <is>
          <t>▶ watch</t>
        </is>
      </c>
      <c r="M194" s="10" t="inlineStr"/>
      <c r="N194" s="11" t="inlineStr"/>
      <c r="O194" s="11" t="inlineStr">
        <is>
          <t>course lecture - no single paper</t>
        </is>
      </c>
      <c r="P194" s="10" t="inlineStr"/>
    </row>
    <row r="195">
      <c r="A195" s="8" t="n">
        <v>194</v>
      </c>
      <c r="B195" s="8" t="inlineStr">
        <is>
          <t>Part I - Foundations</t>
        </is>
      </c>
      <c r="C195" s="9" t="inlineStr">
        <is>
          <t>CMU 10-414 individual lectures - you build an autodiff framework from nothing</t>
        </is>
      </c>
      <c r="D195" s="10" t="inlineStr">
        <is>
          <t>Introduction and Logistics</t>
        </is>
      </c>
      <c r="E195" s="10" t="inlineStr"/>
      <c r="F195" s="11" t="inlineStr">
        <is>
          <t>57:55</t>
        </is>
      </c>
      <c r="G195" s="11" t="n">
        <v>0.97</v>
      </c>
      <c r="H195" s="12" t="inlineStr"/>
      <c r="I195" s="11" t="inlineStr">
        <is>
          <t>Not started</t>
        </is>
      </c>
      <c r="J195" s="13" t="n"/>
      <c r="K195" s="10" t="inlineStr"/>
      <c r="L195" s="14" t="inlineStr">
        <is>
          <t>▶ watch</t>
        </is>
      </c>
      <c r="M195" s="10" t="inlineStr"/>
      <c r="N195" s="11" t="inlineStr"/>
      <c r="O195" s="11" t="inlineStr">
        <is>
          <t>course lecture - no single paper</t>
        </is>
      </c>
      <c r="P195" s="10" t="inlineStr"/>
    </row>
    <row r="196">
      <c r="A196" s="8" t="n">
        <v>195</v>
      </c>
      <c r="B196" s="8" t="inlineStr">
        <is>
          <t>Part I - Foundations</t>
        </is>
      </c>
      <c r="C196" s="9" t="inlineStr">
        <is>
          <t>CMU 10-414 individual lectures - you build an autodiff framework from nothing</t>
        </is>
      </c>
      <c r="D196" s="10" t="inlineStr">
        <is>
          <t>ML Refresher / Softmax Regression</t>
        </is>
      </c>
      <c r="E196" s="10" t="inlineStr"/>
      <c r="F196" s="11" t="inlineStr">
        <is>
          <t>1:20:01</t>
        </is>
      </c>
      <c r="G196" s="11" t="n">
        <v>1.33</v>
      </c>
      <c r="H196" s="12" t="inlineStr"/>
      <c r="I196" s="11" t="inlineStr">
        <is>
          <t>Not started</t>
        </is>
      </c>
      <c r="J196" s="13" t="n"/>
      <c r="K196" s="10" t="inlineStr"/>
      <c r="L196" s="14" t="inlineStr">
        <is>
          <t>▶ watch</t>
        </is>
      </c>
      <c r="M196" s="10" t="inlineStr"/>
      <c r="N196" s="11" t="inlineStr"/>
      <c r="O196" s="11" t="inlineStr">
        <is>
          <t>course lecture - no single paper</t>
        </is>
      </c>
      <c r="P196" s="10" t="inlineStr"/>
    </row>
    <row r="197">
      <c r="A197" s="8" t="n">
        <v>196</v>
      </c>
      <c r="B197" s="8" t="inlineStr">
        <is>
          <t>Part I - Foundations</t>
        </is>
      </c>
      <c r="C197" s="9" t="inlineStr">
        <is>
          <t>CMU 10-414 individual lectures - you build an autodiff framework from nothing</t>
        </is>
      </c>
      <c r="D197" s="10" t="inlineStr">
        <is>
          <t>"Manual" Neural Networks, Part I</t>
        </is>
      </c>
      <c r="E197" s="10" t="inlineStr"/>
      <c r="F197" s="11" t="inlineStr">
        <is>
          <t>53:39</t>
        </is>
      </c>
      <c r="G197" s="11" t="n">
        <v>0.89</v>
      </c>
      <c r="H197" s="12" t="inlineStr"/>
      <c r="I197" s="11" t="inlineStr">
        <is>
          <t>Not started</t>
        </is>
      </c>
      <c r="J197" s="13" t="n"/>
      <c r="K197" s="10" t="inlineStr"/>
      <c r="L197" s="14" t="inlineStr">
        <is>
          <t>▶ watch</t>
        </is>
      </c>
      <c r="M197" s="10" t="inlineStr"/>
      <c r="N197" s="11" t="inlineStr"/>
      <c r="O197" s="11" t="inlineStr">
        <is>
          <t>course lecture - no single paper</t>
        </is>
      </c>
      <c r="P197" s="10" t="inlineStr"/>
    </row>
    <row r="198">
      <c r="A198" s="8" t="n">
        <v>197</v>
      </c>
      <c r="B198" s="8" t="inlineStr">
        <is>
          <t>Part I - Foundations</t>
        </is>
      </c>
      <c r="C198" s="9" t="inlineStr">
        <is>
          <t>CMU 10-414 individual lectures - you build an autodiff framework from nothing</t>
        </is>
      </c>
      <c r="D198" s="10" t="inlineStr">
        <is>
          <t>"Manual" Neural Networks, Part II</t>
        </is>
      </c>
      <c r="E198" s="10" t="inlineStr"/>
      <c r="F198" s="11" t="inlineStr">
        <is>
          <t>47:41</t>
        </is>
      </c>
      <c r="G198" s="11" t="n">
        <v>0.79</v>
      </c>
      <c r="H198" s="12" t="inlineStr"/>
      <c r="I198" s="11" t="inlineStr">
        <is>
          <t>Not started</t>
        </is>
      </c>
      <c r="J198" s="13" t="n"/>
      <c r="K198" s="10" t="inlineStr"/>
      <c r="L198" s="14" t="inlineStr">
        <is>
          <t>▶ watch</t>
        </is>
      </c>
      <c r="M198" s="10" t="inlineStr"/>
      <c r="N198" s="11" t="inlineStr"/>
      <c r="O198" s="11" t="inlineStr">
        <is>
          <t>course lecture - no single paper</t>
        </is>
      </c>
      <c r="P198" s="10" t="inlineStr"/>
    </row>
    <row r="199">
      <c r="A199" s="8" t="n">
        <v>198</v>
      </c>
      <c r="B199" s="8" t="inlineStr">
        <is>
          <t>Part I - Foundations</t>
        </is>
      </c>
      <c r="C199" s="9" t="inlineStr">
        <is>
          <t>CMU 10-414 individual lectures - you build an autodiff framework from nothing</t>
        </is>
      </c>
      <c r="D199" s="10" t="inlineStr">
        <is>
          <t>Automatic Differentiation</t>
        </is>
      </c>
      <c r="E199" s="10" t="inlineStr"/>
      <c r="F199" s="11" t="inlineStr">
        <is>
          <t>1:03:35</t>
        </is>
      </c>
      <c r="G199" s="11" t="n">
        <v>1.06</v>
      </c>
      <c r="H199" s="12" t="inlineStr">
        <is>
          <t>★</t>
        </is>
      </c>
      <c r="I199" s="11" t="inlineStr">
        <is>
          <t>Not started</t>
        </is>
      </c>
      <c r="J199" s="13" t="n"/>
      <c r="K199" s="10" t="inlineStr"/>
      <c r="L199" s="14" t="inlineStr">
        <is>
          <t>▶ watch</t>
        </is>
      </c>
      <c r="M199" s="10" t="inlineStr"/>
      <c r="N199" s="11" t="inlineStr"/>
      <c r="O199" s="11" t="inlineStr">
        <is>
          <t>course lecture - no single paper</t>
        </is>
      </c>
      <c r="P199" s="10" t="inlineStr"/>
    </row>
    <row r="200">
      <c r="A200" s="8" t="n">
        <v>199</v>
      </c>
      <c r="B200" s="8" t="inlineStr">
        <is>
          <t>Part I - Foundations</t>
        </is>
      </c>
      <c r="C200" s="9" t="inlineStr">
        <is>
          <t>CMU 10-414 individual lectures - you build an autodiff framework from nothing</t>
        </is>
      </c>
      <c r="D200" s="10" t="inlineStr">
        <is>
          <t>Automatic Differentiation Implementation</t>
        </is>
      </c>
      <c r="E200" s="10" t="inlineStr"/>
      <c r="F200" s="11" t="inlineStr">
        <is>
          <t>1:05:57</t>
        </is>
      </c>
      <c r="G200" s="11" t="n">
        <v>1.1</v>
      </c>
      <c r="H200" s="12" t="inlineStr">
        <is>
          <t>★</t>
        </is>
      </c>
      <c r="I200" s="11" t="inlineStr">
        <is>
          <t>Not started</t>
        </is>
      </c>
      <c r="J200" s="13" t="n"/>
      <c r="K200" s="10" t="inlineStr"/>
      <c r="L200" s="14" t="inlineStr">
        <is>
          <t>▶ watch</t>
        </is>
      </c>
      <c r="M200" s="10" t="inlineStr"/>
      <c r="N200" s="11" t="inlineStr"/>
      <c r="O200" s="11" t="inlineStr">
        <is>
          <t>course lecture - no single paper</t>
        </is>
      </c>
      <c r="P200" s="10" t="inlineStr"/>
    </row>
    <row r="201">
      <c r="A201" s="8" t="n">
        <v>200</v>
      </c>
      <c r="B201" s="8" t="inlineStr">
        <is>
          <t>Part I - Foundations</t>
        </is>
      </c>
      <c r="C201" s="9" t="inlineStr">
        <is>
          <t>CMU 10-414 individual lectures - you build an autodiff framework from nothing</t>
        </is>
      </c>
      <c r="D201" s="10" t="inlineStr">
        <is>
          <t>Fully Connected Networks, Optimization, Initialization</t>
        </is>
      </c>
      <c r="E201" s="10" t="inlineStr"/>
      <c r="F201" s="11" t="inlineStr">
        <is>
          <t>1:26:56</t>
        </is>
      </c>
      <c r="G201" s="11" t="n">
        <v>1.45</v>
      </c>
      <c r="H201" s="12" t="inlineStr"/>
      <c r="I201" s="11" t="inlineStr">
        <is>
          <t>Not started</t>
        </is>
      </c>
      <c r="J201" s="13" t="n"/>
      <c r="K201" s="10" t="inlineStr"/>
      <c r="L201" s="14" t="inlineStr">
        <is>
          <t>▶ watch</t>
        </is>
      </c>
      <c r="M201" s="10" t="inlineStr"/>
      <c r="N201" s="11" t="inlineStr"/>
      <c r="O201" s="11" t="inlineStr">
        <is>
          <t>course lecture - no single paper</t>
        </is>
      </c>
      <c r="P201" s="10" t="inlineStr"/>
    </row>
    <row r="202">
      <c r="A202" s="8" t="n">
        <v>201</v>
      </c>
      <c r="B202" s="8" t="inlineStr">
        <is>
          <t>Part I - Foundations</t>
        </is>
      </c>
      <c r="C202" s="9" t="inlineStr">
        <is>
          <t>CMU 10-414 individual lectures - you build an autodiff framework from nothing</t>
        </is>
      </c>
      <c r="D202" s="10" t="inlineStr">
        <is>
          <t>Neural Network Abstractions</t>
        </is>
      </c>
      <c r="E202" s="10" t="inlineStr"/>
      <c r="F202" s="11" t="inlineStr">
        <is>
          <t>59:59</t>
        </is>
      </c>
      <c r="G202" s="11" t="n">
        <v>1</v>
      </c>
      <c r="H202" s="12" t="inlineStr"/>
      <c r="I202" s="11" t="inlineStr">
        <is>
          <t>Not started</t>
        </is>
      </c>
      <c r="J202" s="13" t="n"/>
      <c r="K202" s="10" t="inlineStr"/>
      <c r="L202" s="14" t="inlineStr">
        <is>
          <t>▶ watch</t>
        </is>
      </c>
      <c r="M202" s="10" t="inlineStr"/>
      <c r="N202" s="11" t="inlineStr"/>
      <c r="O202" s="11" t="inlineStr">
        <is>
          <t>course lecture - no single paper</t>
        </is>
      </c>
      <c r="P202" s="10" t="inlineStr"/>
    </row>
    <row r="203">
      <c r="A203" s="8" t="n">
        <v>202</v>
      </c>
      <c r="B203" s="8" t="inlineStr">
        <is>
          <t>Part I - Foundations</t>
        </is>
      </c>
      <c r="C203" s="9" t="inlineStr">
        <is>
          <t>CMU 10-414 individual lectures - you build an autodiff framework from nothing</t>
        </is>
      </c>
      <c r="D203" s="10" t="inlineStr">
        <is>
          <t>Neural Network Library Implementation</t>
        </is>
      </c>
      <c r="E203" s="10" t="inlineStr"/>
      <c r="F203" s="11" t="inlineStr">
        <is>
          <t>55:49</t>
        </is>
      </c>
      <c r="G203" s="11" t="n">
        <v>0.93</v>
      </c>
      <c r="H203" s="12" t="inlineStr"/>
      <c r="I203" s="11" t="inlineStr">
        <is>
          <t>Not started</t>
        </is>
      </c>
      <c r="J203" s="13" t="n"/>
      <c r="K203" s="10" t="inlineStr"/>
      <c r="L203" s="14" t="inlineStr">
        <is>
          <t>▶ watch</t>
        </is>
      </c>
      <c r="M203" s="10" t="inlineStr"/>
      <c r="N203" s="11" t="inlineStr"/>
      <c r="O203" s="11" t="inlineStr">
        <is>
          <t>course lecture - no single paper</t>
        </is>
      </c>
      <c r="P203" s="10" t="inlineStr"/>
    </row>
    <row r="204">
      <c r="A204" s="8" t="n">
        <v>203</v>
      </c>
      <c r="B204" s="8" t="inlineStr">
        <is>
          <t>Part I - Foundations</t>
        </is>
      </c>
      <c r="C204" s="9" t="inlineStr">
        <is>
          <t>CMU 10-414 individual lectures - you build an autodiff framework from nothing</t>
        </is>
      </c>
      <c r="D204" s="10" t="inlineStr">
        <is>
          <t>Normalization and Regularization</t>
        </is>
      </c>
      <c r="E204" s="10" t="inlineStr"/>
      <c r="F204" s="11" t="inlineStr">
        <is>
          <t>1:19:30</t>
        </is>
      </c>
      <c r="G204" s="11" t="n">
        <v>1.32</v>
      </c>
      <c r="H204" s="12" t="inlineStr"/>
      <c r="I204" s="11" t="inlineStr">
        <is>
          <t>Not started</t>
        </is>
      </c>
      <c r="J204" s="13" t="n"/>
      <c r="K204" s="10" t="inlineStr"/>
      <c r="L204" s="14" t="inlineStr">
        <is>
          <t>▶ watch</t>
        </is>
      </c>
      <c r="M204" s="10" t="inlineStr"/>
      <c r="N204" s="11" t="inlineStr"/>
      <c r="O204" s="11" t="inlineStr">
        <is>
          <t>course lecture - no single paper</t>
        </is>
      </c>
      <c r="P204" s="10" t="inlineStr"/>
    </row>
    <row r="205">
      <c r="A205" s="8" t="n">
        <v>204</v>
      </c>
      <c r="B205" s="8" t="inlineStr">
        <is>
          <t>Part I - Foundations</t>
        </is>
      </c>
      <c r="C205" s="9" t="inlineStr">
        <is>
          <t>CMU 10-414 individual lectures - you build an autodiff framework from nothing</t>
        </is>
      </c>
      <c r="D205" s="10" t="inlineStr">
        <is>
          <t>Convolutional Networks</t>
        </is>
      </c>
      <c r="E205" s="10" t="inlineStr"/>
      <c r="F205" s="11" t="inlineStr">
        <is>
          <t>1:08:31</t>
        </is>
      </c>
      <c r="G205" s="11" t="n">
        <v>1.14</v>
      </c>
      <c r="H205" s="12" t="inlineStr"/>
      <c r="I205" s="11" t="inlineStr">
        <is>
          <t>Not started</t>
        </is>
      </c>
      <c r="J205" s="13" t="n"/>
      <c r="K205" s="10" t="inlineStr"/>
      <c r="L205" s="14" t="inlineStr">
        <is>
          <t>▶ watch</t>
        </is>
      </c>
      <c r="M205" s="10" t="inlineStr"/>
      <c r="N205" s="11" t="inlineStr"/>
      <c r="O205" s="11" t="inlineStr">
        <is>
          <t>course lecture - no single paper</t>
        </is>
      </c>
      <c r="P205" s="10" t="inlineStr"/>
    </row>
    <row r="206">
      <c r="A206" s="8" t="n">
        <v>205</v>
      </c>
      <c r="B206" s="8" t="inlineStr">
        <is>
          <t>Part I - Foundations</t>
        </is>
      </c>
      <c r="C206" s="9" t="inlineStr">
        <is>
          <t>CMU 10-414 individual lectures - you build an autodiff framework from nothing</t>
        </is>
      </c>
      <c r="D206" s="10" t="inlineStr">
        <is>
          <t>Hardware Acceleration</t>
        </is>
      </c>
      <c r="E206" s="10" t="inlineStr"/>
      <c r="F206" s="11" t="inlineStr">
        <is>
          <t>45:22</t>
        </is>
      </c>
      <c r="G206" s="11" t="n">
        <v>0.76</v>
      </c>
      <c r="H206" s="12" t="inlineStr"/>
      <c r="I206" s="11" t="inlineStr">
        <is>
          <t>Not started</t>
        </is>
      </c>
      <c r="J206" s="13" t="n"/>
      <c r="K206" s="10" t="inlineStr"/>
      <c r="L206" s="14" t="inlineStr">
        <is>
          <t>▶ watch</t>
        </is>
      </c>
      <c r="M206" s="10" t="inlineStr"/>
      <c r="N206" s="11" t="inlineStr"/>
      <c r="O206" s="11" t="inlineStr">
        <is>
          <t>course lecture - no single paper</t>
        </is>
      </c>
      <c r="P206" s="10" t="inlineStr"/>
    </row>
    <row r="207">
      <c r="A207" s="8" t="n">
        <v>206</v>
      </c>
      <c r="B207" s="8" t="inlineStr">
        <is>
          <t>Part I - Foundations</t>
        </is>
      </c>
      <c r="C207" s="9" t="inlineStr">
        <is>
          <t>CMU 10-414 individual lectures - you build an autodiff framework from nothing</t>
        </is>
      </c>
      <c r="D207" s="10" t="inlineStr">
        <is>
          <t>GPU Acceleration</t>
        </is>
      </c>
      <c r="E207" s="10" t="inlineStr"/>
      <c r="F207" s="11" t="inlineStr">
        <is>
          <t>44:20</t>
        </is>
      </c>
      <c r="G207" s="11" t="n">
        <v>0.74</v>
      </c>
      <c r="H207" s="12" t="inlineStr">
        <is>
          <t>★</t>
        </is>
      </c>
      <c r="I207" s="11" t="inlineStr">
        <is>
          <t>Not started</t>
        </is>
      </c>
      <c r="J207" s="13" t="n"/>
      <c r="K207" s="10" t="inlineStr"/>
      <c r="L207" s="14" t="inlineStr">
        <is>
          <t>▶ watch</t>
        </is>
      </c>
      <c r="M207" s="10" t="inlineStr"/>
      <c r="N207" s="11" t="inlineStr"/>
      <c r="O207" s="11" t="inlineStr">
        <is>
          <t>course lecture - no single paper</t>
        </is>
      </c>
      <c r="P207" s="10" t="inlineStr"/>
    </row>
    <row r="208">
      <c r="A208" s="8" t="n">
        <v>207</v>
      </c>
      <c r="B208" s="8" t="inlineStr">
        <is>
          <t>Part I - Foundations</t>
        </is>
      </c>
      <c r="C208" s="9" t="inlineStr">
        <is>
          <t>CMU 10-414 individual lectures - you build an autodiff framework from nothing</t>
        </is>
      </c>
      <c r="D208" s="10" t="inlineStr">
        <is>
          <t>Hardware Acceleration Implementation</t>
        </is>
      </c>
      <c r="E208" s="10" t="inlineStr"/>
      <c r="F208" s="11" t="inlineStr">
        <is>
          <t>50:09</t>
        </is>
      </c>
      <c r="G208" s="11" t="n">
        <v>0.84</v>
      </c>
      <c r="H208" s="12" t="inlineStr"/>
      <c r="I208" s="11" t="inlineStr">
        <is>
          <t>Not started</t>
        </is>
      </c>
      <c r="J208" s="13" t="n"/>
      <c r="K208" s="10" t="inlineStr"/>
      <c r="L208" s="14" t="inlineStr">
        <is>
          <t>▶ watch</t>
        </is>
      </c>
      <c r="M208" s="10" t="inlineStr"/>
      <c r="N208" s="11" t="inlineStr"/>
      <c r="O208" s="11" t="inlineStr">
        <is>
          <t>course lecture - no single paper</t>
        </is>
      </c>
      <c r="P208" s="10" t="inlineStr"/>
    </row>
    <row r="209">
      <c r="A209" s="8" t="n">
        <v>208</v>
      </c>
      <c r="B209" s="8" t="inlineStr">
        <is>
          <t>Part I - Foundations</t>
        </is>
      </c>
      <c r="C209" s="9" t="inlineStr">
        <is>
          <t>CMU 10-414 individual lectures - you build an autodiff framework from nothing</t>
        </is>
      </c>
      <c r="D209" s="10" t="inlineStr">
        <is>
          <t>Implementing Convolutions</t>
        </is>
      </c>
      <c r="E209" s="10" t="inlineStr"/>
      <c r="F209" s="11" t="inlineStr">
        <is>
          <t>1:19:42</t>
        </is>
      </c>
      <c r="G209" s="11" t="n">
        <v>1.33</v>
      </c>
      <c r="H209" s="12" t="inlineStr"/>
      <c r="I209" s="11" t="inlineStr">
        <is>
          <t>Not started</t>
        </is>
      </c>
      <c r="J209" s="13" t="n"/>
      <c r="K209" s="10" t="inlineStr"/>
      <c r="L209" s="14" t="inlineStr">
        <is>
          <t>▶ watch</t>
        </is>
      </c>
      <c r="M209" s="10" t="inlineStr"/>
      <c r="N209" s="11" t="inlineStr"/>
      <c r="O209" s="11" t="inlineStr">
        <is>
          <t>course lecture - no single paper</t>
        </is>
      </c>
      <c r="P209" s="10" t="inlineStr"/>
    </row>
    <row r="210">
      <c r="A210" s="8" t="n">
        <v>209</v>
      </c>
      <c r="B210" s="8" t="inlineStr">
        <is>
          <t>Part I - Foundations</t>
        </is>
      </c>
      <c r="C210" s="9" t="inlineStr">
        <is>
          <t>CMU 10-414 individual lectures - you build an autodiff framework from nothing</t>
        </is>
      </c>
      <c r="D210" s="10" t="inlineStr">
        <is>
          <t>Training Large Models</t>
        </is>
      </c>
      <c r="E210" s="10" t="inlineStr"/>
      <c r="F210" s="11" t="inlineStr">
        <is>
          <t>46:37</t>
        </is>
      </c>
      <c r="G210" s="11" t="n">
        <v>0.78</v>
      </c>
      <c r="H210" s="12" t="inlineStr"/>
      <c r="I210" s="11" t="inlineStr">
        <is>
          <t>Not started</t>
        </is>
      </c>
      <c r="J210" s="13" t="n"/>
      <c r="K210" s="10" t="inlineStr"/>
      <c r="L210" s="14" t="inlineStr">
        <is>
          <t>▶ watch</t>
        </is>
      </c>
      <c r="M210" s="10" t="inlineStr"/>
      <c r="N210" s="11" t="inlineStr"/>
      <c r="O210" s="11" t="inlineStr">
        <is>
          <t>course lecture - no single paper</t>
        </is>
      </c>
      <c r="P210" s="10" t="inlineStr"/>
    </row>
    <row r="211">
      <c r="A211" s="8" t="n">
        <v>210</v>
      </c>
      <c r="B211" s="8" t="inlineStr">
        <is>
          <t>Part I - Foundations</t>
        </is>
      </c>
      <c r="C211" s="9" t="inlineStr">
        <is>
          <t>CMU 10-414 individual lectures - you build an autodiff framework from nothing</t>
        </is>
      </c>
      <c r="D211" s="10" t="inlineStr">
        <is>
          <t>Sequence Modeling and Recurrent Networks</t>
        </is>
      </c>
      <c r="E211" s="10" t="inlineStr"/>
      <c r="F211" s="11" t="inlineStr">
        <is>
          <t>1:10:48</t>
        </is>
      </c>
      <c r="G211" s="11" t="n">
        <v>1.18</v>
      </c>
      <c r="H211" s="12" t="inlineStr"/>
      <c r="I211" s="11" t="inlineStr">
        <is>
          <t>Not started</t>
        </is>
      </c>
      <c r="J211" s="13" t="n"/>
      <c r="K211" s="10" t="inlineStr"/>
      <c r="L211" s="14" t="inlineStr">
        <is>
          <t>▶ watch</t>
        </is>
      </c>
      <c r="M211" s="10" t="inlineStr"/>
      <c r="N211" s="11" t="inlineStr"/>
      <c r="O211" s="11" t="inlineStr">
        <is>
          <t>course lecture - no single paper</t>
        </is>
      </c>
      <c r="P211" s="10" t="inlineStr"/>
    </row>
    <row r="212">
      <c r="A212" s="8" t="n">
        <v>211</v>
      </c>
      <c r="B212" s="8" t="inlineStr">
        <is>
          <t>Part I - Foundations</t>
        </is>
      </c>
      <c r="C212" s="9" t="inlineStr">
        <is>
          <t>CMU 10-414 individual lectures - you build an autodiff framework from nothing</t>
        </is>
      </c>
      <c r="D212" s="10" t="inlineStr">
        <is>
          <t>Transformers and Attention</t>
        </is>
      </c>
      <c r="E212" s="10" t="inlineStr"/>
      <c r="F212" s="11" t="inlineStr">
        <is>
          <t>1:10:16</t>
        </is>
      </c>
      <c r="G212" s="11" t="n">
        <v>1.17</v>
      </c>
      <c r="H212" s="12" t="inlineStr">
        <is>
          <t>★</t>
        </is>
      </c>
      <c r="I212" s="11" t="inlineStr">
        <is>
          <t>Not started</t>
        </is>
      </c>
      <c r="J212" s="13" t="n"/>
      <c r="K212" s="10" t="inlineStr"/>
      <c r="L212" s="14" t="inlineStr">
        <is>
          <t>▶ watch</t>
        </is>
      </c>
      <c r="M212" s="10" t="inlineStr"/>
      <c r="N212" s="11" t="inlineStr"/>
      <c r="O212" s="11" t="inlineStr">
        <is>
          <t>course lecture - no single paper</t>
        </is>
      </c>
      <c r="P212" s="10" t="inlineStr"/>
    </row>
    <row r="213">
      <c r="A213" s="8" t="n">
        <v>212</v>
      </c>
      <c r="B213" s="8" t="inlineStr">
        <is>
          <t>Part I - Foundations</t>
        </is>
      </c>
      <c r="C213" s="9" t="inlineStr">
        <is>
          <t>CMU 10-414 individual lectures - you build an autodiff framework from nothing</t>
        </is>
      </c>
      <c r="D213" s="10" t="inlineStr">
        <is>
          <t>Transformer Implementation</t>
        </is>
      </c>
      <c r="E213" s="10" t="inlineStr"/>
      <c r="F213" s="11" t="inlineStr">
        <is>
          <t>1:01:13</t>
        </is>
      </c>
      <c r="G213" s="11" t="n">
        <v>1.02</v>
      </c>
      <c r="H213" s="12" t="inlineStr"/>
      <c r="I213" s="11" t="inlineStr">
        <is>
          <t>Not started</t>
        </is>
      </c>
      <c r="J213" s="13" t="n"/>
      <c r="K213" s="10" t="inlineStr"/>
      <c r="L213" s="14" t="inlineStr">
        <is>
          <t>▶ watch</t>
        </is>
      </c>
      <c r="M213" s="10" t="inlineStr"/>
      <c r="N213" s="11" t="inlineStr"/>
      <c r="O213" s="11" t="inlineStr">
        <is>
          <t>course lecture - no single paper</t>
        </is>
      </c>
      <c r="P213" s="10" t="inlineStr"/>
    </row>
    <row r="214">
      <c r="A214" s="8" t="n">
        <v>213</v>
      </c>
      <c r="B214" s="8" t="inlineStr">
        <is>
          <t>Part I - Foundations</t>
        </is>
      </c>
      <c r="C214" s="9" t="inlineStr">
        <is>
          <t>CMU 10-414 individual lectures - you build an autodiff framework from nothing</t>
        </is>
      </c>
      <c r="D214" s="10" t="inlineStr">
        <is>
          <t>Model Deployment</t>
        </is>
      </c>
      <c r="E214" s="10" t="inlineStr"/>
      <c r="F214" s="11" t="inlineStr">
        <is>
          <t>42:53</t>
        </is>
      </c>
      <c r="G214" s="11" t="n">
        <v>0.71</v>
      </c>
      <c r="H214" s="12" t="inlineStr"/>
      <c r="I214" s="11" t="inlineStr">
        <is>
          <t>Not started</t>
        </is>
      </c>
      <c r="J214" s="13" t="n"/>
      <c r="K214" s="10" t="inlineStr"/>
      <c r="L214" s="14" t="inlineStr">
        <is>
          <t>▶ watch</t>
        </is>
      </c>
      <c r="M214" s="10" t="inlineStr"/>
      <c r="N214" s="11" t="inlineStr"/>
      <c r="O214" s="11" t="inlineStr">
        <is>
          <t>course lecture - no single paper</t>
        </is>
      </c>
      <c r="P214" s="10" t="inlineStr"/>
    </row>
    <row r="215">
      <c r="A215" s="8" t="n">
        <v>214</v>
      </c>
      <c r="B215" s="8" t="inlineStr">
        <is>
          <t>Part I - Foundations</t>
        </is>
      </c>
      <c r="C215" s="9" t="inlineStr">
        <is>
          <t>CMU 10-414 individual lectures - you build an autodiff framework from nothing</t>
        </is>
      </c>
      <c r="D215" s="10" t="inlineStr">
        <is>
          <t>ML Compilation and Deployment Implementation</t>
        </is>
      </c>
      <c r="E215" s="10" t="inlineStr"/>
      <c r="F215" s="11" t="inlineStr">
        <is>
          <t>36:37</t>
        </is>
      </c>
      <c r="G215" s="11" t="n">
        <v>0.61</v>
      </c>
      <c r="H215" s="12" t="inlineStr"/>
      <c r="I215" s="11" t="inlineStr">
        <is>
          <t>Not started</t>
        </is>
      </c>
      <c r="J215" s="13" t="n"/>
      <c r="K215" s="10" t="inlineStr"/>
      <c r="L215" s="14" t="inlineStr">
        <is>
          <t>▶ watch</t>
        </is>
      </c>
      <c r="M215" s="10" t="inlineStr"/>
      <c r="N215" s="11" t="inlineStr"/>
      <c r="O215" s="11" t="inlineStr">
        <is>
          <t>course lecture - no single paper</t>
        </is>
      </c>
      <c r="P215" s="10" t="inlineStr"/>
    </row>
    <row r="216">
      <c r="A216" s="8" t="n">
        <v>215</v>
      </c>
      <c r="B216" s="8" t="inlineStr">
        <is>
          <t>Part I - Foundations</t>
        </is>
      </c>
      <c r="C216" s="9" t="inlineStr">
        <is>
          <t>CS336 individual lectures (2026 edition</t>
        </is>
      </c>
      <c r="D216" s="10" t="inlineStr">
        <is>
          <t>Overview, Tokenization</t>
        </is>
      </c>
      <c r="E216" s="10" t="inlineStr">
        <is>
          <t>Stanford</t>
        </is>
      </c>
      <c r="F216" s="11" t="inlineStr">
        <is>
          <t>1:19:22</t>
        </is>
      </c>
      <c r="G216" s="11" t="n">
        <v>1.32</v>
      </c>
      <c r="H216" s="12" t="inlineStr">
        <is>
          <t>★</t>
        </is>
      </c>
      <c r="I216" s="11" t="inlineStr">
        <is>
          <t>Not started</t>
        </is>
      </c>
      <c r="J216" s="13" t="n"/>
      <c r="K216" s="10" t="inlineStr"/>
      <c r="L216" s="14" t="inlineStr">
        <is>
          <t>▶ watch</t>
        </is>
      </c>
      <c r="M216" s="10" t="inlineStr"/>
      <c r="N216" s="11" t="inlineStr"/>
      <c r="O216" s="11" t="inlineStr">
        <is>
          <t>course lecture - no single paper</t>
        </is>
      </c>
      <c r="P216" s="10" t="inlineStr">
        <is>
          <t>D.4.3 Positional encoding, normalization, tokenization</t>
        </is>
      </c>
    </row>
    <row r="217">
      <c r="A217" s="8" t="n">
        <v>216</v>
      </c>
      <c r="B217" s="8" t="inlineStr">
        <is>
          <t>Part I - Foundations</t>
        </is>
      </c>
      <c r="C217" s="9" t="inlineStr">
        <is>
          <t>CS336 individual lectures (2026 edition</t>
        </is>
      </c>
      <c r="D217" s="10" t="inlineStr">
        <is>
          <t>PyTorch, einops</t>
        </is>
      </c>
      <c r="E217" s="10" t="inlineStr"/>
      <c r="F217" s="11" t="inlineStr">
        <is>
          <t>1:17:25</t>
        </is>
      </c>
      <c r="G217" s="11" t="n">
        <v>1.29</v>
      </c>
      <c r="H217" s="12" t="inlineStr"/>
      <c r="I217" s="11" t="inlineStr">
        <is>
          <t>Not started</t>
        </is>
      </c>
      <c r="J217" s="13" t="n"/>
      <c r="K217" s="10" t="inlineStr"/>
      <c r="L217" s="14" t="inlineStr">
        <is>
          <t>▶ watch</t>
        </is>
      </c>
      <c r="M217" s="10" t="inlineStr"/>
      <c r="N217" s="11" t="inlineStr"/>
      <c r="O217" s="11" t="inlineStr">
        <is>
          <t>course lecture - no single paper</t>
        </is>
      </c>
      <c r="P217" s="10" t="inlineStr"/>
    </row>
    <row r="218">
      <c r="A218" s="8" t="n">
        <v>217</v>
      </c>
      <c r="B218" s="8" t="inlineStr">
        <is>
          <t>Part I - Foundations</t>
        </is>
      </c>
      <c r="C218" s="9" t="inlineStr">
        <is>
          <t>CS336 individual lectures (2026 edition</t>
        </is>
      </c>
      <c r="D218" s="10" t="inlineStr">
        <is>
          <t>Architectures</t>
        </is>
      </c>
      <c r="E218" s="10" t="inlineStr">
        <is>
          <t>Liang / Hashimoto (Stanford</t>
        </is>
      </c>
      <c r="F218" s="11" t="inlineStr">
        <is>
          <t>1:29:14</t>
        </is>
      </c>
      <c r="G218" s="11" t="n">
        <v>1.49</v>
      </c>
      <c r="H218" s="12" t="inlineStr">
        <is>
          <t>★</t>
        </is>
      </c>
      <c r="I218" s="11" t="inlineStr">
        <is>
          <t>Not started</t>
        </is>
      </c>
      <c r="J218" s="13" t="n"/>
      <c r="K218" s="10" t="inlineStr"/>
      <c r="L218" s="14" t="inlineStr">
        <is>
          <t>▶ watch</t>
        </is>
      </c>
      <c r="M218" s="10" t="inlineStr"/>
      <c r="N218" s="11" t="inlineStr"/>
      <c r="O218" s="11" t="inlineStr">
        <is>
          <t>course lecture - no single paper</t>
        </is>
      </c>
      <c r="P218" s="10" t="inlineStr">
        <is>
          <t>D.4.3 Positional encoding, normalization, tokenization</t>
        </is>
      </c>
    </row>
    <row r="219">
      <c r="A219" s="8" t="n">
        <v>218</v>
      </c>
      <c r="B219" s="8" t="inlineStr">
        <is>
          <t>Part I - Foundations</t>
        </is>
      </c>
      <c r="C219" s="9" t="inlineStr">
        <is>
          <t>CS336 individual lectures (2026 edition</t>
        </is>
      </c>
      <c r="D219" s="10" t="inlineStr">
        <is>
          <t>Attention Alternatives</t>
        </is>
      </c>
      <c r="E219" s="10" t="inlineStr">
        <is>
          <t>Stanford</t>
        </is>
      </c>
      <c r="F219" s="11" t="inlineStr">
        <is>
          <t>1:26:21</t>
        </is>
      </c>
      <c r="G219" s="11" t="n">
        <v>1.44</v>
      </c>
      <c r="H219" s="12" t="inlineStr">
        <is>
          <t>★</t>
        </is>
      </c>
      <c r="I219" s="11" t="inlineStr">
        <is>
          <t>Not started</t>
        </is>
      </c>
      <c r="J219" s="13" t="n"/>
      <c r="K219" s="10" t="inlineStr"/>
      <c r="L219" s="14" t="inlineStr">
        <is>
          <t>▶ watch</t>
        </is>
      </c>
      <c r="M219" s="10" t="inlineStr"/>
      <c r="N219" s="11" t="inlineStr"/>
      <c r="O219" s="11" t="inlineStr">
        <is>
          <t>course lecture - no single paper</t>
        </is>
      </c>
      <c r="P219" s="10" t="inlineStr">
        <is>
          <t>D.4.3 Positional encoding, normalization, tokenization</t>
        </is>
      </c>
    </row>
    <row r="220">
      <c r="A220" s="8" t="n">
        <v>219</v>
      </c>
      <c r="B220" s="8" t="inlineStr">
        <is>
          <t>Part I - Foundations</t>
        </is>
      </c>
      <c r="C220" s="9" t="inlineStr">
        <is>
          <t>CS336 individual lectures (2026 edition</t>
        </is>
      </c>
      <c r="D220" s="10" t="inlineStr">
        <is>
          <t>GPUs, TPUs</t>
        </is>
      </c>
      <c r="E220" s="10" t="inlineStr"/>
      <c r="F220" s="11" t="inlineStr">
        <is>
          <t>1:18:39</t>
        </is>
      </c>
      <c r="G220" s="11" t="n">
        <v>1.31</v>
      </c>
      <c r="H220" s="12" t="inlineStr"/>
      <c r="I220" s="11" t="inlineStr">
        <is>
          <t>Not started</t>
        </is>
      </c>
      <c r="J220" s="13" t="n"/>
      <c r="K220" s="10" t="inlineStr"/>
      <c r="L220" s="14" t="inlineStr">
        <is>
          <t>▶ watch</t>
        </is>
      </c>
      <c r="M220" s="10" t="inlineStr"/>
      <c r="N220" s="11" t="inlineStr"/>
      <c r="O220" s="11" t="inlineStr">
        <is>
          <t>course lecture - no single paper</t>
        </is>
      </c>
      <c r="P220" s="10" t="inlineStr"/>
    </row>
    <row r="221">
      <c r="A221" s="8" t="n">
        <v>220</v>
      </c>
      <c r="B221" s="8" t="inlineStr">
        <is>
          <t>Part I - Foundations</t>
        </is>
      </c>
      <c r="C221" s="9" t="inlineStr">
        <is>
          <t>CS336 individual lectures (2026 edition</t>
        </is>
      </c>
      <c r="D221" s="10" t="inlineStr">
        <is>
          <t>Kernels, Triton, XLA</t>
        </is>
      </c>
      <c r="E221" s="10" t="inlineStr"/>
      <c r="F221" s="11" t="inlineStr">
        <is>
          <t>1:26:41</t>
        </is>
      </c>
      <c r="G221" s="11" t="n">
        <v>1.44</v>
      </c>
      <c r="H221" s="12" t="inlineStr">
        <is>
          <t>★</t>
        </is>
      </c>
      <c r="I221" s="11" t="inlineStr">
        <is>
          <t>Not started</t>
        </is>
      </c>
      <c r="J221" s="13" t="n"/>
      <c r="K221" s="10" t="inlineStr"/>
      <c r="L221" s="14" t="inlineStr">
        <is>
          <t>▶ watch</t>
        </is>
      </c>
      <c r="M221" s="10" t="inlineStr"/>
      <c r="N221" s="11" t="inlineStr"/>
      <c r="O221" s="11" t="inlineStr">
        <is>
          <t>course lecture - no single paper</t>
        </is>
      </c>
      <c r="P221" s="10" t="inlineStr"/>
    </row>
    <row r="222">
      <c r="A222" s="8" t="n">
        <v>221</v>
      </c>
      <c r="B222" s="8" t="inlineStr">
        <is>
          <t>Part I - Foundations</t>
        </is>
      </c>
      <c r="C222" s="9" t="inlineStr">
        <is>
          <t>CS336 individual lectures (2026 edition</t>
        </is>
      </c>
      <c r="D222" s="10" t="inlineStr">
        <is>
          <t>Parallelism I</t>
        </is>
      </c>
      <c r="E222" s="10" t="inlineStr"/>
      <c r="F222" s="11" t="inlineStr">
        <is>
          <t>1:21:03</t>
        </is>
      </c>
      <c r="G222" s="11" t="n">
        <v>1.35</v>
      </c>
      <c r="H222" s="12" t="inlineStr"/>
      <c r="I222" s="11" t="inlineStr">
        <is>
          <t>Not started</t>
        </is>
      </c>
      <c r="J222" s="13" t="n"/>
      <c r="K222" s="10" t="inlineStr"/>
      <c r="L222" s="14" t="inlineStr">
        <is>
          <t>▶ watch</t>
        </is>
      </c>
      <c r="M222" s="10" t="inlineStr"/>
      <c r="N222" s="11" t="inlineStr"/>
      <c r="O222" s="11" t="inlineStr">
        <is>
          <t>course lecture - no single paper</t>
        </is>
      </c>
      <c r="P222" s="10" t="inlineStr"/>
    </row>
    <row r="223">
      <c r="A223" s="8" t="n">
        <v>222</v>
      </c>
      <c r="B223" s="8" t="inlineStr">
        <is>
          <t>Part I - Foundations</t>
        </is>
      </c>
      <c r="C223" s="9" t="inlineStr">
        <is>
          <t>CS336 individual lectures (2026 edition</t>
        </is>
      </c>
      <c r="D223" s="10" t="inlineStr">
        <is>
          <t>Parallelism II</t>
        </is>
      </c>
      <c r="E223" s="10" t="inlineStr"/>
      <c r="F223" s="11" t="inlineStr">
        <is>
          <t>1:20:11</t>
        </is>
      </c>
      <c r="G223" s="11" t="n">
        <v>1.34</v>
      </c>
      <c r="H223" s="12" t="inlineStr"/>
      <c r="I223" s="11" t="inlineStr">
        <is>
          <t>Not started</t>
        </is>
      </c>
      <c r="J223" s="13" t="n"/>
      <c r="K223" s="10" t="inlineStr"/>
      <c r="L223" s="14" t="inlineStr">
        <is>
          <t>▶ watch</t>
        </is>
      </c>
      <c r="M223" s="10" t="inlineStr"/>
      <c r="N223" s="11" t="inlineStr"/>
      <c r="O223" s="11" t="inlineStr">
        <is>
          <t>course lecture - no single paper</t>
        </is>
      </c>
      <c r="P223" s="10" t="inlineStr"/>
    </row>
    <row r="224">
      <c r="A224" s="8" t="n">
        <v>223</v>
      </c>
      <c r="B224" s="8" t="inlineStr">
        <is>
          <t>Part I - Foundations</t>
        </is>
      </c>
      <c r="C224" s="9" t="inlineStr">
        <is>
          <t>CS336 individual lectures (2026 edition</t>
        </is>
      </c>
      <c r="D224" s="10" t="inlineStr">
        <is>
          <t>Scaling Laws I</t>
        </is>
      </c>
      <c r="E224" s="10" t="inlineStr">
        <is>
          <t>Stanford</t>
        </is>
      </c>
      <c r="F224" s="11" t="inlineStr">
        <is>
          <t>1:17:57</t>
        </is>
      </c>
      <c r="G224" s="11" t="n">
        <v>1.3</v>
      </c>
      <c r="H224" s="12" t="inlineStr">
        <is>
          <t>★</t>
        </is>
      </c>
      <c r="I224" s="11" t="inlineStr">
        <is>
          <t>Not started</t>
        </is>
      </c>
      <c r="J224" s="13" t="n"/>
      <c r="K224" s="10" t="inlineStr"/>
      <c r="L224" s="14" t="inlineStr">
        <is>
          <t>▶ watch</t>
        </is>
      </c>
      <c r="M224" s="10" t="inlineStr"/>
      <c r="N224" s="11" t="inlineStr"/>
      <c r="O224" s="11" t="inlineStr">
        <is>
          <t>course lecture - no single paper</t>
        </is>
      </c>
      <c r="P224" s="10" t="inlineStr">
        <is>
          <t>D.5.4 Scaling laws</t>
        </is>
      </c>
    </row>
    <row r="225">
      <c r="A225" s="8" t="n">
        <v>224</v>
      </c>
      <c r="B225" s="8" t="inlineStr">
        <is>
          <t>Part I - Foundations</t>
        </is>
      </c>
      <c r="C225" s="9" t="inlineStr">
        <is>
          <t>CS336 individual lectures (2026 edition</t>
        </is>
      </c>
      <c r="D225" s="10" t="inlineStr">
        <is>
          <t>Inference</t>
        </is>
      </c>
      <c r="E225" s="10" t="inlineStr"/>
      <c r="F225" s="11" t="inlineStr">
        <is>
          <t>1:25:30</t>
        </is>
      </c>
      <c r="G225" s="11" t="n">
        <v>1.43</v>
      </c>
      <c r="H225" s="12" t="inlineStr"/>
      <c r="I225" s="11" t="inlineStr">
        <is>
          <t>Not started</t>
        </is>
      </c>
      <c r="J225" s="13" t="n"/>
      <c r="K225" s="10" t="inlineStr"/>
      <c r="L225" s="14" t="inlineStr">
        <is>
          <t>▶ watch</t>
        </is>
      </c>
      <c r="M225" s="10" t="inlineStr"/>
      <c r="N225" s="11" t="inlineStr"/>
      <c r="O225" s="11" t="inlineStr">
        <is>
          <t>course lecture - no single paper</t>
        </is>
      </c>
      <c r="P225" s="10" t="inlineStr"/>
    </row>
    <row r="226">
      <c r="A226" s="8" t="n">
        <v>225</v>
      </c>
      <c r="B226" s="8" t="inlineStr">
        <is>
          <t>Part I - Foundations</t>
        </is>
      </c>
      <c r="C226" s="9" t="inlineStr">
        <is>
          <t>CS336 individual lectures (2026 edition</t>
        </is>
      </c>
      <c r="D226" s="10" t="inlineStr">
        <is>
          <t>Scaling Laws II</t>
        </is>
      </c>
      <c r="E226" s="10" t="inlineStr">
        <is>
          <t>Stanford</t>
        </is>
      </c>
      <c r="F226" s="11" t="inlineStr">
        <is>
          <t>1:17:04</t>
        </is>
      </c>
      <c r="G226" s="11" t="n">
        <v>1.28</v>
      </c>
      <c r="H226" s="12" t="inlineStr">
        <is>
          <t>★</t>
        </is>
      </c>
      <c r="I226" s="11" t="inlineStr">
        <is>
          <t>Not started</t>
        </is>
      </c>
      <c r="J226" s="13" t="n"/>
      <c r="K226" s="10" t="inlineStr"/>
      <c r="L226" s="14" t="inlineStr">
        <is>
          <t>▶ watch</t>
        </is>
      </c>
      <c r="M226" s="10" t="inlineStr"/>
      <c r="N226" s="11" t="inlineStr"/>
      <c r="O226" s="11" t="inlineStr">
        <is>
          <t>course lecture - no single paper</t>
        </is>
      </c>
      <c r="P226" s="10" t="inlineStr">
        <is>
          <t>D.5.4 Scaling laws</t>
        </is>
      </c>
    </row>
    <row r="227">
      <c r="A227" s="8" t="n">
        <v>226</v>
      </c>
      <c r="B227" s="8" t="inlineStr">
        <is>
          <t>Part I - Foundations</t>
        </is>
      </c>
      <c r="C227" s="9" t="inlineStr">
        <is>
          <t>CS336 individual lectures (2026 edition</t>
        </is>
      </c>
      <c r="D227" s="10" t="inlineStr">
        <is>
          <t>Evaluation</t>
        </is>
      </c>
      <c r="E227" s="10" t="inlineStr">
        <is>
          <t>Stanford</t>
        </is>
      </c>
      <c r="F227" s="11" t="inlineStr">
        <is>
          <t>1:18:34</t>
        </is>
      </c>
      <c r="G227" s="11" t="n">
        <v>1.31</v>
      </c>
      <c r="H227" s="12" t="inlineStr">
        <is>
          <t>★</t>
        </is>
      </c>
      <c r="I227" s="11" t="inlineStr">
        <is>
          <t>Not started</t>
        </is>
      </c>
      <c r="J227" s="13" t="n"/>
      <c r="K227" s="10" t="inlineStr"/>
      <c r="L227" s="14" t="inlineStr">
        <is>
          <t>▶ watch</t>
        </is>
      </c>
      <c r="M227" s="10" t="inlineStr"/>
      <c r="N227" s="11" t="inlineStr"/>
      <c r="O227" s="11" t="inlineStr">
        <is>
          <t>course lecture - no single paper</t>
        </is>
      </c>
      <c r="P227" s="10" t="inlineStr">
        <is>
          <t>S.3 Statistics and experimental design</t>
        </is>
      </c>
    </row>
    <row r="228">
      <c r="A228" s="8" t="n">
        <v>227</v>
      </c>
      <c r="B228" s="8" t="inlineStr">
        <is>
          <t>Part I - Foundations</t>
        </is>
      </c>
      <c r="C228" s="9" t="inlineStr">
        <is>
          <t>CS336 individual lectures (2026 edition</t>
        </is>
      </c>
      <c r="D228" s="10" t="inlineStr">
        <is>
          <t>Data: Sources, Datasets</t>
        </is>
      </c>
      <c r="E228" s="10" t="inlineStr">
        <is>
          <t>Stanford</t>
        </is>
      </c>
      <c r="F228" s="11" t="inlineStr">
        <is>
          <t>1:22:02</t>
        </is>
      </c>
      <c r="G228" s="11" t="n">
        <v>1.37</v>
      </c>
      <c r="H228" s="12" t="inlineStr">
        <is>
          <t>★</t>
        </is>
      </c>
      <c r="I228" s="11" t="inlineStr">
        <is>
          <t>Not started</t>
        </is>
      </c>
      <c r="J228" s="13" t="n"/>
      <c r="K228" s="10" t="inlineStr"/>
      <c r="L228" s="14" t="inlineStr">
        <is>
          <t>▶ watch</t>
        </is>
      </c>
      <c r="M228" s="10" t="inlineStr"/>
      <c r="N228" s="11" t="inlineStr"/>
      <c r="O228" s="11" t="inlineStr">
        <is>
          <t>course lecture - no single paper</t>
        </is>
      </c>
      <c r="P228" s="10" t="inlineStr">
        <is>
          <t>D.5.5 Data - the chapter that transfers most cleanly</t>
        </is>
      </c>
    </row>
    <row r="229">
      <c r="A229" s="8" t="n">
        <v>228</v>
      </c>
      <c r="B229" s="8" t="inlineStr">
        <is>
          <t>Part I - Foundations</t>
        </is>
      </c>
      <c r="C229" s="9" t="inlineStr">
        <is>
          <t>CS336 individual lectures (2026 edition</t>
        </is>
      </c>
      <c r="D229" s="10" t="inlineStr">
        <is>
          <t>Data II</t>
        </is>
      </c>
      <c r="E229" s="10" t="inlineStr">
        <is>
          <t>Stanford</t>
        </is>
      </c>
      <c r="F229" s="11" t="inlineStr">
        <is>
          <t>1:24:46</t>
        </is>
      </c>
      <c r="G229" s="11" t="n">
        <v>1.41</v>
      </c>
      <c r="H229" s="12" t="inlineStr">
        <is>
          <t>★</t>
        </is>
      </c>
      <c r="I229" s="11" t="inlineStr">
        <is>
          <t>Not started</t>
        </is>
      </c>
      <c r="J229" s="13" t="n"/>
      <c r="K229" s="10" t="inlineStr"/>
      <c r="L229" s="14" t="inlineStr">
        <is>
          <t>▶ watch</t>
        </is>
      </c>
      <c r="M229" s="10" t="inlineStr"/>
      <c r="N229" s="11" t="inlineStr"/>
      <c r="O229" s="11" t="inlineStr">
        <is>
          <t>course lecture - no single paper</t>
        </is>
      </c>
      <c r="P229" s="10" t="inlineStr">
        <is>
          <t>D.5.5 Data - the chapter that transfers most cleanly</t>
        </is>
      </c>
    </row>
    <row r="230">
      <c r="A230" s="8" t="n">
        <v>229</v>
      </c>
      <c r="B230" s="8" t="inlineStr">
        <is>
          <t>Part I - Foundations</t>
        </is>
      </c>
      <c r="C230" s="9" t="inlineStr">
        <is>
          <t>CS336 individual lectures (2026 edition</t>
        </is>
      </c>
      <c r="D230" s="10" t="inlineStr">
        <is>
          <t>Mid/Post-Training</t>
        </is>
      </c>
      <c r="E230" s="10" t="inlineStr"/>
      <c r="F230" s="11" t="inlineStr">
        <is>
          <t>1:19:55</t>
        </is>
      </c>
      <c r="G230" s="11" t="n">
        <v>1.33</v>
      </c>
      <c r="H230" s="12" t="inlineStr"/>
      <c r="I230" s="11" t="inlineStr">
        <is>
          <t>Not started</t>
        </is>
      </c>
      <c r="J230" s="13" t="n"/>
      <c r="K230" s="10" t="inlineStr"/>
      <c r="L230" s="14" t="inlineStr">
        <is>
          <t>▶ watch</t>
        </is>
      </c>
      <c r="M230" s="10" t="inlineStr"/>
      <c r="N230" s="11" t="inlineStr"/>
      <c r="O230" s="11" t="inlineStr">
        <is>
          <t>course lecture - no single paper</t>
        </is>
      </c>
      <c r="P230" s="10" t="inlineStr"/>
    </row>
    <row r="231">
      <c r="A231" s="8" t="n">
        <v>230</v>
      </c>
      <c r="B231" s="8" t="inlineStr">
        <is>
          <t>Part I - Foundations</t>
        </is>
      </c>
      <c r="C231" s="9" t="inlineStr">
        <is>
          <t>CS336 individual lectures (2026 edition</t>
        </is>
      </c>
      <c r="D231" s="10" t="inlineStr">
        <is>
          <t>Post-Training: RLVR</t>
        </is>
      </c>
      <c r="E231" s="10" t="inlineStr">
        <is>
          <t>Stanford</t>
        </is>
      </c>
      <c r="F231" s="11" t="inlineStr">
        <is>
          <t>1:15:51</t>
        </is>
      </c>
      <c r="G231" s="11" t="n">
        <v>1.26</v>
      </c>
      <c r="H231" s="12" t="inlineStr">
        <is>
          <t>★</t>
        </is>
      </c>
      <c r="I231" s="11" t="inlineStr">
        <is>
          <t>Not started</t>
        </is>
      </c>
      <c r="J231" s="13" t="n"/>
      <c r="K231" s="10" t="inlineStr"/>
      <c r="L231" s="14" t="inlineStr">
        <is>
          <t>▶ watch</t>
        </is>
      </c>
      <c r="M231" s="10" t="inlineStr"/>
      <c r="N231" s="11" t="inlineStr"/>
      <c r="O231" s="11" t="inlineStr">
        <is>
          <t>course lecture - no single paper</t>
        </is>
      </c>
      <c r="P231" s="10" t="inlineStr">
        <is>
          <t>D.6.4 RLVR - reinforcement learning with verifiable rewards</t>
        </is>
      </c>
    </row>
    <row r="232">
      <c r="A232" s="8" t="n">
        <v>231</v>
      </c>
      <c r="B232" s="8" t="inlineStr">
        <is>
          <t>Part I - Foundations</t>
        </is>
      </c>
      <c r="C232" s="9" t="inlineStr">
        <is>
          <t>CS336 individual lectures (2026 edition</t>
        </is>
      </c>
      <c r="D232" s="10" t="inlineStr">
        <is>
          <t>Alignment, Multimodality</t>
        </is>
      </c>
      <c r="E232" s="10" t="inlineStr"/>
      <c r="F232" s="11" t="inlineStr">
        <is>
          <t>1:17:40</t>
        </is>
      </c>
      <c r="G232" s="11" t="n">
        <v>1.29</v>
      </c>
      <c r="H232" s="12" t="inlineStr"/>
      <c r="I232" s="11" t="inlineStr">
        <is>
          <t>Not started</t>
        </is>
      </c>
      <c r="J232" s="13" t="n"/>
      <c r="K232" s="10" t="inlineStr"/>
      <c r="L232" s="14" t="inlineStr">
        <is>
          <t>▶ watch</t>
        </is>
      </c>
      <c r="M232" s="10" t="inlineStr"/>
      <c r="N232" s="11" t="inlineStr"/>
      <c r="O232" s="11" t="inlineStr">
        <is>
          <t>course lecture - no single paper</t>
        </is>
      </c>
      <c r="P232" s="10" t="inlineStr"/>
    </row>
    <row r="233">
      <c r="A233" s="8" t="n">
        <v>232</v>
      </c>
      <c r="B233" s="8" t="inlineStr">
        <is>
          <t>Part I - Foundations</t>
        </is>
      </c>
      <c r="C233" s="9" t="inlineStr">
        <is>
          <t>CS336 individual lectures (2026 edition</t>
        </is>
      </c>
      <c r="D233" s="10" t="inlineStr">
        <is>
          <t>Guest Lecture: Dan Fu</t>
        </is>
      </c>
      <c r="E233" s="10" t="inlineStr"/>
      <c r="F233" s="11" t="inlineStr">
        <is>
          <t>1:11:41</t>
        </is>
      </c>
      <c r="G233" s="11" t="n">
        <v>1.19</v>
      </c>
      <c r="H233" s="12" t="inlineStr"/>
      <c r="I233" s="11" t="inlineStr">
        <is>
          <t>Not started</t>
        </is>
      </c>
      <c r="J233" s="13" t="n"/>
      <c r="K233" s="10" t="inlineStr"/>
      <c r="L233" s="14" t="inlineStr">
        <is>
          <t>▶ watch</t>
        </is>
      </c>
      <c r="M233" s="10" t="inlineStr"/>
      <c r="N233" s="11" t="inlineStr"/>
      <c r="O233" s="11" t="inlineStr">
        <is>
          <t>course lecture - no single paper</t>
        </is>
      </c>
      <c r="P233" s="10" t="inlineStr"/>
    </row>
    <row r="234">
      <c r="A234" s="8" t="n">
        <v>233</v>
      </c>
      <c r="B234" s="8" t="inlineStr">
        <is>
          <t>Part I - Foundations</t>
        </is>
      </c>
      <c r="C234" s="9" t="inlineStr">
        <is>
          <t>B.3.8 Large-scale data, search, and complexity</t>
        </is>
      </c>
      <c r="D234" s="10" t="inlineStr">
        <is>
          <t>Quincey Koziol (HDF Group / LBNL</t>
        </is>
      </c>
      <c r="E234" s="10" t="inlineStr">
        <is>
          <t>Introduction to HDF5</t>
        </is>
      </c>
      <c r="F234" s="11" t="inlineStr">
        <is>
          <t>1:17:10</t>
        </is>
      </c>
      <c r="G234" s="11" t="n">
        <v>1.29</v>
      </c>
      <c r="H234" s="12" t="inlineStr">
        <is>
          <t>★</t>
        </is>
      </c>
      <c r="I234" s="11" t="inlineStr">
        <is>
          <t>Not started</t>
        </is>
      </c>
      <c r="J234" s="13" t="n"/>
      <c r="K234" s="10" t="inlineStr"/>
      <c r="L234" s="14" t="inlineStr">
        <is>
          <t>▶ watch</t>
        </is>
      </c>
      <c r="M234" s="10" t="inlineStr"/>
      <c r="N234" s="11" t="inlineStr"/>
      <c r="O234" s="11" t="inlineStr">
        <is>
          <t>course lecture - no single paper</t>
        </is>
      </c>
      <c r="P234" s="10" t="inlineStr"/>
    </row>
    <row r="235">
      <c r="A235" s="8" t="n">
        <v>234</v>
      </c>
      <c r="B235" s="8" t="inlineStr">
        <is>
          <t>Part I - Foundations</t>
        </is>
      </c>
      <c r="C235" s="9" t="inlineStr">
        <is>
          <t>B.3.8 Large-scale data, search, and complexity</t>
        </is>
      </c>
      <c r="D235" s="10" t="inlineStr">
        <is>
          <t>Quincey Koziol</t>
        </is>
      </c>
      <c r="E235" s="10" t="inlineStr">
        <is>
          <t>Parallel HDF5</t>
        </is>
      </c>
      <c r="F235" s="11" t="inlineStr">
        <is>
          <t>40:01</t>
        </is>
      </c>
      <c r="G235" s="11" t="n">
        <v>0.67</v>
      </c>
      <c r="H235" s="12" t="inlineStr">
        <is>
          <t>★</t>
        </is>
      </c>
      <c r="I235" s="11" t="inlineStr">
        <is>
          <t>Not started</t>
        </is>
      </c>
      <c r="J235" s="13" t="n"/>
      <c r="K235" s="10" t="inlineStr"/>
      <c r="L235" s="14" t="inlineStr">
        <is>
          <t>▶ watch</t>
        </is>
      </c>
      <c r="M235" s="10" t="inlineStr"/>
      <c r="N235" s="11" t="inlineStr"/>
      <c r="O235" s="11" t="inlineStr">
        <is>
          <t>course lecture - no single paper</t>
        </is>
      </c>
      <c r="P235" s="10" t="inlineStr"/>
    </row>
    <row r="236">
      <c r="A236" s="8" t="n">
        <v>235</v>
      </c>
      <c r="B236" s="8" t="inlineStr">
        <is>
          <t>Part I - Foundations</t>
        </is>
      </c>
      <c r="C236" s="9" t="inlineStr">
        <is>
          <t>B.3.8 Large-scale data, search, and complexity</t>
        </is>
      </c>
      <c r="D236" s="10" t="inlineStr">
        <is>
          <t>Quincey Koziol</t>
        </is>
      </c>
      <c r="E236" s="10" t="inlineStr">
        <is>
          <t>Scalable HDF5</t>
        </is>
      </c>
      <c r="F236" s="11" t="inlineStr">
        <is>
          <t>1:13:42</t>
        </is>
      </c>
      <c r="G236" s="11" t="n">
        <v>1.23</v>
      </c>
      <c r="H236" s="12" t="inlineStr">
        <is>
          <t>★</t>
        </is>
      </c>
      <c r="I236" s="11" t="inlineStr">
        <is>
          <t>Not started</t>
        </is>
      </c>
      <c r="J236" s="13" t="n"/>
      <c r="K236" s="10" t="inlineStr"/>
      <c r="L236" s="14" t="inlineStr">
        <is>
          <t>▶ watch</t>
        </is>
      </c>
      <c r="M236" s="10" t="inlineStr"/>
      <c r="N236" s="11" t="inlineStr"/>
      <c r="O236" s="11" t="inlineStr">
        <is>
          <t>course lecture - no single paper</t>
        </is>
      </c>
      <c r="P236" s="10" t="inlineStr"/>
    </row>
    <row r="237">
      <c r="A237" s="8" t="n">
        <v>236</v>
      </c>
      <c r="B237" s="8" t="inlineStr">
        <is>
          <t>Part I - Foundations</t>
        </is>
      </c>
      <c r="C237" s="9" t="inlineStr">
        <is>
          <t>B.3.8 Large-scale data, search, and complexity</t>
        </is>
      </c>
      <c r="D237" s="10" t="inlineStr">
        <is>
          <t>Tutorial: Zarr</t>
        </is>
      </c>
      <c r="E237" s="10" t="inlineStr">
        <is>
          <t>optional</t>
        </is>
      </c>
      <c r="F237" s="11" t="inlineStr">
        <is>
          <t>1:00:32</t>
        </is>
      </c>
      <c r="G237" s="11" t="n">
        <v>1.01</v>
      </c>
      <c r="H237" s="12" t="inlineStr"/>
      <c r="I237" s="11" t="inlineStr">
        <is>
          <t>Not started</t>
        </is>
      </c>
      <c r="J237" s="13" t="n"/>
      <c r="K237" s="10" t="inlineStr"/>
      <c r="L237" s="14" t="inlineStr">
        <is>
          <t>▶ watch</t>
        </is>
      </c>
      <c r="M237" s="10" t="inlineStr"/>
      <c r="N237" s="11" t="inlineStr"/>
      <c r="O237" s="11" t="inlineStr">
        <is>
          <t>course lecture - no single paper</t>
        </is>
      </c>
      <c r="P237" s="10" t="inlineStr"/>
    </row>
    <row r="238">
      <c r="A238" s="8" t="n">
        <v>237</v>
      </c>
      <c r="B238" s="8" t="inlineStr">
        <is>
          <t>Part I - Foundations</t>
        </is>
      </c>
      <c r="C238" s="9" t="inlineStr">
        <is>
          <t>B.3.8 Large-scale data, search, and complexity</t>
        </is>
      </c>
      <c r="D238" s="10" t="inlineStr">
        <is>
          <t>Sanket Verma (PyData Global</t>
        </is>
      </c>
      <c r="E238" s="10" t="inlineStr">
        <is>
          <t>The Beauty of Zarr</t>
        </is>
      </c>
      <c r="F238" s="11" t="inlineStr">
        <is>
          <t>28:24</t>
        </is>
      </c>
      <c r="G238" s="11" t="n">
        <v>0.47</v>
      </c>
      <c r="H238" s="12" t="inlineStr"/>
      <c r="I238" s="11" t="inlineStr">
        <is>
          <t>Not started</t>
        </is>
      </c>
      <c r="J238" s="13" t="n"/>
      <c r="K238" s="10" t="inlineStr"/>
      <c r="L238" s="14" t="inlineStr">
        <is>
          <t>▶ watch</t>
        </is>
      </c>
      <c r="M238" s="10" t="inlineStr"/>
      <c r="N238" s="11" t="inlineStr"/>
      <c r="O238" s="11" t="inlineStr">
        <is>
          <t>course lecture - no single paper</t>
        </is>
      </c>
      <c r="P238" s="10" t="inlineStr"/>
    </row>
    <row r="239">
      <c r="A239" s="8" t="n">
        <v>238</v>
      </c>
      <c r="B239" s="8" t="inlineStr">
        <is>
          <t>Part I - Foundations</t>
        </is>
      </c>
      <c r="C239" s="9" t="inlineStr">
        <is>
          <t>B.3.8 Large-scale data, search, and complexity</t>
        </is>
      </c>
      <c r="D239" s="10" t="inlineStr">
        <is>
          <t>Billion-scale Approximate Nearest Neighbor Search</t>
        </is>
      </c>
      <c r="E239" s="10" t="inlineStr">
        <is>
          <t>Yusuke Matsui (CVPR 2020 tutorial</t>
        </is>
      </c>
      <c r="F239" s="11" t="inlineStr">
        <is>
          <t>47:36</t>
        </is>
      </c>
      <c r="G239" s="11" t="n">
        <v>0.79</v>
      </c>
      <c r="H239" s="12" t="inlineStr">
        <is>
          <t>★</t>
        </is>
      </c>
      <c r="I239" s="11" t="inlineStr">
        <is>
          <t>Not started</t>
        </is>
      </c>
      <c r="J239" s="13" t="n"/>
      <c r="K239" s="10" t="inlineStr"/>
      <c r="L239" s="14" t="inlineStr">
        <is>
          <t>▶ watch</t>
        </is>
      </c>
      <c r="M239" s="10" t="inlineStr"/>
      <c r="N239" s="11" t="inlineStr"/>
      <c r="O239" s="11" t="inlineStr">
        <is>
          <t>course lecture - no single paper</t>
        </is>
      </c>
      <c r="P239" s="10" t="inlineStr"/>
    </row>
    <row r="240">
      <c r="A240" s="8" t="n">
        <v>239</v>
      </c>
      <c r="B240" s="8" t="inlineStr">
        <is>
          <t>Part I - Foundations</t>
        </is>
      </c>
      <c r="C240" s="9" t="inlineStr">
        <is>
          <t>B.3.8 Large-scale data, search, and complexity</t>
        </is>
      </c>
      <c r="D240" s="10" t="inlineStr">
        <is>
          <t>Neural Search in Action</t>
        </is>
      </c>
      <c r="E240" s="10" t="inlineStr">
        <is>
          <t>CVPR tutorial</t>
        </is>
      </c>
      <c r="F240" s="11" t="inlineStr">
        <is>
          <t>3:12:55</t>
        </is>
      </c>
      <c r="G240" s="11" t="n">
        <v>3.22</v>
      </c>
      <c r="H240" s="12" t="inlineStr"/>
      <c r="I240" s="11" t="inlineStr">
        <is>
          <t>Not started</t>
        </is>
      </c>
      <c r="J240" s="13" t="n"/>
      <c r="K240" s="10" t="inlineStr"/>
      <c r="L240" s="14" t="inlineStr">
        <is>
          <t>▶ watch</t>
        </is>
      </c>
      <c r="M240" s="10" t="inlineStr"/>
      <c r="N240" s="11" t="inlineStr"/>
      <c r="O240" s="11" t="inlineStr">
        <is>
          <t>course lecture - no single paper</t>
        </is>
      </c>
      <c r="P240" s="10" t="inlineStr"/>
    </row>
    <row r="241">
      <c r="A241" s="8" t="n">
        <v>240</v>
      </c>
      <c r="B241" s="8" t="inlineStr">
        <is>
          <t>Part I - Foundations</t>
        </is>
      </c>
      <c r="C241" s="9" t="inlineStr">
        <is>
          <t>B.4.3 Protein structure and folding</t>
        </is>
      </c>
      <c r="D241" s="10" t="inlineStr">
        <is>
          <t>IPD lecture 1: Intro + review of protein structure (41:06</t>
        </is>
      </c>
      <c r="E241" s="10" t="inlineStr"/>
      <c r="F241" s="11" t="inlineStr">
        <is>
          <t>41:06</t>
        </is>
      </c>
      <c r="G241" s="11" t="n">
        <v>0.6899999999999999</v>
      </c>
      <c r="H241" s="12" t="inlineStr">
        <is>
          <t>★</t>
        </is>
      </c>
      <c r="I241" s="11" t="inlineStr">
        <is>
          <t>Not started</t>
        </is>
      </c>
      <c r="J241" s="13" t="n"/>
      <c r="K241" s="10" t="inlineStr"/>
      <c r="L241" s="14" t="inlineStr">
        <is>
          <t>▶ watch</t>
        </is>
      </c>
      <c r="M241" s="10" t="inlineStr">
        <is>
          <t>Ramachandran et al. 1963, J Mol Biol 7:95 · Anfinsen 1973, Science 181:223</t>
        </is>
      </c>
      <c r="N241" s="14" t="inlineStr">
        <is>
          <t>read ↗</t>
        </is>
      </c>
      <c r="O241" s="11" t="inlineStr">
        <is>
          <t>section reading (2 of 5)</t>
        </is>
      </c>
      <c r="P241" s="10" t="inlineStr">
        <is>
          <t>B.1 Jeffrey Gray - Computational Protein Structure Prediction and Design (JHU 540.414/614; Intro to Protein Structure Prediction and Design - 12 lectures; L.1 The classical course</t>
        </is>
      </c>
    </row>
    <row r="242">
      <c r="A242" s="8" t="n">
        <v>241</v>
      </c>
      <c r="B242" s="8" t="inlineStr">
        <is>
          <t>Part I - Foundations</t>
        </is>
      </c>
      <c r="C242" s="9" t="inlineStr">
        <is>
          <t>B.4.3 Protein structure and folding</t>
        </is>
      </c>
      <c r="D242" s="10" t="inlineStr">
        <is>
          <t>IPD lecture 2: Protein Geometry (1:09:31</t>
        </is>
      </c>
      <c r="E242" s="10" t="inlineStr"/>
      <c r="F242" s="11" t="inlineStr">
        <is>
          <t>1:09:31</t>
        </is>
      </c>
      <c r="G242" s="11" t="n">
        <v>1.16</v>
      </c>
      <c r="H242" s="12" t="inlineStr">
        <is>
          <t>★</t>
        </is>
      </c>
      <c r="I242" s="11" t="inlineStr">
        <is>
          <t>Not started</t>
        </is>
      </c>
      <c r="J242" s="13" t="n"/>
      <c r="K242" s="10" t="inlineStr"/>
      <c r="L242" s="14" t="inlineStr">
        <is>
          <t>▶ watch</t>
        </is>
      </c>
      <c r="M242" s="10" t="inlineStr">
        <is>
          <t>Ramachandran et al. 1963, J Mol Biol 7:95 · Anfinsen 1973, Science 181:223</t>
        </is>
      </c>
      <c r="N242" s="14" t="inlineStr">
        <is>
          <t>read ↗</t>
        </is>
      </c>
      <c r="O242" s="11" t="inlineStr">
        <is>
          <t>section reading (2 of 5)</t>
        </is>
      </c>
      <c r="P242" s="10" t="inlineStr">
        <is>
          <t>B.1 Jeffrey Gray - Computational Protein Structure Prediction and Design (JHU 540.414/614; Intro to Protein Structure Prediction and Design - 12 lectures; L.1 The classical course</t>
        </is>
      </c>
    </row>
    <row r="243">
      <c r="A243" s="15" t="n">
        <v>242</v>
      </c>
      <c r="B243" s="15" t="inlineStr">
        <is>
          <t>Part II - The Method Atlas</t>
        </is>
      </c>
      <c r="C243" s="16" t="inlineStr">
        <is>
          <t>A.1 Empirical force fields</t>
        </is>
      </c>
      <c r="D243" s="10" t="inlineStr">
        <is>
          <t>Introduction to Classical Force Fields</t>
        </is>
      </c>
      <c r="E243" s="10" t="inlineStr">
        <is>
          <t>Emad Tajkhorshid (UIUC TCBG</t>
        </is>
      </c>
      <c r="F243" s="11" t="inlineStr">
        <is>
          <t>1:33:42</t>
        </is>
      </c>
      <c r="G243" s="11" t="n">
        <v>1.56</v>
      </c>
      <c r="H243" s="12" t="inlineStr"/>
      <c r="I243" s="11" t="inlineStr">
        <is>
          <t>Not started</t>
        </is>
      </c>
      <c r="J243" s="13" t="n"/>
      <c r="K243" s="10" t="inlineStr"/>
      <c r="L243" s="14" t="inlineStr">
        <is>
          <t>▶ watch</t>
        </is>
      </c>
      <c r="M243" s="10" t="inlineStr">
        <is>
          <t>Best et al. 2012 (CHARMM36); Maier et al. 2015 (ff14SB)</t>
        </is>
      </c>
      <c r="N243" s="14" t="inlineStr">
        <is>
          <t>read ↗</t>
        </is>
      </c>
      <c r="O243" s="11" t="inlineStr">
        <is>
          <t>paired reading</t>
        </is>
      </c>
      <c r="P243" s="10" t="inlineStr"/>
    </row>
    <row r="244">
      <c r="A244" s="15" t="n">
        <v>243</v>
      </c>
      <c r="B244" s="15" t="inlineStr">
        <is>
          <t>Part II - The Method Atlas</t>
        </is>
      </c>
      <c r="C244" s="16" t="inlineStr">
        <is>
          <t>A.1 Empirical force fields</t>
        </is>
      </c>
      <c r="D244" s="10" t="inlineStr">
        <is>
          <t>Introduction to Force Field Toolkit (ffTK</t>
        </is>
      </c>
      <c r="E244" s="10" t="inlineStr">
        <is>
          <t>Christopher Mayne (UIUC</t>
        </is>
      </c>
      <c r="F244" s="11" t="inlineStr">
        <is>
          <t>1:08:24</t>
        </is>
      </c>
      <c r="G244" s="11" t="n">
        <v>1.14</v>
      </c>
      <c r="H244" s="12" t="inlineStr"/>
      <c r="I244" s="11" t="inlineStr">
        <is>
          <t>Not started</t>
        </is>
      </c>
      <c r="J244" s="13" t="n"/>
      <c r="K244" s="10" t="inlineStr"/>
      <c r="L244" s="14" t="inlineStr">
        <is>
          <t>▶ watch</t>
        </is>
      </c>
      <c r="M244" s="10" t="inlineStr"/>
      <c r="N244" s="11" t="inlineStr"/>
      <c r="O244" s="11" t="inlineStr">
        <is>
          <t>course lecture - no single paper</t>
        </is>
      </c>
      <c r="P244" s="10" t="inlineStr"/>
    </row>
    <row r="245">
      <c r="A245" s="15" t="n">
        <v>244</v>
      </c>
      <c r="B245" s="15" t="inlineStr">
        <is>
          <t>Part II - The Method Atlas</t>
        </is>
      </c>
      <c r="C245" s="16" t="inlineStr">
        <is>
          <t>A.1 Empirical force fields</t>
        </is>
      </c>
      <c r="D245" s="10" t="inlineStr">
        <is>
          <t>BioExcel #58: CHARMM Force Field Development History and Features</t>
        </is>
      </c>
      <c r="E245" s="10" t="inlineStr">
        <is>
          <t>BioExcel CoE</t>
        </is>
      </c>
      <c r="F245" s="11" t="inlineStr">
        <is>
          <t>1:07:56</t>
        </is>
      </c>
      <c r="G245" s="11" t="n">
        <v>1.13</v>
      </c>
      <c r="H245" s="12" t="inlineStr"/>
      <c r="I245" s="11" t="inlineStr">
        <is>
          <t>Not started</t>
        </is>
      </c>
      <c r="J245" s="13" t="n"/>
      <c r="K245" s="10" t="inlineStr"/>
      <c r="L245" s="14" t="inlineStr">
        <is>
          <t>▶ watch</t>
        </is>
      </c>
      <c r="M245" s="10" t="inlineStr"/>
      <c r="N245" s="11" t="inlineStr"/>
      <c r="O245" s="11" t="inlineStr">
        <is>
          <t>course lecture - no single paper</t>
        </is>
      </c>
      <c r="P245" s="10" t="inlineStr"/>
    </row>
    <row r="246">
      <c r="A246" s="15" t="n">
        <v>245</v>
      </c>
      <c r="B246" s="15" t="inlineStr">
        <is>
          <t>Part II - The Method Atlas</t>
        </is>
      </c>
      <c r="C246" s="16" t="inlineStr">
        <is>
          <t>A.1 Empirical force fields</t>
        </is>
      </c>
      <c r="D246" s="10" t="inlineStr">
        <is>
          <t>Electrostatics: Fixed Point Charges and Polarization</t>
        </is>
      </c>
      <c r="E246" s="10" t="inlineStr">
        <is>
          <t>OpenFF</t>
        </is>
      </c>
      <c r="F246" s="11" t="inlineStr">
        <is>
          <t>1:00:12</t>
        </is>
      </c>
      <c r="G246" s="11" t="n">
        <v>1</v>
      </c>
      <c r="H246" s="12" t="inlineStr"/>
      <c r="I246" s="11" t="inlineStr">
        <is>
          <t>Not started</t>
        </is>
      </c>
      <c r="J246" s="13" t="n"/>
      <c r="K246" s="10" t="inlineStr"/>
      <c r="L246" s="14" t="inlineStr">
        <is>
          <t>▶ watch</t>
        </is>
      </c>
      <c r="M246" s="10" t="inlineStr"/>
      <c r="N246" s="11" t="inlineStr"/>
      <c r="O246" s="11" t="inlineStr">
        <is>
          <t>course lecture - no single paper</t>
        </is>
      </c>
      <c r="P246" s="10" t="inlineStr"/>
    </row>
    <row r="247">
      <c r="A247" s="15" t="n">
        <v>246</v>
      </c>
      <c r="B247" s="15" t="inlineStr">
        <is>
          <t>Part II - The Method Atlas</t>
        </is>
      </c>
      <c r="C247" s="16" t="inlineStr">
        <is>
          <t>A.1 Empirical force fields</t>
        </is>
      </c>
      <c r="D247" s="10" t="inlineStr">
        <is>
          <t>Accuracy of the AMOEBA Force Field in Binding Free Energy Simulations</t>
        </is>
      </c>
      <c r="E247" s="10" t="inlineStr">
        <is>
          <t>Jay Ponder (WashU</t>
        </is>
      </c>
      <c r="F247" s="11" t="inlineStr">
        <is>
          <t>30:24</t>
        </is>
      </c>
      <c r="G247" s="11" t="n">
        <v>0.51</v>
      </c>
      <c r="H247" s="12" t="inlineStr"/>
      <c r="I247" s="11" t="inlineStr">
        <is>
          <t>Not started</t>
        </is>
      </c>
      <c r="J247" s="13" t="n"/>
      <c r="K247" s="10" t="inlineStr"/>
      <c r="L247" s="14" t="inlineStr">
        <is>
          <t>▶ watch</t>
        </is>
      </c>
      <c r="M247" s="10" t="inlineStr"/>
      <c r="N247" s="11" t="inlineStr"/>
      <c r="O247" s="11" t="inlineStr">
        <is>
          <t>course lecture - no single paper</t>
        </is>
      </c>
      <c r="P247" s="10" t="inlineStr">
        <is>
          <t>Alchemical foundations</t>
        </is>
      </c>
    </row>
    <row r="248">
      <c r="A248" s="15" t="n">
        <v>247</v>
      </c>
      <c r="B248" s="15" t="inlineStr">
        <is>
          <t>Part II - The Method Atlas</t>
        </is>
      </c>
      <c r="C248" s="16" t="inlineStr">
        <is>
          <t>A.1 Empirical force fields</t>
        </is>
      </c>
      <c r="D248" s="10" t="inlineStr">
        <is>
          <t>Strategies for ab initio Biomolecular Force Field Development</t>
        </is>
      </c>
      <c r="E248" s="10" t="inlineStr">
        <is>
          <t>David Cerutti</t>
        </is>
      </c>
      <c r="F248" s="11" t="inlineStr">
        <is>
          <t>58:42</t>
        </is>
      </c>
      <c r="G248" s="11" t="n">
        <v>0.98</v>
      </c>
      <c r="H248" s="12" t="inlineStr"/>
      <c r="I248" s="11" t="inlineStr">
        <is>
          <t>Not started</t>
        </is>
      </c>
      <c r="J248" s="13" t="n"/>
      <c r="K248" s="10" t="inlineStr"/>
      <c r="L248" s="14" t="inlineStr">
        <is>
          <t>▶ watch</t>
        </is>
      </c>
      <c r="M248" s="10" t="inlineStr"/>
      <c r="N248" s="11" t="inlineStr"/>
      <c r="O248" s="11" t="inlineStr">
        <is>
          <t>course lecture - no single paper</t>
        </is>
      </c>
      <c r="P248" s="10" t="inlineStr"/>
    </row>
    <row r="249">
      <c r="A249" s="15" t="n">
        <v>248</v>
      </c>
      <c r="B249" s="15" t="inlineStr">
        <is>
          <t>Part II - The Method Atlas</t>
        </is>
      </c>
      <c r="C249" s="16" t="inlineStr">
        <is>
          <t>A.1 Empirical force fields</t>
        </is>
      </c>
      <c r="D249" s="10" t="inlineStr">
        <is>
          <t>Automated Optimization of the CHARMM Lipid Force Field</t>
        </is>
      </c>
      <c r="E249" s="10" t="inlineStr">
        <is>
          <t>Andreas Krämer</t>
        </is>
      </c>
      <c r="F249" s="11" t="inlineStr">
        <is>
          <t>1:03:55</t>
        </is>
      </c>
      <c r="G249" s="11" t="n">
        <v>1.07</v>
      </c>
      <c r="H249" s="12" t="inlineStr"/>
      <c r="I249" s="11" t="inlineStr">
        <is>
          <t>Not started</t>
        </is>
      </c>
      <c r="J249" s="13" t="n"/>
      <c r="K249" s="10" t="inlineStr"/>
      <c r="L249" s="14" t="inlineStr">
        <is>
          <t>▶ watch</t>
        </is>
      </c>
      <c r="M249" s="10" t="inlineStr"/>
      <c r="N249" s="11" t="inlineStr"/>
      <c r="O249" s="11" t="inlineStr">
        <is>
          <t>course lecture - no single paper</t>
        </is>
      </c>
      <c r="P249" s="10" t="inlineStr"/>
    </row>
    <row r="250">
      <c r="A250" s="15" t="n">
        <v>249</v>
      </c>
      <c r="B250" s="15" t="inlineStr">
        <is>
          <t>Part II - The Method Atlas</t>
        </is>
      </c>
      <c r="C250" s="16" t="inlineStr">
        <is>
          <t>A.1 Empirical force fields</t>
        </is>
      </c>
      <c r="D250" s="10" t="inlineStr">
        <is>
          <t>Fragmenting molecules for QC torsion drives</t>
        </is>
      </c>
      <c r="E250" s="10" t="inlineStr">
        <is>
          <t>Chaya Stern</t>
        </is>
      </c>
      <c r="F250" s="11" t="inlineStr">
        <is>
          <t>57:06</t>
        </is>
      </c>
      <c r="G250" s="11" t="n">
        <v>0.95</v>
      </c>
      <c r="H250" s="12" t="inlineStr"/>
      <c r="I250" s="11" t="inlineStr">
        <is>
          <t>Not started</t>
        </is>
      </c>
      <c r="J250" s="13" t="n"/>
      <c r="K250" s="10" t="inlineStr"/>
      <c r="L250" s="14" t="inlineStr">
        <is>
          <t>▶ watch</t>
        </is>
      </c>
      <c r="M250" s="10" t="inlineStr"/>
      <c r="N250" s="11" t="inlineStr"/>
      <c r="O250" s="11" t="inlineStr">
        <is>
          <t>course lecture - no single paper</t>
        </is>
      </c>
      <c r="P250" s="10" t="inlineStr"/>
    </row>
    <row r="251">
      <c r="A251" s="15" t="n">
        <v>250</v>
      </c>
      <c r="B251" s="15" t="inlineStr">
        <is>
          <t>Part II - The Method Atlas</t>
        </is>
      </c>
      <c r="C251" s="16" t="inlineStr">
        <is>
          <t>A.1 Empirical force fields</t>
        </is>
      </c>
      <c r="D251" s="10" t="inlineStr">
        <is>
          <t>Graph Nets for partial charge prediction</t>
        </is>
      </c>
      <c r="E251" s="10" t="inlineStr">
        <is>
          <t>Yuanqing Wang</t>
        </is>
      </c>
      <c r="F251" s="11" t="inlineStr">
        <is>
          <t>51:18</t>
        </is>
      </c>
      <c r="G251" s="11" t="n">
        <v>0.85</v>
      </c>
      <c r="H251" s="12" t="inlineStr"/>
      <c r="I251" s="11" t="inlineStr">
        <is>
          <t>Not started</t>
        </is>
      </c>
      <c r="J251" s="13" t="n"/>
      <c r="K251" s="10" t="inlineStr"/>
      <c r="L251" s="14" t="inlineStr">
        <is>
          <t>▶ watch</t>
        </is>
      </c>
      <c r="M251" s="10" t="inlineStr"/>
      <c r="N251" s="11" t="inlineStr"/>
      <c r="O251" s="11" t="inlineStr">
        <is>
          <t>course lecture - no single paper</t>
        </is>
      </c>
      <c r="P251" s="10" t="inlineStr"/>
    </row>
    <row r="252">
      <c r="A252" s="15" t="n">
        <v>251</v>
      </c>
      <c r="B252" s="15" t="inlineStr">
        <is>
          <t>Part II - The Method Atlas</t>
        </is>
      </c>
      <c r="C252" s="16" t="inlineStr">
        <is>
          <t>A.1 Empirical force fields</t>
        </is>
      </c>
      <c r="D252" s="10" t="inlineStr">
        <is>
          <t>Machine-learned MM force fields from large-scale QC data</t>
        </is>
      </c>
      <c r="E252" s="10" t="inlineStr">
        <is>
          <t>Ken Takaba</t>
        </is>
      </c>
      <c r="F252" s="11" t="inlineStr">
        <is>
          <t>23:08</t>
        </is>
      </c>
      <c r="G252" s="11" t="n">
        <v>0.39</v>
      </c>
      <c r="H252" s="12" t="inlineStr"/>
      <c r="I252" s="11" t="inlineStr">
        <is>
          <t>Not started</t>
        </is>
      </c>
      <c r="J252" s="13" t="n"/>
      <c r="K252" s="10" t="inlineStr"/>
      <c r="L252" s="14" t="inlineStr">
        <is>
          <t>▶ watch</t>
        </is>
      </c>
      <c r="M252" s="10" t="inlineStr"/>
      <c r="N252" s="11" t="inlineStr"/>
      <c r="O252" s="11" t="inlineStr">
        <is>
          <t>course lecture - no single paper</t>
        </is>
      </c>
      <c r="P252" s="10" t="inlineStr"/>
    </row>
    <row r="253">
      <c r="A253" s="15" t="n">
        <v>252</v>
      </c>
      <c r="B253" s="15" t="inlineStr">
        <is>
          <t>Part II - The Method Atlas</t>
        </is>
      </c>
      <c r="C253" s="16" t="inlineStr">
        <is>
          <t>A.1 Empirical force fields</t>
        </is>
      </c>
      <c r="D253" s="10" t="inlineStr">
        <is>
          <t>Parameterization of AMBER ff19SB</t>
        </is>
      </c>
      <c r="E253" s="10" t="inlineStr">
        <is>
          <t>Chuan Tian</t>
        </is>
      </c>
      <c r="F253" s="11" t="inlineStr">
        <is>
          <t>50:32</t>
        </is>
      </c>
      <c r="G253" s="11" t="n">
        <v>0.84</v>
      </c>
      <c r="H253" s="12" t="inlineStr"/>
      <c r="I253" s="11" t="inlineStr">
        <is>
          <t>Not started</t>
        </is>
      </c>
      <c r="J253" s="13" t="n"/>
      <c r="K253" s="10" t="inlineStr"/>
      <c r="L253" s="14" t="inlineStr">
        <is>
          <t>▶ watch</t>
        </is>
      </c>
      <c r="M253" s="10" t="inlineStr"/>
      <c r="N253" s="11" t="inlineStr"/>
      <c r="O253" s="11" t="inlineStr">
        <is>
          <t>course lecture - no single paper</t>
        </is>
      </c>
      <c r="P253" s="10" t="inlineStr"/>
    </row>
    <row r="254">
      <c r="A254" s="15" t="n">
        <v>253</v>
      </c>
      <c r="B254" s="15" t="inlineStr">
        <is>
          <t>Part II - The Method Atlas</t>
        </is>
      </c>
      <c r="C254" s="16" t="inlineStr">
        <is>
          <t>A.1 Empirical force fields</t>
        </is>
      </c>
      <c r="D254" s="10" t="inlineStr">
        <is>
          <t>Data Curation: The Forgotten Practice in the Era of AI</t>
        </is>
      </c>
      <c r="E254" s="10" t="inlineStr">
        <is>
          <t>Pankaj Daga</t>
        </is>
      </c>
      <c r="F254" s="11" t="inlineStr">
        <is>
          <t>59:02</t>
        </is>
      </c>
      <c r="G254" s="11" t="n">
        <v>0.98</v>
      </c>
      <c r="H254" s="12" t="inlineStr"/>
      <c r="I254" s="11" t="inlineStr">
        <is>
          <t>Not started</t>
        </is>
      </c>
      <c r="J254" s="13" t="n"/>
      <c r="K254" s="10" t="inlineStr"/>
      <c r="L254" s="14" t="inlineStr">
        <is>
          <t>▶ watch</t>
        </is>
      </c>
      <c r="M254" s="10" t="inlineStr"/>
      <c r="N254" s="11" t="inlineStr"/>
      <c r="O254" s="11" t="inlineStr">
        <is>
          <t>course lecture - no single paper</t>
        </is>
      </c>
      <c r="P254" s="10" t="inlineStr"/>
    </row>
    <row r="255">
      <c r="A255" s="15" t="n">
        <v>254</v>
      </c>
      <c r="B255" s="15" t="inlineStr">
        <is>
          <t>Part II - The Method Atlas</t>
        </is>
      </c>
      <c r="C255" s="16" t="inlineStr">
        <is>
          <t>A.2 Electrostatics and continuum solvation</t>
        </is>
      </c>
      <c r="D255" s="10" t="inlineStr">
        <is>
          <t>CompChem 06.04: Solvation Models - Continuum (Implicit) Solvent Electrostatics</t>
        </is>
      </c>
      <c r="E255" s="10" t="inlineStr">
        <is>
          <t>Chris Cramer (Minnesota</t>
        </is>
      </c>
      <c r="F255" s="11" t="inlineStr">
        <is>
          <t>23:11</t>
        </is>
      </c>
      <c r="G255" s="11" t="n">
        <v>0.39</v>
      </c>
      <c r="H255" s="12" t="inlineStr">
        <is>
          <t>★</t>
        </is>
      </c>
      <c r="I255" s="11" t="inlineStr">
        <is>
          <t>Not started</t>
        </is>
      </c>
      <c r="J255" s="13" t="n"/>
      <c r="K255" s="10" t="inlineStr"/>
      <c r="L255" s="14" t="inlineStr">
        <is>
          <t>▶ watch</t>
        </is>
      </c>
      <c r="M255" s="10" t="inlineStr"/>
      <c r="N255" s="11" t="inlineStr"/>
      <c r="O255" s="11" t="inlineStr">
        <is>
          <t>course lecture - no single paper</t>
        </is>
      </c>
      <c r="P255" s="10" t="inlineStr">
        <is>
          <t>G.6 Continuum electrostatics and mesoscale hydrodynamics</t>
        </is>
      </c>
    </row>
    <row r="256">
      <c r="A256" s="15" t="n">
        <v>255</v>
      </c>
      <c r="B256" s="15" t="inlineStr">
        <is>
          <t>Part II - The Method Atlas</t>
        </is>
      </c>
      <c r="C256" s="16" t="inlineStr">
        <is>
          <t>A.2 Electrostatics and continuum solvation</t>
        </is>
      </c>
      <c r="D256" s="10" t="inlineStr">
        <is>
          <t>CompChem 06.01: Solvation Models - Chemical Phenomena</t>
        </is>
      </c>
      <c r="E256" s="10" t="inlineStr">
        <is>
          <t>Chris Cramer</t>
        </is>
      </c>
      <c r="F256" s="11" t="inlineStr">
        <is>
          <t>19:00</t>
        </is>
      </c>
      <c r="G256" s="11" t="n">
        <v>0.32</v>
      </c>
      <c r="H256" s="12" t="inlineStr"/>
      <c r="I256" s="11" t="inlineStr">
        <is>
          <t>Not started</t>
        </is>
      </c>
      <c r="J256" s="13" t="n"/>
      <c r="K256" s="10" t="inlineStr"/>
      <c r="L256" s="14" t="inlineStr">
        <is>
          <t>▶ watch</t>
        </is>
      </c>
      <c r="M256" s="10" t="inlineStr"/>
      <c r="N256" s="11" t="inlineStr"/>
      <c r="O256" s="11" t="inlineStr">
        <is>
          <t>course lecture - no single paper</t>
        </is>
      </c>
      <c r="P256" s="10" t="inlineStr"/>
    </row>
    <row r="257">
      <c r="A257" s="15" t="n">
        <v>256</v>
      </c>
      <c r="B257" s="15" t="inlineStr">
        <is>
          <t>Part II - The Method Atlas</t>
        </is>
      </c>
      <c r="C257" s="16" t="inlineStr">
        <is>
          <t>A.2 Electrostatics and continuum solvation</t>
        </is>
      </c>
      <c r="D257" s="10" t="inlineStr">
        <is>
          <t>CECAM Advances in Electrostatics: boundary elements</t>
        </is>
      </c>
      <c r="E257" s="10" t="inlineStr">
        <is>
          <t>Christopher Cooper (UTFSM</t>
        </is>
      </c>
      <c r="F257" s="11" t="inlineStr">
        <is>
          <t>1:08:00</t>
        </is>
      </c>
      <c r="G257" s="11" t="n">
        <v>1.13</v>
      </c>
      <c r="H257" s="12" t="inlineStr">
        <is>
          <t>★</t>
        </is>
      </c>
      <c r="I257" s="11" t="inlineStr">
        <is>
          <t>Not started</t>
        </is>
      </c>
      <c r="J257" s="13" t="n"/>
      <c r="K257" s="10" t="inlineStr"/>
      <c r="L257" s="14" t="inlineStr">
        <is>
          <t>▶ watch</t>
        </is>
      </c>
      <c r="M257" s="10" t="inlineStr"/>
      <c r="N257" s="11" t="inlineStr"/>
      <c r="O257" s="11" t="inlineStr">
        <is>
          <t>course lecture - no single paper</t>
        </is>
      </c>
      <c r="P257" s="10" t="inlineStr">
        <is>
          <t>G.6 Continuum electrostatics and mesoscale hydrodynamics</t>
        </is>
      </c>
    </row>
    <row r="258">
      <c r="A258" s="15" t="n">
        <v>257</v>
      </c>
      <c r="B258" s="15" t="inlineStr">
        <is>
          <t>Part II - The Method Atlas</t>
        </is>
      </c>
      <c r="C258" s="16" t="inlineStr">
        <is>
          <t>A.2 Electrostatics and continuum solvation</t>
        </is>
      </c>
      <c r="D258" s="10" t="inlineStr">
        <is>
          <t>CECAM Advances in Electrostatics: treecodes</t>
        </is>
      </c>
      <c r="E258" s="10" t="inlineStr">
        <is>
          <t>Leighton Wilson (Michigan</t>
        </is>
      </c>
      <c r="F258" s="11" t="inlineStr">
        <is>
          <t>57:00</t>
        </is>
      </c>
      <c r="G258" s="11" t="n">
        <v>0.95</v>
      </c>
      <c r="H258" s="12" t="inlineStr"/>
      <c r="I258" s="11" t="inlineStr">
        <is>
          <t>Not started</t>
        </is>
      </c>
      <c r="J258" s="13" t="n"/>
      <c r="K258" s="10" t="inlineStr"/>
      <c r="L258" s="14" t="inlineStr">
        <is>
          <t>▶ watch</t>
        </is>
      </c>
      <c r="M258" s="10" t="inlineStr"/>
      <c r="N258" s="11" t="inlineStr"/>
      <c r="O258" s="11" t="inlineStr">
        <is>
          <t>course lecture - no single paper</t>
        </is>
      </c>
      <c r="P258" s="10" t="inlineStr"/>
    </row>
    <row r="259">
      <c r="A259" s="15" t="n">
        <v>258</v>
      </c>
      <c r="B259" s="15" t="inlineStr">
        <is>
          <t>Part II - The Method Atlas</t>
        </is>
      </c>
      <c r="C259" s="16" t="inlineStr">
        <is>
          <t>A.2 Electrostatics and continuum solvation</t>
        </is>
      </c>
      <c r="D259" s="10" t="inlineStr">
        <is>
          <t>The Multi-Faceted Roles of Electrostatics in Biomolecular Simulation</t>
        </is>
      </c>
      <c r="E259" s="10" t="inlineStr">
        <is>
          <t>Protein Electrostatics seminar</t>
        </is>
      </c>
      <c r="F259" s="11" t="inlineStr">
        <is>
          <t>1:01:00</t>
        </is>
      </c>
      <c r="G259" s="11" t="n">
        <v>1.02</v>
      </c>
      <c r="H259" s="12" t="inlineStr">
        <is>
          <t>★</t>
        </is>
      </c>
      <c r="I259" s="11" t="inlineStr">
        <is>
          <t>Not started</t>
        </is>
      </c>
      <c r="J259" s="13" t="n"/>
      <c r="K259" s="10" t="inlineStr"/>
      <c r="L259" s="14" t="inlineStr">
        <is>
          <t>▶ watch</t>
        </is>
      </c>
      <c r="M259" s="10" t="inlineStr"/>
      <c r="N259" s="11" t="inlineStr"/>
      <c r="O259" s="11" t="inlineStr">
        <is>
          <t>course lecture - no single paper</t>
        </is>
      </c>
      <c r="P259" s="10" t="inlineStr">
        <is>
          <t>G.6 Continuum electrostatics and mesoscale hydrodynamics</t>
        </is>
      </c>
    </row>
    <row r="260">
      <c r="A260" s="15" t="n">
        <v>259</v>
      </c>
      <c r="B260" s="15" t="inlineStr">
        <is>
          <t>Part II - The Method Atlas</t>
        </is>
      </c>
      <c r="C260" s="16" t="inlineStr">
        <is>
          <t>A.2 Electrostatics and continuum solvation</t>
        </is>
      </c>
      <c r="D260" s="10" t="inlineStr">
        <is>
          <t>How does pH affect the distribution of ions around proteins?</t>
        </is>
      </c>
      <c r="E260" s="10" t="inlineStr">
        <is>
          <t>Protein Electrostatics seminar</t>
        </is>
      </c>
      <c r="F260" s="11" t="inlineStr">
        <is>
          <t>1:06:00</t>
        </is>
      </c>
      <c r="G260" s="11" t="n">
        <v>1.1</v>
      </c>
      <c r="H260" s="12" t="inlineStr">
        <is>
          <t>★</t>
        </is>
      </c>
      <c r="I260" s="11" t="inlineStr">
        <is>
          <t>Not started</t>
        </is>
      </c>
      <c r="J260" s="13" t="n"/>
      <c r="K260" s="10" t="inlineStr"/>
      <c r="L260" s="14" t="inlineStr">
        <is>
          <t>▶ watch</t>
        </is>
      </c>
      <c r="M260" s="10" t="inlineStr"/>
      <c r="N260" s="11" t="inlineStr"/>
      <c r="O260" s="11" t="inlineStr">
        <is>
          <t>course lecture - no single paper</t>
        </is>
      </c>
      <c r="P260" s="10" t="inlineStr">
        <is>
          <t>G.6 Continuum electrostatics and mesoscale hydrodynamics</t>
        </is>
      </c>
    </row>
    <row r="261">
      <c r="A261" s="15" t="n">
        <v>260</v>
      </c>
      <c r="B261" s="15" t="inlineStr">
        <is>
          <t>Part II - The Method Atlas</t>
        </is>
      </c>
      <c r="C261" s="16" t="inlineStr">
        <is>
          <t>A.2 Electrostatics and continuum solvation</t>
        </is>
      </c>
      <c r="D261" s="10" t="inlineStr">
        <is>
          <t>Modeling electrostatics and polarization in biomolecules</t>
        </is>
      </c>
      <c r="E261" s="10" t="inlineStr">
        <is>
          <t>Protein Electrostatics seminar</t>
        </is>
      </c>
      <c r="F261" s="11" t="inlineStr">
        <is>
          <t>52:00</t>
        </is>
      </c>
      <c r="G261" s="11" t="n">
        <v>0.87</v>
      </c>
      <c r="H261" s="12" t="inlineStr">
        <is>
          <t>★</t>
        </is>
      </c>
      <c r="I261" s="11" t="inlineStr">
        <is>
          <t>Not started</t>
        </is>
      </c>
      <c r="J261" s="13" t="n"/>
      <c r="K261" s="10" t="inlineStr"/>
      <c r="L261" s="14" t="inlineStr">
        <is>
          <t>▶ watch</t>
        </is>
      </c>
      <c r="M261" s="10" t="inlineStr"/>
      <c r="N261" s="11" t="inlineStr"/>
      <c r="O261" s="11" t="inlineStr">
        <is>
          <t>course lecture - no single paper</t>
        </is>
      </c>
      <c r="P261" s="10" t="inlineStr">
        <is>
          <t>G.6 Continuum electrostatics and mesoscale hydrodynamics</t>
        </is>
      </c>
    </row>
    <row r="262">
      <c r="A262" s="15" t="n">
        <v>261</v>
      </c>
      <c r="B262" s="15" t="inlineStr">
        <is>
          <t>Part II - The Method Atlas</t>
        </is>
      </c>
      <c r="C262" s="16" t="inlineStr">
        <is>
          <t>A.2 Electrostatics and continuum solvation</t>
        </is>
      </c>
      <c r="D262" s="10" t="inlineStr">
        <is>
          <t>Generalized Born and implicit solvent</t>
        </is>
      </c>
      <c r="E262" s="10" t="inlineStr">
        <is>
          <t>Alexey Onufriev (Virginia Tech</t>
        </is>
      </c>
      <c r="F262" s="11" t="inlineStr">
        <is>
          <t>35:00</t>
        </is>
      </c>
      <c r="G262" s="11" t="n">
        <v>0.58</v>
      </c>
      <c r="H262" s="12" t="inlineStr"/>
      <c r="I262" s="11" t="inlineStr">
        <is>
          <t>Not started</t>
        </is>
      </c>
      <c r="J262" s="13" t="n"/>
      <c r="K262" s="10" t="inlineStr"/>
      <c r="L262" s="14" t="inlineStr">
        <is>
          <t>▶ watch</t>
        </is>
      </c>
      <c r="M262" s="10" t="inlineStr"/>
      <c r="N262" s="11" t="inlineStr"/>
      <c r="O262" s="11" t="inlineStr">
        <is>
          <t>course lecture - no single paper</t>
        </is>
      </c>
      <c r="P262" s="10" t="inlineStr"/>
    </row>
    <row r="263">
      <c r="A263" s="15" t="n">
        <v>262</v>
      </c>
      <c r="B263" s="15" t="inlineStr">
        <is>
          <t>Part II - The Method Atlas</t>
        </is>
      </c>
      <c r="C263" s="16" t="inlineStr">
        <is>
          <t>A.2 Electrostatics and continuum solvation</t>
        </is>
      </c>
      <c r="D263" s="10" t="inlineStr">
        <is>
          <t>Using 3D structure to predict protein-protein and protein-ligand interactions</t>
        </is>
      </c>
      <c r="E263" s="10" t="inlineStr">
        <is>
          <t>Barry Honig (Columbia</t>
        </is>
      </c>
      <c r="F263" s="11" t="inlineStr">
        <is>
          <t>40:00</t>
        </is>
      </c>
      <c r="G263" s="11" t="n">
        <v>0.67</v>
      </c>
      <c r="H263" s="12" t="inlineStr">
        <is>
          <t>★</t>
        </is>
      </c>
      <c r="I263" s="11" t="inlineStr">
        <is>
          <t>Not started</t>
        </is>
      </c>
      <c r="J263" s="13" t="n"/>
      <c r="K263" s="10" t="inlineStr"/>
      <c r="L263" s="14" t="inlineStr">
        <is>
          <t>▶ watch</t>
        </is>
      </c>
      <c r="M263" s="10" t="inlineStr"/>
      <c r="N263" s="11" t="inlineStr"/>
      <c r="O263" s="11" t="inlineStr">
        <is>
          <t>course lecture - no single paper</t>
        </is>
      </c>
      <c r="P263" s="10" t="inlineStr">
        <is>
          <t>G.6 Continuum electrostatics and mesoscale hydrodynamics</t>
        </is>
      </c>
    </row>
    <row r="264">
      <c r="A264" s="15" t="n">
        <v>263</v>
      </c>
      <c r="B264" s="15" t="inlineStr">
        <is>
          <t>Part II - The Method Atlas</t>
        </is>
      </c>
      <c r="C264" s="16" t="inlineStr">
        <is>
          <t>A.2 Electrostatics and continuum solvation</t>
        </is>
      </c>
      <c r="D264" s="10" t="inlineStr">
        <is>
          <t>Constant-pH Methods in Biomolecular Simulations, Class 1</t>
        </is>
      </c>
      <c r="E264" s="10" t="inlineStr">
        <is>
          <t>Fernando Barroso da Silva (ICTP-SAIFR</t>
        </is>
      </c>
      <c r="F264" s="11" t="inlineStr">
        <is>
          <t>1:08:00</t>
        </is>
      </c>
      <c r="G264" s="11" t="n">
        <v>1.13</v>
      </c>
      <c r="H264" s="12" t="inlineStr"/>
      <c r="I264" s="11" t="inlineStr">
        <is>
          <t>Not started</t>
        </is>
      </c>
      <c r="J264" s="13" t="n"/>
      <c r="K264" s="10" t="inlineStr"/>
      <c r="L264" s="14" t="inlineStr">
        <is>
          <t>▶ watch</t>
        </is>
      </c>
      <c r="M264" s="10" t="inlineStr"/>
      <c r="N264" s="11" t="inlineStr"/>
      <c r="O264" s="11" t="inlineStr">
        <is>
          <t>course lecture - no single paper</t>
        </is>
      </c>
      <c r="P264" s="10" t="inlineStr"/>
    </row>
    <row r="265">
      <c r="A265" s="15" t="n">
        <v>264</v>
      </c>
      <c r="B265" s="15" t="inlineStr">
        <is>
          <t>Part II - The Method Atlas</t>
        </is>
      </c>
      <c r="C265" s="16" t="inlineStr">
        <is>
          <t>A.2 Electrostatics and continuum solvation</t>
        </is>
      </c>
      <c r="D265" s="10" t="inlineStr">
        <is>
          <t>Constant pH molecular dynamics in GROMACS</t>
        </is>
      </c>
      <c r="E265" s="10" t="inlineStr">
        <is>
          <t>BioExcel CoE</t>
        </is>
      </c>
      <c r="F265" s="11" t="inlineStr">
        <is>
          <t>19:05</t>
        </is>
      </c>
      <c r="G265" s="11" t="n">
        <v>0.32</v>
      </c>
      <c r="H265" s="12" t="inlineStr"/>
      <c r="I265" s="11" t="inlineStr">
        <is>
          <t>Not started</t>
        </is>
      </c>
      <c r="J265" s="13" t="n"/>
      <c r="K265" s="10" t="inlineStr"/>
      <c r="L265" s="14" t="inlineStr">
        <is>
          <t>▶ watch</t>
        </is>
      </c>
      <c r="M265" s="10" t="inlineStr"/>
      <c r="N265" s="11" t="inlineStr"/>
      <c r="O265" s="11" t="inlineStr">
        <is>
          <t>course lecture - no single paper</t>
        </is>
      </c>
      <c r="P265" s="10" t="inlineStr"/>
    </row>
    <row r="266">
      <c r="A266" s="15" t="n">
        <v>265</v>
      </c>
      <c r="B266" s="15" t="inlineStr">
        <is>
          <t>Part II - The Method Atlas</t>
        </is>
      </c>
      <c r="C266" s="16" t="inlineStr">
        <is>
          <t>A.2 Electrostatics and continuum solvation</t>
        </is>
      </c>
      <c r="D266" s="10" t="inlineStr">
        <is>
          <t>TABI-PB 2.0 boundary-element solver</t>
        </is>
      </c>
      <c r="E266" s="10" t="inlineStr">
        <is>
          <t>Protein Electrostatics</t>
        </is>
      </c>
      <c r="F266" s="11" t="inlineStr">
        <is>
          <t>50:00</t>
        </is>
      </c>
      <c r="G266" s="11" t="n">
        <v>0.83</v>
      </c>
      <c r="H266" s="12" t="inlineStr">
        <is>
          <t>★</t>
        </is>
      </c>
      <c r="I266" s="11" t="inlineStr">
        <is>
          <t>Not started</t>
        </is>
      </c>
      <c r="J266" s="13" t="n"/>
      <c r="K266" s="10" t="inlineStr"/>
      <c r="L266" s="14" t="inlineStr">
        <is>
          <t>▶ watch</t>
        </is>
      </c>
      <c r="M266" s="10" t="inlineStr"/>
      <c r="N266" s="11" t="inlineStr"/>
      <c r="O266" s="11" t="inlineStr">
        <is>
          <t>course lecture - no single paper</t>
        </is>
      </c>
      <c r="P266" s="10" t="inlineStr">
        <is>
          <t>G.6 Continuum electrostatics and mesoscale hydrodynamics</t>
        </is>
      </c>
    </row>
    <row r="267">
      <c r="A267" s="15" t="n">
        <v>266</v>
      </c>
      <c r="B267" s="15" t="inlineStr">
        <is>
          <t>Part II - The Method Atlas</t>
        </is>
      </c>
      <c r="C267" s="16" t="inlineStr">
        <is>
          <t>A.3 Quantum mechanics and QM/MM</t>
        </is>
      </c>
      <c r="D267" s="10" t="inlineStr">
        <is>
          <t>Hybrid QM/MM - Day 1 Lectures</t>
        </is>
      </c>
      <c r="E267" s="10" t="inlineStr">
        <is>
          <t>CECAM</t>
        </is>
      </c>
      <c r="F267" s="11" t="inlineStr">
        <is>
          <t>4:04:00</t>
        </is>
      </c>
      <c r="G267" s="11" t="n">
        <v>4.07</v>
      </c>
      <c r="H267" s="12" t="inlineStr">
        <is>
          <t>★</t>
        </is>
      </c>
      <c r="I267" s="11" t="inlineStr">
        <is>
          <t>Not started</t>
        </is>
      </c>
      <c r="J267" s="13" t="n"/>
      <c r="K267" s="10" t="inlineStr"/>
      <c r="L267" s="14" t="inlineStr">
        <is>
          <t>▶ watch</t>
        </is>
      </c>
      <c r="M267" s="10" t="inlineStr"/>
      <c r="N267" s="11" t="inlineStr"/>
      <c r="O267" s="11" t="inlineStr">
        <is>
          <t>course lecture - no single paper</t>
        </is>
      </c>
      <c r="P267" s="10" t="inlineStr"/>
    </row>
    <row r="268">
      <c r="A268" s="15" t="n">
        <v>267</v>
      </c>
      <c r="B268" s="15" t="inlineStr">
        <is>
          <t>Part II - The Method Atlas</t>
        </is>
      </c>
      <c r="C268" s="16" t="inlineStr">
        <is>
          <t>A.3 Quantum mechanics and QM/MM</t>
        </is>
      </c>
      <c r="D268" s="10" t="inlineStr">
        <is>
          <t>Hybrid QM/MM - Day 2 Lectures</t>
        </is>
      </c>
      <c r="E268" s="10" t="inlineStr">
        <is>
          <t>CECAM</t>
        </is>
      </c>
      <c r="F268" s="11" t="inlineStr">
        <is>
          <t>4:03:00</t>
        </is>
      </c>
      <c r="G268" s="11" t="n">
        <v>4.05</v>
      </c>
      <c r="H268" s="12" t="inlineStr">
        <is>
          <t>★</t>
        </is>
      </c>
      <c r="I268" s="11" t="inlineStr">
        <is>
          <t>Not started</t>
        </is>
      </c>
      <c r="J268" s="13" t="n"/>
      <c r="K268" s="10" t="inlineStr"/>
      <c r="L268" s="14" t="inlineStr">
        <is>
          <t>▶ watch</t>
        </is>
      </c>
      <c r="M268" s="10" t="inlineStr"/>
      <c r="N268" s="11" t="inlineStr"/>
      <c r="O268" s="11" t="inlineStr">
        <is>
          <t>course lecture - no single paper</t>
        </is>
      </c>
      <c r="P268" s="10" t="inlineStr"/>
    </row>
    <row r="269">
      <c r="A269" s="15" t="n">
        <v>268</v>
      </c>
      <c r="B269" s="15" t="inlineStr">
        <is>
          <t>Part II - The Method Atlas</t>
        </is>
      </c>
      <c r="C269" s="16" t="inlineStr">
        <is>
          <t>A.3 Quantum mechanics and QM/MM</t>
        </is>
      </c>
      <c r="D269" s="10" t="inlineStr">
        <is>
          <t>QM/MM Best Practice: Kick-off webinar</t>
        </is>
      </c>
      <c r="E269" s="10" t="inlineStr">
        <is>
          <t>BioExcel CoE</t>
        </is>
      </c>
      <c r="F269" s="11" t="inlineStr">
        <is>
          <t>1:36:00</t>
        </is>
      </c>
      <c r="G269" s="11" t="n">
        <v>1.6</v>
      </c>
      <c r="H269" s="12" t="inlineStr"/>
      <c r="I269" s="11" t="inlineStr">
        <is>
          <t>Not started</t>
        </is>
      </c>
      <c r="J269" s="13" t="n"/>
      <c r="K269" s="10" t="inlineStr"/>
      <c r="L269" s="14" t="inlineStr">
        <is>
          <t>▶ watch</t>
        </is>
      </c>
      <c r="M269" s="10" t="inlineStr"/>
      <c r="N269" s="11" t="inlineStr"/>
      <c r="O269" s="11" t="inlineStr">
        <is>
          <t>course lecture - no single paper</t>
        </is>
      </c>
      <c r="P269" s="10" t="inlineStr"/>
    </row>
    <row r="270">
      <c r="A270" s="15" t="n">
        <v>269</v>
      </c>
      <c r="B270" s="15" t="inlineStr">
        <is>
          <t>Part II - The Method Atlas</t>
        </is>
      </c>
      <c r="C270" s="16" t="inlineStr">
        <is>
          <t>A.3 Quantum mechanics and QM/MM</t>
        </is>
      </c>
      <c r="D270" s="10" t="inlineStr">
        <is>
          <t>QM/MM Best Practice: Accurate structures and energies with QM/MM</t>
        </is>
      </c>
      <c r="E270" s="10" t="inlineStr">
        <is>
          <t>BioExcel CoE</t>
        </is>
      </c>
      <c r="F270" s="11" t="inlineStr">
        <is>
          <t>1:23:00</t>
        </is>
      </c>
      <c r="G270" s="11" t="n">
        <v>1.38</v>
      </c>
      <c r="H270" s="12" t="inlineStr"/>
      <c r="I270" s="11" t="inlineStr">
        <is>
          <t>Not started</t>
        </is>
      </c>
      <c r="J270" s="13" t="n"/>
      <c r="K270" s="10" t="inlineStr"/>
      <c r="L270" s="14" t="inlineStr">
        <is>
          <t>▶ watch</t>
        </is>
      </c>
      <c r="M270" s="10" t="inlineStr"/>
      <c r="N270" s="11" t="inlineStr"/>
      <c r="O270" s="11" t="inlineStr">
        <is>
          <t>course lecture - no single paper</t>
        </is>
      </c>
      <c r="P270" s="10" t="inlineStr"/>
    </row>
    <row r="271">
      <c r="A271" s="15" t="n">
        <v>270</v>
      </c>
      <c r="B271" s="15" t="inlineStr">
        <is>
          <t>Part II - The Method Atlas</t>
        </is>
      </c>
      <c r="C271" s="16" t="inlineStr">
        <is>
          <t>A.3 Quantum mechanics and QM/MM</t>
        </is>
      </c>
      <c r="D271" s="10" t="inlineStr">
        <is>
          <t>QM/MM Best Practice: Chemical accuracy in enzyme catalytic mechanisms</t>
        </is>
      </c>
      <c r="E271" s="10" t="inlineStr">
        <is>
          <t>BioExcel CoE</t>
        </is>
      </c>
      <c r="F271" s="11" t="inlineStr">
        <is>
          <t>1:23:00</t>
        </is>
      </c>
      <c r="G271" s="11" t="n">
        <v>1.38</v>
      </c>
      <c r="H271" s="12" t="inlineStr"/>
      <c r="I271" s="11" t="inlineStr">
        <is>
          <t>Not started</t>
        </is>
      </c>
      <c r="J271" s="13" t="n"/>
      <c r="K271" s="10" t="inlineStr"/>
      <c r="L271" s="14" t="inlineStr">
        <is>
          <t>▶ watch</t>
        </is>
      </c>
      <c r="M271" s="10" t="inlineStr"/>
      <c r="N271" s="11" t="inlineStr"/>
      <c r="O271" s="11" t="inlineStr">
        <is>
          <t>course lecture - no single paper</t>
        </is>
      </c>
      <c r="P271" s="10" t="inlineStr"/>
    </row>
    <row r="272">
      <c r="A272" s="15" t="n">
        <v>271</v>
      </c>
      <c r="B272" s="15" t="inlineStr">
        <is>
          <t>Part II - The Method Atlas</t>
        </is>
      </c>
      <c r="C272" s="16" t="inlineStr">
        <is>
          <t>A.3 Quantum mechanics and QM/MM</t>
        </is>
      </c>
      <c r="D272" s="10" t="inlineStr">
        <is>
          <t>QM/MM Best Practice: Studies on enzyme-catalysed reactions</t>
        </is>
      </c>
      <c r="E272" s="10" t="inlineStr">
        <is>
          <t>BioExcel CoE</t>
        </is>
      </c>
      <c r="F272" s="11" t="inlineStr">
        <is>
          <t>1:11:00</t>
        </is>
      </c>
      <c r="G272" s="11" t="n">
        <v>1.18</v>
      </c>
      <c r="H272" s="12" t="inlineStr"/>
      <c r="I272" s="11" t="inlineStr">
        <is>
          <t>Not started</t>
        </is>
      </c>
      <c r="J272" s="13" t="n"/>
      <c r="K272" s="10" t="inlineStr"/>
      <c r="L272" s="14" t="inlineStr">
        <is>
          <t>▶ watch</t>
        </is>
      </c>
      <c r="M272" s="10" t="inlineStr"/>
      <c r="N272" s="11" t="inlineStr"/>
      <c r="O272" s="11" t="inlineStr">
        <is>
          <t>course lecture - no single paper</t>
        </is>
      </c>
      <c r="P272" s="10" t="inlineStr"/>
    </row>
    <row r="273">
      <c r="A273" s="15" t="n">
        <v>272</v>
      </c>
      <c r="B273" s="15" t="inlineStr">
        <is>
          <t>Part II - The Method Atlas</t>
        </is>
      </c>
      <c r="C273" s="16" t="inlineStr">
        <is>
          <t>A.3 Quantum mechanics and QM/MM</t>
        </is>
      </c>
      <c r="D273" s="10" t="inlineStr">
        <is>
          <t>QM/MM Best Practice: Validation of DFT functionals in QM/MM</t>
        </is>
      </c>
      <c r="E273" s="10" t="inlineStr">
        <is>
          <t>BioExcel CoE</t>
        </is>
      </c>
      <c r="F273" s="11" t="inlineStr">
        <is>
          <t>53:00</t>
        </is>
      </c>
      <c r="G273" s="11" t="n">
        <v>0.88</v>
      </c>
      <c r="H273" s="12" t="inlineStr">
        <is>
          <t>★</t>
        </is>
      </c>
      <c r="I273" s="11" t="inlineStr">
        <is>
          <t>Not started</t>
        </is>
      </c>
      <c r="J273" s="13" t="n"/>
      <c r="K273" s="10" t="inlineStr"/>
      <c r="L273" s="14" t="inlineStr">
        <is>
          <t>▶ watch</t>
        </is>
      </c>
      <c r="M273" s="10" t="inlineStr"/>
      <c r="N273" s="11" t="inlineStr"/>
      <c r="O273" s="11" t="inlineStr">
        <is>
          <t>course lecture - no single paper</t>
        </is>
      </c>
      <c r="P273" s="10" t="inlineStr"/>
    </row>
    <row r="274">
      <c r="A274" s="15" t="n">
        <v>273</v>
      </c>
      <c r="B274" s="15" t="inlineStr">
        <is>
          <t>Part II - The Method Atlas</t>
        </is>
      </c>
      <c r="C274" s="16" t="inlineStr">
        <is>
          <t>A.3 Quantum mechanics and QM/MM</t>
        </is>
      </c>
      <c r="D274" s="10" t="inlineStr">
        <is>
          <t>BioExcel #51: Multiscale QM/MM with the GROMACS/CP2K interface</t>
        </is>
      </c>
      <c r="E274" s="10" t="inlineStr">
        <is>
          <t>BioExcel CoE</t>
        </is>
      </c>
      <c r="F274" s="11" t="inlineStr">
        <is>
          <t>51:00</t>
        </is>
      </c>
      <c r="G274" s="11" t="n">
        <v>0.85</v>
      </c>
      <c r="H274" s="12" t="inlineStr"/>
      <c r="I274" s="11" t="inlineStr">
        <is>
          <t>Not started</t>
        </is>
      </c>
      <c r="J274" s="13" t="n"/>
      <c r="K274" s="10" t="inlineStr"/>
      <c r="L274" s="14" t="inlineStr">
        <is>
          <t>▶ watch</t>
        </is>
      </c>
      <c r="M274" s="10" t="inlineStr"/>
      <c r="N274" s="11" t="inlineStr"/>
      <c r="O274" s="11" t="inlineStr">
        <is>
          <t>course lecture - no single paper</t>
        </is>
      </c>
      <c r="P274" s="10" t="inlineStr"/>
    </row>
    <row r="275">
      <c r="A275" s="15" t="n">
        <v>274</v>
      </c>
      <c r="B275" s="15" t="inlineStr">
        <is>
          <t>Part II - The Method Atlas</t>
        </is>
      </c>
      <c r="C275" s="16" t="inlineStr">
        <is>
          <t>A.3 Quantum mechanics and QM/MM</t>
        </is>
      </c>
      <c r="D275" s="10" t="inlineStr">
        <is>
          <t>Modelling Enzymes with QM/MM</t>
        </is>
      </c>
      <c r="E275" s="10" t="inlineStr">
        <is>
          <t>CCPBioSim</t>
        </is>
      </c>
      <c r="F275" s="11" t="inlineStr">
        <is>
          <t>42:00</t>
        </is>
      </c>
      <c r="G275" s="11" t="n">
        <v>0.7</v>
      </c>
      <c r="H275" s="12" t="inlineStr"/>
      <c r="I275" s="11" t="inlineStr">
        <is>
          <t>Not started</t>
        </is>
      </c>
      <c r="J275" s="13" t="n"/>
      <c r="K275" s="10" t="inlineStr"/>
      <c r="L275" s="14" t="inlineStr">
        <is>
          <t>▶ watch</t>
        </is>
      </c>
      <c r="M275" s="10" t="inlineStr"/>
      <c r="N275" s="11" t="inlineStr"/>
      <c r="O275" s="11" t="inlineStr">
        <is>
          <t>course lecture - no single paper</t>
        </is>
      </c>
      <c r="P275" s="10" t="inlineStr"/>
    </row>
    <row r="276">
      <c r="A276" s="15" t="n">
        <v>275</v>
      </c>
      <c r="B276" s="15" t="inlineStr">
        <is>
          <t>Part II - The Method Atlas</t>
        </is>
      </c>
      <c r="C276" s="16" t="inlineStr">
        <is>
          <t>A.3 Quantum mechanics and QM/MM</t>
        </is>
      </c>
      <c r="D276" s="10" t="inlineStr">
        <is>
          <t>Introduction to QM/MM, Part 1</t>
        </is>
      </c>
      <c r="E276" s="10" t="inlineStr">
        <is>
          <t>BioExcel CoE</t>
        </is>
      </c>
      <c r="F276" s="11" t="inlineStr">
        <is>
          <t>30:23</t>
        </is>
      </c>
      <c r="G276" s="11" t="n">
        <v>0.51</v>
      </c>
      <c r="H276" s="12" t="inlineStr"/>
      <c r="I276" s="11" t="inlineStr">
        <is>
          <t>Not started</t>
        </is>
      </c>
      <c r="J276" s="13" t="n"/>
      <c r="K276" s="10" t="inlineStr"/>
      <c r="L276" s="14" t="inlineStr">
        <is>
          <t>▶ watch</t>
        </is>
      </c>
      <c r="M276" s="10" t="inlineStr"/>
      <c r="N276" s="11" t="inlineStr"/>
      <c r="O276" s="11" t="inlineStr">
        <is>
          <t>course lecture - no single paper</t>
        </is>
      </c>
      <c r="P276" s="10" t="inlineStr"/>
    </row>
    <row r="277">
      <c r="A277" s="15" t="n">
        <v>276</v>
      </c>
      <c r="B277" s="15" t="inlineStr">
        <is>
          <t>Part II - The Method Atlas</t>
        </is>
      </c>
      <c r="C277" s="16" t="inlineStr">
        <is>
          <t>A.3 Quantum mechanics and QM/MM</t>
        </is>
      </c>
      <c r="D277" s="10" t="inlineStr">
        <is>
          <t>QM/MM Methods and development</t>
        </is>
      </c>
      <c r="E277" s="10" t="inlineStr">
        <is>
          <t>Andres Cisneros (BAGIM</t>
        </is>
      </c>
      <c r="F277" s="11" t="inlineStr">
        <is>
          <t>1:00:00</t>
        </is>
      </c>
      <c r="G277" s="11" t="n">
        <v>1</v>
      </c>
      <c r="H277" s="12" t="inlineStr"/>
      <c r="I277" s="11" t="inlineStr">
        <is>
          <t>Not started</t>
        </is>
      </c>
      <c r="J277" s="13" t="n"/>
      <c r="K277" s="10" t="inlineStr"/>
      <c r="L277" s="14" t="inlineStr">
        <is>
          <t>▶ watch</t>
        </is>
      </c>
      <c r="M277" s="10" t="inlineStr"/>
      <c r="N277" s="11" t="inlineStr"/>
      <c r="O277" s="11" t="inlineStr">
        <is>
          <t>course lecture - no single paper</t>
        </is>
      </c>
      <c r="P277" s="10" t="inlineStr"/>
    </row>
    <row r="278">
      <c r="A278" s="15" t="n">
        <v>277</v>
      </c>
      <c r="B278" s="15" t="inlineStr">
        <is>
          <t>Part II - The Method Atlas</t>
        </is>
      </c>
      <c r="C278" s="16" t="inlineStr">
        <is>
          <t>A.3 Quantum mechanics and QM/MM</t>
        </is>
      </c>
      <c r="D278" s="10" t="inlineStr">
        <is>
          <t>Introduction to DFTB</t>
        </is>
      </c>
      <c r="E278" s="10" t="inlineStr">
        <is>
          <t>Bálint Aradi (Bremen</t>
        </is>
      </c>
      <c r="F278" s="11" t="inlineStr">
        <is>
          <t>31:00</t>
        </is>
      </c>
      <c r="G278" s="11" t="n">
        <v>0.52</v>
      </c>
      <c r="H278" s="12" t="inlineStr"/>
      <c r="I278" s="11" t="inlineStr">
        <is>
          <t>Not started</t>
        </is>
      </c>
      <c r="J278" s="13" t="n"/>
      <c r="K278" s="10" t="inlineStr"/>
      <c r="L278" s="14" t="inlineStr">
        <is>
          <t>▶ watch</t>
        </is>
      </c>
      <c r="M278" s="10" t="inlineStr"/>
      <c r="N278" s="11" t="inlineStr"/>
      <c r="O278" s="11" t="inlineStr">
        <is>
          <t>course lecture - no single paper</t>
        </is>
      </c>
      <c r="P278" s="10" t="inlineStr"/>
    </row>
    <row r="279">
      <c r="A279" s="15" t="n">
        <v>278</v>
      </c>
      <c r="B279" s="15" t="inlineStr">
        <is>
          <t>Part II - The Method Atlas</t>
        </is>
      </c>
      <c r="C279" s="16" t="inlineStr">
        <is>
          <t>A.3 Quantum mechanics and QM/MM</t>
        </is>
      </c>
      <c r="D279" s="10" t="inlineStr">
        <is>
          <t>Extended Tight Binding (GFN-xTB</t>
        </is>
      </c>
      <c r="E279" s="10" t="inlineStr">
        <is>
          <t>Sebastian Ehlert (Grimme group</t>
        </is>
      </c>
      <c r="F279" s="11" t="inlineStr">
        <is>
          <t>26:00</t>
        </is>
      </c>
      <c r="G279" s="11" t="n">
        <v>0.43</v>
      </c>
      <c r="H279" s="12" t="inlineStr"/>
      <c r="I279" s="11" t="inlineStr">
        <is>
          <t>Not started</t>
        </is>
      </c>
      <c r="J279" s="13" t="n"/>
      <c r="K279" s="10" t="inlineStr"/>
      <c r="L279" s="14" t="inlineStr">
        <is>
          <t>▶ watch</t>
        </is>
      </c>
      <c r="M279" s="10" t="inlineStr"/>
      <c r="N279" s="11" t="inlineStr"/>
      <c r="O279" s="11" t="inlineStr">
        <is>
          <t>course lecture - no single paper</t>
        </is>
      </c>
      <c r="P279" s="10" t="inlineStr"/>
    </row>
    <row r="280">
      <c r="A280" s="15" t="n">
        <v>279</v>
      </c>
      <c r="B280" s="15" t="inlineStr">
        <is>
          <t>Part II - The Method Atlas</t>
        </is>
      </c>
      <c r="C280" s="16" t="inlineStr">
        <is>
          <t>A.3 Quantum mechanics and QM/MM</t>
        </is>
      </c>
      <c r="D280" s="10" t="inlineStr">
        <is>
          <t>Online-ICNI Symposium</t>
        </is>
      </c>
      <c r="E280" s="10" t="inlineStr">
        <is>
          <t>Stefan Grimme (Bonn</t>
        </is>
      </c>
      <c r="F280" s="11" t="inlineStr">
        <is>
          <t>41:00</t>
        </is>
      </c>
      <c r="G280" s="11" t="n">
        <v>0.68</v>
      </c>
      <c r="H280" s="12" t="inlineStr"/>
      <c r="I280" s="11" t="inlineStr">
        <is>
          <t>Not started</t>
        </is>
      </c>
      <c r="J280" s="13" t="n"/>
      <c r="K280" s="10" t="inlineStr"/>
      <c r="L280" s="14" t="inlineStr">
        <is>
          <t>▶ watch</t>
        </is>
      </c>
      <c r="M280" s="10" t="inlineStr"/>
      <c r="N280" s="11" t="inlineStr"/>
      <c r="O280" s="11" t="inlineStr">
        <is>
          <t>course lecture - no single paper</t>
        </is>
      </c>
      <c r="P280" s="10" t="inlineStr"/>
    </row>
    <row r="281">
      <c r="A281" s="15" t="n">
        <v>280</v>
      </c>
      <c r="B281" s="15" t="inlineStr">
        <is>
          <t>Part II - The Method Atlas</t>
        </is>
      </c>
      <c r="C281" s="16" t="inlineStr">
        <is>
          <t>A.3 Quantum mechanics and QM/MM</t>
        </is>
      </c>
      <c r="D281" s="10" t="inlineStr">
        <is>
          <t>Introduction to Density Functional Theory</t>
        </is>
      </c>
      <c r="E281" s="10" t="inlineStr">
        <is>
          <t>David Sherrill (Georgia Tech</t>
        </is>
      </c>
      <c r="F281" s="11" t="inlineStr">
        <is>
          <t>52:00</t>
        </is>
      </c>
      <c r="G281" s="11" t="n">
        <v>0.87</v>
      </c>
      <c r="H281" s="12" t="inlineStr"/>
      <c r="I281" s="11" t="inlineStr">
        <is>
          <t>Not started</t>
        </is>
      </c>
      <c r="J281" s="13" t="n"/>
      <c r="K281" s="10" t="inlineStr"/>
      <c r="L281" s="14" t="inlineStr">
        <is>
          <t>▶ watch</t>
        </is>
      </c>
      <c r="M281" s="10" t="inlineStr"/>
      <c r="N281" s="11" t="inlineStr"/>
      <c r="O281" s="11" t="inlineStr">
        <is>
          <t>course lecture - no single paper</t>
        </is>
      </c>
      <c r="P281" s="10" t="inlineStr"/>
    </row>
    <row r="282">
      <c r="A282" s="15" t="n">
        <v>281</v>
      </c>
      <c r="B282" s="15" t="inlineStr">
        <is>
          <t>Part II - The Method Atlas</t>
        </is>
      </c>
      <c r="C282" s="16" t="inlineStr">
        <is>
          <t>A.3 Quantum mechanics and QM/MM</t>
        </is>
      </c>
      <c r="D282" s="10" t="inlineStr">
        <is>
          <t>David Sherrill (Georgia Tech</t>
        </is>
      </c>
      <c r="E282" s="10" t="inlineStr">
        <is>
          <t>Basis Sets, part 1</t>
        </is>
      </c>
      <c r="F282" s="11" t="inlineStr">
        <is>
          <t>34:00</t>
        </is>
      </c>
      <c r="G282" s="11" t="n">
        <v>0.57</v>
      </c>
      <c r="H282" s="12" t="inlineStr"/>
      <c r="I282" s="11" t="inlineStr">
        <is>
          <t>Not started</t>
        </is>
      </c>
      <c r="J282" s="13" t="n"/>
      <c r="K282" s="10" t="inlineStr"/>
      <c r="L282" s="14" t="inlineStr">
        <is>
          <t>▶ watch</t>
        </is>
      </c>
      <c r="M282" s="10" t="inlineStr"/>
      <c r="N282" s="11" t="inlineStr"/>
      <c r="O282" s="11" t="inlineStr">
        <is>
          <t>course lecture - no single paper</t>
        </is>
      </c>
      <c r="P282" s="10" t="inlineStr"/>
    </row>
    <row r="283">
      <c r="A283" s="15" t="n">
        <v>282</v>
      </c>
      <c r="B283" s="15" t="inlineStr">
        <is>
          <t>Part II - The Method Atlas</t>
        </is>
      </c>
      <c r="C283" s="16" t="inlineStr">
        <is>
          <t>A.3 Quantum mechanics and QM/MM</t>
        </is>
      </c>
      <c r="D283" s="10" t="inlineStr">
        <is>
          <t>MIT OCW: Modern Electronic Structure Theory - Basis Sets</t>
        </is>
      </c>
      <c r="E283" s="10" t="inlineStr">
        <is>
          <t>MIT OCW</t>
        </is>
      </c>
      <c r="F283" s="11" t="inlineStr">
        <is>
          <t>50:00</t>
        </is>
      </c>
      <c r="G283" s="11" t="n">
        <v>0.83</v>
      </c>
      <c r="H283" s="12" t="inlineStr"/>
      <c r="I283" s="11" t="inlineStr">
        <is>
          <t>Not started</t>
        </is>
      </c>
      <c r="J283" s="13" t="n"/>
      <c r="K283" s="10" t="inlineStr"/>
      <c r="L283" s="14" t="inlineStr">
        <is>
          <t>▶ watch</t>
        </is>
      </c>
      <c r="M283" s="10" t="inlineStr"/>
      <c r="N283" s="11" t="inlineStr"/>
      <c r="O283" s="11" t="inlineStr">
        <is>
          <t>course lecture - no single paper</t>
        </is>
      </c>
      <c r="P283" s="10" t="inlineStr"/>
    </row>
    <row r="284">
      <c r="A284" s="15" t="n">
        <v>283</v>
      </c>
      <c r="B284" s="15" t="inlineStr">
        <is>
          <t>Part II - The Method Atlas</t>
        </is>
      </c>
      <c r="C284" s="16" t="inlineStr">
        <is>
          <t>A.3 Quantum mechanics and QM/MM</t>
        </is>
      </c>
      <c r="D284" s="10" t="inlineStr">
        <is>
          <t>Nobel Lecture 2013</t>
        </is>
      </c>
      <c r="E284" s="10" t="inlineStr">
        <is>
          <t>Arieh Warshel (USC</t>
        </is>
      </c>
      <c r="F284" s="11" t="inlineStr">
        <is>
          <t>28:00</t>
        </is>
      </c>
      <c r="G284" s="11" t="n">
        <v>0.47</v>
      </c>
      <c r="H284" s="12" t="inlineStr">
        <is>
          <t>★</t>
        </is>
      </c>
      <c r="I284" s="11" t="inlineStr">
        <is>
          <t>Not started</t>
        </is>
      </c>
      <c r="J284" s="13" t="n"/>
      <c r="K284" s="10" t="inlineStr"/>
      <c r="L284" s="14" t="inlineStr">
        <is>
          <t>▶ watch</t>
        </is>
      </c>
      <c r="M284" s="10" t="inlineStr"/>
      <c r="N284" s="11" t="inlineStr"/>
      <c r="O284" s="11" t="inlineStr">
        <is>
          <t>course lecture - no single paper</t>
        </is>
      </c>
      <c r="P284" s="10" t="inlineStr"/>
    </row>
    <row r="285">
      <c r="A285" s="15" t="n">
        <v>284</v>
      </c>
      <c r="B285" s="15" t="inlineStr">
        <is>
          <t>Part II - The Method Atlas</t>
        </is>
      </c>
      <c r="C285" s="16" t="inlineStr">
        <is>
          <t>A.4 Machine-learned interatomic potentials - the disruptive tier</t>
        </is>
      </c>
      <c r="D285" s="10" t="inlineStr">
        <is>
          <t>Tutorial: How to Train and Use MACE Interatomic Potentials, Part 1</t>
        </is>
      </c>
      <c r="E285" s="10" t="inlineStr">
        <is>
          <t>Ilyes Batatia (Cambridge</t>
        </is>
      </c>
      <c r="F285" s="11" t="inlineStr">
        <is>
          <t>1:06:00</t>
        </is>
      </c>
      <c r="G285" s="11" t="n">
        <v>1.1</v>
      </c>
      <c r="H285" s="12" t="inlineStr">
        <is>
          <t>★</t>
        </is>
      </c>
      <c r="I285" s="11" t="inlineStr">
        <is>
          <t>Not started</t>
        </is>
      </c>
      <c r="J285" s="13" t="n"/>
      <c r="K285" s="10" t="inlineStr"/>
      <c r="L285" s="14" t="inlineStr">
        <is>
          <t>▶ watch</t>
        </is>
      </c>
      <c r="M285" s="10" t="inlineStr"/>
      <c r="N285" s="11" t="inlineStr"/>
      <c r="O285" s="11" t="inlineStr">
        <is>
          <t>course lecture - no single paper</t>
        </is>
      </c>
      <c r="P285" s="10" t="inlineStr"/>
    </row>
    <row r="286">
      <c r="A286" s="15" t="n">
        <v>285</v>
      </c>
      <c r="B286" s="15" t="inlineStr">
        <is>
          <t>Part II - The Method Atlas</t>
        </is>
      </c>
      <c r="C286" s="16" t="inlineStr">
        <is>
          <t>A.4 Machine-learned interatomic potentials - the disruptive tier</t>
        </is>
      </c>
      <c r="D286" s="10" t="inlineStr">
        <is>
          <t>Tutorial: How to Train and Use MACE, Part 2</t>
        </is>
      </c>
      <c r="E286" s="10" t="inlineStr">
        <is>
          <t>Ilyes Batatia</t>
        </is>
      </c>
      <c r="F286" s="11" t="inlineStr">
        <is>
          <t>50:00</t>
        </is>
      </c>
      <c r="G286" s="11" t="n">
        <v>0.83</v>
      </c>
      <c r="H286" s="12" t="inlineStr"/>
      <c r="I286" s="11" t="inlineStr">
        <is>
          <t>Not started</t>
        </is>
      </c>
      <c r="J286" s="13" t="n"/>
      <c r="K286" s="10" t="inlineStr"/>
      <c r="L286" s="14" t="inlineStr">
        <is>
          <t>▶ watch</t>
        </is>
      </c>
      <c r="M286" s="10" t="inlineStr"/>
      <c r="N286" s="11" t="inlineStr"/>
      <c r="O286" s="11" t="inlineStr">
        <is>
          <t>course lecture - no single paper</t>
        </is>
      </c>
      <c r="P286" s="10" t="inlineStr"/>
    </row>
    <row r="287">
      <c r="A287" s="15" t="n">
        <v>286</v>
      </c>
      <c r="B287" s="15" t="inlineStr">
        <is>
          <t>Part II - The Method Atlas</t>
        </is>
      </c>
      <c r="C287" s="16" t="inlineStr">
        <is>
          <t>A.4 Machine-learned interatomic potentials - the disruptive tier</t>
        </is>
      </c>
      <c r="D287" s="10" t="inlineStr">
        <is>
          <t>Foundation Models for Materials and Molecules</t>
        </is>
      </c>
      <c r="E287" s="10" t="inlineStr">
        <is>
          <t>Gábor Csányi (Cambridge</t>
        </is>
      </c>
      <c r="F287" s="11" t="inlineStr">
        <is>
          <t>58:00</t>
        </is>
      </c>
      <c r="G287" s="11" t="n">
        <v>0.97</v>
      </c>
      <c r="H287" s="12" t="inlineStr"/>
      <c r="I287" s="11" t="inlineStr">
        <is>
          <t>Not started</t>
        </is>
      </c>
      <c r="J287" s="13" t="n"/>
      <c r="K287" s="10" t="inlineStr"/>
      <c r="L287" s="14" t="inlineStr">
        <is>
          <t>▶ watch</t>
        </is>
      </c>
      <c r="M287" s="10" t="inlineStr"/>
      <c r="N287" s="11" t="inlineStr"/>
      <c r="O287" s="11" t="inlineStr">
        <is>
          <t>course lecture - no single paper</t>
        </is>
      </c>
      <c r="P287" s="10" t="inlineStr"/>
    </row>
    <row r="288">
      <c r="A288" s="15" t="n">
        <v>287</v>
      </c>
      <c r="B288" s="15" t="inlineStr">
        <is>
          <t>Part II - The Method Atlas</t>
        </is>
      </c>
      <c r="C288" s="16" t="inlineStr">
        <is>
          <t>A.4 Machine-learned interatomic potentials - the disruptive tier</t>
        </is>
      </c>
      <c r="D288" s="10" t="inlineStr">
        <is>
          <t>Machine Learning Meets Quantum Chemistry</t>
        </is>
      </c>
      <c r="E288" s="10" t="inlineStr">
        <is>
          <t>Klaus-Robert Müller (TU Berlin</t>
        </is>
      </c>
      <c r="F288" s="11" t="inlineStr">
        <is>
          <t>51:00</t>
        </is>
      </c>
      <c r="G288" s="11" t="n">
        <v>0.85</v>
      </c>
      <c r="H288" s="12" t="inlineStr"/>
      <c r="I288" s="11" t="inlineStr">
        <is>
          <t>Not started</t>
        </is>
      </c>
      <c r="J288" s="13" t="n"/>
      <c r="K288" s="10" t="inlineStr"/>
      <c r="L288" s="14" t="inlineStr">
        <is>
          <t>▶ watch</t>
        </is>
      </c>
      <c r="M288" s="10" t="inlineStr"/>
      <c r="N288" s="11" t="inlineStr"/>
      <c r="O288" s="11" t="inlineStr">
        <is>
          <t>course lecture - no single paper</t>
        </is>
      </c>
      <c r="P288" s="10" t="inlineStr"/>
    </row>
    <row r="289">
      <c r="A289" s="15" t="n">
        <v>288</v>
      </c>
      <c r="B289" s="15" t="inlineStr">
        <is>
          <t>Part II - The Method Atlas</t>
        </is>
      </c>
      <c r="C289" s="16" t="inlineStr">
        <is>
          <t>A.4 Machine-learned interatomic potentials - the disruptive tier</t>
        </is>
      </c>
      <c r="D289" s="10" t="inlineStr">
        <is>
          <t>Challenges for General-Purpose MLFFs</t>
        </is>
      </c>
      <c r="E289" s="10" t="inlineStr">
        <is>
          <t>Alexandre Tkatchenko (Luxembourg</t>
        </is>
      </c>
      <c r="F289" s="11" t="inlineStr">
        <is>
          <t>51:00</t>
        </is>
      </c>
      <c r="G289" s="11" t="n">
        <v>0.85</v>
      </c>
      <c r="H289" s="12" t="inlineStr">
        <is>
          <t>★</t>
        </is>
      </c>
      <c r="I289" s="11" t="inlineStr">
        <is>
          <t>Not started</t>
        </is>
      </c>
      <c r="J289" s="13" t="n"/>
      <c r="K289" s="10" t="inlineStr"/>
      <c r="L289" s="14" t="inlineStr">
        <is>
          <t>▶ watch</t>
        </is>
      </c>
      <c r="M289" s="10" t="inlineStr"/>
      <c r="N289" s="11" t="inlineStr"/>
      <c r="O289" s="11" t="inlineStr">
        <is>
          <t>course lecture - no single paper</t>
        </is>
      </c>
      <c r="P289" s="10" t="inlineStr"/>
    </row>
    <row r="290">
      <c r="A290" s="15" t="n">
        <v>289</v>
      </c>
      <c r="B290" s="15" t="inlineStr">
        <is>
          <t>Part II - The Method Atlas</t>
        </is>
      </c>
      <c r="C290" s="16" t="inlineStr">
        <is>
          <t>A.4 Machine-learned interatomic potentials - the disruptive tier</t>
        </is>
      </c>
      <c r="D290" s="10" t="inlineStr">
        <is>
          <t>MACE: Higher Order Equivariant Message Passing NNs</t>
        </is>
      </c>
      <c r="E290" s="10" t="inlineStr">
        <is>
          <t>Valence Labs</t>
        </is>
      </c>
      <c r="F290" s="11" t="inlineStr">
        <is>
          <t>1:22:00</t>
        </is>
      </c>
      <c r="G290" s="11" t="n">
        <v>1.37</v>
      </c>
      <c r="H290" s="12" t="inlineStr">
        <is>
          <t>★</t>
        </is>
      </c>
      <c r="I290" s="11" t="inlineStr">
        <is>
          <t>Not started</t>
        </is>
      </c>
      <c r="J290" s="13" t="n"/>
      <c r="K290" s="10" t="inlineStr"/>
      <c r="L290" s="14" t="inlineStr">
        <is>
          <t>▶ watch</t>
        </is>
      </c>
      <c r="M290" s="10" t="inlineStr"/>
      <c r="N290" s="11" t="inlineStr"/>
      <c r="O290" s="11" t="inlineStr">
        <is>
          <t>course lecture - no single paper</t>
        </is>
      </c>
      <c r="P290" s="10" t="inlineStr">
        <is>
          <t>B.3 Force fields in practice - and the parts that are wrong; E.7.4 Interatomic potential inference at scale; O.2 Equivariant architectures for atoms; Simulation, force fields, coarse-graining and sampling</t>
        </is>
      </c>
    </row>
    <row r="291">
      <c r="A291" s="15" t="n">
        <v>290</v>
      </c>
      <c r="B291" s="15" t="inlineStr">
        <is>
          <t>Part II - The Method Atlas</t>
        </is>
      </c>
      <c r="C291" s="16" t="inlineStr">
        <is>
          <t>A.4 Machine-learned interatomic potentials - the disruptive tier</t>
        </is>
      </c>
      <c r="D291" s="10" t="inlineStr">
        <is>
          <t>Local Equivariant Representations for Large-Scale Atomistic Dynamics</t>
        </is>
      </c>
      <c r="E291" s="10" t="inlineStr">
        <is>
          <t>Batzner &amp; Musaelian (Harvard</t>
        </is>
      </c>
      <c r="F291" s="11" t="inlineStr">
        <is>
          <t>1:26:00</t>
        </is>
      </c>
      <c r="G291" s="11" t="n">
        <v>1.43</v>
      </c>
      <c r="H291" s="12" t="inlineStr">
        <is>
          <t>★</t>
        </is>
      </c>
      <c r="I291" s="11" t="inlineStr">
        <is>
          <t>Not started</t>
        </is>
      </c>
      <c r="J291" s="13" t="n"/>
      <c r="K291" s="10" t="inlineStr"/>
      <c r="L291" s="14" t="inlineStr">
        <is>
          <t>▶ watch</t>
        </is>
      </c>
      <c r="M291" s="10" t="inlineStr"/>
      <c r="N291" s="11" t="inlineStr"/>
      <c r="O291" s="11" t="inlineStr">
        <is>
          <t>course lecture - no single paper</t>
        </is>
      </c>
      <c r="P291" s="10" t="inlineStr">
        <is>
          <t>B.3 Force fields in practice - and the parts that are wrong; E.7.4 Interatomic potential inference at scale; O.2 Equivariant architectures for atoms; Simulation, force fields, coarse-graining and sampling</t>
        </is>
      </c>
    </row>
    <row r="292">
      <c r="A292" s="15" t="n">
        <v>291</v>
      </c>
      <c r="B292" s="15" t="inlineStr">
        <is>
          <t>Part II - The Method Atlas</t>
        </is>
      </c>
      <c r="C292" s="16" t="inlineStr">
        <is>
          <t>A.4 Machine-learned interatomic potentials - the disruptive tier</t>
        </is>
      </c>
      <c r="D292" s="10" t="inlineStr">
        <is>
          <t>The state of neural network interatomic potentials</t>
        </is>
      </c>
      <c r="E292" s="10" t="inlineStr">
        <is>
          <t>Justin Smith (ANI author</t>
        </is>
      </c>
      <c r="F292" s="11" t="inlineStr">
        <is>
          <t>41:00</t>
        </is>
      </c>
      <c r="G292" s="11" t="n">
        <v>0.68</v>
      </c>
      <c r="H292" s="12" t="inlineStr"/>
      <c r="I292" s="11" t="inlineStr">
        <is>
          <t>Not started</t>
        </is>
      </c>
      <c r="J292" s="13" t="n"/>
      <c r="K292" s="10" t="inlineStr"/>
      <c r="L292" s="14" t="inlineStr">
        <is>
          <t>▶ watch</t>
        </is>
      </c>
      <c r="M292" s="10" t="inlineStr"/>
      <c r="N292" s="11" t="inlineStr"/>
      <c r="O292" s="11" t="inlineStr">
        <is>
          <t>course lecture - no single paper</t>
        </is>
      </c>
      <c r="P292" s="10" t="inlineStr"/>
    </row>
    <row r="293">
      <c r="A293" s="15" t="n">
        <v>292</v>
      </c>
      <c r="B293" s="15" t="inlineStr">
        <is>
          <t>Part II - The Method Atlas</t>
        </is>
      </c>
      <c r="C293" s="16" t="inlineStr">
        <is>
          <t>A.4 Machine-learned interatomic potentials - the disruptive tier</t>
        </is>
      </c>
      <c r="D293" s="10" t="inlineStr">
        <is>
          <t>Uncertainty-aware ML models of many-body atomic interactions</t>
        </is>
      </c>
      <c r="E293" s="10" t="inlineStr">
        <is>
          <t>Boris Kozinsky (Harvard</t>
        </is>
      </c>
      <c r="F293" s="11" t="inlineStr">
        <is>
          <t>57:00</t>
        </is>
      </c>
      <c r="G293" s="11" t="n">
        <v>0.95</v>
      </c>
      <c r="H293" s="12" t="inlineStr"/>
      <c r="I293" s="11" t="inlineStr">
        <is>
          <t>Not started</t>
        </is>
      </c>
      <c r="J293" s="13" t="n"/>
      <c r="K293" s="10" t="inlineStr"/>
      <c r="L293" s="14" t="inlineStr">
        <is>
          <t>▶ watch</t>
        </is>
      </c>
      <c r="M293" s="10" t="inlineStr"/>
      <c r="N293" s="11" t="inlineStr"/>
      <c r="O293" s="11" t="inlineStr">
        <is>
          <t>course lecture - no single paper</t>
        </is>
      </c>
      <c r="P293" s="10" t="inlineStr"/>
    </row>
    <row r="294">
      <c r="A294" s="15" t="n">
        <v>293</v>
      </c>
      <c r="B294" s="15" t="inlineStr">
        <is>
          <t>Part II - The Method Atlas</t>
        </is>
      </c>
      <c r="C294" s="16" t="inlineStr">
        <is>
          <t>A.4 Machine-learned interatomic potentials - the disruptive tier</t>
        </is>
      </c>
      <c r="D294" s="10" t="inlineStr">
        <is>
          <t>Learning how to break symmetry with symmetry-preserving networks</t>
        </is>
      </c>
      <c r="E294" s="10" t="inlineStr">
        <is>
          <t>Tess Smidt (MIT</t>
        </is>
      </c>
      <c r="F294" s="11" t="inlineStr">
        <is>
          <t>59:00</t>
        </is>
      </c>
      <c r="G294" s="11" t="n">
        <v>0.98</v>
      </c>
      <c r="H294" s="12" t="inlineStr"/>
      <c r="I294" s="11" t="inlineStr">
        <is>
          <t>Not started</t>
        </is>
      </c>
      <c r="J294" s="13" t="n"/>
      <c r="K294" s="10" t="inlineStr"/>
      <c r="L294" s="14" t="inlineStr">
        <is>
          <t>▶ watch</t>
        </is>
      </c>
      <c r="M294" s="10" t="inlineStr"/>
      <c r="N294" s="11" t="inlineStr"/>
      <c r="O294" s="11" t="inlineStr">
        <is>
          <t>course lecture - no single paper</t>
        </is>
      </c>
      <c r="P294" s="10" t="inlineStr"/>
    </row>
    <row r="295">
      <c r="A295" s="15" t="n">
        <v>294</v>
      </c>
      <c r="B295" s="15" t="inlineStr">
        <is>
          <t>Part II - The Method Atlas</t>
        </is>
      </c>
      <c r="C295" s="16" t="inlineStr">
        <is>
          <t>A.4 Machine-learned interatomic potentials - the disruptive tier</t>
        </is>
      </c>
      <c r="D295" s="10" t="inlineStr">
        <is>
          <t>AIMNet2: A Robust Neural Network Potential</t>
        </is>
      </c>
      <c r="E295" s="10" t="inlineStr">
        <is>
          <t>Roman Zubatyuk (CMU</t>
        </is>
      </c>
      <c r="F295" s="11" t="inlineStr">
        <is>
          <t>40:00</t>
        </is>
      </c>
      <c r="G295" s="11" t="n">
        <v>0.67</v>
      </c>
      <c r="H295" s="12" t="inlineStr"/>
      <c r="I295" s="11" t="inlineStr">
        <is>
          <t>Not started</t>
        </is>
      </c>
      <c r="J295" s="13" t="n"/>
      <c r="K295" s="10" t="inlineStr"/>
      <c r="L295" s="14" t="inlineStr">
        <is>
          <t>▶ watch</t>
        </is>
      </c>
      <c r="M295" s="10" t="inlineStr"/>
      <c r="N295" s="11" t="inlineStr"/>
      <c r="O295" s="11" t="inlineStr">
        <is>
          <t>course lecture - no single paper</t>
        </is>
      </c>
      <c r="P295" s="10" t="inlineStr"/>
    </row>
    <row r="296">
      <c r="A296" s="15" t="n">
        <v>295</v>
      </c>
      <c r="B296" s="15" t="inlineStr">
        <is>
          <t>Part II - The Method Atlas</t>
        </is>
      </c>
      <c r="C296" s="16" t="inlineStr">
        <is>
          <t>A.4 Machine-learned interatomic potentials - the disruptive tier</t>
        </is>
      </c>
      <c r="D296" s="10" t="inlineStr">
        <is>
          <t>AI Solutions for Computational and Organic Chemistry</t>
        </is>
      </c>
      <c r="E296" s="10" t="inlineStr">
        <is>
          <t>Olexandr Isayev (CMU</t>
        </is>
      </c>
      <c r="F296" s="11" t="inlineStr">
        <is>
          <t>1:05:00</t>
        </is>
      </c>
      <c r="G296" s="11" t="n">
        <v>1.08</v>
      </c>
      <c r="H296" s="12" t="inlineStr"/>
      <c r="I296" s="11" t="inlineStr">
        <is>
          <t>Not started</t>
        </is>
      </c>
      <c r="J296" s="13" t="n"/>
      <c r="K296" s="10" t="inlineStr"/>
      <c r="L296" s="14" t="inlineStr">
        <is>
          <t>▶ watch</t>
        </is>
      </c>
      <c r="M296" s="10" t="inlineStr"/>
      <c r="N296" s="11" t="inlineStr"/>
      <c r="O296" s="11" t="inlineStr">
        <is>
          <t>course lecture - no single paper</t>
        </is>
      </c>
      <c r="P296" s="10" t="inlineStr"/>
    </row>
    <row r="297">
      <c r="A297" s="15" t="n">
        <v>296</v>
      </c>
      <c r="B297" s="15" t="inlineStr">
        <is>
          <t>Part II - The Method Atlas</t>
        </is>
      </c>
      <c r="C297" s="16" t="inlineStr">
        <is>
          <t>B.1 Foundations - the integrator, the thermostat, the box</t>
        </is>
      </c>
      <c r="D297" s="10" t="inlineStr">
        <is>
          <t>Rosetta: Refining structures with minimization and Monte Carlo</t>
        </is>
      </c>
      <c r="E297" s="10" t="inlineStr">
        <is>
          <t>RosettaCommons</t>
        </is>
      </c>
      <c r="F297" s="11" t="inlineStr">
        <is>
          <t>39:13</t>
        </is>
      </c>
      <c r="G297" s="11" t="n">
        <v>0.65</v>
      </c>
      <c r="H297" s="12" t="inlineStr">
        <is>
          <t>★</t>
        </is>
      </c>
      <c r="I297" s="11" t="inlineStr">
        <is>
          <t>Not started</t>
        </is>
      </c>
      <c r="J297" s="13" t="n"/>
      <c r="K297" s="10" t="inlineStr"/>
      <c r="L297" s="14" t="inlineStr">
        <is>
          <t>▶ watch</t>
        </is>
      </c>
      <c r="M297" s="10" t="inlineStr"/>
      <c r="N297" s="11" t="inlineStr"/>
      <c r="O297" s="11" t="inlineStr">
        <is>
          <t>course lecture - no single paper</t>
        </is>
      </c>
      <c r="P297" s="10" t="inlineStr">
        <is>
          <t>C.3 Monte Carlo in molecular systems; L.2 Fragment assembly and the Rosetta energy function; RaMP Bootcamp 2023 - 12 videos (the PyRosetta core</t>
        </is>
      </c>
    </row>
    <row r="298">
      <c r="A298" s="15" t="n">
        <v>297</v>
      </c>
      <c r="B298" s="15" t="inlineStr">
        <is>
          <t>Part II - The Method Atlas</t>
        </is>
      </c>
      <c r="C298" s="16" t="inlineStr">
        <is>
          <t>B.2 Anton and the long-timescale program</t>
        </is>
      </c>
      <c r="D298" s="10" t="inlineStr">
        <is>
          <t>Large-scale conformational transition in a membrane transporter</t>
        </is>
      </c>
      <c r="E298" s="10" t="inlineStr">
        <is>
          <t>Trebesch / Fakharzadeh, Tajkhorshid lab (Broad MIA</t>
        </is>
      </c>
      <c r="F298" s="11" t="inlineStr">
        <is>
          <t>1:34:25</t>
        </is>
      </c>
      <c r="G298" s="11" t="n">
        <v>1.57</v>
      </c>
      <c r="H298" s="12" t="inlineStr">
        <is>
          <t>★</t>
        </is>
      </c>
      <c r="I298" s="11" t="inlineStr">
        <is>
          <t>Not started</t>
        </is>
      </c>
      <c r="J298" s="13" t="n"/>
      <c r="K298" s="10" t="inlineStr"/>
      <c r="L298" s="14" t="inlineStr">
        <is>
          <t>▶ watch</t>
        </is>
      </c>
      <c r="M298" s="10" t="inlineStr">
        <is>
          <t>, and read them as a sequence: Shaw et al. 2010, Science 330:341 (Anton, atomic-level characterization of folding) · Lindorff-Larsen et al. 2011, Science 334:517 (How fast-folding proteins fold)</t>
        </is>
      </c>
      <c r="N298" s="14" t="inlineStr">
        <is>
          <t>read ↗</t>
        </is>
      </c>
      <c r="O298" s="11" t="inlineStr">
        <is>
          <t>section reading (2 of 5)</t>
        </is>
      </c>
      <c r="P298" s="10" t="inlineStr">
        <is>
          <t>Proteins, structure, molecular design</t>
        </is>
      </c>
    </row>
    <row r="299">
      <c r="A299" s="15" t="n">
        <v>298</v>
      </c>
      <c r="B299" s="15" t="inlineStr">
        <is>
          <t>Part II - The Method Atlas</t>
        </is>
      </c>
      <c r="C299" s="16" t="inlineStr">
        <is>
          <t>B.3 Force fields in practice - and the parts that are wrong</t>
        </is>
      </c>
      <c r="D299" s="10" t="inlineStr">
        <is>
          <t>Benchmark and Critical Evaluation for ML Force Fields</t>
        </is>
      </c>
      <c r="E299" s="10" t="inlineStr">
        <is>
          <t>Xiang Fu (Valence</t>
        </is>
      </c>
      <c r="F299" s="11" t="inlineStr">
        <is>
          <t>1:00:38</t>
        </is>
      </c>
      <c r="G299" s="11" t="n">
        <v>1.01</v>
      </c>
      <c r="H299" s="12" t="inlineStr">
        <is>
          <t>★</t>
        </is>
      </c>
      <c r="I299" s="11" t="inlineStr">
        <is>
          <t>Not started</t>
        </is>
      </c>
      <c r="J299" s="13" t="n"/>
      <c r="K299" s="10" t="inlineStr"/>
      <c r="L299" s="14" t="inlineStr">
        <is>
          <t>▶ watch</t>
        </is>
      </c>
      <c r="M299" s="10" t="inlineStr">
        <is>
          <t>Best et al. 2012, JCTC 8:3257 (CHARMM36) · Huang et al. 2017, Nat Methods 14:71 (CHARMM36m - the IDP correction)</t>
        </is>
      </c>
      <c r="N299" s="14" t="inlineStr">
        <is>
          <t>read ↗</t>
        </is>
      </c>
      <c r="O299" s="11" t="inlineStr">
        <is>
          <t>section reading (2 of 9)</t>
        </is>
      </c>
      <c r="P299" s="10" t="inlineStr">
        <is>
          <t>Simulation, force fields, coarse-graining and sampling</t>
        </is>
      </c>
    </row>
    <row r="300">
      <c r="A300" s="15" t="n">
        <v>299</v>
      </c>
      <c r="B300" s="15" t="inlineStr">
        <is>
          <t>Part II - The Method Atlas</t>
        </is>
      </c>
      <c r="C300" s="16" t="inlineStr">
        <is>
          <t>B.3 Force fields in practice - and the parts that are wrong</t>
        </is>
      </c>
      <c r="D300" s="10" t="inlineStr">
        <is>
          <t>Improving Speed and Accuracy of NN Interatomic Potentials</t>
        </is>
      </c>
      <c r="E300" s="10" t="inlineStr">
        <is>
          <t>Valence</t>
        </is>
      </c>
      <c r="F300" s="11" t="inlineStr">
        <is>
          <t>54:24</t>
        </is>
      </c>
      <c r="G300" s="11" t="n">
        <v>0.91</v>
      </c>
      <c r="H300" s="12" t="inlineStr">
        <is>
          <t>★</t>
        </is>
      </c>
      <c r="I300" s="11" t="inlineStr">
        <is>
          <t>Not started</t>
        </is>
      </c>
      <c r="J300" s="13" t="n"/>
      <c r="K300" s="10" t="inlineStr"/>
      <c r="L300" s="14" t="inlineStr">
        <is>
          <t>▶ watch</t>
        </is>
      </c>
      <c r="M300" s="10" t="inlineStr">
        <is>
          <t>Best et al. 2012, JCTC 8:3257 (CHARMM36) · Huang et al. 2017, Nat Methods 14:71 (CHARMM36m - the IDP correction)</t>
        </is>
      </c>
      <c r="N300" s="14" t="inlineStr">
        <is>
          <t>read ↗</t>
        </is>
      </c>
      <c r="O300" s="11" t="inlineStr">
        <is>
          <t>section reading (2 of 9)</t>
        </is>
      </c>
      <c r="P300" s="10" t="inlineStr">
        <is>
          <t>E.7.4 Interatomic potential inference at scale; Simulation, force fields, coarse-graining and sampling</t>
        </is>
      </c>
    </row>
    <row r="301">
      <c r="A301" s="15" t="n">
        <v>300</v>
      </c>
      <c r="B301" s="15" t="inlineStr">
        <is>
          <t>Part II - The Method Atlas</t>
        </is>
      </c>
      <c r="C301" s="16" t="inlineStr">
        <is>
          <t>B.3 Force fields in practice - and the parts that are wrong</t>
        </is>
      </c>
      <c r="D301" s="10" t="inlineStr">
        <is>
          <t>Allegro: Local Equivariant Representations for Large-Scale Dynamics</t>
        </is>
      </c>
      <c r="E301" s="10" t="inlineStr">
        <is>
          <t>Musaelian (Harvard, Valence</t>
        </is>
      </c>
      <c r="F301" s="11" t="inlineStr">
        <is>
          <t>1:09:17</t>
        </is>
      </c>
      <c r="G301" s="11" t="n">
        <v>1.15</v>
      </c>
      <c r="H301" s="12" t="inlineStr">
        <is>
          <t>★</t>
        </is>
      </c>
      <c r="I301" s="11" t="inlineStr">
        <is>
          <t>Not started</t>
        </is>
      </c>
      <c r="J301" s="13" t="n"/>
      <c r="K301" s="10" t="inlineStr"/>
      <c r="L301" s="14" t="inlineStr">
        <is>
          <t>▶ watch</t>
        </is>
      </c>
      <c r="M301" s="10" t="inlineStr">
        <is>
          <t>Best et al. 2012, JCTC 8:3257 (CHARMM36) · Huang et al. 2017, Nat Methods 14:71 (CHARMM36m - the IDP correction)</t>
        </is>
      </c>
      <c r="N301" s="14" t="inlineStr">
        <is>
          <t>read ↗</t>
        </is>
      </c>
      <c r="O301" s="11" t="inlineStr">
        <is>
          <t>section reading (2 of 9)</t>
        </is>
      </c>
      <c r="P301" s="10" t="inlineStr">
        <is>
          <t>E.7.4 Interatomic potential inference at scale; O.2 Equivariant architectures for atoms; Simulation, force fields, coarse-graining and sampling</t>
        </is>
      </c>
    </row>
    <row r="302">
      <c r="A302" s="15" t="n">
        <v>301</v>
      </c>
      <c r="B302" s="15" t="inlineStr">
        <is>
          <t>Part II - The Method Atlas</t>
        </is>
      </c>
      <c r="C302" s="16" t="inlineStr">
        <is>
          <t>B.3 Force fields in practice - and the parts that are wrong</t>
        </is>
      </c>
      <c r="D302" s="10" t="inlineStr">
        <is>
          <t>Learning QM Using Embedding, Symmetric Polynomials and Composition</t>
        </is>
      </c>
      <c r="E302" s="10" t="inlineStr">
        <is>
          <t>Gábor Csányi (Valence</t>
        </is>
      </c>
      <c r="F302" s="11" t="inlineStr">
        <is>
          <t>38:34</t>
        </is>
      </c>
      <c r="G302" s="11" t="n">
        <v>0.64</v>
      </c>
      <c r="H302" s="12" t="inlineStr">
        <is>
          <t>★</t>
        </is>
      </c>
      <c r="I302" s="11" t="inlineStr">
        <is>
          <t>Not started</t>
        </is>
      </c>
      <c r="J302" s="13" t="n"/>
      <c r="K302" s="10" t="inlineStr"/>
      <c r="L302" s="14" t="inlineStr">
        <is>
          <t>▶ watch</t>
        </is>
      </c>
      <c r="M302" s="10" t="inlineStr">
        <is>
          <t>Best et al. 2012, JCTC 8:3257 (CHARMM36) · Huang et al. 2017, Nat Methods 14:71 (CHARMM36m - the IDP correction)</t>
        </is>
      </c>
      <c r="N302" s="14" t="inlineStr">
        <is>
          <t>read ↗</t>
        </is>
      </c>
      <c r="O302" s="11" t="inlineStr">
        <is>
          <t>section reading (2 of 9)</t>
        </is>
      </c>
      <c r="P302" s="10" t="inlineStr">
        <is>
          <t>Simulation, force fields, coarse-graining and sampling</t>
        </is>
      </c>
    </row>
    <row r="303">
      <c r="A303" s="15" t="n">
        <v>302</v>
      </c>
      <c r="B303" s="15" t="inlineStr">
        <is>
          <t>Part II - The Method Atlas</t>
        </is>
      </c>
      <c r="C303" s="16" t="inlineStr">
        <is>
          <t>B.3 Force fields in practice - and the parts that are wrong</t>
        </is>
      </c>
      <c r="D303" s="10" t="inlineStr">
        <is>
          <t>Learning ML Interatomic Potentials</t>
        </is>
      </c>
      <c r="E303" s="10" t="inlineStr">
        <is>
          <t>De Fabritiis (ML4DD</t>
        </is>
      </c>
      <c r="F303" s="11" t="inlineStr">
        <is>
          <t>51:39</t>
        </is>
      </c>
      <c r="G303" s="11" t="n">
        <v>0.86</v>
      </c>
      <c r="H303" s="12" t="inlineStr">
        <is>
          <t>★</t>
        </is>
      </c>
      <c r="I303" s="11" t="inlineStr">
        <is>
          <t>Not started</t>
        </is>
      </c>
      <c r="J303" s="13" t="n"/>
      <c r="K303" s="10" t="inlineStr"/>
      <c r="L303" s="14" t="inlineStr">
        <is>
          <t>▶ watch</t>
        </is>
      </c>
      <c r="M303" s="10" t="inlineStr">
        <is>
          <t>Best et al. 2012, JCTC 8:3257 (CHARMM36) · Huang et al. 2017, Nat Methods 14:71 (CHARMM36m - the IDP correction)</t>
        </is>
      </c>
      <c r="N303" s="14" t="inlineStr">
        <is>
          <t>read ↗</t>
        </is>
      </c>
      <c r="O303" s="11" t="inlineStr">
        <is>
          <t>section reading (2 of 9)</t>
        </is>
      </c>
      <c r="P303" s="10" t="inlineStr">
        <is>
          <t>E.7.4 Interatomic potential inference at scale; ML4DD Summer School 2024 - 13 sessions</t>
        </is>
      </c>
    </row>
    <row r="304">
      <c r="A304" s="15" t="n">
        <v>303</v>
      </c>
      <c r="B304" s="15" t="inlineStr">
        <is>
          <t>Part II - The Method Atlas</t>
        </is>
      </c>
      <c r="C304" s="16" t="inlineStr">
        <is>
          <t>B.3 Force fields in practice - and the parts that are wrong</t>
        </is>
      </c>
      <c r="D304" s="10" t="inlineStr">
        <is>
          <t>Orb-v3: atomistic simulation at scale</t>
        </is>
      </c>
      <c r="E304" s="10" t="inlineStr">
        <is>
          <t>Duignan &amp; Vandenhaute (Valence</t>
        </is>
      </c>
      <c r="F304" s="11" t="inlineStr">
        <is>
          <t>1:13:35</t>
        </is>
      </c>
      <c r="G304" s="11" t="n">
        <v>1.23</v>
      </c>
      <c r="H304" s="12" t="inlineStr">
        <is>
          <t>★</t>
        </is>
      </c>
      <c r="I304" s="11" t="inlineStr">
        <is>
          <t>Not started</t>
        </is>
      </c>
      <c r="J304" s="13" t="n"/>
      <c r="K304" s="10" t="inlineStr"/>
      <c r="L304" s="14" t="inlineStr">
        <is>
          <t>▶ watch</t>
        </is>
      </c>
      <c r="M304" s="10" t="inlineStr">
        <is>
          <t>Best et al. 2012, JCTC 8:3257 (CHARMM36) · Huang et al. 2017, Nat Methods 14:71 (CHARMM36m - the IDP correction)</t>
        </is>
      </c>
      <c r="N304" s="14" t="inlineStr">
        <is>
          <t>read ↗</t>
        </is>
      </c>
      <c r="O304" s="11" t="inlineStr">
        <is>
          <t>section reading (2 of 9)</t>
        </is>
      </c>
      <c r="P304" s="10" t="inlineStr">
        <is>
          <t>E.7.4 Interatomic potential inference at scale; Simulation, force fields, coarse-graining and sampling</t>
        </is>
      </c>
    </row>
    <row r="305">
      <c r="A305" s="15" t="n">
        <v>304</v>
      </c>
      <c r="B305" s="15" t="inlineStr">
        <is>
          <t>Part II - The Method Atlas</t>
        </is>
      </c>
      <c r="C305" s="16" t="inlineStr">
        <is>
          <t>B.3 Force fields in practice - and the parts that are wrong</t>
        </is>
      </c>
      <c r="D305" s="10" t="inlineStr">
        <is>
          <t>Transformers Discover Molecular Structure Without Graph Priors</t>
        </is>
      </c>
      <c r="E305" s="10" t="inlineStr">
        <is>
          <t>Kreiman (Berkeley, Valence</t>
        </is>
      </c>
      <c r="F305" s="11" t="inlineStr">
        <is>
          <t>1:04:09</t>
        </is>
      </c>
      <c r="G305" s="11" t="n">
        <v>1.07</v>
      </c>
      <c r="H305" s="12" t="inlineStr">
        <is>
          <t>★</t>
        </is>
      </c>
      <c r="I305" s="11" t="inlineStr">
        <is>
          <t>Not started</t>
        </is>
      </c>
      <c r="J305" s="13" t="n"/>
      <c r="K305" s="10" t="inlineStr"/>
      <c r="L305" s="14" t="inlineStr">
        <is>
          <t>▶ watch</t>
        </is>
      </c>
      <c r="M305" s="10" t="inlineStr">
        <is>
          <t>Best et al. 2012, JCTC 8:3257 (CHARMM36) · Huang et al. 2017, Nat Methods 14:71 (CHARMM36m - the IDP correction)</t>
        </is>
      </c>
      <c r="N305" s="14" t="inlineStr">
        <is>
          <t>read ↗</t>
        </is>
      </c>
      <c r="O305" s="11" t="inlineStr">
        <is>
          <t>section reading (2 of 9)</t>
        </is>
      </c>
      <c r="P305" s="10" t="inlineStr">
        <is>
          <t>O.3 The challenge to the orthodoxy; Simulation, force fields, coarse-graining and sampling</t>
        </is>
      </c>
    </row>
    <row r="306">
      <c r="A306" s="15" t="n">
        <v>305</v>
      </c>
      <c r="B306" s="15" t="inlineStr">
        <is>
          <t>Part II - The Method Atlas</t>
        </is>
      </c>
      <c r="C306" s="16" t="inlineStr">
        <is>
          <t>B.3 Force fields in practice - and the parts that are wrong</t>
        </is>
      </c>
      <c r="D306" s="10" t="inlineStr">
        <is>
          <t>Stability-Aware Boltzmann Estimator (StABlE) Training</t>
        </is>
      </c>
      <c r="E306" s="10" t="inlineStr">
        <is>
          <t>Sanjeev Raja (Valence</t>
        </is>
      </c>
      <c r="F306" s="11" t="inlineStr">
        <is>
          <t>1:22:10</t>
        </is>
      </c>
      <c r="G306" s="11" t="n">
        <v>1.37</v>
      </c>
      <c r="H306" s="12" t="inlineStr">
        <is>
          <t>★</t>
        </is>
      </c>
      <c r="I306" s="11" t="inlineStr">
        <is>
          <t>Not started</t>
        </is>
      </c>
      <c r="J306" s="13" t="n"/>
      <c r="K306" s="10" t="inlineStr"/>
      <c r="L306" s="14" t="inlineStr">
        <is>
          <t>▶ watch</t>
        </is>
      </c>
      <c r="M306" s="10" t="inlineStr">
        <is>
          <t>Best et al. 2012, JCTC 8:3257 (CHARMM36) · Huang et al. 2017, Nat Methods 14:71 (CHARMM36m - the IDP correction)</t>
        </is>
      </c>
      <c r="N306" s="14" t="inlineStr">
        <is>
          <t>read ↗</t>
        </is>
      </c>
      <c r="O306" s="11" t="inlineStr">
        <is>
          <t>section reading (2 of 9)</t>
        </is>
      </c>
      <c r="P306" s="10" t="inlineStr">
        <is>
          <t>Simulation, force fields, coarse-graining and sampling</t>
        </is>
      </c>
    </row>
    <row r="307">
      <c r="A307" s="15" t="n">
        <v>306</v>
      </c>
      <c r="B307" s="15" t="inlineStr">
        <is>
          <t>Part II - The Method Atlas</t>
        </is>
      </c>
      <c r="C307" s="16" t="inlineStr">
        <is>
          <t>B.3 Force fields in practice - and the parts that are wrong</t>
        </is>
      </c>
      <c r="D307" s="10" t="inlineStr">
        <is>
          <t>Scalable simulation of electrolytes with quantum chemical accuracy</t>
        </is>
      </c>
      <c r="E307" s="10" t="inlineStr">
        <is>
          <t>Duignan (Valence</t>
        </is>
      </c>
      <c r="F307" s="11" t="inlineStr">
        <is>
          <t>1:12:12</t>
        </is>
      </c>
      <c r="G307" s="11" t="n">
        <v>1.2</v>
      </c>
      <c r="H307" s="12" t="inlineStr"/>
      <c r="I307" s="11" t="inlineStr">
        <is>
          <t>Not started</t>
        </is>
      </c>
      <c r="J307" s="13" t="n"/>
      <c r="K307" s="10" t="inlineStr"/>
      <c r="L307" s="14" t="inlineStr">
        <is>
          <t>▶ watch</t>
        </is>
      </c>
      <c r="M307" s="10" t="inlineStr">
        <is>
          <t>Best et al. 2012, JCTC 8:3257 (CHARMM36) · Huang et al. 2017, Nat Methods 14:71 (CHARMM36m - the IDP correction)</t>
        </is>
      </c>
      <c r="N307" s="14" t="inlineStr">
        <is>
          <t>read ↗</t>
        </is>
      </c>
      <c r="O307" s="11" t="inlineStr">
        <is>
          <t>section reading (2 of 9)</t>
        </is>
      </c>
      <c r="P307" s="10" t="inlineStr">
        <is>
          <t>Simulation, force fields, coarse-graining and sampling</t>
        </is>
      </c>
    </row>
    <row r="308">
      <c r="A308" s="15" t="n">
        <v>307</v>
      </c>
      <c r="B308" s="15" t="inlineStr">
        <is>
          <t>Part II - The Method Atlas</t>
        </is>
      </c>
      <c r="C308" s="16" t="inlineStr">
        <is>
          <t>B.3 Force fields in practice - and the parts that are wrong</t>
        </is>
      </c>
      <c r="D308" s="10" t="inlineStr">
        <is>
          <t>AquaGen: generative models at MD precision on thousands of atoms</t>
        </is>
      </c>
      <c r="E308" s="10" t="inlineStr">
        <is>
          <t>Valence</t>
        </is>
      </c>
      <c r="F308" s="11" t="inlineStr">
        <is>
          <t>1:16:27</t>
        </is>
      </c>
      <c r="G308" s="11" t="n">
        <v>1.27</v>
      </c>
      <c r="H308" s="12" t="inlineStr">
        <is>
          <t>★</t>
        </is>
      </c>
      <c r="I308" s="11" t="inlineStr">
        <is>
          <t>Not started</t>
        </is>
      </c>
      <c r="J308" s="13" t="n"/>
      <c r="K308" s="10" t="inlineStr"/>
      <c r="L308" s="14" t="inlineStr">
        <is>
          <t>▶ watch</t>
        </is>
      </c>
      <c r="M308" s="10" t="inlineStr">
        <is>
          <t>Best et al. 2012, JCTC 8:3257 (CHARMM36) · Huang et al. 2017, Nat Methods 14:71 (CHARMM36m - the IDP correction)</t>
        </is>
      </c>
      <c r="N308" s="14" t="inlineStr">
        <is>
          <t>read ↗</t>
        </is>
      </c>
      <c r="O308" s="11" t="inlineStr">
        <is>
          <t>section reading (2 of 9)</t>
        </is>
      </c>
      <c r="P308" s="10" t="inlineStr">
        <is>
          <t>E.7.4 Interatomic potential inference at scale; Simulation, force fields, coarse-graining and sampling</t>
        </is>
      </c>
    </row>
    <row r="309">
      <c r="A309" s="15" t="n">
        <v>308</v>
      </c>
      <c r="B309" s="15" t="inlineStr">
        <is>
          <t>Part II - The Method Atlas</t>
        </is>
      </c>
      <c r="C309" s="16" t="inlineStr">
        <is>
          <t>B.4 Running MD correctly - the practitioner layer</t>
        </is>
      </c>
      <c r="D309" s="10" t="inlineStr">
        <is>
          <t>BioExcel Building Blocks: interoperable simulation workflows</t>
        </is>
      </c>
      <c r="E309" s="10" t="inlineStr">
        <is>
          <t>RosettaCommons Workflows</t>
        </is>
      </c>
      <c r="F309" s="11" t="inlineStr">
        <is>
          <t>36:36</t>
        </is>
      </c>
      <c r="G309" s="11" t="n">
        <v>0.61</v>
      </c>
      <c r="H309" s="12" t="inlineStr">
        <is>
          <t>★</t>
        </is>
      </c>
      <c r="I309" s="11" t="inlineStr">
        <is>
          <t>Not started</t>
        </is>
      </c>
      <c r="J309" s="13" t="n"/>
      <c r="K309" s="10" t="inlineStr"/>
      <c r="L309" s="14" t="inlineStr">
        <is>
          <t>▶ watch</t>
        </is>
      </c>
      <c r="M309" s="10" t="inlineStr">
        <is>
          <t>Best et al. 2012, JCTC 8:3257 (CHARMM36) · Huang et al. 2017, Nat Methods 14:71 (CHARMM36m - the IDP correction)</t>
        </is>
      </c>
      <c r="N309" s="14" t="inlineStr">
        <is>
          <t>read ↗</t>
        </is>
      </c>
      <c r="O309" s="11" t="inlineStr">
        <is>
          <t>reading for B.3 Force fields in practice - and the p</t>
        </is>
      </c>
      <c r="P309" s="10" t="inlineStr">
        <is>
          <t>Protein Design Workflows - 14 videos</t>
        </is>
      </c>
    </row>
    <row r="310">
      <c r="A310" s="15" t="n">
        <v>309</v>
      </c>
      <c r="B310" s="15" t="inlineStr">
        <is>
          <t>Part II - The Method Atlas</t>
        </is>
      </c>
      <c r="C310" s="16" t="inlineStr">
        <is>
          <t>B.5 Convergence, error bars, and what a trajectory does not tell you</t>
        </is>
      </c>
      <c r="D310" s="10" t="inlineStr">
        <is>
          <t>Hannah Wayment-Steele (MLSB 2025</t>
        </is>
      </c>
      <c r="E310" s="10" t="inlineStr">
        <is>
          <t>Big Data for Protein Dynamics</t>
        </is>
      </c>
      <c r="F310" s="11" t="inlineStr">
        <is>
          <t>33:47</t>
        </is>
      </c>
      <c r="G310" s="11" t="n">
        <v>0.5600000000000001</v>
      </c>
      <c r="H310" s="12" t="inlineStr">
        <is>
          <t>★</t>
        </is>
      </c>
      <c r="I310" s="11" t="inlineStr">
        <is>
          <t>Not started</t>
        </is>
      </c>
      <c r="J310" s="13" t="n"/>
      <c r="K310" s="10" t="inlineStr"/>
      <c r="L310" s="14" t="inlineStr">
        <is>
          <t>▶ watch</t>
        </is>
      </c>
      <c r="M310" s="10" t="inlineStr">
        <is>
          <t>Grossfield &amp; Zuckerman 2009, Annu Rep Comput Chem 5:23 (Quantifying uncertainty and sampling quality) [read this one twice] · Chodera 2016, JCTC 12:1799 (automatic equilibration detection)</t>
        </is>
      </c>
      <c r="N310" s="14" t="inlineStr">
        <is>
          <t>read ↗</t>
        </is>
      </c>
      <c r="O310" s="11" t="inlineStr">
        <is>
          <t>section reading (2 of 6)</t>
        </is>
      </c>
      <c r="P310" s="10" t="inlineStr">
        <is>
          <t>A.5 MLSB Workshop - 10 talks (complete</t>
        </is>
      </c>
    </row>
    <row r="311">
      <c r="A311" s="15" t="n">
        <v>310</v>
      </c>
      <c r="B311" s="15" t="inlineStr">
        <is>
          <t>Part II - The Method Atlas</t>
        </is>
      </c>
      <c r="C311" s="16" t="inlineStr">
        <is>
          <t>B.5 Convergence, error bars, and what a trajectory does not tell you</t>
        </is>
      </c>
      <c r="D311" s="10" t="inlineStr">
        <is>
          <t>Systematic Analysis of Conformational Ensembles with PENSA</t>
        </is>
      </c>
      <c r="E311" s="10" t="inlineStr">
        <is>
          <t>Vögele (Stanford, Valence</t>
        </is>
      </c>
      <c r="F311" s="11" t="inlineStr">
        <is>
          <t>50:33</t>
        </is>
      </c>
      <c r="G311" s="11" t="n">
        <v>0.84</v>
      </c>
      <c r="H311" s="12" t="inlineStr">
        <is>
          <t>★</t>
        </is>
      </c>
      <c r="I311" s="11" t="inlineStr">
        <is>
          <t>Not started</t>
        </is>
      </c>
      <c r="J311" s="13" t="n"/>
      <c r="K311" s="10" t="inlineStr"/>
      <c r="L311" s="14" t="inlineStr">
        <is>
          <t>▶ watch</t>
        </is>
      </c>
      <c r="M311" s="10" t="inlineStr">
        <is>
          <t>Grossfield &amp; Zuckerman 2009, Annu Rep Comput Chem 5:23 (Quantifying uncertainty and sampling quality) [read this one twice] · Chodera 2016, JCTC 12:1799 (automatic equilibration detection)</t>
        </is>
      </c>
      <c r="N311" s="14" t="inlineStr">
        <is>
          <t>read ↗</t>
        </is>
      </c>
      <c r="O311" s="11" t="inlineStr">
        <is>
          <t>section reading (2 of 6)</t>
        </is>
      </c>
      <c r="P311" s="10" t="inlineStr">
        <is>
          <t>Simulation, force fields, coarse-graining and sampling</t>
        </is>
      </c>
    </row>
    <row r="312">
      <c r="A312" s="15" t="n">
        <v>311</v>
      </c>
      <c r="B312" s="15" t="inlineStr">
        <is>
          <t>Part II - The Method Atlas</t>
        </is>
      </c>
      <c r="C312" s="16" t="inlineStr">
        <is>
          <t>B.5 Convergence, error bars, and what a trajectory does not tell you</t>
        </is>
      </c>
      <c r="D312" s="10" t="inlineStr">
        <is>
          <t>Boltzmann Weighted Ensembles</t>
        </is>
      </c>
      <c r="E312" s="10" t="inlineStr">
        <is>
          <t>Pratyush Tiwary (MLSB 2025</t>
        </is>
      </c>
      <c r="F312" s="11" t="inlineStr">
        <is>
          <t>31:12</t>
        </is>
      </c>
      <c r="G312" s="11" t="n">
        <v>0.52</v>
      </c>
      <c r="H312" s="12" t="inlineStr">
        <is>
          <t>★</t>
        </is>
      </c>
      <c r="I312" s="11" t="inlineStr">
        <is>
          <t>Not started</t>
        </is>
      </c>
      <c r="J312" s="13" t="n"/>
      <c r="K312" s="10" t="inlineStr"/>
      <c r="L312" s="14" t="inlineStr">
        <is>
          <t>▶ watch</t>
        </is>
      </c>
      <c r="M312" s="10" t="inlineStr">
        <is>
          <t>Zuckerman &amp; Chong 2017, Annu Rev Biophys 46:43</t>
        </is>
      </c>
      <c r="N312" s="14" t="inlineStr">
        <is>
          <t>read ↗</t>
        </is>
      </c>
      <c r="O312" s="11" t="inlineStr">
        <is>
          <t>paired reading</t>
        </is>
      </c>
      <c r="P312" s="10" t="inlineStr">
        <is>
          <t>A.5 MLSB Workshop - 10 talks (complete; D.2 Collective-variable methods</t>
        </is>
      </c>
    </row>
    <row r="313">
      <c r="A313" s="15" t="n">
        <v>312</v>
      </c>
      <c r="B313" s="15" t="inlineStr">
        <is>
          <t>Part II - The Method Atlas</t>
        </is>
      </c>
      <c r="C313" s="16" t="inlineStr">
        <is>
          <t>Werner Krauth - Statistical Mechanics: Algorithms and Computations</t>
        </is>
      </c>
      <c r="D313" s="10" t="inlineStr">
        <is>
          <t>Introduction to Monte Carlo algorithms</t>
        </is>
      </c>
      <c r="E313" s="10" t="inlineStr"/>
      <c r="F313" s="11" t="inlineStr">
        <is>
          <t>28:08</t>
        </is>
      </c>
      <c r="G313" s="11" t="n">
        <v>0.47</v>
      </c>
      <c r="H313" s="12" t="inlineStr"/>
      <c r="I313" s="11" t="inlineStr">
        <is>
          <t>Not started</t>
        </is>
      </c>
      <c r="J313" s="13" t="n"/>
      <c r="K313" s="10" t="inlineStr"/>
      <c r="L313" s="14" t="inlineStr">
        <is>
          <t>▶ watch</t>
        </is>
      </c>
      <c r="M313" s="10" t="inlineStr">
        <is>
          <t>Grossfield &amp; Zuckerman 2009, Annu Rep Comput Chem 5:23 (Quantifying uncertainty and sampling quality) [read this one twice] · Chodera 2016, JCTC 12:1799 (automatic equilibration detection)</t>
        </is>
      </c>
      <c r="N313" s="14" t="inlineStr">
        <is>
          <t>read ↗</t>
        </is>
      </c>
      <c r="O313" s="11" t="inlineStr">
        <is>
          <t xml:space="preserve">reading for B.5 Convergence, error bars, and what a </t>
        </is>
      </c>
      <c r="P313" s="10" t="inlineStr"/>
    </row>
    <row r="314">
      <c r="A314" s="15" t="n">
        <v>313</v>
      </c>
      <c r="B314" s="15" t="inlineStr">
        <is>
          <t>Part II - The Method Atlas</t>
        </is>
      </c>
      <c r="C314" s="16" t="inlineStr">
        <is>
          <t>Werner Krauth - Statistical Mechanics: Algorithms and Computations</t>
        </is>
      </c>
      <c r="D314" s="10" t="inlineStr">
        <is>
          <t>Hard disks: from Classical to Statistical Mechanics</t>
        </is>
      </c>
      <c r="E314" s="10" t="inlineStr"/>
      <c r="F314" s="11" t="inlineStr">
        <is>
          <t>35:59</t>
        </is>
      </c>
      <c r="G314" s="11" t="n">
        <v>0.6</v>
      </c>
      <c r="H314" s="12" t="inlineStr"/>
      <c r="I314" s="11" t="inlineStr">
        <is>
          <t>Not started</t>
        </is>
      </c>
      <c r="J314" s="13" t="n"/>
      <c r="K314" s="10" t="inlineStr"/>
      <c r="L314" s="14" t="inlineStr">
        <is>
          <t>▶ watch</t>
        </is>
      </c>
      <c r="M314" s="10" t="inlineStr">
        <is>
          <t>Grossfield &amp; Zuckerman 2009, Annu Rep Comput Chem 5:23 (Quantifying uncertainty and sampling quality) [read this one twice] · Chodera 2016, JCTC 12:1799 (automatic equilibration detection)</t>
        </is>
      </c>
      <c r="N314" s="14" t="inlineStr">
        <is>
          <t>read ↗</t>
        </is>
      </c>
      <c r="O314" s="11" t="inlineStr">
        <is>
          <t xml:space="preserve">reading for B.5 Convergence, error bars, and what a </t>
        </is>
      </c>
      <c r="P314" s="10" t="inlineStr"/>
    </row>
    <row r="315">
      <c r="A315" s="15" t="n">
        <v>314</v>
      </c>
      <c r="B315" s="15" t="inlineStr">
        <is>
          <t>Part II - The Method Atlas</t>
        </is>
      </c>
      <c r="C315" s="16" t="inlineStr">
        <is>
          <t>Werner Krauth - Statistical Mechanics: Algorithms and Computations</t>
        </is>
      </c>
      <c r="D315" s="10" t="inlineStr">
        <is>
          <t>Sampling and Integration: from Gaussians to Maxwell and Boltzmann</t>
        </is>
      </c>
      <c r="E315" s="10" t="inlineStr"/>
      <c r="F315" s="11" t="inlineStr">
        <is>
          <t>32:20</t>
        </is>
      </c>
      <c r="G315" s="11" t="n">
        <v>0.54</v>
      </c>
      <c r="H315" s="12" t="inlineStr"/>
      <c r="I315" s="11" t="inlineStr">
        <is>
          <t>Not started</t>
        </is>
      </c>
      <c r="J315" s="13" t="n"/>
      <c r="K315" s="10" t="inlineStr"/>
      <c r="L315" s="14" t="inlineStr">
        <is>
          <t>▶ watch</t>
        </is>
      </c>
      <c r="M315" s="10" t="inlineStr">
        <is>
          <t>Grossfield &amp; Zuckerman 2009, Annu Rep Comput Chem 5:23 (Quantifying uncertainty and sampling quality) [read this one twice] · Chodera 2016, JCTC 12:1799 (automatic equilibration detection)</t>
        </is>
      </c>
      <c r="N315" s="14" t="inlineStr">
        <is>
          <t>read ↗</t>
        </is>
      </c>
      <c r="O315" s="11" t="inlineStr">
        <is>
          <t xml:space="preserve">reading for B.5 Convergence, error bars, and what a </t>
        </is>
      </c>
      <c r="P315" s="10" t="inlineStr"/>
    </row>
    <row r="316">
      <c r="A316" s="15" t="n">
        <v>315</v>
      </c>
      <c r="B316" s="15" t="inlineStr">
        <is>
          <t>Part II - The Method Atlas</t>
        </is>
      </c>
      <c r="C316" s="16" t="inlineStr">
        <is>
          <t>Werner Krauth - Statistical Mechanics: Algorithms and Computations</t>
        </is>
      </c>
      <c r="D316" s="10" t="inlineStr">
        <is>
          <t>Ising model: from enumeration to Cluster Monte Carlo</t>
        </is>
      </c>
      <c r="E316" s="10" t="inlineStr"/>
      <c r="F316" s="11" t="inlineStr">
        <is>
          <t>28:49</t>
        </is>
      </c>
      <c r="G316" s="11" t="n">
        <v>0.48</v>
      </c>
      <c r="H316" s="12" t="inlineStr">
        <is>
          <t>★</t>
        </is>
      </c>
      <c r="I316" s="11" t="inlineStr">
        <is>
          <t>Not started</t>
        </is>
      </c>
      <c r="J316" s="13" t="n"/>
      <c r="K316" s="10" t="inlineStr"/>
      <c r="L316" s="14" t="inlineStr">
        <is>
          <t>▶ watch</t>
        </is>
      </c>
      <c r="M316" s="10" t="inlineStr">
        <is>
          <t>Grossfield &amp; Zuckerman 2009, Annu Rep Comput Chem 5:23 (Quantifying uncertainty and sampling quality) [read this one twice] · Chodera 2016, JCTC 12:1799 (automatic equilibration detection)</t>
        </is>
      </c>
      <c r="N316" s="14" t="inlineStr">
        <is>
          <t>read ↗</t>
        </is>
      </c>
      <c r="O316" s="11" t="inlineStr">
        <is>
          <t xml:space="preserve">reading for B.5 Convergence, error bars, and what a </t>
        </is>
      </c>
      <c r="P316" s="10" t="inlineStr"/>
    </row>
    <row r="317">
      <c r="A317" s="15" t="n">
        <v>316</v>
      </c>
      <c r="B317" s="15" t="inlineStr">
        <is>
          <t>Part II - The Method Atlas</t>
        </is>
      </c>
      <c r="C317" s="16" t="inlineStr">
        <is>
          <t>Werner Krauth - Statistical Mechanics: Algorithms and Computations</t>
        </is>
      </c>
      <c r="D317" s="10" t="inlineStr">
        <is>
          <t>Dynamical Monte Carlo and the Faster-than-the-Clock approach</t>
        </is>
      </c>
      <c r="E317" s="10" t="inlineStr"/>
      <c r="F317" s="11" t="inlineStr">
        <is>
          <t>25:07</t>
        </is>
      </c>
      <c r="G317" s="11" t="n">
        <v>0.42</v>
      </c>
      <c r="H317" s="12" t="inlineStr"/>
      <c r="I317" s="11" t="inlineStr">
        <is>
          <t>Not started</t>
        </is>
      </c>
      <c r="J317" s="13" t="n"/>
      <c r="K317" s="10" t="inlineStr"/>
      <c r="L317" s="14" t="inlineStr">
        <is>
          <t>▶ watch</t>
        </is>
      </c>
      <c r="M317" s="10" t="inlineStr">
        <is>
          <t>Grossfield &amp; Zuckerman 2009, Annu Rep Comput Chem 5:23 (Quantifying uncertainty and sampling quality) [read this one twice] · Chodera 2016, JCTC 12:1799 (automatic equilibration detection)</t>
        </is>
      </c>
      <c r="N317" s="14" t="inlineStr">
        <is>
          <t>read ↗</t>
        </is>
      </c>
      <c r="O317" s="11" t="inlineStr">
        <is>
          <t xml:space="preserve">reading for B.5 Convergence, error bars, and what a </t>
        </is>
      </c>
      <c r="P317" s="10" t="inlineStr"/>
    </row>
    <row r="318">
      <c r="A318" s="15" t="n">
        <v>317</v>
      </c>
      <c r="B318" s="15" t="inlineStr">
        <is>
          <t>Part II - The Method Atlas</t>
        </is>
      </c>
      <c r="C318" s="16" t="inlineStr">
        <is>
          <t>Werner Krauth - Statistical Mechanics: Algorithms and Computations</t>
        </is>
      </c>
      <c r="D318" s="10" t="inlineStr">
        <is>
          <t>The Alpha and the Omega of Monte Carlo (convergence, error bars</t>
        </is>
      </c>
      <c r="E318" s="10" t="inlineStr"/>
      <c r="F318" s="11" t="inlineStr">
        <is>
          <t>32:28</t>
        </is>
      </c>
      <c r="G318" s="11" t="n">
        <v>0.54</v>
      </c>
      <c r="H318" s="12" t="inlineStr">
        <is>
          <t>★</t>
        </is>
      </c>
      <c r="I318" s="11" t="inlineStr">
        <is>
          <t>Not started</t>
        </is>
      </c>
      <c r="J318" s="13" t="n"/>
      <c r="K318" s="10" t="inlineStr"/>
      <c r="L318" s="14" t="inlineStr">
        <is>
          <t>▶ watch</t>
        </is>
      </c>
      <c r="M318" s="10" t="inlineStr">
        <is>
          <t>Grossfield &amp; Zuckerman 2009, Annu Rep Comput Chem 5:23 (Quantifying uncertainty and sampling quality) [read this one twice] · Chodera 2016, JCTC 12:1799 (automatic equilibration detection)</t>
        </is>
      </c>
      <c r="N318" s="14" t="inlineStr">
        <is>
          <t>read ↗</t>
        </is>
      </c>
      <c r="O318" s="11" t="inlineStr">
        <is>
          <t xml:space="preserve">reading for B.5 Convergence, error bars, and what a </t>
        </is>
      </c>
      <c r="P318" s="10" t="inlineStr"/>
    </row>
    <row r="319">
      <c r="A319" s="15" t="n">
        <v>318</v>
      </c>
      <c r="B319" s="15" t="inlineStr">
        <is>
          <t>Part II - The Method Atlas</t>
        </is>
      </c>
      <c r="C319" s="16" t="inlineStr">
        <is>
          <t>Werner Krauth - Statistical Mechanics: Algorithms and Computations</t>
        </is>
      </c>
      <c r="D319" s="10" t="inlineStr">
        <is>
          <t>Tutorial: Exponential convergence and the 3×3 pebble game</t>
        </is>
      </c>
      <c r="E319" s="10" t="inlineStr"/>
      <c r="F319" s="11" t="inlineStr">
        <is>
          <t>32:39</t>
        </is>
      </c>
      <c r="G319" s="11" t="n">
        <v>0.54</v>
      </c>
      <c r="H319" s="12" t="inlineStr"/>
      <c r="I319" s="11" t="inlineStr">
        <is>
          <t>Not started</t>
        </is>
      </c>
      <c r="J319" s="13" t="n"/>
      <c r="K319" s="10" t="inlineStr"/>
      <c r="L319" s="14" t="inlineStr">
        <is>
          <t>▶ watch</t>
        </is>
      </c>
      <c r="M319" s="10" t="inlineStr">
        <is>
          <t>Grossfield &amp; Zuckerman 2009, Annu Rep Comput Chem 5:23 (Quantifying uncertainty and sampling quality) [read this one twice] · Chodera 2016, JCTC 12:1799 (automatic equilibration detection)</t>
        </is>
      </c>
      <c r="N319" s="14" t="inlineStr">
        <is>
          <t>read ↗</t>
        </is>
      </c>
      <c r="O319" s="11" t="inlineStr">
        <is>
          <t xml:space="preserve">reading for B.5 Convergence, error bars, and what a </t>
        </is>
      </c>
      <c r="P319" s="10" t="inlineStr"/>
    </row>
    <row r="320">
      <c r="A320" s="15" t="n">
        <v>319</v>
      </c>
      <c r="B320" s="15" t="inlineStr">
        <is>
          <t>Part II - The Method Atlas</t>
        </is>
      </c>
      <c r="C320" s="16" t="inlineStr">
        <is>
          <t>Werner Krauth - Statistical Mechanics: Algorithms and Computations</t>
        </is>
      </c>
      <c r="D320" s="10" t="inlineStr">
        <is>
          <t>Tutorial: Heat bath algorithm, coupling of Markov chains</t>
        </is>
      </c>
      <c r="E320" s="10" t="inlineStr"/>
      <c r="F320" s="11" t="inlineStr">
        <is>
          <t>19:21</t>
        </is>
      </c>
      <c r="G320" s="11" t="n">
        <v>0.32</v>
      </c>
      <c r="H320" s="12" t="inlineStr"/>
      <c r="I320" s="11" t="inlineStr">
        <is>
          <t>Not started</t>
        </is>
      </c>
      <c r="J320" s="13" t="n"/>
      <c r="K320" s="10" t="inlineStr"/>
      <c r="L320" s="14" t="inlineStr">
        <is>
          <t>▶ watch</t>
        </is>
      </c>
      <c r="M320" s="10" t="inlineStr">
        <is>
          <t>Grossfield &amp; Zuckerman 2009, Annu Rep Comput Chem 5:23 (Quantifying uncertainty and sampling quality) [read this one twice] · Chodera 2016, JCTC 12:1799 (automatic equilibration detection)</t>
        </is>
      </c>
      <c r="N320" s="14" t="inlineStr">
        <is>
          <t>read ↗</t>
        </is>
      </c>
      <c r="O320" s="11" t="inlineStr">
        <is>
          <t xml:space="preserve">reading for B.5 Convergence, error bars, and what a </t>
        </is>
      </c>
      <c r="P320" s="10" t="inlineStr"/>
    </row>
    <row r="321">
      <c r="A321" s="15" t="n">
        <v>320</v>
      </c>
      <c r="B321" s="15" t="inlineStr">
        <is>
          <t>Part II - The Method Atlas</t>
        </is>
      </c>
      <c r="C321" s="16" t="inlineStr">
        <is>
          <t>Werner Krauth - Statistical Mechanics: Algorithms and Computations</t>
        </is>
      </c>
      <c r="D321" s="10" t="inlineStr">
        <is>
          <t>(see curriculum section)</t>
        </is>
      </c>
      <c r="E321" s="10" t="inlineStr"/>
      <c r="F321" s="11" t="inlineStr">
        <is>
          <t>1:33:56</t>
        </is>
      </c>
      <c r="G321" s="11" t="n">
        <v>1.57</v>
      </c>
      <c r="H321" s="12" t="inlineStr"/>
      <c r="I321" s="11" t="inlineStr">
        <is>
          <t>Not started</t>
        </is>
      </c>
      <c r="J321" s="13" t="n"/>
      <c r="K321" s="10" t="inlineStr"/>
      <c r="L321" s="14" t="inlineStr">
        <is>
          <t>▶ watch</t>
        </is>
      </c>
      <c r="M321" s="10" t="inlineStr">
        <is>
          <t>Grossfield &amp; Zuckerman 2009, Annu Rep Comput Chem 5:23 (Quantifying uncertainty and sampling quality) [read this one twice] · Chodera 2016, JCTC 12:1799 (automatic equilibration detection)</t>
        </is>
      </c>
      <c r="N321" s="14" t="inlineStr">
        <is>
          <t>read ↗</t>
        </is>
      </c>
      <c r="O321" s="11" t="inlineStr">
        <is>
          <t xml:space="preserve">reading for B.5 Convergence, error bars, and what a </t>
        </is>
      </c>
      <c r="P321" s="10" t="inlineStr"/>
    </row>
    <row r="322">
      <c r="A322" s="15" t="n">
        <v>321</v>
      </c>
      <c r="B322" s="15" t="inlineStr">
        <is>
          <t>Part II - The Method Atlas</t>
        </is>
      </c>
      <c r="C322" s="16" t="inlineStr">
        <is>
          <t>Werner Krauth - Statistical Mechanics: Algorithms and Computations</t>
        </is>
      </c>
      <c r="D322" s="10" t="inlineStr">
        <is>
          <t>I (1:33:56)</t>
        </is>
      </c>
      <c r="E322" s="10" t="inlineStr"/>
      <c r="F322" s="11" t="inlineStr">
        <is>
          <t>1:33:56</t>
        </is>
      </c>
      <c r="G322" s="11" t="n">
        <v>1.57</v>
      </c>
      <c r="H322" s="12" t="inlineStr"/>
      <c r="I322" s="11" t="inlineStr">
        <is>
          <t>Not started</t>
        </is>
      </c>
      <c r="J322" s="13" t="n"/>
      <c r="K322" s="10" t="inlineStr"/>
      <c r="L322" s="14" t="inlineStr">
        <is>
          <t>▶ watch</t>
        </is>
      </c>
      <c r="M322" s="10" t="inlineStr">
        <is>
          <t>Grossfield &amp; Zuckerman 2009, Annu Rep Comput Chem 5:23 (Quantifying uncertainty and sampling quality) [read this one twice] · Chodera 2016, JCTC 12:1799 (automatic equilibration detection)</t>
        </is>
      </c>
      <c r="N322" s="14" t="inlineStr">
        <is>
          <t>read ↗</t>
        </is>
      </c>
      <c r="O322" s="11" t="inlineStr">
        <is>
          <t xml:space="preserve">reading for B.5 Convergence, error bars, and what a </t>
        </is>
      </c>
      <c r="P322" s="10" t="inlineStr"/>
    </row>
    <row r="323">
      <c r="A323" s="15" t="n">
        <v>322</v>
      </c>
      <c r="B323" s="15" t="inlineStr">
        <is>
          <t>Part II - The Method Atlas</t>
        </is>
      </c>
      <c r="C323" s="16" t="inlineStr">
        <is>
          <t>Werner Krauth - Statistical Mechanics: Algorithms and Computations</t>
        </is>
      </c>
      <c r="D323" s="10" t="inlineStr">
        <is>
          <t>[III</t>
        </is>
      </c>
      <c r="E323" s="10" t="inlineStr"/>
      <c r="F323" s="11" t="inlineStr">
        <is>
          <t>1:33:56</t>
        </is>
      </c>
      <c r="G323" s="11" t="n">
        <v>1.57</v>
      </c>
      <c r="H323" s="12" t="inlineStr"/>
      <c r="I323" s="11" t="inlineStr">
        <is>
          <t>Not started</t>
        </is>
      </c>
      <c r="J323" s="13" t="n"/>
      <c r="K323" s="10" t="inlineStr"/>
      <c r="L323" s="14" t="inlineStr">
        <is>
          <t>▶ watch</t>
        </is>
      </c>
      <c r="M323" s="10" t="inlineStr">
        <is>
          <t>Grossfield &amp; Zuckerman 2009, Annu Rep Comput Chem 5:23 (Quantifying uncertainty and sampling quality) [read this one twice] · Chodera 2016, JCTC 12:1799 (automatic equilibration detection)</t>
        </is>
      </c>
      <c r="N323" s="14" t="inlineStr">
        <is>
          <t>read ↗</t>
        </is>
      </c>
      <c r="O323" s="11" t="inlineStr">
        <is>
          <t xml:space="preserve">reading for B.5 Convergence, error bars, and what a </t>
        </is>
      </c>
      <c r="P323" s="10" t="inlineStr"/>
    </row>
    <row r="324">
      <c r="A324" s="15" t="n">
        <v>323</v>
      </c>
      <c r="B324" s="15" t="inlineStr">
        <is>
          <t>Part II - The Method Atlas</t>
        </is>
      </c>
      <c r="C324" s="16" t="inlineStr">
        <is>
          <t>Why high-dimensional sampling needs MCMC at all</t>
        </is>
      </c>
      <c r="D324" s="10" t="inlineStr">
        <is>
          <t>Iain Murray (Edinburgh, MLSS Africa</t>
        </is>
      </c>
      <c r="E324" s="10" t="inlineStr">
        <is>
          <t>Markov Chain Monte Carlo</t>
        </is>
      </c>
      <c r="F324" s="11" t="inlineStr">
        <is>
          <t>1:17:50</t>
        </is>
      </c>
      <c r="G324" s="11" t="n">
        <v>1.3</v>
      </c>
      <c r="H324" s="12" t="inlineStr">
        <is>
          <t>★</t>
        </is>
      </c>
      <c r="I324" s="11" t="inlineStr">
        <is>
          <t>Not started</t>
        </is>
      </c>
      <c r="J324" s="13" t="n"/>
      <c r="K324" s="10" t="inlineStr"/>
      <c r="L324" s="14" t="inlineStr">
        <is>
          <t>▶ watch</t>
        </is>
      </c>
      <c r="M324" s="10" t="inlineStr">
        <is>
          <t>Grossfield &amp; Zuckerman 2009, Annu Rep Comput Chem 5:23 (Quantifying uncertainty and sampling quality) [read this one twice] · Chodera 2016, JCTC 12:1799 (automatic equilibration detection)</t>
        </is>
      </c>
      <c r="N324" s="14" t="inlineStr">
        <is>
          <t>read ↗</t>
        </is>
      </c>
      <c r="O324" s="11" t="inlineStr">
        <is>
          <t xml:space="preserve">reading for B.5 Convergence, error bars, and what a </t>
        </is>
      </c>
      <c r="P324" s="10" t="inlineStr"/>
    </row>
    <row r="325">
      <c r="A325" s="15" t="n">
        <v>324</v>
      </c>
      <c r="B325" s="15" t="inlineStr">
        <is>
          <t>Part II - The Method Atlas</t>
        </is>
      </c>
      <c r="C325" s="16" t="inlineStr">
        <is>
          <t>Why high-dimensional sampling needs MCMC at all</t>
        </is>
      </c>
      <c r="D325" s="10" t="inlineStr">
        <is>
          <t>Introduction to MCMC for Deep Learning</t>
        </is>
      </c>
      <c r="E325" s="10" t="inlineStr">
        <is>
          <t>Iain Murray (IPAM</t>
        </is>
      </c>
      <c r="F325" s="11" t="inlineStr">
        <is>
          <t>1:01:50</t>
        </is>
      </c>
      <c r="G325" s="11" t="n">
        <v>1.03</v>
      </c>
      <c r="H325" s="12" t="inlineStr"/>
      <c r="I325" s="11" t="inlineStr">
        <is>
          <t>Not started</t>
        </is>
      </c>
      <c r="J325" s="13" t="n"/>
      <c r="K325" s="10" t="inlineStr"/>
      <c r="L325" s="14" t="inlineStr">
        <is>
          <t>▶ watch</t>
        </is>
      </c>
      <c r="M325" s="10" t="inlineStr">
        <is>
          <t>Grossfield &amp; Zuckerman 2009, Annu Rep Comput Chem 5:23 (Quantifying uncertainty and sampling quality) [read this one twice] · Chodera 2016, JCTC 12:1799 (automatic equilibration detection)</t>
        </is>
      </c>
      <c r="N325" s="14" t="inlineStr">
        <is>
          <t>read ↗</t>
        </is>
      </c>
      <c r="O325" s="11" t="inlineStr">
        <is>
          <t xml:space="preserve">reading for B.5 Convergence, error bars, and what a </t>
        </is>
      </c>
      <c r="P325" s="10" t="inlineStr"/>
    </row>
    <row r="326">
      <c r="A326" s="15" t="n">
        <v>325</v>
      </c>
      <c r="B326" s="15" t="inlineStr">
        <is>
          <t>Part II - The Method Atlas</t>
        </is>
      </c>
      <c r="C326" s="16" t="inlineStr">
        <is>
          <t>Why high-dimensional sampling needs MCMC at all</t>
        </is>
      </c>
      <c r="D326" s="10" t="inlineStr">
        <is>
          <t>Pseudo-Marginal Slice Sampling</t>
        </is>
      </c>
      <c r="E326" s="10" t="inlineStr">
        <is>
          <t>Iain Murray</t>
        </is>
      </c>
      <c r="F326" s="11" t="inlineStr">
        <is>
          <t>32:08</t>
        </is>
      </c>
      <c r="G326" s="11" t="n">
        <v>0.54</v>
      </c>
      <c r="H326" s="12" t="inlineStr"/>
      <c r="I326" s="11" t="inlineStr">
        <is>
          <t>Not started</t>
        </is>
      </c>
      <c r="J326" s="13" t="n"/>
      <c r="K326" s="10" t="inlineStr"/>
      <c r="L326" s="14" t="inlineStr">
        <is>
          <t>▶ watch</t>
        </is>
      </c>
      <c r="M326" s="10" t="inlineStr">
        <is>
          <t>Grossfield &amp; Zuckerman 2009, Annu Rep Comput Chem 5:23 (Quantifying uncertainty and sampling quality) [read this one twice] · Chodera 2016, JCTC 12:1799 (automatic equilibration detection)</t>
        </is>
      </c>
      <c r="N326" s="14" t="inlineStr">
        <is>
          <t>read ↗</t>
        </is>
      </c>
      <c r="O326" s="11" t="inlineStr">
        <is>
          <t xml:space="preserve">reading for B.5 Convergence, error bars, and what a </t>
        </is>
      </c>
      <c r="P326" s="10" t="inlineStr"/>
    </row>
    <row r="327">
      <c r="A327" s="15" t="n">
        <v>326</v>
      </c>
      <c r="B327" s="15" t="inlineStr">
        <is>
          <t>Part II - The Method Atlas</t>
        </is>
      </c>
      <c r="C327" s="16" t="inlineStr">
        <is>
          <t>Why high-dimensional sampling needs MCMC at all</t>
        </is>
      </c>
      <c r="D327" s="10" t="inlineStr">
        <is>
          <t>A Gentle Introduction to Markov chain Monte Carlo</t>
        </is>
      </c>
      <c r="E327" s="10" t="inlineStr">
        <is>
          <t>Dootika Vats (IIT Kanpur</t>
        </is>
      </c>
      <c r="F327" s="11" t="inlineStr">
        <is>
          <t>1:08:45</t>
        </is>
      </c>
      <c r="G327" s="11" t="n">
        <v>1.15</v>
      </c>
      <c r="H327" s="12" t="inlineStr"/>
      <c r="I327" s="11" t="inlineStr">
        <is>
          <t>Not started</t>
        </is>
      </c>
      <c r="J327" s="13" t="n"/>
      <c r="K327" s="10" t="inlineStr"/>
      <c r="L327" s="14" t="inlineStr">
        <is>
          <t>▶ watch</t>
        </is>
      </c>
      <c r="M327" s="10" t="inlineStr">
        <is>
          <t>Grossfield &amp; Zuckerman 2009, Annu Rep Comput Chem 5:23 (Quantifying uncertainty and sampling quality) [read this one twice] · Chodera 2016, JCTC 12:1799 (automatic equilibration detection)</t>
        </is>
      </c>
      <c r="N327" s="14" t="inlineStr">
        <is>
          <t>read ↗</t>
        </is>
      </c>
      <c r="O327" s="11" t="inlineStr">
        <is>
          <t xml:space="preserve">reading for B.5 Convergence, error bars, and what a </t>
        </is>
      </c>
      <c r="P327" s="10" t="inlineStr"/>
    </row>
    <row r="328">
      <c r="A328" s="15" t="n">
        <v>327</v>
      </c>
      <c r="B328" s="15" t="inlineStr">
        <is>
          <t>Part II - The Method Atlas</t>
        </is>
      </c>
      <c r="C328" s="16" t="inlineStr">
        <is>
          <t>Course modules</t>
        </is>
      </c>
      <c r="D328" s="10" t="inlineStr">
        <is>
          <t>Lec 34: Markov chain algorithm, equilibrium and detailed balance</t>
        </is>
      </c>
      <c r="E328" s="10" t="inlineStr">
        <is>
          <t>NPTEL / IIT Roorkee</t>
        </is>
      </c>
      <c r="F328" s="11" t="inlineStr">
        <is>
          <t>38:04</t>
        </is>
      </c>
      <c r="G328" s="11" t="n">
        <v>0.63</v>
      </c>
      <c r="H328" s="12" t="inlineStr"/>
      <c r="I328" s="11" t="inlineStr">
        <is>
          <t>Not started</t>
        </is>
      </c>
      <c r="J328" s="13" t="n"/>
      <c r="K328" s="10" t="inlineStr"/>
      <c r="L328" s="14" t="inlineStr">
        <is>
          <t>▶ watch</t>
        </is>
      </c>
      <c r="M328" s="10" t="inlineStr">
        <is>
          <t>Grossfield &amp; Zuckerman 2009, Annu Rep Comput Chem 5:23 (Quantifying uncertainty and sampling quality) [read this one twice] · Chodera 2016, JCTC 12:1799 (automatic equilibration detection)</t>
        </is>
      </c>
      <c r="N328" s="14" t="inlineStr">
        <is>
          <t>read ↗</t>
        </is>
      </c>
      <c r="O328" s="11" t="inlineStr">
        <is>
          <t xml:space="preserve">reading for B.5 Convergence, error bars, and what a </t>
        </is>
      </c>
      <c r="P328" s="10" t="inlineStr"/>
    </row>
    <row r="329">
      <c r="A329" s="15" t="n">
        <v>328</v>
      </c>
      <c r="B329" s="15" t="inlineStr">
        <is>
          <t>Part II - The Method Atlas</t>
        </is>
      </c>
      <c r="C329" s="16" t="inlineStr">
        <is>
          <t>Course modules</t>
        </is>
      </c>
      <c r="D329" s="10" t="inlineStr">
        <is>
          <t>Lec 35: Metropolis algorithm, periodic boundary conditions</t>
        </is>
      </c>
      <c r="E329" s="10" t="inlineStr">
        <is>
          <t>NPTEL / IIT Roorkee</t>
        </is>
      </c>
      <c r="F329" s="11" t="inlineStr">
        <is>
          <t>45:46</t>
        </is>
      </c>
      <c r="G329" s="11" t="n">
        <v>0.76</v>
      </c>
      <c r="H329" s="12" t="inlineStr"/>
      <c r="I329" s="11" t="inlineStr">
        <is>
          <t>Not started</t>
        </is>
      </c>
      <c r="J329" s="13" t="n"/>
      <c r="K329" s="10" t="inlineStr"/>
      <c r="L329" s="14" t="inlineStr">
        <is>
          <t>▶ watch</t>
        </is>
      </c>
      <c r="M329" s="10" t="inlineStr">
        <is>
          <t>Grossfield &amp; Zuckerman 2009, Annu Rep Comput Chem 5:23 (Quantifying uncertainty and sampling quality) [read this one twice] · Chodera 2016, JCTC 12:1799 (automatic equilibration detection)</t>
        </is>
      </c>
      <c r="N329" s="14" t="inlineStr">
        <is>
          <t>read ↗</t>
        </is>
      </c>
      <c r="O329" s="11" t="inlineStr">
        <is>
          <t xml:space="preserve">reading for B.5 Convergence, error bars, and what a </t>
        </is>
      </c>
      <c r="P329" s="10" t="inlineStr"/>
    </row>
    <row r="330">
      <c r="A330" s="15" t="n">
        <v>329</v>
      </c>
      <c r="B330" s="15" t="inlineStr">
        <is>
          <t>Part II - The Method Atlas</t>
        </is>
      </c>
      <c r="C330" s="16" t="inlineStr">
        <is>
          <t>Course modules</t>
        </is>
      </c>
      <c r="D330" s="10" t="inlineStr">
        <is>
          <t>MIT 3.320 Lec 17: Monte Carlo Simulations</t>
        </is>
      </c>
      <c r="E330" s="10" t="inlineStr">
        <is>
          <t>Ceder &amp; Marzari (MIT</t>
        </is>
      </c>
      <c r="F330" s="11" t="inlineStr">
        <is>
          <t>1:14:31</t>
        </is>
      </c>
      <c r="G330" s="11" t="n">
        <v>1.24</v>
      </c>
      <c r="H330" s="12" t="inlineStr"/>
      <c r="I330" s="11" t="inlineStr">
        <is>
          <t>Not started</t>
        </is>
      </c>
      <c r="J330" s="13" t="n"/>
      <c r="K330" s="10" t="inlineStr"/>
      <c r="L330" s="14" t="inlineStr">
        <is>
          <t>▶ watch</t>
        </is>
      </c>
      <c r="M330" s="10" t="inlineStr">
        <is>
          <t>Grossfield &amp; Zuckerman 2009, Annu Rep Comput Chem 5:23 (Quantifying uncertainty and sampling quality) [read this one twice] · Chodera 2016, JCTC 12:1799 (automatic equilibration detection)</t>
        </is>
      </c>
      <c r="N330" s="14" t="inlineStr">
        <is>
          <t>read ↗</t>
        </is>
      </c>
      <c r="O330" s="11" t="inlineStr">
        <is>
          <t xml:space="preserve">reading for B.5 Convergence, error bars, and what a </t>
        </is>
      </c>
      <c r="P330" s="10" t="inlineStr"/>
    </row>
    <row r="331">
      <c r="A331" s="15" t="n">
        <v>330</v>
      </c>
      <c r="B331" s="15" t="inlineStr">
        <is>
          <t>Part II - The Method Atlas</t>
        </is>
      </c>
      <c r="C331" s="16" t="inlineStr">
        <is>
          <t>Course modules</t>
        </is>
      </c>
      <c r="D331" s="10" t="inlineStr">
        <is>
          <t>MIT 3.320 Lec 18: Monte Carlo Simulation II</t>
        </is>
      </c>
      <c r="E331" s="10" t="inlineStr">
        <is>
          <t>Ceder &amp; Marzari</t>
        </is>
      </c>
      <c r="F331" s="11" t="inlineStr">
        <is>
          <t>1:15:27</t>
        </is>
      </c>
      <c r="G331" s="11" t="n">
        <v>1.26</v>
      </c>
      <c r="H331" s="12" t="inlineStr"/>
      <c r="I331" s="11" t="inlineStr">
        <is>
          <t>Not started</t>
        </is>
      </c>
      <c r="J331" s="13" t="n"/>
      <c r="K331" s="10" t="inlineStr"/>
      <c r="L331" s="14" t="inlineStr">
        <is>
          <t>▶ watch</t>
        </is>
      </c>
      <c r="M331" s="10" t="inlineStr">
        <is>
          <t>Grossfield &amp; Zuckerman 2009, Annu Rep Comput Chem 5:23 (Quantifying uncertainty and sampling quality) [read this one twice] · Chodera 2016, JCTC 12:1799 (automatic equilibration detection)</t>
        </is>
      </c>
      <c r="N331" s="14" t="inlineStr">
        <is>
          <t>read ↗</t>
        </is>
      </c>
      <c r="O331" s="11" t="inlineStr">
        <is>
          <t xml:space="preserve">reading for B.5 Convergence, error bars, and what a </t>
        </is>
      </c>
      <c r="P331" s="10" t="inlineStr"/>
    </row>
    <row r="332">
      <c r="A332" s="15" t="n">
        <v>331</v>
      </c>
      <c r="B332" s="15" t="inlineStr">
        <is>
          <t>Part II - The Method Atlas</t>
        </is>
      </c>
      <c r="C332" s="16" t="inlineStr">
        <is>
          <t>Course modules</t>
        </is>
      </c>
      <c r="D332" s="10" t="inlineStr">
        <is>
          <t>Lec 30: Introduction to Markov Chain Monte Carlo</t>
        </is>
      </c>
      <c r="E332" s="10" t="inlineStr">
        <is>
          <t>NPTEL / IIT Kanpur</t>
        </is>
      </c>
      <c r="F332" s="11" t="inlineStr">
        <is>
          <t>24:30</t>
        </is>
      </c>
      <c r="G332" s="11" t="n">
        <v>0.41</v>
      </c>
      <c r="H332" s="12" t="inlineStr"/>
      <c r="I332" s="11" t="inlineStr">
        <is>
          <t>Not started</t>
        </is>
      </c>
      <c r="J332" s="13" t="n"/>
      <c r="K332" s="10" t="inlineStr"/>
      <c r="L332" s="14" t="inlineStr">
        <is>
          <t>▶ watch</t>
        </is>
      </c>
      <c r="M332" s="10" t="inlineStr">
        <is>
          <t>Grossfield &amp; Zuckerman 2009, Annu Rep Comput Chem 5:23 (Quantifying uncertainty and sampling quality) [read this one twice] · Chodera 2016, JCTC 12:1799 (automatic equilibration detection)</t>
        </is>
      </c>
      <c r="N332" s="14" t="inlineStr">
        <is>
          <t>read ↗</t>
        </is>
      </c>
      <c r="O332" s="11" t="inlineStr">
        <is>
          <t xml:space="preserve">reading for B.5 Convergence, error bars, and what a </t>
        </is>
      </c>
      <c r="P332" s="10" t="inlineStr"/>
    </row>
    <row r="333">
      <c r="A333" s="15" t="n">
        <v>332</v>
      </c>
      <c r="B333" s="15" t="inlineStr">
        <is>
          <t>Part II - The Method Atlas</t>
        </is>
      </c>
      <c r="C333" s="16" t="inlineStr">
        <is>
          <t>Course modules</t>
        </is>
      </c>
      <c r="D333" s="10" t="inlineStr">
        <is>
          <t>Computational Physics: Monte Carlo methods</t>
        </is>
      </c>
      <c r="E333" s="10" t="inlineStr">
        <is>
          <t>Morten Hjorth-Jensen (Oslo/MSU</t>
        </is>
      </c>
      <c r="F333" s="11" t="inlineStr">
        <is>
          <t>1:28:30</t>
        </is>
      </c>
      <c r="G333" s="11" t="n">
        <v>1.48</v>
      </c>
      <c r="H333" s="12" t="inlineStr"/>
      <c r="I333" s="11" t="inlineStr">
        <is>
          <t>Not started</t>
        </is>
      </c>
      <c r="J333" s="13" t="n"/>
      <c r="K333" s="10" t="inlineStr"/>
      <c r="L333" s="14" t="inlineStr">
        <is>
          <t>▶ watch</t>
        </is>
      </c>
      <c r="M333" s="10" t="inlineStr">
        <is>
          <t>Grossfield &amp; Zuckerman 2009, Annu Rep Comput Chem 5:23 (Quantifying uncertainty and sampling quality) [read this one twice] · Chodera 2016, JCTC 12:1799 (automatic equilibration detection)</t>
        </is>
      </c>
      <c r="N333" s="14" t="inlineStr">
        <is>
          <t>read ↗</t>
        </is>
      </c>
      <c r="O333" s="11" t="inlineStr">
        <is>
          <t xml:space="preserve">reading for B.5 Convergence, error bars, and what a </t>
        </is>
      </c>
      <c r="P333" s="10" t="inlineStr"/>
    </row>
    <row r="334">
      <c r="A334" s="15" t="n">
        <v>333</v>
      </c>
      <c r="B334" s="15" t="inlineStr">
        <is>
          <t>Part II - The Method Atlas</t>
        </is>
      </c>
      <c r="C334" s="16" t="inlineStr">
        <is>
          <t>Hamiltonian Monte Carlo</t>
        </is>
      </c>
      <c r="D334" s="10" t="inlineStr">
        <is>
          <t>New Monte Carlo Methods Based on Hamiltonian Dynamics</t>
        </is>
      </c>
      <c r="E334" s="10" t="inlineStr">
        <is>
          <t>Radford Neal (Toronto</t>
        </is>
      </c>
      <c r="F334" s="11" t="inlineStr">
        <is>
          <t>1:05:31</t>
        </is>
      </c>
      <c r="G334" s="11" t="n">
        <v>1.09</v>
      </c>
      <c r="H334" s="12" t="inlineStr">
        <is>
          <t>★</t>
        </is>
      </c>
      <c r="I334" s="11" t="inlineStr">
        <is>
          <t>Not started</t>
        </is>
      </c>
      <c r="J334" s="13" t="n"/>
      <c r="K334" s="10" t="inlineStr"/>
      <c r="L334" s="14" t="inlineStr">
        <is>
          <t>▶ watch</t>
        </is>
      </c>
      <c r="M334" s="10" t="inlineStr">
        <is>
          <t>Grossfield &amp; Zuckerman 2009, Annu Rep Comput Chem 5:23 (Quantifying uncertainty and sampling quality) [read this one twice] · Chodera 2016, JCTC 12:1799 (automatic equilibration detection)</t>
        </is>
      </c>
      <c r="N334" s="14" t="inlineStr">
        <is>
          <t>read ↗</t>
        </is>
      </c>
      <c r="O334" s="11" t="inlineStr">
        <is>
          <t xml:space="preserve">reading for B.5 Convergence, error bars, and what a </t>
        </is>
      </c>
      <c r="P334" s="10" t="inlineStr"/>
    </row>
    <row r="335">
      <c r="A335" s="15" t="n">
        <v>334</v>
      </c>
      <c r="B335" s="15" t="inlineStr">
        <is>
          <t>Part II - The Method Atlas</t>
        </is>
      </c>
      <c r="C335" s="16" t="inlineStr">
        <is>
          <t>Hamiltonian Monte Carlo</t>
        </is>
      </c>
      <c r="D335" s="10" t="inlineStr">
        <is>
          <t>Efficient Bayesian inference with HMC, Part 1</t>
        </is>
      </c>
      <c r="E335" s="10" t="inlineStr">
        <is>
          <t>Michael Betancourt (MLSS Iceland</t>
        </is>
      </c>
      <c r="F335" s="11" t="inlineStr">
        <is>
          <t>1:29:43</t>
        </is>
      </c>
      <c r="G335" s="11" t="n">
        <v>1.5</v>
      </c>
      <c r="H335" s="12" t="inlineStr"/>
      <c r="I335" s="11" t="inlineStr">
        <is>
          <t>Not started</t>
        </is>
      </c>
      <c r="J335" s="13" t="n"/>
      <c r="K335" s="10" t="inlineStr"/>
      <c r="L335" s="14" t="inlineStr">
        <is>
          <t>▶ watch</t>
        </is>
      </c>
      <c r="M335" s="10" t="inlineStr">
        <is>
          <t>Grossfield &amp; Zuckerman 2009, Annu Rep Comput Chem 5:23 (Quantifying uncertainty and sampling quality) [read this one twice] · Chodera 2016, JCTC 12:1799 (automatic equilibration detection)</t>
        </is>
      </c>
      <c r="N335" s="14" t="inlineStr">
        <is>
          <t>read ↗</t>
        </is>
      </c>
      <c r="O335" s="11" t="inlineStr">
        <is>
          <t xml:space="preserve">reading for B.5 Convergence, error bars, and what a </t>
        </is>
      </c>
      <c r="P335" s="10" t="inlineStr"/>
    </row>
    <row r="336">
      <c r="A336" s="15" t="n">
        <v>335</v>
      </c>
      <c r="B336" s="15" t="inlineStr">
        <is>
          <t>Part II - The Method Atlas</t>
        </is>
      </c>
      <c r="C336" s="16" t="inlineStr">
        <is>
          <t>Hamiltonian Monte Carlo</t>
        </is>
      </c>
      <c r="D336" s="10" t="inlineStr">
        <is>
          <t>HMC and Stan, Part 2</t>
        </is>
      </c>
      <c r="E336" s="10" t="inlineStr">
        <is>
          <t>Michael Betancourt</t>
        </is>
      </c>
      <c r="F336" s="11" t="inlineStr">
        <is>
          <t>42:26</t>
        </is>
      </c>
      <c r="G336" s="11" t="n">
        <v>0.71</v>
      </c>
      <c r="H336" s="12" t="inlineStr"/>
      <c r="I336" s="11" t="inlineStr">
        <is>
          <t>Not started</t>
        </is>
      </c>
      <c r="J336" s="13" t="n"/>
      <c r="K336" s="10" t="inlineStr"/>
      <c r="L336" s="14" t="inlineStr">
        <is>
          <t>▶ watch</t>
        </is>
      </c>
      <c r="M336" s="10" t="inlineStr">
        <is>
          <t>Grossfield &amp; Zuckerman 2009, Annu Rep Comput Chem 5:23 (Quantifying uncertainty and sampling quality) [read this one twice] · Chodera 2016, JCTC 12:1799 (automatic equilibration detection)</t>
        </is>
      </c>
      <c r="N336" s="14" t="inlineStr">
        <is>
          <t>read ↗</t>
        </is>
      </c>
      <c r="O336" s="11" t="inlineStr">
        <is>
          <t xml:space="preserve">reading for B.5 Convergence, error bars, and what a </t>
        </is>
      </c>
      <c r="P336" s="10" t="inlineStr"/>
    </row>
    <row r="337">
      <c r="A337" s="15" t="n">
        <v>336</v>
      </c>
      <c r="B337" s="15" t="inlineStr">
        <is>
          <t>Part II - The Method Atlas</t>
        </is>
      </c>
      <c r="C337" s="16" t="inlineStr">
        <is>
          <t>Hamiltonian Monte Carlo</t>
        </is>
      </c>
      <c r="D337" s="10" t="inlineStr">
        <is>
          <t>Unravelling A Geometric Conspiracy</t>
        </is>
      </c>
      <c r="E337" s="10" t="inlineStr">
        <is>
          <t>Michael Betancourt (LOGML</t>
        </is>
      </c>
      <c r="F337" s="11" t="inlineStr">
        <is>
          <t>58:06</t>
        </is>
      </c>
      <c r="G337" s="11" t="n">
        <v>0.97</v>
      </c>
      <c r="H337" s="12" t="inlineStr"/>
      <c r="I337" s="11" t="inlineStr">
        <is>
          <t>Not started</t>
        </is>
      </c>
      <c r="J337" s="13" t="n"/>
      <c r="K337" s="10" t="inlineStr"/>
      <c r="L337" s="14" t="inlineStr">
        <is>
          <t>▶ watch</t>
        </is>
      </c>
      <c r="M337" s="10" t="inlineStr">
        <is>
          <t>Grossfield &amp; Zuckerman 2009, Annu Rep Comput Chem 5:23 (Quantifying uncertainty and sampling quality) [read this one twice] · Chodera 2016, JCTC 12:1799 (automatic equilibration detection)</t>
        </is>
      </c>
      <c r="N337" s="14" t="inlineStr">
        <is>
          <t>read ↗</t>
        </is>
      </c>
      <c r="O337" s="11" t="inlineStr">
        <is>
          <t xml:space="preserve">reading for B.5 Convergence, error bars, and what a </t>
        </is>
      </c>
      <c r="P337" s="10" t="inlineStr"/>
    </row>
    <row r="338">
      <c r="A338" s="15" t="n">
        <v>337</v>
      </c>
      <c r="B338" s="15" t="inlineStr">
        <is>
          <t>Part II - The Method Atlas</t>
        </is>
      </c>
      <c r="C338" s="16" t="inlineStr">
        <is>
          <t>Hamiltonian Monte Carlo</t>
        </is>
      </c>
      <c r="D338" s="10" t="inlineStr">
        <is>
          <t>Scalable Bayesian Inference with HMC</t>
        </is>
      </c>
      <c r="E338" s="10" t="inlineStr">
        <is>
          <t>Michael Betancourt</t>
        </is>
      </c>
      <c r="F338" s="11" t="inlineStr">
        <is>
          <t>53:20</t>
        </is>
      </c>
      <c r="G338" s="11" t="n">
        <v>0.89</v>
      </c>
      <c r="H338" s="12" t="inlineStr"/>
      <c r="I338" s="11" t="inlineStr">
        <is>
          <t>Not started</t>
        </is>
      </c>
      <c r="J338" s="13" t="n"/>
      <c r="K338" s="10" t="inlineStr"/>
      <c r="L338" s="14" t="inlineStr">
        <is>
          <t>▶ watch</t>
        </is>
      </c>
      <c r="M338" s="10" t="inlineStr">
        <is>
          <t>Grossfield &amp; Zuckerman 2009, Annu Rep Comput Chem 5:23 (Quantifying uncertainty and sampling quality) [read this one twice] · Chodera 2016, JCTC 12:1799 (automatic equilibration detection)</t>
        </is>
      </c>
      <c r="N338" s="14" t="inlineStr">
        <is>
          <t>read ↗</t>
        </is>
      </c>
      <c r="O338" s="11" t="inlineStr">
        <is>
          <t xml:space="preserve">reading for B.5 Convergence, error bars, and what a </t>
        </is>
      </c>
      <c r="P338" s="10" t="inlineStr"/>
    </row>
    <row r="339">
      <c r="A339" s="15" t="n">
        <v>338</v>
      </c>
      <c r="B339" s="15" t="inlineStr">
        <is>
          <t>Part II - The Method Atlas</t>
        </is>
      </c>
      <c r="C339" s="16" t="inlineStr">
        <is>
          <t>Hamiltonian Monte Carlo</t>
        </is>
      </c>
      <c r="D339" s="10" t="inlineStr">
        <is>
          <t>No-U-Turn Sampler (NIPS 2011</t>
        </is>
      </c>
      <c r="E339" s="10" t="inlineStr">
        <is>
          <t>Matthew D. Hoffman</t>
        </is>
      </c>
      <c r="F339" s="11" t="inlineStr">
        <is>
          <t>20:51</t>
        </is>
      </c>
      <c r="G339" s="11" t="n">
        <v>0.35</v>
      </c>
      <c r="H339" s="12" t="inlineStr"/>
      <c r="I339" s="11" t="inlineStr">
        <is>
          <t>Not started</t>
        </is>
      </c>
      <c r="J339" s="13" t="n"/>
      <c r="K339" s="10" t="inlineStr"/>
      <c r="L339" s="14" t="inlineStr">
        <is>
          <t>▶ watch</t>
        </is>
      </c>
      <c r="M339" s="10" t="inlineStr">
        <is>
          <t>Grossfield &amp; Zuckerman 2009, Annu Rep Comput Chem 5:23 (Quantifying uncertainty and sampling quality) [read this one twice] · Chodera 2016, JCTC 12:1799 (automatic equilibration detection)</t>
        </is>
      </c>
      <c r="N339" s="14" t="inlineStr">
        <is>
          <t>read ↗</t>
        </is>
      </c>
      <c r="O339" s="11" t="inlineStr">
        <is>
          <t xml:space="preserve">reading for B.5 Convergence, error bars, and what a </t>
        </is>
      </c>
      <c r="P339" s="10" t="inlineStr"/>
    </row>
    <row r="340">
      <c r="A340" s="15" t="n">
        <v>339</v>
      </c>
      <c r="B340" s="15" t="inlineStr">
        <is>
          <t>Part II - The Method Atlas</t>
        </is>
      </c>
      <c r="C340" s="16" t="inlineStr">
        <is>
          <t>Hamiltonian Monte Carlo</t>
        </is>
      </c>
      <c r="D340" s="10" t="inlineStr">
        <is>
          <t>The No-U-Turn Sampler (2024</t>
        </is>
      </c>
      <c r="E340" s="10" t="inlineStr">
        <is>
          <t>Nawaf Bou-Rabee (Rutgers</t>
        </is>
      </c>
      <c r="F340" s="11" t="inlineStr">
        <is>
          <t>58:31</t>
        </is>
      </c>
      <c r="G340" s="11" t="n">
        <v>0.98</v>
      </c>
      <c r="H340" s="12" t="inlineStr"/>
      <c r="I340" s="11" t="inlineStr">
        <is>
          <t>Not started</t>
        </is>
      </c>
      <c r="J340" s="13" t="n"/>
      <c r="K340" s="10" t="inlineStr"/>
      <c r="L340" s="14" t="inlineStr">
        <is>
          <t>▶ watch</t>
        </is>
      </c>
      <c r="M340" s="10" t="inlineStr">
        <is>
          <t>Grossfield &amp; Zuckerman 2009, Annu Rep Comput Chem 5:23 (Quantifying uncertainty and sampling quality) [read this one twice] · Chodera 2016, JCTC 12:1799 (automatic equilibration detection)</t>
        </is>
      </c>
      <c r="N340" s="14" t="inlineStr">
        <is>
          <t>read ↗</t>
        </is>
      </c>
      <c r="O340" s="11" t="inlineStr">
        <is>
          <t xml:space="preserve">reading for B.5 Convergence, error bars, and what a </t>
        </is>
      </c>
      <c r="P340" s="10" t="inlineStr"/>
    </row>
    <row r="341">
      <c r="A341" s="15" t="n">
        <v>340</v>
      </c>
      <c r="B341" s="15" t="inlineStr">
        <is>
          <t>Part II - The Method Atlas</t>
        </is>
      </c>
      <c r="C341" s="16" t="inlineStr">
        <is>
          <t>Hamiltonian Monte Carlo</t>
        </is>
      </c>
      <c r="D341" s="10" t="inlineStr">
        <is>
          <t>An Introduction to HMC for Sampling</t>
        </is>
      </c>
      <c r="E341" s="10" t="inlineStr">
        <is>
          <t>Simons Institute</t>
        </is>
      </c>
      <c r="F341" s="11" t="inlineStr">
        <is>
          <t>1:10:16</t>
        </is>
      </c>
      <c r="G341" s="11" t="n">
        <v>1.17</v>
      </c>
      <c r="H341" s="12" t="inlineStr"/>
      <c r="I341" s="11" t="inlineStr">
        <is>
          <t>Not started</t>
        </is>
      </c>
      <c r="J341" s="13" t="n"/>
      <c r="K341" s="10" t="inlineStr"/>
      <c r="L341" s="14" t="inlineStr">
        <is>
          <t>▶ watch</t>
        </is>
      </c>
      <c r="M341" s="10" t="inlineStr">
        <is>
          <t>Grossfield &amp; Zuckerman 2009, Annu Rep Comput Chem 5:23 (Quantifying uncertainty and sampling quality) [read this one twice] · Chodera 2016, JCTC 12:1799 (automatic equilibration detection)</t>
        </is>
      </c>
      <c r="N341" s="14" t="inlineStr">
        <is>
          <t>read ↗</t>
        </is>
      </c>
      <c r="O341" s="11" t="inlineStr">
        <is>
          <t xml:space="preserve">reading for B.5 Convergence, error bars, and what a </t>
        </is>
      </c>
      <c r="P341" s="10" t="inlineStr"/>
    </row>
    <row r="342">
      <c r="A342" s="15" t="n">
        <v>341</v>
      </c>
      <c r="B342" s="15" t="inlineStr">
        <is>
          <t>Part II - The Method Atlas</t>
        </is>
      </c>
      <c r="C342" s="16" t="inlineStr">
        <is>
          <t>Hamiltonian Monte Carlo</t>
        </is>
      </c>
      <c r="D342" s="10" t="inlineStr">
        <is>
          <t>Lec 36: Hamiltonian Monte Carlo</t>
        </is>
      </c>
      <c r="E342" s="10" t="inlineStr">
        <is>
          <t>NPTEL / IIT Kanpur</t>
        </is>
      </c>
      <c r="F342" s="11" t="inlineStr">
        <is>
          <t>40:29</t>
        </is>
      </c>
      <c r="G342" s="11" t="n">
        <v>0.67</v>
      </c>
      <c r="H342" s="12" t="inlineStr"/>
      <c r="I342" s="11" t="inlineStr">
        <is>
          <t>Not started</t>
        </is>
      </c>
      <c r="J342" s="13" t="n"/>
      <c r="K342" s="10" t="inlineStr"/>
      <c r="L342" s="14" t="inlineStr">
        <is>
          <t>▶ watch</t>
        </is>
      </c>
      <c r="M342" s="10" t="inlineStr">
        <is>
          <t>Grossfield &amp; Zuckerman 2009, Annu Rep Comput Chem 5:23 (Quantifying uncertainty and sampling quality) [read this one twice] · Chodera 2016, JCTC 12:1799 (automatic equilibration detection)</t>
        </is>
      </c>
      <c r="N342" s="14" t="inlineStr">
        <is>
          <t>read ↗</t>
        </is>
      </c>
      <c r="O342" s="11" t="inlineStr">
        <is>
          <t xml:space="preserve">reading for B.5 Convergence, error bars, and what a </t>
        </is>
      </c>
      <c r="P342" s="10" t="inlineStr"/>
    </row>
    <row r="343">
      <c r="A343" s="15" t="n">
        <v>342</v>
      </c>
      <c r="B343" s="15" t="inlineStr">
        <is>
          <t>Part II - The Method Atlas</t>
        </is>
      </c>
      <c r="C343" s="16" t="inlineStr">
        <is>
          <t>Nested sampling, Wang-Landau, tempering</t>
        </is>
      </c>
      <c r="D343" s="10" t="inlineStr">
        <is>
          <t>Computing Bayes in Big Spaces</t>
        </is>
      </c>
      <c r="E343" s="10" t="inlineStr">
        <is>
          <t>John Skilling (MaxEnt 2011</t>
        </is>
      </c>
      <c r="F343" s="11" t="inlineStr">
        <is>
          <t>43:23</t>
        </is>
      </c>
      <c r="G343" s="11" t="n">
        <v>0.72</v>
      </c>
      <c r="H343" s="12" t="inlineStr"/>
      <c r="I343" s="11" t="inlineStr">
        <is>
          <t>Not started</t>
        </is>
      </c>
      <c r="J343" s="13" t="n"/>
      <c r="K343" s="10" t="inlineStr"/>
      <c r="L343" s="14" t="inlineStr">
        <is>
          <t>▶ watch</t>
        </is>
      </c>
      <c r="M343" s="10" t="inlineStr">
        <is>
          <t>Grossfield &amp; Zuckerman 2009, Annu Rep Comput Chem 5:23 (Quantifying uncertainty and sampling quality) [read this one twice] · Chodera 2016, JCTC 12:1799 (automatic equilibration detection)</t>
        </is>
      </c>
      <c r="N343" s="14" t="inlineStr">
        <is>
          <t>read ↗</t>
        </is>
      </c>
      <c r="O343" s="11" t="inlineStr">
        <is>
          <t xml:space="preserve">reading for B.5 Convergence, error bars, and what a </t>
        </is>
      </c>
      <c r="P343" s="10" t="inlineStr"/>
    </row>
    <row r="344">
      <c r="A344" s="15" t="n">
        <v>343</v>
      </c>
      <c r="B344" s="15" t="inlineStr">
        <is>
          <t>Part II - The Method Atlas</t>
        </is>
      </c>
      <c r="C344" s="16" t="inlineStr">
        <is>
          <t>Nested sampling, Wang-Landau, tempering</t>
        </is>
      </c>
      <c r="D344" s="10" t="inlineStr">
        <is>
          <t>Big spaces: Quantification</t>
        </is>
      </c>
      <c r="E344" s="10" t="inlineStr">
        <is>
          <t>John Skilling (MLSS Africa</t>
        </is>
      </c>
      <c r="F344" s="11" t="inlineStr">
        <is>
          <t>1:33:17</t>
        </is>
      </c>
      <c r="G344" s="11" t="n">
        <v>1.55</v>
      </c>
      <c r="H344" s="12" t="inlineStr"/>
      <c r="I344" s="11" t="inlineStr">
        <is>
          <t>Not started</t>
        </is>
      </c>
      <c r="J344" s="13" t="n"/>
      <c r="K344" s="10" t="inlineStr"/>
      <c r="L344" s="14" t="inlineStr">
        <is>
          <t>▶ watch</t>
        </is>
      </c>
      <c r="M344" s="10" t="inlineStr">
        <is>
          <t>Grossfield &amp; Zuckerman 2009, Annu Rep Comput Chem 5:23 (Quantifying uncertainty and sampling quality) [read this one twice] · Chodera 2016, JCTC 12:1799 (automatic equilibration detection)</t>
        </is>
      </c>
      <c r="N344" s="14" t="inlineStr">
        <is>
          <t>read ↗</t>
        </is>
      </c>
      <c r="O344" s="11" t="inlineStr">
        <is>
          <t xml:space="preserve">reading for B.5 Convergence, error bars, and what a </t>
        </is>
      </c>
      <c r="P344" s="10" t="inlineStr"/>
    </row>
    <row r="345">
      <c r="A345" s="15" t="n">
        <v>344</v>
      </c>
      <c r="B345" s="15" t="inlineStr">
        <is>
          <t>Part II - The Method Atlas</t>
        </is>
      </c>
      <c r="C345" s="16" t="inlineStr">
        <is>
          <t>Nested sampling, Wang-Landau, tempering</t>
        </is>
      </c>
      <c r="D345" s="10" t="inlineStr">
        <is>
          <t>A Brief Introduction to Nested Sampling</t>
        </is>
      </c>
      <c r="E345" s="10" t="inlineStr">
        <is>
          <t>Joshua Speagle (Toronto</t>
        </is>
      </c>
      <c r="F345" s="11" t="inlineStr">
        <is>
          <t>38:02</t>
        </is>
      </c>
      <c r="G345" s="11" t="n">
        <v>0.63</v>
      </c>
      <c r="H345" s="12" t="inlineStr"/>
      <c r="I345" s="11" t="inlineStr">
        <is>
          <t>Not started</t>
        </is>
      </c>
      <c r="J345" s="13" t="n"/>
      <c r="K345" s="10" t="inlineStr"/>
      <c r="L345" s="14" t="inlineStr">
        <is>
          <t>▶ watch</t>
        </is>
      </c>
      <c r="M345" s="10" t="inlineStr">
        <is>
          <t>Grossfield &amp; Zuckerman 2009, Annu Rep Comput Chem 5:23 (Quantifying uncertainty and sampling quality) [read this one twice] · Chodera 2016, JCTC 12:1799 (automatic equilibration detection)</t>
        </is>
      </c>
      <c r="N345" s="14" t="inlineStr">
        <is>
          <t>read ↗</t>
        </is>
      </c>
      <c r="O345" s="11" t="inlineStr">
        <is>
          <t xml:space="preserve">reading for B.5 Convergence, error bars, and what a </t>
        </is>
      </c>
      <c r="P345" s="10" t="inlineStr"/>
    </row>
    <row r="346">
      <c r="A346" s="15" t="n">
        <v>345</v>
      </c>
      <c r="B346" s="15" t="inlineStr">
        <is>
          <t>Part II - The Method Atlas</t>
        </is>
      </c>
      <c r="C346" s="16" t="inlineStr">
        <is>
          <t>Nested sampling, Wang-Landau, tempering</t>
        </is>
      </c>
      <c r="D346" s="10" t="inlineStr">
        <is>
          <t>Johannes Buchner (MPE Garching</t>
        </is>
      </c>
      <c r="E346" s="10" t="inlineStr">
        <is>
          <t>Nested Sampling from scratch</t>
        </is>
      </c>
      <c r="F346" s="11" t="inlineStr">
        <is>
          <t>1:00:00</t>
        </is>
      </c>
      <c r="G346" s="11" t="n">
        <v>1</v>
      </c>
      <c r="H346" s="12" t="inlineStr"/>
      <c r="I346" s="11" t="inlineStr">
        <is>
          <t>Not started</t>
        </is>
      </c>
      <c r="J346" s="13" t="n"/>
      <c r="K346" s="10" t="inlineStr"/>
      <c r="L346" s="14" t="inlineStr">
        <is>
          <t>▶ watch</t>
        </is>
      </c>
      <c r="M346" s="10" t="inlineStr">
        <is>
          <t>Grossfield &amp; Zuckerman 2009, Annu Rep Comput Chem 5:23 (Quantifying uncertainty and sampling quality) [read this one twice] · Chodera 2016, JCTC 12:1799 (automatic equilibration detection)</t>
        </is>
      </c>
      <c r="N346" s="14" t="inlineStr">
        <is>
          <t>read ↗</t>
        </is>
      </c>
      <c r="O346" s="11" t="inlineStr">
        <is>
          <t xml:space="preserve">reading for B.5 Convergence, error bars, and what a </t>
        </is>
      </c>
      <c r="P346" s="10" t="inlineStr"/>
    </row>
    <row r="347">
      <c r="A347" s="15" t="n">
        <v>346</v>
      </c>
      <c r="B347" s="15" t="inlineStr">
        <is>
          <t>Part II - The Method Atlas</t>
        </is>
      </c>
      <c r="C347" s="16" t="inlineStr">
        <is>
          <t>Nested sampling, Wang-Landau, tempering</t>
        </is>
      </c>
      <c r="D347" s="10" t="inlineStr">
        <is>
          <t>State of the art in nested sampling and MCMC</t>
        </is>
      </c>
      <c r="E347" s="10" t="inlineStr">
        <is>
          <t>Johannes Buchner</t>
        </is>
      </c>
      <c r="F347" s="11" t="inlineStr">
        <is>
          <t>1:46:52</t>
        </is>
      </c>
      <c r="G347" s="11" t="n">
        <v>1.78</v>
      </c>
      <c r="H347" s="12" t="inlineStr"/>
      <c r="I347" s="11" t="inlineStr">
        <is>
          <t>Not started</t>
        </is>
      </c>
      <c r="J347" s="13" t="n"/>
      <c r="K347" s="10" t="inlineStr"/>
      <c r="L347" s="14" t="inlineStr">
        <is>
          <t>▶ watch</t>
        </is>
      </c>
      <c r="M347" s="10" t="inlineStr">
        <is>
          <t>Grossfield &amp; Zuckerman 2009, Annu Rep Comput Chem 5:23 (Quantifying uncertainty and sampling quality) [read this one twice] · Chodera 2016, JCTC 12:1799 (automatic equilibration detection)</t>
        </is>
      </c>
      <c r="N347" s="14" t="inlineStr">
        <is>
          <t>read ↗</t>
        </is>
      </c>
      <c r="O347" s="11" t="inlineStr">
        <is>
          <t xml:space="preserve">reading for B.5 Convergence, error bars, and what a </t>
        </is>
      </c>
      <c r="P347" s="10" t="inlineStr"/>
    </row>
    <row r="348">
      <c r="A348" s="15" t="n">
        <v>347</v>
      </c>
      <c r="B348" s="15" t="inlineStr">
        <is>
          <t>Part II - The Method Atlas</t>
        </is>
      </c>
      <c r="C348" s="16" t="inlineStr">
        <is>
          <t>Nested sampling, Wang-Landau, tempering</t>
        </is>
      </c>
      <c r="D348" s="10" t="inlineStr">
        <is>
          <t>Replica-Exchange Wang-Landau Sampling, Lec 1</t>
        </is>
      </c>
      <c r="E348" s="10" t="inlineStr">
        <is>
          <t>David P. Landau (Georgia</t>
        </is>
      </c>
      <c r="F348" s="11" t="inlineStr">
        <is>
          <t>45:00</t>
        </is>
      </c>
      <c r="G348" s="11" t="n">
        <v>0.75</v>
      </c>
      <c r="H348" s="12" t="inlineStr">
        <is>
          <t>★</t>
        </is>
      </c>
      <c r="I348" s="11" t="inlineStr">
        <is>
          <t>Not started</t>
        </is>
      </c>
      <c r="J348" s="13" t="n"/>
      <c r="K348" s="10" t="inlineStr"/>
      <c r="L348" s="14" t="inlineStr">
        <is>
          <t>▶ watch</t>
        </is>
      </c>
      <c r="M348" s="10" t="inlineStr">
        <is>
          <t>Grossfield &amp; Zuckerman 2009, Annu Rep Comput Chem 5:23 (Quantifying uncertainty and sampling quality) [read this one twice] · Chodera 2016, JCTC 12:1799 (automatic equilibration detection)</t>
        </is>
      </c>
      <c r="N348" s="14" t="inlineStr">
        <is>
          <t>read ↗</t>
        </is>
      </c>
      <c r="O348" s="11" t="inlineStr">
        <is>
          <t xml:space="preserve">reading for B.5 Convergence, error bars, and what a </t>
        </is>
      </c>
      <c r="P348" s="10" t="inlineStr"/>
    </row>
    <row r="349">
      <c r="A349" s="15" t="n">
        <v>348</v>
      </c>
      <c r="B349" s="15" t="inlineStr">
        <is>
          <t>Part II - The Method Atlas</t>
        </is>
      </c>
      <c r="C349" s="16" t="inlineStr">
        <is>
          <t>Nested sampling, Wang-Landau, tempering</t>
        </is>
      </c>
      <c r="D349" s="10" t="inlineStr">
        <is>
          <t>Replica-Exchange Wang-Landau Sampling, Lec 2</t>
        </is>
      </c>
      <c r="E349" s="10" t="inlineStr">
        <is>
          <t>Ying-Wai Li (LANL</t>
        </is>
      </c>
      <c r="F349" s="11" t="inlineStr">
        <is>
          <t>55:44</t>
        </is>
      </c>
      <c r="G349" s="11" t="n">
        <v>0.93</v>
      </c>
      <c r="H349" s="12" t="inlineStr"/>
      <c r="I349" s="11" t="inlineStr">
        <is>
          <t>Not started</t>
        </is>
      </c>
      <c r="J349" s="13" t="n"/>
      <c r="K349" s="10" t="inlineStr"/>
      <c r="L349" s="14" t="inlineStr">
        <is>
          <t>▶ watch</t>
        </is>
      </c>
      <c r="M349" s="10" t="inlineStr">
        <is>
          <t>Grossfield &amp; Zuckerman 2009, Annu Rep Comput Chem 5:23 (Quantifying uncertainty and sampling quality) [read this one twice] · Chodera 2016, JCTC 12:1799 (automatic equilibration detection)</t>
        </is>
      </c>
      <c r="N349" s="14" t="inlineStr">
        <is>
          <t>read ↗</t>
        </is>
      </c>
      <c r="O349" s="11" t="inlineStr">
        <is>
          <t xml:space="preserve">reading for B.5 Convergence, error bars, and what a </t>
        </is>
      </c>
      <c r="P349" s="10" t="inlineStr"/>
    </row>
    <row r="350">
      <c r="A350" s="15" t="n">
        <v>349</v>
      </c>
      <c r="B350" s="15" t="inlineStr">
        <is>
          <t>Part II - The Method Atlas</t>
        </is>
      </c>
      <c r="C350" s="16" t="inlineStr">
        <is>
          <t>Nested sampling, Wang-Landau, tempering</t>
        </is>
      </c>
      <c r="D350" s="10" t="inlineStr">
        <is>
          <t>Replica-Exchange Wang-Landau Sampling, Lec 3</t>
        </is>
      </c>
      <c r="E350" s="10" t="inlineStr">
        <is>
          <t>Ying-Wai Li</t>
        </is>
      </c>
      <c r="F350" s="11" t="inlineStr">
        <is>
          <t>53:20</t>
        </is>
      </c>
      <c r="G350" s="11" t="n">
        <v>0.89</v>
      </c>
      <c r="H350" s="12" t="inlineStr"/>
      <c r="I350" s="11" t="inlineStr">
        <is>
          <t>Not started</t>
        </is>
      </c>
      <c r="J350" s="13" t="n"/>
      <c r="K350" s="10" t="inlineStr"/>
      <c r="L350" s="14" t="inlineStr">
        <is>
          <t>▶ watch</t>
        </is>
      </c>
      <c r="M350" s="10" t="inlineStr">
        <is>
          <t>Grossfield &amp; Zuckerman 2009, Annu Rep Comput Chem 5:23 (Quantifying uncertainty and sampling quality) [read this one twice] · Chodera 2016, JCTC 12:1799 (automatic equilibration detection)</t>
        </is>
      </c>
      <c r="N350" s="14" t="inlineStr">
        <is>
          <t>read ↗</t>
        </is>
      </c>
      <c r="O350" s="11" t="inlineStr">
        <is>
          <t xml:space="preserve">reading for B.5 Convergence, error bars, and what a </t>
        </is>
      </c>
      <c r="P350" s="10" t="inlineStr"/>
    </row>
    <row r="351">
      <c r="A351" s="15" t="n">
        <v>350</v>
      </c>
      <c r="B351" s="15" t="inlineStr">
        <is>
          <t>Part II - The Method Atlas</t>
        </is>
      </c>
      <c r="C351" s="16" t="inlineStr">
        <is>
          <t>Nested sampling, Wang-Landau, tempering</t>
        </is>
      </c>
      <c r="D351" s="10" t="inlineStr">
        <is>
          <t>Recent advances in accelerated Monte Carlo algorithms</t>
        </is>
      </c>
      <c r="E351" s="10" t="inlineStr">
        <is>
          <t>Ying-Wai Li</t>
        </is>
      </c>
      <c r="F351" s="11" t="inlineStr">
        <is>
          <t>54:55</t>
        </is>
      </c>
      <c r="G351" s="11" t="n">
        <v>0.92</v>
      </c>
      <c r="H351" s="12" t="inlineStr"/>
      <c r="I351" s="11" t="inlineStr">
        <is>
          <t>Not started</t>
        </is>
      </c>
      <c r="J351" s="13" t="n"/>
      <c r="K351" s="10" t="inlineStr"/>
      <c r="L351" s="14" t="inlineStr">
        <is>
          <t>▶ watch</t>
        </is>
      </c>
      <c r="M351" s="10" t="inlineStr">
        <is>
          <t>Grossfield &amp; Zuckerman 2009, Annu Rep Comput Chem 5:23 (Quantifying uncertainty and sampling quality) [read this one twice] · Chodera 2016, JCTC 12:1799 (automatic equilibration detection)</t>
        </is>
      </c>
      <c r="N351" s="14" t="inlineStr">
        <is>
          <t>read ↗</t>
        </is>
      </c>
      <c r="O351" s="11" t="inlineStr">
        <is>
          <t xml:space="preserve">reading for B.5 Convergence, error bars, and what a </t>
        </is>
      </c>
      <c r="P351" s="10" t="inlineStr"/>
    </row>
    <row r="352">
      <c r="A352" s="15" t="n">
        <v>351</v>
      </c>
      <c r="B352" s="15" t="inlineStr">
        <is>
          <t>Part II - The Method Atlas</t>
        </is>
      </c>
      <c r="C352" s="16" t="inlineStr">
        <is>
          <t>Nested sampling, Wang-Landau, tempering</t>
        </is>
      </c>
      <c r="D352" s="10" t="inlineStr">
        <is>
          <t>Theory of simulated tempering and replica exchange</t>
        </is>
      </c>
      <c r="E352" s="10" t="inlineStr">
        <is>
          <t>Massimiliano Bonomi (PASI 2012</t>
        </is>
      </c>
      <c r="F352" s="11" t="inlineStr">
        <is>
          <t>1:02:31</t>
        </is>
      </c>
      <c r="G352" s="11" t="n">
        <v>1.04</v>
      </c>
      <c r="H352" s="12" t="inlineStr"/>
      <c r="I352" s="11" t="inlineStr">
        <is>
          <t>Not started</t>
        </is>
      </c>
      <c r="J352" s="13" t="n"/>
      <c r="K352" s="10" t="inlineStr"/>
      <c r="L352" s="14" t="inlineStr">
        <is>
          <t>▶ watch</t>
        </is>
      </c>
      <c r="M352" s="10" t="inlineStr">
        <is>
          <t>Grossfield &amp; Zuckerman 2009, Annu Rep Comput Chem 5:23 (Quantifying uncertainty and sampling quality) [read this one twice] · Chodera 2016, JCTC 12:1799 (automatic equilibration detection)</t>
        </is>
      </c>
      <c r="N352" s="14" t="inlineStr">
        <is>
          <t>read ↗</t>
        </is>
      </c>
      <c r="O352" s="11" t="inlineStr">
        <is>
          <t xml:space="preserve">reading for B.5 Convergence, error bars, and what a </t>
        </is>
      </c>
      <c r="P352" s="10" t="inlineStr"/>
    </row>
    <row r="353">
      <c r="A353" s="15" t="n">
        <v>352</v>
      </c>
      <c r="B353" s="15" t="inlineStr">
        <is>
          <t>Part II - The Method Atlas</t>
        </is>
      </c>
      <c r="C353" s="16" t="inlineStr">
        <is>
          <t>Nested sampling, Wang-Landau, tempering</t>
        </is>
      </c>
      <c r="D353" s="10" t="inlineStr">
        <is>
          <t>Non-Reversible Parallel Tempering</t>
        </is>
      </c>
      <c r="E353" s="10" t="inlineStr">
        <is>
          <t>Alexandre Bouchard-Côté (UBC</t>
        </is>
      </c>
      <c r="F353" s="11" t="inlineStr">
        <is>
          <t>33:35</t>
        </is>
      </c>
      <c r="G353" s="11" t="n">
        <v>0.5600000000000001</v>
      </c>
      <c r="H353" s="12" t="inlineStr"/>
      <c r="I353" s="11" t="inlineStr">
        <is>
          <t>Not started</t>
        </is>
      </c>
      <c r="J353" s="13" t="n"/>
      <c r="K353" s="10" t="inlineStr"/>
      <c r="L353" s="14" t="inlineStr">
        <is>
          <t>▶ watch</t>
        </is>
      </c>
      <c r="M353" s="10" t="inlineStr">
        <is>
          <t>Grossfield &amp; Zuckerman 2009, Annu Rep Comput Chem 5:23 (Quantifying uncertainty and sampling quality) [read this one twice] · Chodera 2016, JCTC 12:1799 (automatic equilibration detection)</t>
        </is>
      </c>
      <c r="N353" s="14" t="inlineStr">
        <is>
          <t>read ↗</t>
        </is>
      </c>
      <c r="O353" s="11" t="inlineStr">
        <is>
          <t xml:space="preserve">reading for B.5 Convergence, error bars, and what a </t>
        </is>
      </c>
      <c r="P353" s="10" t="inlineStr"/>
    </row>
    <row r="354">
      <c r="A354" s="15" t="n">
        <v>353</v>
      </c>
      <c r="B354" s="15" t="inlineStr">
        <is>
          <t>Part II - The Method Atlas</t>
        </is>
      </c>
      <c r="C354" s="16" t="inlineStr">
        <is>
          <t>Nested sampling, Wang-Landau, tempering</t>
        </is>
      </c>
      <c r="D354" s="10" t="inlineStr">
        <is>
          <t>Non-Reversible Parallel Tempering: a Scalable Scheme</t>
        </is>
      </c>
      <c r="E354" s="10" t="inlineStr">
        <is>
          <t>Saifuddin Syed (Oxford</t>
        </is>
      </c>
      <c r="F354" s="11" t="inlineStr">
        <is>
          <t>58:21</t>
        </is>
      </c>
      <c r="G354" s="11" t="n">
        <v>0.97</v>
      </c>
      <c r="H354" s="12" t="inlineStr"/>
      <c r="I354" s="11" t="inlineStr">
        <is>
          <t>Not started</t>
        </is>
      </c>
      <c r="J354" s="13" t="n"/>
      <c r="K354" s="10" t="inlineStr"/>
      <c r="L354" s="14" t="inlineStr">
        <is>
          <t>▶ watch</t>
        </is>
      </c>
      <c r="M354" s="10" t="inlineStr">
        <is>
          <t>Grossfield &amp; Zuckerman 2009, Annu Rep Comput Chem 5:23 (Quantifying uncertainty and sampling quality) [read this one twice] · Chodera 2016, JCTC 12:1799 (automatic equilibration detection)</t>
        </is>
      </c>
      <c r="N354" s="14" t="inlineStr">
        <is>
          <t>read ↗</t>
        </is>
      </c>
      <c r="O354" s="11" t="inlineStr">
        <is>
          <t xml:space="preserve">reading for B.5 Convergence, error bars, and what a </t>
        </is>
      </c>
      <c r="P354" s="10" t="inlineStr"/>
    </row>
    <row r="355">
      <c r="A355" s="15" t="n">
        <v>354</v>
      </c>
      <c r="B355" s="15" t="inlineStr">
        <is>
          <t>Part II - The Method Atlas</t>
        </is>
      </c>
      <c r="C355" s="16" t="inlineStr">
        <is>
          <t>Cluster algorithms, non-reversible MCMC, sequential MC</t>
        </is>
      </c>
      <c r="D355" s="10" t="inlineStr">
        <is>
          <t>Reversible and irreversible Markov chains in statistical physics, Lec 1</t>
        </is>
      </c>
      <c r="E355" s="10" t="inlineStr">
        <is>
          <t>Werner Krauth</t>
        </is>
      </c>
      <c r="F355" s="11" t="inlineStr">
        <is>
          <t>1:04:16</t>
        </is>
      </c>
      <c r="G355" s="11" t="n">
        <v>1.07</v>
      </c>
      <c r="H355" s="12" t="inlineStr"/>
      <c r="I355" s="11" t="inlineStr">
        <is>
          <t>Not started</t>
        </is>
      </c>
      <c r="J355" s="13" t="n"/>
      <c r="K355" s="10" t="inlineStr"/>
      <c r="L355" s="14" t="inlineStr">
        <is>
          <t>▶ watch</t>
        </is>
      </c>
      <c r="M355" s="10" t="inlineStr">
        <is>
          <t>Grossfield &amp; Zuckerman 2009, Annu Rep Comput Chem 5:23 (Quantifying uncertainty and sampling quality) [read this one twice] · Chodera 2016, JCTC 12:1799 (automatic equilibration detection)</t>
        </is>
      </c>
      <c r="N355" s="14" t="inlineStr">
        <is>
          <t>read ↗</t>
        </is>
      </c>
      <c r="O355" s="11" t="inlineStr">
        <is>
          <t xml:space="preserve">reading for B.5 Convergence, error bars, and what a </t>
        </is>
      </c>
      <c r="P355" s="10" t="inlineStr"/>
    </row>
    <row r="356">
      <c r="A356" s="15" t="n">
        <v>355</v>
      </c>
      <c r="B356" s="15" t="inlineStr">
        <is>
          <t>Part II - The Method Atlas</t>
        </is>
      </c>
      <c r="C356" s="16" t="inlineStr">
        <is>
          <t>Cluster algorithms, non-reversible MCMC, sequential MC</t>
        </is>
      </c>
      <c r="D356" s="10" t="inlineStr">
        <is>
          <t>Reversible and irreversible Markov chains, Lec 2</t>
        </is>
      </c>
      <c r="E356" s="10" t="inlineStr">
        <is>
          <t>Werner Krauth</t>
        </is>
      </c>
      <c r="F356" s="11" t="inlineStr">
        <is>
          <t>51:55</t>
        </is>
      </c>
      <c r="G356" s="11" t="n">
        <v>0.87</v>
      </c>
      <c r="H356" s="12" t="inlineStr"/>
      <c r="I356" s="11" t="inlineStr">
        <is>
          <t>Not started</t>
        </is>
      </c>
      <c r="J356" s="13" t="n"/>
      <c r="K356" s="10" t="inlineStr"/>
      <c r="L356" s="14" t="inlineStr">
        <is>
          <t>▶ watch</t>
        </is>
      </c>
      <c r="M356" s="10" t="inlineStr">
        <is>
          <t>Bernard, Krauth &amp; Wilson 2009; Michel et al. 2014</t>
        </is>
      </c>
      <c r="N356" s="14" t="inlineStr">
        <is>
          <t>read ↗</t>
        </is>
      </c>
      <c r="O356" s="11" t="inlineStr">
        <is>
          <t>paired reading</t>
        </is>
      </c>
      <c r="P356" s="10" t="inlineStr"/>
    </row>
    <row r="357">
      <c r="A357" s="15" t="n">
        <v>356</v>
      </c>
      <c r="B357" s="15" t="inlineStr">
        <is>
          <t>Part II - The Method Atlas</t>
        </is>
      </c>
      <c r="C357" s="16" t="inlineStr">
        <is>
          <t>Cluster algorithms, non-reversible MCMC, sequential MC</t>
        </is>
      </c>
      <c r="D357" s="10" t="inlineStr">
        <is>
          <t>Fast irreversible Markov chains in statistical physics</t>
        </is>
      </c>
      <c r="E357" s="10" t="inlineStr">
        <is>
          <t>Werner Krauth</t>
        </is>
      </c>
      <c r="F357" s="11" t="inlineStr">
        <is>
          <t>1:10:34</t>
        </is>
      </c>
      <c r="G357" s="11" t="n">
        <v>1.18</v>
      </c>
      <c r="H357" s="12" t="inlineStr">
        <is>
          <t>★</t>
        </is>
      </c>
      <c r="I357" s="11" t="inlineStr">
        <is>
          <t>Not started</t>
        </is>
      </c>
      <c r="J357" s="13" t="n"/>
      <c r="K357" s="10" t="inlineStr"/>
      <c r="L357" s="14" t="inlineStr">
        <is>
          <t>▶ watch</t>
        </is>
      </c>
      <c r="M357" s="10" t="inlineStr">
        <is>
          <t>Grossfield &amp; Zuckerman 2009, Annu Rep Comput Chem 5:23 (Quantifying uncertainty and sampling quality) [read this one twice] · Chodera 2016, JCTC 12:1799 (automatic equilibration detection)</t>
        </is>
      </c>
      <c r="N357" s="14" t="inlineStr">
        <is>
          <t>read ↗</t>
        </is>
      </c>
      <c r="O357" s="11" t="inlineStr">
        <is>
          <t xml:space="preserve">reading for B.5 Convergence, error bars, and what a </t>
        </is>
      </c>
      <c r="P357" s="10" t="inlineStr"/>
    </row>
    <row r="358">
      <c r="A358" s="15" t="n">
        <v>357</v>
      </c>
      <c r="B358" s="15" t="inlineStr">
        <is>
          <t>Part II - The Method Atlas</t>
        </is>
      </c>
      <c r="C358" s="16" t="inlineStr">
        <is>
          <t>Cluster algorithms, non-reversible MCMC, sequential MC</t>
        </is>
      </c>
      <c r="D358" s="10" t="inlineStr">
        <is>
          <t>Swendsen-Wang on the Mean-Field Potts Model</t>
        </is>
      </c>
      <c r="E358" s="10" t="inlineStr">
        <is>
          <t>Simons Institute</t>
        </is>
      </c>
      <c r="F358" s="11" t="inlineStr">
        <is>
          <t>45:49</t>
        </is>
      </c>
      <c r="G358" s="11" t="n">
        <v>0.76</v>
      </c>
      <c r="H358" s="12" t="inlineStr"/>
      <c r="I358" s="11" t="inlineStr">
        <is>
          <t>Not started</t>
        </is>
      </c>
      <c r="J358" s="13" t="n"/>
      <c r="K358" s="10" t="inlineStr"/>
      <c r="L358" s="14" t="inlineStr">
        <is>
          <t>▶ watch</t>
        </is>
      </c>
      <c r="M358" s="10" t="inlineStr">
        <is>
          <t>Grossfield &amp; Zuckerman 2009, Annu Rep Comput Chem 5:23 (Quantifying uncertainty and sampling quality) [read this one twice] · Chodera 2016, JCTC 12:1799 (automatic equilibration detection)</t>
        </is>
      </c>
      <c r="N358" s="14" t="inlineStr">
        <is>
          <t>read ↗</t>
        </is>
      </c>
      <c r="O358" s="11" t="inlineStr">
        <is>
          <t xml:space="preserve">reading for B.5 Convergence, error bars, and what a </t>
        </is>
      </c>
      <c r="P358" s="10" t="inlineStr"/>
    </row>
    <row r="359">
      <c r="A359" s="15" t="n">
        <v>358</v>
      </c>
      <c r="B359" s="15" t="inlineStr">
        <is>
          <t>Part II - The Method Atlas</t>
        </is>
      </c>
      <c r="C359" s="16" t="inlineStr">
        <is>
          <t>Cluster algorithms, non-reversible MCMC, sequential MC</t>
        </is>
      </c>
      <c r="D359" s="10" t="inlineStr">
        <is>
          <t>Asymmetric momentum sampling in event-chain Monte Carlo</t>
        </is>
      </c>
      <c r="E359" s="10" t="inlineStr">
        <is>
          <t>Michael Faulkner (Bristol</t>
        </is>
      </c>
      <c r="F359" s="11" t="inlineStr">
        <is>
          <t>53:03</t>
        </is>
      </c>
      <c r="G359" s="11" t="n">
        <v>0.88</v>
      </c>
      <c r="H359" s="12" t="inlineStr"/>
      <c r="I359" s="11" t="inlineStr">
        <is>
          <t>Not started</t>
        </is>
      </c>
      <c r="J359" s="13" t="n"/>
      <c r="K359" s="10" t="inlineStr"/>
      <c r="L359" s="14" t="inlineStr">
        <is>
          <t>▶ watch</t>
        </is>
      </c>
      <c r="M359" s="10" t="inlineStr">
        <is>
          <t>Grossfield &amp; Zuckerman 2009, Annu Rep Comput Chem 5:23 (Quantifying uncertainty and sampling quality) [read this one twice] · Chodera 2016, JCTC 12:1799 (automatic equilibration detection)</t>
        </is>
      </c>
      <c r="N359" s="14" t="inlineStr">
        <is>
          <t>read ↗</t>
        </is>
      </c>
      <c r="O359" s="11" t="inlineStr">
        <is>
          <t xml:space="preserve">reading for B.5 Convergence, error bars, and what a </t>
        </is>
      </c>
      <c r="P359" s="10" t="inlineStr"/>
    </row>
    <row r="360">
      <c r="A360" s="15" t="n">
        <v>359</v>
      </c>
      <c r="B360" s="15" t="inlineStr">
        <is>
          <t>Part II - The Method Atlas</t>
        </is>
      </c>
      <c r="C360" s="16" t="inlineStr">
        <is>
          <t>Cluster algorithms, non-reversible MCMC, sequential MC</t>
        </is>
      </c>
      <c r="D360" s="10" t="inlineStr">
        <is>
          <t>The coordinate sampler: a non-reversible Gibbs-like MCMC</t>
        </is>
      </c>
      <c r="E360" s="10" t="inlineStr">
        <is>
          <t>Christian P. Robert (Paris-Dauphine</t>
        </is>
      </c>
      <c r="F360" s="11" t="inlineStr">
        <is>
          <t>32:45</t>
        </is>
      </c>
      <c r="G360" s="11" t="n">
        <v>0.55</v>
      </c>
      <c r="H360" s="12" t="inlineStr"/>
      <c r="I360" s="11" t="inlineStr">
        <is>
          <t>Not started</t>
        </is>
      </c>
      <c r="J360" s="13" t="n"/>
      <c r="K360" s="10" t="inlineStr"/>
      <c r="L360" s="14" t="inlineStr">
        <is>
          <t>▶ watch</t>
        </is>
      </c>
      <c r="M360" s="10" t="inlineStr">
        <is>
          <t>Grossfield &amp; Zuckerman 2009, Annu Rep Comput Chem 5:23 (Quantifying uncertainty and sampling quality) [read this one twice] · Chodera 2016, JCTC 12:1799 (automatic equilibration detection)</t>
        </is>
      </c>
      <c r="N360" s="14" t="inlineStr">
        <is>
          <t>read ↗</t>
        </is>
      </c>
      <c r="O360" s="11" t="inlineStr">
        <is>
          <t xml:space="preserve">reading for B.5 Convergence, error bars, and what a </t>
        </is>
      </c>
      <c r="P360" s="10" t="inlineStr"/>
    </row>
    <row r="361">
      <c r="A361" s="15" t="n">
        <v>360</v>
      </c>
      <c r="B361" s="15" t="inlineStr">
        <is>
          <t>Part II - The Method Atlas</t>
        </is>
      </c>
      <c r="C361" s="16" t="inlineStr">
        <is>
          <t>Cluster algorithms, non-reversible MCMC, sequential MC</t>
        </is>
      </c>
      <c r="D361" s="10" t="inlineStr">
        <is>
          <t>Tutorial on Sequential Monte Carlo methods</t>
        </is>
      </c>
      <c r="E361" s="10" t="inlineStr">
        <is>
          <t>Anthony Lee (Bristol</t>
        </is>
      </c>
      <c r="F361" s="11" t="inlineStr">
        <is>
          <t>1:02:58</t>
        </is>
      </c>
      <c r="G361" s="11" t="n">
        <v>1.05</v>
      </c>
      <c r="H361" s="12" t="inlineStr"/>
      <c r="I361" s="11" t="inlineStr">
        <is>
          <t>Not started</t>
        </is>
      </c>
      <c r="J361" s="13" t="n"/>
      <c r="K361" s="10" t="inlineStr"/>
      <c r="L361" s="14" t="inlineStr">
        <is>
          <t>▶ watch</t>
        </is>
      </c>
      <c r="M361" s="10" t="inlineStr">
        <is>
          <t>Grossfield &amp; Zuckerman 2009, Annu Rep Comput Chem 5:23 (Quantifying uncertainty and sampling quality) [read this one twice] · Chodera 2016, JCTC 12:1799 (automatic equilibration detection)</t>
        </is>
      </c>
      <c r="N361" s="14" t="inlineStr">
        <is>
          <t>read ↗</t>
        </is>
      </c>
      <c r="O361" s="11" t="inlineStr">
        <is>
          <t xml:space="preserve">reading for B.5 Convergence, error bars, and what a </t>
        </is>
      </c>
      <c r="P361" s="10" t="inlineStr"/>
    </row>
    <row r="362">
      <c r="A362" s="15" t="n">
        <v>361</v>
      </c>
      <c r="B362" s="15" t="inlineStr">
        <is>
          <t>Part II - The Method Atlas</t>
        </is>
      </c>
      <c r="C362" s="16" t="inlineStr">
        <is>
          <t>Cluster algorithms, non-reversible MCMC, sequential MC</t>
        </is>
      </c>
      <c r="D362" s="10" t="inlineStr">
        <is>
          <t>Particle Markov chain Monte Carlo, Part 1</t>
        </is>
      </c>
      <c r="E362" s="10" t="inlineStr">
        <is>
          <t>Fredrik Lindsten (Linköping</t>
        </is>
      </c>
      <c r="F362" s="11" t="inlineStr">
        <is>
          <t>1:16:17</t>
        </is>
      </c>
      <c r="G362" s="11" t="n">
        <v>1.27</v>
      </c>
      <c r="H362" s="12" t="inlineStr"/>
      <c r="I362" s="11" t="inlineStr">
        <is>
          <t>Not started</t>
        </is>
      </c>
      <c r="J362" s="13" t="n"/>
      <c r="K362" s="10" t="inlineStr"/>
      <c r="L362" s="14" t="inlineStr">
        <is>
          <t>▶ watch</t>
        </is>
      </c>
      <c r="M362" s="10" t="inlineStr">
        <is>
          <t>Grossfield &amp; Zuckerman 2009, Annu Rep Comput Chem 5:23 (Quantifying uncertainty and sampling quality) [read this one twice] · Chodera 2016, JCTC 12:1799 (automatic equilibration detection)</t>
        </is>
      </c>
      <c r="N362" s="14" t="inlineStr">
        <is>
          <t>read ↗</t>
        </is>
      </c>
      <c r="O362" s="11" t="inlineStr">
        <is>
          <t xml:space="preserve">reading for B.5 Convergence, error bars, and what a </t>
        </is>
      </c>
      <c r="P362" s="10" t="inlineStr"/>
    </row>
    <row r="363">
      <c r="A363" s="15" t="n">
        <v>362</v>
      </c>
      <c r="B363" s="15" t="inlineStr">
        <is>
          <t>Part II - The Method Atlas</t>
        </is>
      </c>
      <c r="C363" s="16" t="inlineStr">
        <is>
          <t>C.3 Monte Carlo in molecular systems</t>
        </is>
      </c>
      <c r="D363" s="10" t="inlineStr">
        <is>
          <t>Lec 52: Extension of canonical MC to other ensembles (GCMC</t>
        </is>
      </c>
      <c r="E363" s="10" t="inlineStr">
        <is>
          <t>NPTEL / IIT Roorkee</t>
        </is>
      </c>
      <c r="F363" s="11" t="inlineStr">
        <is>
          <t>33:55</t>
        </is>
      </c>
      <c r="G363" s="11" t="n">
        <v>0.57</v>
      </c>
      <c r="H363" s="12" t="inlineStr"/>
      <c r="I363" s="11" t="inlineStr">
        <is>
          <t>Not started</t>
        </is>
      </c>
      <c r="J363" s="13" t="n"/>
      <c r="K363" s="10" t="inlineStr"/>
      <c r="L363" s="14" t="inlineStr">
        <is>
          <t>▶ watch</t>
        </is>
      </c>
      <c r="M363" s="10" t="inlineStr">
        <is>
          <t>Grossfield &amp; Zuckerman 2009, Annu Rep Comput Chem 5:23 (Quantifying uncertainty and sampling quality) [read this one twice] · Chodera 2016, JCTC 12:1799 (automatic equilibration detection)</t>
        </is>
      </c>
      <c r="N363" s="14" t="inlineStr">
        <is>
          <t>read ↗</t>
        </is>
      </c>
      <c r="O363" s="11" t="inlineStr">
        <is>
          <t xml:space="preserve">reading for B.5 Convergence, error bars, and what a </t>
        </is>
      </c>
      <c r="P363" s="10" t="inlineStr"/>
    </row>
    <row r="364">
      <c r="A364" s="15" t="n">
        <v>363</v>
      </c>
      <c r="B364" s="15" t="inlineStr">
        <is>
          <t>Part II - The Method Atlas</t>
        </is>
      </c>
      <c r="C364" s="16" t="inlineStr">
        <is>
          <t>C.3 Monte Carlo in molecular systems</t>
        </is>
      </c>
      <c r="D364" s="10" t="inlineStr">
        <is>
          <t>Lec 53: Monte Carlo in Gibbs and semi-grand canonical ensembles</t>
        </is>
      </c>
      <c r="E364" s="10" t="inlineStr">
        <is>
          <t>NPTEL / IIT Roorkee</t>
        </is>
      </c>
      <c r="F364" s="11" t="inlineStr">
        <is>
          <t>24:37</t>
        </is>
      </c>
      <c r="G364" s="11" t="n">
        <v>0.41</v>
      </c>
      <c r="H364" s="12" t="inlineStr"/>
      <c r="I364" s="11" t="inlineStr">
        <is>
          <t>Not started</t>
        </is>
      </c>
      <c r="J364" s="13" t="n"/>
      <c r="K364" s="10" t="inlineStr"/>
      <c r="L364" s="14" t="inlineStr">
        <is>
          <t>▶ watch</t>
        </is>
      </c>
      <c r="M364" s="10" t="inlineStr">
        <is>
          <t>Grossfield &amp; Zuckerman 2009, Annu Rep Comput Chem 5:23 (Quantifying uncertainty and sampling quality) [read this one twice] · Chodera 2016, JCTC 12:1799 (automatic equilibration detection)</t>
        </is>
      </c>
      <c r="N364" s="14" t="inlineStr">
        <is>
          <t>read ↗</t>
        </is>
      </c>
      <c r="O364" s="11" t="inlineStr">
        <is>
          <t xml:space="preserve">reading for B.5 Convergence, error bars, and what a </t>
        </is>
      </c>
      <c r="P364" s="10" t="inlineStr"/>
    </row>
    <row r="365">
      <c r="A365" s="15" t="n">
        <v>364</v>
      </c>
      <c r="B365" s="15" t="inlineStr">
        <is>
          <t>Part II - The Method Atlas</t>
        </is>
      </c>
      <c r="C365" s="16" t="inlineStr">
        <is>
          <t>C.3 Monte Carlo in molecular systems</t>
        </is>
      </c>
      <c r="D365" s="10" t="inlineStr">
        <is>
          <t>ChEn 513: Gibbs Ensemble Monte Carlo</t>
        </is>
      </c>
      <c r="E365" s="10" t="inlineStr">
        <is>
          <t>Thomas Knotts (BYU</t>
        </is>
      </c>
      <c r="F365" s="11" t="inlineStr">
        <is>
          <t>1:27:50</t>
        </is>
      </c>
      <c r="G365" s="11" t="n">
        <v>1.46</v>
      </c>
      <c r="H365" s="12" t="inlineStr"/>
      <c r="I365" s="11" t="inlineStr">
        <is>
          <t>Not started</t>
        </is>
      </c>
      <c r="J365" s="13" t="n"/>
      <c r="K365" s="10" t="inlineStr"/>
      <c r="L365" s="14" t="inlineStr">
        <is>
          <t>▶ watch</t>
        </is>
      </c>
      <c r="M365" s="10" t="inlineStr">
        <is>
          <t>Grossfield &amp; Zuckerman 2009, Annu Rep Comput Chem 5:23 (Quantifying uncertainty and sampling quality) [read this one twice] · Chodera 2016, JCTC 12:1799 (automatic equilibration detection)</t>
        </is>
      </c>
      <c r="N365" s="14" t="inlineStr">
        <is>
          <t>read ↗</t>
        </is>
      </c>
      <c r="O365" s="11" t="inlineStr">
        <is>
          <t xml:space="preserve">reading for B.5 Convergence, error bars, and what a </t>
        </is>
      </c>
      <c r="P365" s="10" t="inlineStr"/>
    </row>
    <row r="366">
      <c r="A366" s="15" t="n">
        <v>365</v>
      </c>
      <c r="B366" s="15" t="inlineStr">
        <is>
          <t>Part II - The Method Atlas</t>
        </is>
      </c>
      <c r="C366" s="16" t="inlineStr">
        <is>
          <t>C.3 Monte Carlo in molecular systems</t>
        </is>
      </c>
      <c r="D366" s="10" t="inlineStr">
        <is>
          <t>Lec 23: Monte Carlo simulations of polymer chains</t>
        </is>
      </c>
      <c r="E366" s="10" t="inlineStr">
        <is>
          <t>NPTEL / IIT Roorkee</t>
        </is>
      </c>
      <c r="F366" s="11" t="inlineStr">
        <is>
          <t>46:58</t>
        </is>
      </c>
      <c r="G366" s="11" t="n">
        <v>0.78</v>
      </c>
      <c r="H366" s="12" t="inlineStr"/>
      <c r="I366" s="11" t="inlineStr">
        <is>
          <t>Not started</t>
        </is>
      </c>
      <c r="J366" s="13" t="n"/>
      <c r="K366" s="10" t="inlineStr"/>
      <c r="L366" s="14" t="inlineStr">
        <is>
          <t>▶ watch</t>
        </is>
      </c>
      <c r="M366" s="10" t="inlineStr">
        <is>
          <t>Grossfield &amp; Zuckerman 2009, Annu Rep Comput Chem 5:23 (Quantifying uncertainty and sampling quality) [read this one twice] · Chodera 2016, JCTC 12:1799 (automatic equilibration detection)</t>
        </is>
      </c>
      <c r="N366" s="14" t="inlineStr">
        <is>
          <t>read ↗</t>
        </is>
      </c>
      <c r="O366" s="11" t="inlineStr">
        <is>
          <t xml:space="preserve">reading for B.5 Convergence, error bars, and what a </t>
        </is>
      </c>
      <c r="P366" s="10" t="inlineStr"/>
    </row>
    <row r="367">
      <c r="A367" s="15" t="n">
        <v>366</v>
      </c>
      <c r="B367" s="15" t="inlineStr">
        <is>
          <t>Part II - The Method Atlas</t>
        </is>
      </c>
      <c r="C367" s="16" t="inlineStr">
        <is>
          <t>C.3 Monte Carlo in molecular systems</t>
        </is>
      </c>
      <c r="D367" s="10" t="inlineStr">
        <is>
          <t>Introduction to Atomic Simulations by Metropolis Monte Carlo</t>
        </is>
      </c>
      <c r="E367" s="10" t="inlineStr">
        <is>
          <t>Mathieu Bauchy (UCLA</t>
        </is>
      </c>
      <c r="F367" s="11" t="inlineStr">
        <is>
          <t>2:36:28</t>
        </is>
      </c>
      <c r="G367" s="11" t="n">
        <v>2.61</v>
      </c>
      <c r="H367" s="12" t="inlineStr"/>
      <c r="I367" s="11" t="inlineStr">
        <is>
          <t>Not started</t>
        </is>
      </c>
      <c r="J367" s="13" t="n"/>
      <c r="K367" s="10" t="inlineStr"/>
      <c r="L367" s="14" t="inlineStr">
        <is>
          <t>▶ watch</t>
        </is>
      </c>
      <c r="M367" s="10" t="inlineStr">
        <is>
          <t>Grossfield &amp; Zuckerman 2009, Annu Rep Comput Chem 5:23 (Quantifying uncertainty and sampling quality) [read this one twice] · Chodera 2016, JCTC 12:1799 (automatic equilibration detection)</t>
        </is>
      </c>
      <c r="N367" s="14" t="inlineStr">
        <is>
          <t>read ↗</t>
        </is>
      </c>
      <c r="O367" s="11" t="inlineStr">
        <is>
          <t xml:space="preserve">reading for B.5 Convergence, error bars, and what a </t>
        </is>
      </c>
      <c r="P367" s="10" t="inlineStr"/>
    </row>
    <row r="368">
      <c r="A368" s="15" t="n">
        <v>367</v>
      </c>
      <c r="B368" s="15" t="inlineStr">
        <is>
          <t>Part II - The Method Atlas</t>
        </is>
      </c>
      <c r="C368" s="16" t="inlineStr">
        <is>
          <t>C.3 Monte Carlo in molecular systems</t>
        </is>
      </c>
      <c r="D368" s="10" t="inlineStr">
        <is>
          <t>Peter Kratzer (Duisburg-Essen</t>
        </is>
      </c>
      <c r="E368" s="10" t="inlineStr">
        <is>
          <t>L21: Kinetic Monte Carlo</t>
        </is>
      </c>
      <c r="F368" s="11" t="inlineStr">
        <is>
          <t>53:16</t>
        </is>
      </c>
      <c r="G368" s="11" t="n">
        <v>0.89</v>
      </c>
      <c r="H368" s="12" t="inlineStr">
        <is>
          <t>★</t>
        </is>
      </c>
      <c r="I368" s="11" t="inlineStr">
        <is>
          <t>Not started</t>
        </is>
      </c>
      <c r="J368" s="13" t="n"/>
      <c r="K368" s="10" t="inlineStr"/>
      <c r="L368" s="14" t="inlineStr">
        <is>
          <t>▶ watch</t>
        </is>
      </c>
      <c r="M368" s="10" t="inlineStr">
        <is>
          <t>Voter 2007</t>
        </is>
      </c>
      <c r="N368" s="14" t="inlineStr">
        <is>
          <t>read ↗</t>
        </is>
      </c>
      <c r="O368" s="11" t="inlineStr">
        <is>
          <t>paired reading</t>
        </is>
      </c>
      <c r="P368" s="10" t="inlineStr"/>
    </row>
    <row r="369">
      <c r="A369" s="15" t="n">
        <v>368</v>
      </c>
      <c r="B369" s="15" t="inlineStr">
        <is>
          <t>Part II - The Method Atlas</t>
        </is>
      </c>
      <c r="C369" s="16" t="inlineStr">
        <is>
          <t>C.3 Monte Carlo in molecular systems</t>
        </is>
      </c>
      <c r="D369" s="10" t="inlineStr">
        <is>
          <t>MIT 10.34 Lec 34: Stochastic Chemical Kinetics 1</t>
        </is>
      </c>
      <c r="E369" s="10" t="inlineStr">
        <is>
          <t>Green &amp; Swan (MIT</t>
        </is>
      </c>
      <c r="F369" s="11" t="inlineStr">
        <is>
          <t>53:57</t>
        </is>
      </c>
      <c r="G369" s="11" t="n">
        <v>0.9</v>
      </c>
      <c r="H369" s="12" t="inlineStr"/>
      <c r="I369" s="11" t="inlineStr">
        <is>
          <t>Not started</t>
        </is>
      </c>
      <c r="J369" s="13" t="n"/>
      <c r="K369" s="10" t="inlineStr"/>
      <c r="L369" s="14" t="inlineStr">
        <is>
          <t>▶ watch</t>
        </is>
      </c>
      <c r="M369" s="10" t="inlineStr">
        <is>
          <t>Grossfield &amp; Zuckerman 2009, Annu Rep Comput Chem 5:23 (Quantifying uncertainty and sampling quality) [read this one twice] · Chodera 2016, JCTC 12:1799 (automatic equilibration detection)</t>
        </is>
      </c>
      <c r="N369" s="14" t="inlineStr">
        <is>
          <t>read ↗</t>
        </is>
      </c>
      <c r="O369" s="11" t="inlineStr">
        <is>
          <t xml:space="preserve">reading for B.5 Convergence, error bars, and what a </t>
        </is>
      </c>
      <c r="P369" s="10" t="inlineStr">
        <is>
          <t>G.2 Reaction-diffusion and particle-based cell simulation</t>
        </is>
      </c>
    </row>
    <row r="370">
      <c r="A370" s="15" t="n">
        <v>369</v>
      </c>
      <c r="B370" s="15" t="inlineStr">
        <is>
          <t>Part II - The Method Atlas</t>
        </is>
      </c>
      <c r="C370" s="16" t="inlineStr">
        <is>
          <t>C.3 Monte Carlo in molecular systems</t>
        </is>
      </c>
      <c r="D370" s="10" t="inlineStr">
        <is>
          <t>MIT 10.34 Lec 35: Stochastic Chemical Kinetics 2 (tau-leaping</t>
        </is>
      </c>
      <c r="E370" s="10" t="inlineStr">
        <is>
          <t>Green &amp; Swan</t>
        </is>
      </c>
      <c r="F370" s="11" t="inlineStr">
        <is>
          <t>47:32</t>
        </is>
      </c>
      <c r="G370" s="11" t="n">
        <v>0.79</v>
      </c>
      <c r="H370" s="12" t="inlineStr"/>
      <c r="I370" s="11" t="inlineStr">
        <is>
          <t>Not started</t>
        </is>
      </c>
      <c r="J370" s="13" t="n"/>
      <c r="K370" s="10" t="inlineStr"/>
      <c r="L370" s="14" t="inlineStr">
        <is>
          <t>▶ watch</t>
        </is>
      </c>
      <c r="M370" s="10" t="inlineStr">
        <is>
          <t>Grossfield &amp; Zuckerman 2009, Annu Rep Comput Chem 5:23 (Quantifying uncertainty and sampling quality) [read this one twice] · Chodera 2016, JCTC 12:1799 (automatic equilibration detection)</t>
        </is>
      </c>
      <c r="N370" s="14" t="inlineStr">
        <is>
          <t>read ↗</t>
        </is>
      </c>
      <c r="O370" s="11" t="inlineStr">
        <is>
          <t xml:space="preserve">reading for B.5 Convergence, error bars, and what a </t>
        </is>
      </c>
      <c r="P370" s="10" t="inlineStr">
        <is>
          <t>G.2 Reaction-diffusion and particle-based cell simulation</t>
        </is>
      </c>
    </row>
    <row r="371">
      <c r="A371" s="15" t="n">
        <v>370</v>
      </c>
      <c r="B371" s="15" t="inlineStr">
        <is>
          <t>Part II - The Method Atlas</t>
        </is>
      </c>
      <c r="C371" s="16" t="inlineStr">
        <is>
          <t>C.3 Monte Carlo in molecular systems</t>
        </is>
      </c>
      <c r="D371" s="10" t="inlineStr">
        <is>
          <t>Dan Gillespie presenting the Gillespie Algorithm</t>
        </is>
      </c>
      <c r="E371" s="10" t="inlineStr">
        <is>
          <t>Daniel T. Gillespie</t>
        </is>
      </c>
      <c r="F371" s="11" t="inlineStr">
        <is>
          <t>39:37</t>
        </is>
      </c>
      <c r="G371" s="11" t="n">
        <v>0.66</v>
      </c>
      <c r="H371" s="12" t="inlineStr">
        <is>
          <t>★</t>
        </is>
      </c>
      <c r="I371" s="11" t="inlineStr">
        <is>
          <t>Not started</t>
        </is>
      </c>
      <c r="J371" s="13" t="n"/>
      <c r="K371" s="10" t="inlineStr"/>
      <c r="L371" s="14" t="inlineStr">
        <is>
          <t>▶ watch</t>
        </is>
      </c>
      <c r="M371" s="10" t="inlineStr">
        <is>
          <t>Grossfield &amp; Zuckerman 2009, Annu Rep Comput Chem 5:23 (Quantifying uncertainty and sampling quality) [read this one twice] · Chodera 2016, JCTC 12:1799 (automatic equilibration detection)</t>
        </is>
      </c>
      <c r="N371" s="14" t="inlineStr">
        <is>
          <t>read ↗</t>
        </is>
      </c>
      <c r="O371" s="11" t="inlineStr">
        <is>
          <t xml:space="preserve">reading for B.5 Convergence, error bars, and what a </t>
        </is>
      </c>
      <c r="P371" s="10" t="inlineStr">
        <is>
          <t>G.2 Reaction-diffusion and particle-based cell simulation</t>
        </is>
      </c>
    </row>
    <row r="372">
      <c r="A372" s="15" t="n">
        <v>371</v>
      </c>
      <c r="B372" s="15" t="inlineStr">
        <is>
          <t>Part II - The Method Atlas</t>
        </is>
      </c>
      <c r="C372" s="16" t="inlineStr">
        <is>
          <t>C.3 Monte Carlo in molecular systems</t>
        </is>
      </c>
      <c r="D372" s="10" t="inlineStr">
        <is>
          <t>Rotamer Libraries and Side-chain Packing</t>
        </is>
      </c>
      <c r="E372" s="10" t="inlineStr">
        <is>
          <t>Brian Weitzner (Gray course, JHU</t>
        </is>
      </c>
      <c r="F372" s="11" t="inlineStr">
        <is>
          <t>1:05:04</t>
        </is>
      </c>
      <c r="G372" s="11" t="n">
        <v>1.08</v>
      </c>
      <c r="H372" s="12" t="inlineStr">
        <is>
          <t>★</t>
        </is>
      </c>
      <c r="I372" s="11" t="inlineStr">
        <is>
          <t>Not started</t>
        </is>
      </c>
      <c r="J372" s="13" t="n"/>
      <c r="K372" s="10" t="inlineStr"/>
      <c r="L372" s="14" t="inlineStr">
        <is>
          <t>▶ watch</t>
        </is>
      </c>
      <c r="M372" s="10" t="inlineStr">
        <is>
          <t>Grossfield &amp; Zuckerman 2009, Annu Rep Comput Chem 5:23 (Quantifying uncertainty and sampling quality) [read this one twice] · Chodera 2016, JCTC 12:1799 (automatic equilibration detection)</t>
        </is>
      </c>
      <c r="N372" s="14" t="inlineStr">
        <is>
          <t>read ↗</t>
        </is>
      </c>
      <c r="O372" s="11" t="inlineStr">
        <is>
          <t xml:space="preserve">reading for B.5 Convergence, error bars, and what a </t>
        </is>
      </c>
      <c r="P372" s="10" t="inlineStr">
        <is>
          <t>B.1 Jeffrey Gray - Computational Protein Structure Prediction and Design (JHU 540.414/614; Intro to Protein Structure Prediction and Design - 12 lectures; L.1 The classical course</t>
        </is>
      </c>
    </row>
    <row r="373">
      <c r="A373" s="15" t="n">
        <v>372</v>
      </c>
      <c r="B373" s="15" t="inlineStr">
        <is>
          <t>Part II - The Method Atlas</t>
        </is>
      </c>
      <c r="C373" s="16" t="inlineStr">
        <is>
          <t>C.3 Monte Carlo in molecular systems</t>
        </is>
      </c>
      <c r="D373" s="10" t="inlineStr">
        <is>
          <t>StepWise Monte Carlo for modeling and design of RNA and protein</t>
        </is>
      </c>
      <c r="E373" s="10" t="inlineStr">
        <is>
          <t>Rhiju Das (Stanford</t>
        </is>
      </c>
      <c r="F373" s="11" t="inlineStr">
        <is>
          <t>28:20</t>
        </is>
      </c>
      <c r="G373" s="11" t="n">
        <v>0.47</v>
      </c>
      <c r="H373" s="12" t="inlineStr">
        <is>
          <t>★</t>
        </is>
      </c>
      <c r="I373" s="11" t="inlineStr">
        <is>
          <t>Not started</t>
        </is>
      </c>
      <c r="J373" s="13" t="n"/>
      <c r="K373" s="10" t="inlineStr"/>
      <c r="L373" s="14" t="inlineStr">
        <is>
          <t>▶ watch</t>
        </is>
      </c>
      <c r="M373" s="10" t="inlineStr">
        <is>
          <t>Grossfield &amp; Zuckerman 2009, Annu Rep Comput Chem 5:23 (Quantifying uncertainty and sampling quality) [read this one twice] · Chodera 2016, JCTC 12:1799 (automatic equilibration detection)</t>
        </is>
      </c>
      <c r="N373" s="14" t="inlineStr">
        <is>
          <t>read ↗</t>
        </is>
      </c>
      <c r="O373" s="11" t="inlineStr">
        <is>
          <t xml:space="preserve">reading for B.5 Convergence, error bars, and what a </t>
        </is>
      </c>
      <c r="P373" s="10" t="inlineStr">
        <is>
          <t>T.1 Rhiju Das, in his own words</t>
        </is>
      </c>
    </row>
    <row r="374">
      <c r="A374" s="15" t="n">
        <v>373</v>
      </c>
      <c r="B374" s="15" t="inlineStr">
        <is>
          <t>Part II - The Method Atlas</t>
        </is>
      </c>
      <c r="C374" s="16" t="inlineStr">
        <is>
          <t>C.3 Monte Carlo in molecular systems</t>
        </is>
      </c>
      <c r="D374" s="10" t="inlineStr">
        <is>
          <t>Cryo-BIFE: Bayesian Inference of Free Energy profiles</t>
        </is>
      </c>
      <c r="E374" s="10" t="inlineStr">
        <is>
          <t>Pilar Cossio (Flatiron</t>
        </is>
      </c>
      <c r="F374" s="11" t="inlineStr">
        <is>
          <t>37:34</t>
        </is>
      </c>
      <c r="G374" s="11" t="n">
        <v>0.63</v>
      </c>
      <c r="H374" s="12" t="inlineStr"/>
      <c r="I374" s="11" t="inlineStr">
        <is>
          <t>Not started</t>
        </is>
      </c>
      <c r="J374" s="13" t="n"/>
      <c r="K374" s="10" t="inlineStr"/>
      <c r="L374" s="14" t="inlineStr">
        <is>
          <t>▶ watch</t>
        </is>
      </c>
      <c r="M374" s="10" t="inlineStr">
        <is>
          <t>Grossfield &amp; Zuckerman 2009, Annu Rep Comput Chem 5:23 (Quantifying uncertainty and sampling quality) [read this one twice] · Chodera 2016, JCTC 12:1799 (automatic equilibration detection)</t>
        </is>
      </c>
      <c r="N374" s="14" t="inlineStr">
        <is>
          <t>read ↗</t>
        </is>
      </c>
      <c r="O374" s="11" t="inlineStr">
        <is>
          <t xml:space="preserve">reading for B.5 Convergence, error bars, and what a </t>
        </is>
      </c>
      <c r="P374" s="10" t="inlineStr"/>
    </row>
    <row r="375">
      <c r="A375" s="15" t="n">
        <v>374</v>
      </c>
      <c r="B375" s="15" t="inlineStr">
        <is>
          <t>Part II - The Method Atlas</t>
        </is>
      </c>
      <c r="C375" s="16" t="inlineStr">
        <is>
          <t>C.4 Rare-event and path sampling</t>
        </is>
      </c>
      <c r="D375" s="10" t="inlineStr">
        <is>
          <t>Transition path sampling of complex activated processes</t>
        </is>
      </c>
      <c r="E375" s="10" t="inlineStr">
        <is>
          <t>Peter Bolhuis (Amsterdam, ICTP</t>
        </is>
      </c>
      <c r="F375" s="11" t="inlineStr">
        <is>
          <t>1:21:36</t>
        </is>
      </c>
      <c r="G375" s="11" t="n">
        <v>1.36</v>
      </c>
      <c r="H375" s="12" t="inlineStr">
        <is>
          <t>★</t>
        </is>
      </c>
      <c r="I375" s="11" t="inlineStr">
        <is>
          <t>Not started</t>
        </is>
      </c>
      <c r="J375" s="13" t="n"/>
      <c r="K375" s="10" t="inlineStr"/>
      <c r="L375" s="14" t="inlineStr">
        <is>
          <t>▶ watch</t>
        </is>
      </c>
      <c r="M375" s="10" t="inlineStr">
        <is>
          <t>Grossfield &amp; Zuckerman 2009, Annu Rep Comput Chem 5:23 (Quantifying uncertainty and sampling quality) [read this one twice] · Chodera 2016, JCTC 12:1799 (automatic equilibration detection)</t>
        </is>
      </c>
      <c r="N375" s="14" t="inlineStr">
        <is>
          <t>read ↗</t>
        </is>
      </c>
      <c r="O375" s="11" t="inlineStr">
        <is>
          <t xml:space="preserve">reading for B.5 Convergence, error bars, and what a </t>
        </is>
      </c>
      <c r="P375" s="10" t="inlineStr"/>
    </row>
    <row r="376">
      <c r="A376" s="15" t="n">
        <v>375</v>
      </c>
      <c r="B376" s="15" t="inlineStr">
        <is>
          <t>Part II - The Method Atlas</t>
        </is>
      </c>
      <c r="C376" s="16" t="inlineStr">
        <is>
          <t>C.4 Rare-event and path sampling</t>
        </is>
      </c>
      <c r="D376" s="10" t="inlineStr">
        <is>
          <t>Understanding emergent rare event behaviour in high-dimensional systems</t>
        </is>
      </c>
      <c r="E376" s="10" t="inlineStr">
        <is>
          <t>Peter Bolhuis</t>
        </is>
      </c>
      <c r="F376" s="11" t="inlineStr">
        <is>
          <t>1:09:02</t>
        </is>
      </c>
      <c r="G376" s="11" t="n">
        <v>1.15</v>
      </c>
      <c r="H376" s="12" t="inlineStr"/>
      <c r="I376" s="11" t="inlineStr">
        <is>
          <t>Not started</t>
        </is>
      </c>
      <c r="J376" s="13" t="n"/>
      <c r="K376" s="10" t="inlineStr"/>
      <c r="L376" s="14" t="inlineStr">
        <is>
          <t>▶ watch</t>
        </is>
      </c>
      <c r="M376" s="10" t="inlineStr">
        <is>
          <t>Grossfield &amp; Zuckerman 2009, Annu Rep Comput Chem 5:23 (Quantifying uncertainty and sampling quality) [read this one twice] · Chodera 2016, JCTC 12:1799 (automatic equilibration detection)</t>
        </is>
      </c>
      <c r="N376" s="14" t="inlineStr">
        <is>
          <t>read ↗</t>
        </is>
      </c>
      <c r="O376" s="11" t="inlineStr">
        <is>
          <t xml:space="preserve">reading for B.5 Convergence, error bars, and what a </t>
        </is>
      </c>
      <c r="P376" s="10" t="inlineStr"/>
    </row>
    <row r="377">
      <c r="A377" s="15" t="n">
        <v>376</v>
      </c>
      <c r="B377" s="15" t="inlineStr">
        <is>
          <t>Part II - The Method Atlas</t>
        </is>
      </c>
      <c r="C377" s="16" t="inlineStr">
        <is>
          <t>C.4 Rare-event and path sampling</t>
        </is>
      </c>
      <c r="D377" s="10" t="inlineStr">
        <is>
          <t>TPS and quantitative mechanistic hypothesis testing</t>
        </is>
      </c>
      <c r="E377" s="10" t="inlineStr">
        <is>
          <t>Baron Peters (IPAM</t>
        </is>
      </c>
      <c r="F377" s="11" t="inlineStr">
        <is>
          <t>1:09:37</t>
        </is>
      </c>
      <c r="G377" s="11" t="n">
        <v>1.16</v>
      </c>
      <c r="H377" s="12" t="inlineStr"/>
      <c r="I377" s="11" t="inlineStr">
        <is>
          <t>Not started</t>
        </is>
      </c>
      <c r="J377" s="13" t="n"/>
      <c r="K377" s="10" t="inlineStr"/>
      <c r="L377" s="14" t="inlineStr">
        <is>
          <t>▶ watch</t>
        </is>
      </c>
      <c r="M377" s="10" t="inlineStr">
        <is>
          <t>Grossfield &amp; Zuckerman 2009, Annu Rep Comput Chem 5:23 (Quantifying uncertainty and sampling quality) [read this one twice] · Chodera 2016, JCTC 12:1799 (automatic equilibration detection)</t>
        </is>
      </c>
      <c r="N377" s="14" t="inlineStr">
        <is>
          <t>read ↗</t>
        </is>
      </c>
      <c r="O377" s="11" t="inlineStr">
        <is>
          <t xml:space="preserve">reading for B.5 Convergence, error bars, and what a </t>
        </is>
      </c>
      <c r="P377" s="10" t="inlineStr"/>
    </row>
    <row r="378">
      <c r="A378" s="15" t="n">
        <v>377</v>
      </c>
      <c r="B378" s="15" t="inlineStr">
        <is>
          <t>Part II - The Method Atlas</t>
        </is>
      </c>
      <c r="C378" s="16" t="inlineStr">
        <is>
          <t>C.4 Rare-event and path sampling</t>
        </is>
      </c>
      <c r="D378" s="10" t="inlineStr">
        <is>
          <t>Path Sampling and OpenPathSampling</t>
        </is>
      </c>
      <c r="E378" s="10" t="inlineStr">
        <is>
          <t>David W. H. Swenson (ENS Lyon</t>
        </is>
      </c>
      <c r="F378" s="11" t="inlineStr">
        <is>
          <t>1:37:43</t>
        </is>
      </c>
      <c r="G378" s="11" t="n">
        <v>1.63</v>
      </c>
      <c r="H378" s="12" t="inlineStr"/>
      <c r="I378" s="11" t="inlineStr">
        <is>
          <t>Not started</t>
        </is>
      </c>
      <c r="J378" s="13" t="n"/>
      <c r="K378" s="10" t="inlineStr"/>
      <c r="L378" s="14" t="inlineStr">
        <is>
          <t>▶ watch</t>
        </is>
      </c>
      <c r="M378" s="10" t="inlineStr">
        <is>
          <t>Grossfield &amp; Zuckerman 2009, Annu Rep Comput Chem 5:23 (Quantifying uncertainty and sampling quality) [read this one twice] · Chodera 2016, JCTC 12:1799 (automatic equilibration detection)</t>
        </is>
      </c>
      <c r="N378" s="14" t="inlineStr">
        <is>
          <t>read ↗</t>
        </is>
      </c>
      <c r="O378" s="11" t="inlineStr">
        <is>
          <t xml:space="preserve">reading for B.5 Convergence, error bars, and what a </t>
        </is>
      </c>
      <c r="P378" s="10" t="inlineStr"/>
    </row>
    <row r="379">
      <c r="A379" s="15" t="n">
        <v>378</v>
      </c>
      <c r="B379" s="15" t="inlineStr">
        <is>
          <t>Part II - The Method Atlas</t>
        </is>
      </c>
      <c r="C379" s="16" t="inlineStr">
        <is>
          <t>C.4 Rare-event and path sampling</t>
        </is>
      </c>
      <c r="D379" s="10" t="inlineStr">
        <is>
          <t>∞RETIS: exchanging replicas with unequal cost</t>
        </is>
      </c>
      <c r="E379" s="10" t="inlineStr">
        <is>
          <t>Titus S. van Erp (NTNU</t>
        </is>
      </c>
      <c r="F379" s="11" t="inlineStr">
        <is>
          <t>36:21</t>
        </is>
      </c>
      <c r="G379" s="11" t="n">
        <v>0.61</v>
      </c>
      <c r="H379" s="12" t="inlineStr"/>
      <c r="I379" s="11" t="inlineStr">
        <is>
          <t>Not started</t>
        </is>
      </c>
      <c r="J379" s="13" t="n"/>
      <c r="K379" s="10" t="inlineStr"/>
      <c r="L379" s="14" t="inlineStr">
        <is>
          <t>▶ watch</t>
        </is>
      </c>
      <c r="M379" s="10" t="inlineStr">
        <is>
          <t>Grossfield &amp; Zuckerman 2009, Annu Rep Comput Chem 5:23 (Quantifying uncertainty and sampling quality) [read this one twice] · Chodera 2016, JCTC 12:1799 (automatic equilibration detection)</t>
        </is>
      </c>
      <c r="N379" s="14" t="inlineStr">
        <is>
          <t>read ↗</t>
        </is>
      </c>
      <c r="O379" s="11" t="inlineStr">
        <is>
          <t xml:space="preserve">reading for B.5 Convergence, error bars, and what a </t>
        </is>
      </c>
      <c r="P379" s="10" t="inlineStr"/>
    </row>
    <row r="380">
      <c r="A380" s="15" t="n">
        <v>379</v>
      </c>
      <c r="B380" s="15" t="inlineStr">
        <is>
          <t>Part II - The Method Atlas</t>
        </is>
      </c>
      <c r="C380" s="16" t="inlineStr">
        <is>
          <t>C.4 Rare-event and path sampling</t>
        </is>
      </c>
      <c r="D380" s="10" t="inlineStr">
        <is>
          <t>Sapna Sarupria (Minnesota</t>
        </is>
      </c>
      <c r="E380" s="10" t="inlineStr">
        <is>
          <t>Forward Flux Sampling</t>
        </is>
      </c>
      <c r="F380" s="11" t="inlineStr">
        <is>
          <t>23:08</t>
        </is>
      </c>
      <c r="G380" s="11" t="n">
        <v>0.39</v>
      </c>
      <c r="H380" s="12" t="inlineStr"/>
      <c r="I380" s="11" t="inlineStr">
        <is>
          <t>Not started</t>
        </is>
      </c>
      <c r="J380" s="13" t="n"/>
      <c r="K380" s="10" t="inlineStr"/>
      <c r="L380" s="14" t="inlineStr">
        <is>
          <t>▶ watch</t>
        </is>
      </c>
      <c r="M380" s="10" t="inlineStr">
        <is>
          <t>Allen, Warren &amp; ten Wolde 2005, PRL 94:018104</t>
        </is>
      </c>
      <c r="N380" s="14" t="inlineStr">
        <is>
          <t>read ↗</t>
        </is>
      </c>
      <c r="O380" s="11" t="inlineStr">
        <is>
          <t>paired reading</t>
        </is>
      </c>
      <c r="P380" s="10" t="inlineStr"/>
    </row>
    <row r="381">
      <c r="A381" s="15" t="n">
        <v>380</v>
      </c>
      <c r="B381" s="15" t="inlineStr">
        <is>
          <t>Part II - The Method Atlas</t>
        </is>
      </c>
      <c r="C381" s="16" t="inlineStr">
        <is>
          <t>C.4 Rare-event and path sampling</t>
        </is>
      </c>
      <c r="D381" s="10" t="inlineStr">
        <is>
          <t>Weighted ensemble simulations of long-timescale dynamics</t>
        </is>
      </c>
      <c r="E381" s="10" t="inlineStr">
        <is>
          <t>Lillian T. Chong (Pittsburgh</t>
        </is>
      </c>
      <c r="F381" s="11" t="inlineStr">
        <is>
          <t>56:39</t>
        </is>
      </c>
      <c r="G381" s="11" t="n">
        <v>0.9399999999999999</v>
      </c>
      <c r="H381" s="12" t="inlineStr"/>
      <c r="I381" s="11" t="inlineStr">
        <is>
          <t>Not started</t>
        </is>
      </c>
      <c r="J381" s="13" t="n"/>
      <c r="K381" s="10" t="inlineStr"/>
      <c r="L381" s="14" t="inlineStr">
        <is>
          <t>▶ watch</t>
        </is>
      </c>
      <c r="M381" s="10" t="inlineStr">
        <is>
          <t>Grossfield &amp; Zuckerman 2009, Annu Rep Comput Chem 5:23 (Quantifying uncertainty and sampling quality) [read this one twice] · Chodera 2016, JCTC 12:1799 (automatic equilibration detection)</t>
        </is>
      </c>
      <c r="N381" s="14" t="inlineStr">
        <is>
          <t>read ↗</t>
        </is>
      </c>
      <c r="O381" s="11" t="inlineStr">
        <is>
          <t xml:space="preserve">reading for B.5 Convergence, error bars, and what a </t>
        </is>
      </c>
      <c r="P381" s="10" t="inlineStr">
        <is>
          <t>B.9 WESTPA - weighted ensemble</t>
        </is>
      </c>
    </row>
    <row r="382">
      <c r="A382" s="15" t="n">
        <v>381</v>
      </c>
      <c r="B382" s="15" t="inlineStr">
        <is>
          <t>Part II - The Method Atlas</t>
        </is>
      </c>
      <c r="C382" s="16" t="inlineStr">
        <is>
          <t>C.4 Rare-event and path sampling</t>
        </is>
      </c>
      <c r="D382" s="10" t="inlineStr">
        <is>
          <t>Introduction to WESTPA</t>
        </is>
      </c>
      <c r="E382" s="10" t="inlineStr">
        <is>
          <t>Matthew C. Zwier</t>
        </is>
      </c>
      <c r="F382" s="11" t="inlineStr">
        <is>
          <t>48:44</t>
        </is>
      </c>
      <c r="G382" s="11" t="n">
        <v>0.8100000000000001</v>
      </c>
      <c r="H382" s="12" t="inlineStr">
        <is>
          <t>★</t>
        </is>
      </c>
      <c r="I382" s="11" t="inlineStr">
        <is>
          <t>Not started</t>
        </is>
      </c>
      <c r="J382" s="13" t="n"/>
      <c r="K382" s="10" t="inlineStr"/>
      <c r="L382" s="14" t="inlineStr">
        <is>
          <t>▶ watch</t>
        </is>
      </c>
      <c r="M382" s="10" t="inlineStr">
        <is>
          <t>Grossfield &amp; Zuckerman 2009, Annu Rep Comput Chem 5:23 (Quantifying uncertainty and sampling quality) [read this one twice] · Chodera 2016, JCTC 12:1799 (automatic equilibration detection)</t>
        </is>
      </c>
      <c r="N382" s="14" t="inlineStr">
        <is>
          <t>read ↗</t>
        </is>
      </c>
      <c r="O382" s="11" t="inlineStr">
        <is>
          <t xml:space="preserve">reading for B.5 Convergence, error bars, and what a </t>
        </is>
      </c>
      <c r="P382" s="10" t="inlineStr">
        <is>
          <t>B.9 WESTPA - weighted ensemble</t>
        </is>
      </c>
    </row>
    <row r="383">
      <c r="A383" s="15" t="n">
        <v>382</v>
      </c>
      <c r="B383" s="15" t="inlineStr">
        <is>
          <t>Part II - The Method Atlas</t>
        </is>
      </c>
      <c r="C383" s="16" t="inlineStr">
        <is>
          <t>C.4 Rare-event and path sampling</t>
        </is>
      </c>
      <c r="D383" s="10" t="inlineStr">
        <is>
          <t>Eric Vanden-Eijnden (Courant/NYU</t>
        </is>
      </c>
      <c r="E383" s="10" t="inlineStr">
        <is>
          <t>Rare Events: Theory</t>
        </is>
      </c>
      <c r="F383" s="11" t="inlineStr">
        <is>
          <t>59:53</t>
        </is>
      </c>
      <c r="G383" s="11" t="n">
        <v>1</v>
      </c>
      <c r="H383" s="12" t="inlineStr">
        <is>
          <t>★</t>
        </is>
      </c>
      <c r="I383" s="11" t="inlineStr">
        <is>
          <t>Not started</t>
        </is>
      </c>
      <c r="J383" s="13" t="n"/>
      <c r="K383" s="10" t="inlineStr"/>
      <c r="L383" s="14" t="inlineStr">
        <is>
          <t>▶ watch</t>
        </is>
      </c>
      <c r="M383" s="10" t="inlineStr">
        <is>
          <t>E &amp; Vanden-Eijnden 2006, J Stat Phys 123:503</t>
        </is>
      </c>
      <c r="N383" s="14" t="inlineStr">
        <is>
          <t>read ↗</t>
        </is>
      </c>
      <c r="O383" s="11" t="inlineStr">
        <is>
          <t>paired reading</t>
        </is>
      </c>
      <c r="P383" s="10" t="inlineStr"/>
    </row>
    <row r="384">
      <c r="A384" s="15" t="n">
        <v>383</v>
      </c>
      <c r="B384" s="15" t="inlineStr">
        <is>
          <t>Part II - The Method Atlas</t>
        </is>
      </c>
      <c r="C384" s="16" t="inlineStr">
        <is>
          <t>C.4 Rare-event and path sampling</t>
        </is>
      </c>
      <c r="D384" s="10" t="inlineStr">
        <is>
          <t>Rare Events: Numerical Implementation (string method</t>
        </is>
      </c>
      <c r="E384" s="10" t="inlineStr">
        <is>
          <t>Eric Vanden-Eijnden</t>
        </is>
      </c>
      <c r="F384" s="11" t="inlineStr">
        <is>
          <t>1:08:10</t>
        </is>
      </c>
      <c r="G384" s="11" t="n">
        <v>1.14</v>
      </c>
      <c r="H384" s="12" t="inlineStr">
        <is>
          <t>★</t>
        </is>
      </c>
      <c r="I384" s="11" t="inlineStr">
        <is>
          <t>Not started</t>
        </is>
      </c>
      <c r="J384" s="13" t="n"/>
      <c r="K384" s="10" t="inlineStr"/>
      <c r="L384" s="14" t="inlineStr">
        <is>
          <t>▶ watch</t>
        </is>
      </c>
      <c r="M384" s="10" t="inlineStr">
        <is>
          <t>Grossfield &amp; Zuckerman 2009, Annu Rep Comput Chem 5:23 (Quantifying uncertainty and sampling quality) [read this one twice] · Chodera 2016, JCTC 12:1799 (automatic equilibration detection)</t>
        </is>
      </c>
      <c r="N384" s="14" t="inlineStr">
        <is>
          <t>read ↗</t>
        </is>
      </c>
      <c r="O384" s="11" t="inlineStr">
        <is>
          <t xml:space="preserve">reading for B.5 Convergence, error bars, and what a </t>
        </is>
      </c>
      <c r="P384" s="10" t="inlineStr"/>
    </row>
    <row r="385">
      <c r="A385" s="15" t="n">
        <v>384</v>
      </c>
      <c r="B385" s="15" t="inlineStr">
        <is>
          <t>Part II - The Method Atlas</t>
        </is>
      </c>
      <c r="C385" s="16" t="inlineStr">
        <is>
          <t>C.4 Rare-event and path sampling</t>
        </is>
      </c>
      <c r="D385" s="10" t="inlineStr">
        <is>
          <t>Exploring Complex Reaction Pathways I (string with swarms</t>
        </is>
      </c>
      <c r="E385" s="10" t="inlineStr">
        <is>
          <t>Mahmoud Moradi (Arkansas</t>
        </is>
      </c>
      <c r="F385" s="11" t="inlineStr">
        <is>
          <t>1:24:20</t>
        </is>
      </c>
      <c r="G385" s="11" t="n">
        <v>1.41</v>
      </c>
      <c r="H385" s="12" t="inlineStr"/>
      <c r="I385" s="11" t="inlineStr">
        <is>
          <t>Not started</t>
        </is>
      </c>
      <c r="J385" s="13" t="n"/>
      <c r="K385" s="10" t="inlineStr"/>
      <c r="L385" s="14" t="inlineStr">
        <is>
          <t>▶ watch</t>
        </is>
      </c>
      <c r="M385" s="10" t="inlineStr">
        <is>
          <t>Grossfield &amp; Zuckerman 2009, Annu Rep Comput Chem 5:23 (Quantifying uncertainty and sampling quality) [read this one twice] · Chodera 2016, JCTC 12:1799 (automatic equilibration detection)</t>
        </is>
      </c>
      <c r="N385" s="14" t="inlineStr">
        <is>
          <t>read ↗</t>
        </is>
      </c>
      <c r="O385" s="11" t="inlineStr">
        <is>
          <t xml:space="preserve">reading for B.5 Convergence, error bars, and what a </t>
        </is>
      </c>
      <c r="P385" s="10" t="inlineStr"/>
    </row>
    <row r="386">
      <c r="A386" s="15" t="n">
        <v>385</v>
      </c>
      <c r="B386" s="15" t="inlineStr">
        <is>
          <t>Part II - The Method Atlas</t>
        </is>
      </c>
      <c r="C386" s="16" t="inlineStr">
        <is>
          <t>C.4 Rare-event and path sampling</t>
        </is>
      </c>
      <c r="D386" s="10" t="inlineStr">
        <is>
          <t>Adaptive multilevel splitting for molecular dynamics</t>
        </is>
      </c>
      <c r="E386" s="10" t="inlineStr">
        <is>
          <t>Arnaud Guyader (Sorbonne</t>
        </is>
      </c>
      <c r="F386" s="11" t="inlineStr">
        <is>
          <t>1:05:08</t>
        </is>
      </c>
      <c r="G386" s="11" t="n">
        <v>1.09</v>
      </c>
      <c r="H386" s="12" t="inlineStr"/>
      <c r="I386" s="11" t="inlineStr">
        <is>
          <t>Not started</t>
        </is>
      </c>
      <c r="J386" s="13" t="n"/>
      <c r="K386" s="10" t="inlineStr"/>
      <c r="L386" s="14" t="inlineStr">
        <is>
          <t>▶ watch</t>
        </is>
      </c>
      <c r="M386" s="10" t="inlineStr">
        <is>
          <t>Grossfield &amp; Zuckerman 2009, Annu Rep Comput Chem 5:23 (Quantifying uncertainty and sampling quality) [read this one twice] · Chodera 2016, JCTC 12:1799 (automatic equilibration detection)</t>
        </is>
      </c>
      <c r="N386" s="14" t="inlineStr">
        <is>
          <t>read ↗</t>
        </is>
      </c>
      <c r="O386" s="11" t="inlineStr">
        <is>
          <t xml:space="preserve">reading for B.5 Convergence, error bars, and what a </t>
        </is>
      </c>
      <c r="P386" s="10" t="inlineStr"/>
    </row>
    <row r="387">
      <c r="A387" s="15" t="n">
        <v>386</v>
      </c>
      <c r="B387" s="15" t="inlineStr">
        <is>
          <t>Part II - The Method Atlas</t>
        </is>
      </c>
      <c r="C387" s="16" t="inlineStr">
        <is>
          <t>C.4 Rare-event and path sampling</t>
        </is>
      </c>
      <c r="D387" s="10" t="inlineStr">
        <is>
          <t>Modeling Transition States (NEB / CI-NEB</t>
        </is>
      </c>
      <c r="E387" s="10" t="inlineStr">
        <is>
          <t>Shyue Ping Ong (UCSD</t>
        </is>
      </c>
      <c r="F387" s="11" t="inlineStr">
        <is>
          <t>37:10</t>
        </is>
      </c>
      <c r="G387" s="11" t="n">
        <v>0.62</v>
      </c>
      <c r="H387" s="12" t="inlineStr"/>
      <c r="I387" s="11" t="inlineStr">
        <is>
          <t>Not started</t>
        </is>
      </c>
      <c r="J387" s="13" t="n"/>
      <c r="K387" s="10" t="inlineStr"/>
      <c r="L387" s="14" t="inlineStr">
        <is>
          <t>▶ watch</t>
        </is>
      </c>
      <c r="M387" s="10" t="inlineStr">
        <is>
          <t>Grossfield &amp; Zuckerman 2009, Annu Rep Comput Chem 5:23 (Quantifying uncertainty and sampling quality) [read this one twice] · Chodera 2016, JCTC 12:1799 (automatic equilibration detection)</t>
        </is>
      </c>
      <c r="N387" s="14" t="inlineStr">
        <is>
          <t>read ↗</t>
        </is>
      </c>
      <c r="O387" s="11" t="inlineStr">
        <is>
          <t xml:space="preserve">reading for B.5 Convergence, error bars, and what a </t>
        </is>
      </c>
      <c r="P387" s="10" t="inlineStr"/>
    </row>
    <row r="388">
      <c r="A388" s="15" t="n">
        <v>387</v>
      </c>
      <c r="B388" s="15" t="inlineStr">
        <is>
          <t>Part II - The Method Atlas</t>
        </is>
      </c>
      <c r="C388" s="16" t="inlineStr">
        <is>
          <t>C.4 Rare-event and path sampling</t>
        </is>
      </c>
      <c r="D388" s="10" t="inlineStr">
        <is>
          <t>Lecture 14: The Committor Function</t>
        </is>
      </c>
      <c r="E388" s="10" t="inlineStr">
        <is>
          <t>Pietro Faccioli (Milano-Bicocca</t>
        </is>
      </c>
      <c r="F388" s="11" t="inlineStr">
        <is>
          <t>37:29</t>
        </is>
      </c>
      <c r="G388" s="11" t="n">
        <v>0.62</v>
      </c>
      <c r="H388" s="12" t="inlineStr"/>
      <c r="I388" s="11" t="inlineStr">
        <is>
          <t>Not started</t>
        </is>
      </c>
      <c r="J388" s="13" t="n"/>
      <c r="K388" s="10" t="inlineStr"/>
      <c r="L388" s="14" t="inlineStr">
        <is>
          <t>▶ watch</t>
        </is>
      </c>
      <c r="M388" s="10" t="inlineStr">
        <is>
          <t>Grossfield &amp; Zuckerman 2009, Annu Rep Comput Chem 5:23 (Quantifying uncertainty and sampling quality) [read this one twice] · Chodera 2016, JCTC 12:1799 (automatic equilibration detection)</t>
        </is>
      </c>
      <c r="N388" s="14" t="inlineStr">
        <is>
          <t>read ↗</t>
        </is>
      </c>
      <c r="O388" s="11" t="inlineStr">
        <is>
          <t xml:space="preserve">reading for B.5 Convergence, error bars, and what a </t>
        </is>
      </c>
      <c r="P388" s="10" t="inlineStr"/>
    </row>
    <row r="389">
      <c r="A389" s="15" t="n">
        <v>388</v>
      </c>
      <c r="B389" s="15" t="inlineStr">
        <is>
          <t>Part II - The Method Atlas</t>
        </is>
      </c>
      <c r="C389" s="16" t="inlineStr">
        <is>
          <t>C.5 Monte Carlo meets machine learning - the live frontier</t>
        </is>
      </c>
      <c r="D389" s="10" t="inlineStr">
        <is>
          <t>ML for Sampling Probability Distributions in Lattice Field Theory</t>
        </is>
      </c>
      <c r="E389" s="10" t="inlineStr">
        <is>
          <t>Phiala Shanahan (MIT</t>
        </is>
      </c>
      <c r="F389" s="11" t="inlineStr">
        <is>
          <t>1:05:34</t>
        </is>
      </c>
      <c r="G389" s="11" t="n">
        <v>1.09</v>
      </c>
      <c r="H389" s="12" t="inlineStr"/>
      <c r="I389" s="11" t="inlineStr">
        <is>
          <t>Not started</t>
        </is>
      </c>
      <c r="J389" s="13" t="n"/>
      <c r="K389" s="10" t="inlineStr"/>
      <c r="L389" s="14" t="inlineStr">
        <is>
          <t>▶ watch</t>
        </is>
      </c>
      <c r="M389" s="10" t="inlineStr">
        <is>
          <t>Grossfield &amp; Zuckerman 2009, Annu Rep Comput Chem 5:23 (Quantifying uncertainty and sampling quality) [read this one twice] · Chodera 2016, JCTC 12:1799 (automatic equilibration detection)</t>
        </is>
      </c>
      <c r="N389" s="14" t="inlineStr">
        <is>
          <t>read ↗</t>
        </is>
      </c>
      <c r="O389" s="11" t="inlineStr">
        <is>
          <t xml:space="preserve">reading for B.5 Convergence, error bars, and what a </t>
        </is>
      </c>
      <c r="P389" s="10" t="inlineStr"/>
    </row>
    <row r="390">
      <c r="A390" s="15" t="n">
        <v>389</v>
      </c>
      <c r="B390" s="15" t="inlineStr">
        <is>
          <t>Part II - The Method Atlas</t>
        </is>
      </c>
      <c r="C390" s="16" t="inlineStr">
        <is>
          <t>C.5 Monte Carlo meets machine learning - the live frontier</t>
        </is>
      </c>
      <c r="D390" s="10" t="inlineStr">
        <is>
          <t>Building symmetries into generative flow models</t>
        </is>
      </c>
      <c r="E390" s="10" t="inlineStr">
        <is>
          <t>Phiala Shanahan</t>
        </is>
      </c>
      <c r="F390" s="11" t="inlineStr">
        <is>
          <t>1:11:50</t>
        </is>
      </c>
      <c r="G390" s="11" t="n">
        <v>1.2</v>
      </c>
      <c r="H390" s="12" t="inlineStr"/>
      <c r="I390" s="11" t="inlineStr">
        <is>
          <t>Not started</t>
        </is>
      </c>
      <c r="J390" s="13" t="n"/>
      <c r="K390" s="10" t="inlineStr"/>
      <c r="L390" s="14" t="inlineStr">
        <is>
          <t>▶ watch</t>
        </is>
      </c>
      <c r="M390" s="10" t="inlineStr">
        <is>
          <t>Grossfield &amp; Zuckerman 2009, Annu Rep Comput Chem 5:23 (Quantifying uncertainty and sampling quality) [read this one twice] · Chodera 2016, JCTC 12:1799 (automatic equilibration detection)</t>
        </is>
      </c>
      <c r="N390" s="14" t="inlineStr">
        <is>
          <t>read ↗</t>
        </is>
      </c>
      <c r="O390" s="11" t="inlineStr">
        <is>
          <t xml:space="preserve">reading for B.5 Convergence, error bars, and what a </t>
        </is>
      </c>
      <c r="P390" s="10" t="inlineStr"/>
    </row>
    <row r="391">
      <c r="A391" s="15" t="n">
        <v>390</v>
      </c>
      <c r="B391" s="15" t="inlineStr">
        <is>
          <t>Part II - The Method Atlas</t>
        </is>
      </c>
      <c r="C391" s="16" t="inlineStr">
        <is>
          <t>C.5 Monte Carlo meets machine learning - the live frontier</t>
        </is>
      </c>
      <c r="D391" s="10" t="inlineStr">
        <is>
          <t>Normalizing Flows for Lattice Gauge Theory, Part 1</t>
        </is>
      </c>
      <c r="E391" s="10" t="inlineStr">
        <is>
          <t>Gurtej Kanwar (Bern</t>
        </is>
      </c>
      <c r="F391" s="11" t="inlineStr">
        <is>
          <t>1:32:03</t>
        </is>
      </c>
      <c r="G391" s="11" t="n">
        <v>1.53</v>
      </c>
      <c r="H391" s="12" t="inlineStr"/>
      <c r="I391" s="11" t="inlineStr">
        <is>
          <t>Not started</t>
        </is>
      </c>
      <c r="J391" s="13" t="n"/>
      <c r="K391" s="10" t="inlineStr"/>
      <c r="L391" s="14" t="inlineStr">
        <is>
          <t>▶ watch</t>
        </is>
      </c>
      <c r="M391" s="10" t="inlineStr">
        <is>
          <t>Grossfield &amp; Zuckerman 2009, Annu Rep Comput Chem 5:23 (Quantifying uncertainty and sampling quality) [read this one twice] · Chodera 2016, JCTC 12:1799 (automatic equilibration detection)</t>
        </is>
      </c>
      <c r="N391" s="14" t="inlineStr">
        <is>
          <t>read ↗</t>
        </is>
      </c>
      <c r="O391" s="11" t="inlineStr">
        <is>
          <t xml:space="preserve">reading for B.5 Convergence, error bars, and what a </t>
        </is>
      </c>
      <c r="P391" s="10" t="inlineStr"/>
    </row>
    <row r="392">
      <c r="A392" s="15" t="n">
        <v>391</v>
      </c>
      <c r="B392" s="15" t="inlineStr">
        <is>
          <t>Part II - The Method Atlas</t>
        </is>
      </c>
      <c r="C392" s="16" t="inlineStr">
        <is>
          <t>C.5 Monte Carlo meets machine learning - the live frontier</t>
        </is>
      </c>
      <c r="D392" s="10" t="inlineStr">
        <is>
          <t>Towards Flow-based MCMC for Lattice Gauge Theory with Fermions</t>
        </is>
      </c>
      <c r="E392" s="10" t="inlineStr">
        <is>
          <t>Danilo Rezende (DeepMind</t>
        </is>
      </c>
      <c r="F392" s="11" t="inlineStr">
        <is>
          <t>1:16:22</t>
        </is>
      </c>
      <c r="G392" s="11" t="n">
        <v>1.27</v>
      </c>
      <c r="H392" s="12" t="inlineStr"/>
      <c r="I392" s="11" t="inlineStr">
        <is>
          <t>Not started</t>
        </is>
      </c>
      <c r="J392" s="13" t="n"/>
      <c r="K392" s="10" t="inlineStr"/>
      <c r="L392" s="14" t="inlineStr">
        <is>
          <t>▶ watch</t>
        </is>
      </c>
      <c r="M392" s="10" t="inlineStr">
        <is>
          <t>Grossfield &amp; Zuckerman 2009, Annu Rep Comput Chem 5:23 (Quantifying uncertainty and sampling quality) [read this one twice] · Chodera 2016, JCTC 12:1799 (automatic equilibration detection)</t>
        </is>
      </c>
      <c r="N392" s="14" t="inlineStr">
        <is>
          <t>read ↗</t>
        </is>
      </c>
      <c r="O392" s="11" t="inlineStr">
        <is>
          <t xml:space="preserve">reading for B.5 Convergence, error bars, and what a </t>
        </is>
      </c>
      <c r="P392" s="10" t="inlineStr"/>
    </row>
    <row r="393">
      <c r="A393" s="15" t="n">
        <v>392</v>
      </c>
      <c r="B393" s="15" t="inlineStr">
        <is>
          <t>Part II - The Method Atlas</t>
        </is>
      </c>
      <c r="C393" s="16" t="inlineStr">
        <is>
          <t>C.5 Monte Carlo meets machine learning - the live frontier</t>
        </is>
      </c>
      <c r="D393" s="10" t="inlineStr">
        <is>
          <t>Frank Noé (FU Berlin / MSR</t>
        </is>
      </c>
      <c r="E393" s="10" t="inlineStr">
        <is>
          <t>Boltzmann Generators</t>
        </is>
      </c>
      <c r="F393" s="11" t="inlineStr">
        <is>
          <t>22:39</t>
        </is>
      </c>
      <c r="G393" s="11" t="n">
        <v>0.38</v>
      </c>
      <c r="H393" s="12" t="inlineStr">
        <is>
          <t>★</t>
        </is>
      </c>
      <c r="I393" s="11" t="inlineStr">
        <is>
          <t>Not started</t>
        </is>
      </c>
      <c r="J393" s="13" t="n"/>
      <c r="K393" s="10" t="inlineStr"/>
      <c r="L393" s="14" t="inlineStr">
        <is>
          <t>▶ watch</t>
        </is>
      </c>
      <c r="M393" s="10" t="inlineStr">
        <is>
          <t>Grossfield &amp; Zuckerman 2009, Annu Rep Comput Chem 5:23 (Quantifying uncertainty and sampling quality) [read this one twice] · Chodera 2016, JCTC 12:1799 (automatic equilibration detection)</t>
        </is>
      </c>
      <c r="N393" s="14" t="inlineStr">
        <is>
          <t>read ↗</t>
        </is>
      </c>
      <c r="O393" s="11" t="inlineStr">
        <is>
          <t xml:space="preserve">reading for B.5 Convergence, error bars, and what a </t>
        </is>
      </c>
      <c r="P393" s="10" t="inlineStr"/>
    </row>
    <row r="394">
      <c r="A394" s="15" t="n">
        <v>393</v>
      </c>
      <c r="B394" s="15" t="inlineStr">
        <is>
          <t>Part II - The Method Atlas</t>
        </is>
      </c>
      <c r="C394" s="16" t="inlineStr">
        <is>
          <t>C.5 Monte Carlo meets machine learning - the live frontier</t>
        </is>
      </c>
      <c r="D394" s="10" t="inlineStr">
        <is>
          <t>Deep Generative Learning for Physics Many-Body Systems</t>
        </is>
      </c>
      <c r="E394" s="10" t="inlineStr">
        <is>
          <t>Frank Noé (IPAM</t>
        </is>
      </c>
      <c r="F394" s="11" t="inlineStr">
        <is>
          <t>1:01:56</t>
        </is>
      </c>
      <c r="G394" s="11" t="n">
        <v>1.03</v>
      </c>
      <c r="H394" s="12" t="inlineStr"/>
      <c r="I394" s="11" t="inlineStr">
        <is>
          <t>Not started</t>
        </is>
      </c>
      <c r="J394" s="13" t="n"/>
      <c r="K394" s="10" t="inlineStr"/>
      <c r="L394" s="14" t="inlineStr">
        <is>
          <t>▶ watch</t>
        </is>
      </c>
      <c r="M394" s="10" t="inlineStr">
        <is>
          <t>Grossfield &amp; Zuckerman 2009, Annu Rep Comput Chem 5:23 (Quantifying uncertainty and sampling quality) [read this one twice] · Chodera 2016, JCTC 12:1799 (automatic equilibration detection)</t>
        </is>
      </c>
      <c r="N394" s="14" t="inlineStr">
        <is>
          <t>read ↗</t>
        </is>
      </c>
      <c r="O394" s="11" t="inlineStr">
        <is>
          <t xml:space="preserve">reading for B.5 Convergence, error bars, and what a </t>
        </is>
      </c>
      <c r="P394" s="10" t="inlineStr">
        <is>
          <t>P.6 Conformational ensembles - the frontier</t>
        </is>
      </c>
    </row>
    <row r="395">
      <c r="A395" s="15" t="n">
        <v>394</v>
      </c>
      <c r="B395" s="15" t="inlineStr">
        <is>
          <t>Part II - The Method Atlas</t>
        </is>
      </c>
      <c r="C395" s="16" t="inlineStr">
        <is>
          <t>C.5 Monte Carlo meets machine learning - the live frontier</t>
        </is>
      </c>
      <c r="D395" s="10" t="inlineStr">
        <is>
          <t>Stochastic Normalizing Flows</t>
        </is>
      </c>
      <c r="E395" s="10" t="inlineStr">
        <is>
          <t>Frank Noé</t>
        </is>
      </c>
      <c r="F395" s="11" t="inlineStr">
        <is>
          <t>15:58</t>
        </is>
      </c>
      <c r="G395" s="11" t="n">
        <v>0.27</v>
      </c>
      <c r="H395" s="12" t="inlineStr"/>
      <c r="I395" s="11" t="inlineStr">
        <is>
          <t>Not started</t>
        </is>
      </c>
      <c r="J395" s="13" t="n"/>
      <c r="K395" s="10" t="inlineStr"/>
      <c r="L395" s="14" t="inlineStr">
        <is>
          <t>▶ watch</t>
        </is>
      </c>
      <c r="M395" s="10" t="inlineStr">
        <is>
          <t>Wu, Köhler &amp; Noé 2020, NeurIPS</t>
        </is>
      </c>
      <c r="N395" s="14" t="inlineStr">
        <is>
          <t>read ↗</t>
        </is>
      </c>
      <c r="O395" s="11" t="inlineStr">
        <is>
          <t>paired reading</t>
        </is>
      </c>
      <c r="P395" s="10" t="inlineStr"/>
    </row>
    <row r="396">
      <c r="A396" s="15" t="n">
        <v>395</v>
      </c>
      <c r="B396" s="15" t="inlineStr">
        <is>
          <t>Part II - The Method Atlas</t>
        </is>
      </c>
      <c r="C396" s="16" t="inlineStr">
        <is>
          <t>C.5 Monte Carlo meets machine learning - the live frontier</t>
        </is>
      </c>
      <c r="D396" s="10" t="inlineStr">
        <is>
          <t>Equivariant flow matching</t>
        </is>
      </c>
      <c r="E396" s="10" t="inlineStr">
        <is>
          <t>Leon Klein (FU Berlin</t>
        </is>
      </c>
      <c r="F396" s="11" t="inlineStr">
        <is>
          <t>1:08:07</t>
        </is>
      </c>
      <c r="G396" s="11" t="n">
        <v>1.14</v>
      </c>
      <c r="H396" s="12" t="inlineStr"/>
      <c r="I396" s="11" t="inlineStr">
        <is>
          <t>Not started</t>
        </is>
      </c>
      <c r="J396" s="13" t="n"/>
      <c r="K396" s="10" t="inlineStr"/>
      <c r="L396" s="14" t="inlineStr">
        <is>
          <t>▶ watch</t>
        </is>
      </c>
      <c r="M396" s="10" t="inlineStr">
        <is>
          <t>Grossfield &amp; Zuckerman 2009, Annu Rep Comput Chem 5:23 (Quantifying uncertainty and sampling quality) [read this one twice] · Chodera 2016, JCTC 12:1799 (automatic equilibration detection)</t>
        </is>
      </c>
      <c r="N396" s="14" t="inlineStr">
        <is>
          <t>read ↗</t>
        </is>
      </c>
      <c r="O396" s="11" t="inlineStr">
        <is>
          <t xml:space="preserve">reading for B.5 Convergence, error bars, and what a </t>
        </is>
      </c>
      <c r="P396" s="10" t="inlineStr"/>
    </row>
    <row r="397">
      <c r="A397" s="15" t="n">
        <v>396</v>
      </c>
      <c r="B397" s="15" t="inlineStr">
        <is>
          <t>Part II - The Method Atlas</t>
        </is>
      </c>
      <c r="C397" s="16" t="inlineStr">
        <is>
          <t>C.5 Monte Carlo meets machine learning - the live frontier</t>
        </is>
      </c>
      <c r="D397" s="10" t="inlineStr">
        <is>
          <t>Flow Annealed Importance Sampling Bootstrap</t>
        </is>
      </c>
      <c r="E397" s="10" t="inlineStr">
        <is>
          <t>Midgley &amp; Stimper</t>
        </is>
      </c>
      <c r="F397" s="11" t="inlineStr">
        <is>
          <t>1:33:26</t>
        </is>
      </c>
      <c r="G397" s="11" t="n">
        <v>1.56</v>
      </c>
      <c r="H397" s="12" t="inlineStr">
        <is>
          <t>★</t>
        </is>
      </c>
      <c r="I397" s="11" t="inlineStr">
        <is>
          <t>Not started</t>
        </is>
      </c>
      <c r="J397" s="13" t="n"/>
      <c r="K397" s="10" t="inlineStr"/>
      <c r="L397" s="14" t="inlineStr">
        <is>
          <t>▶ watch</t>
        </is>
      </c>
      <c r="M397" s="10" t="inlineStr">
        <is>
          <t>Grossfield &amp; Zuckerman 2009, Annu Rep Comput Chem 5:23 (Quantifying uncertainty and sampling quality) [read this one twice] · Chodera 2016, JCTC 12:1799 (automatic equilibration detection)</t>
        </is>
      </c>
      <c r="N397" s="14" t="inlineStr">
        <is>
          <t>read ↗</t>
        </is>
      </c>
      <c r="O397" s="11" t="inlineStr">
        <is>
          <t xml:space="preserve">reading for B.5 Convergence, error bars, and what a </t>
        </is>
      </c>
      <c r="P397" s="10" t="inlineStr"/>
    </row>
    <row r="398">
      <c r="A398" s="15" t="n">
        <v>397</v>
      </c>
      <c r="B398" s="15" t="inlineStr">
        <is>
          <t>Part II - The Method Atlas</t>
        </is>
      </c>
      <c r="C398" s="16" t="inlineStr">
        <is>
          <t>C.5 Monte Carlo meets machine learning - the live frontier</t>
        </is>
      </c>
      <c r="D398" s="10" t="inlineStr">
        <is>
          <t>Generalizing HMC with Neural Networks (L2HMC</t>
        </is>
      </c>
      <c r="E398" s="10" t="inlineStr">
        <is>
          <t>Jascha Sohl-Dickstein (Google Brain</t>
        </is>
      </c>
      <c r="F398" s="11" t="inlineStr">
        <is>
          <t>46:55</t>
        </is>
      </c>
      <c r="G398" s="11" t="n">
        <v>0.78</v>
      </c>
      <c r="H398" s="12" t="inlineStr"/>
      <c r="I398" s="11" t="inlineStr">
        <is>
          <t>Not started</t>
        </is>
      </c>
      <c r="J398" s="13" t="n"/>
      <c r="K398" s="10" t="inlineStr"/>
      <c r="L398" s="14" t="inlineStr">
        <is>
          <t>▶ watch</t>
        </is>
      </c>
      <c r="M398" s="10" t="inlineStr">
        <is>
          <t>Grossfield &amp; Zuckerman 2009, Annu Rep Comput Chem 5:23 (Quantifying uncertainty and sampling quality) [read this one twice] · Chodera 2016, JCTC 12:1799 (automatic equilibration detection)</t>
        </is>
      </c>
      <c r="N398" s="14" t="inlineStr">
        <is>
          <t>read ↗</t>
        </is>
      </c>
      <c r="O398" s="11" t="inlineStr">
        <is>
          <t xml:space="preserve">reading for B.5 Convergence, error bars, and what a </t>
        </is>
      </c>
      <c r="P398" s="10" t="inlineStr"/>
    </row>
    <row r="399">
      <c r="A399" s="15" t="n">
        <v>398</v>
      </c>
      <c r="B399" s="15" t="inlineStr">
        <is>
          <t>Part II - The Method Atlas</t>
        </is>
      </c>
      <c r="C399" s="16" t="inlineStr">
        <is>
          <t>C.5 Monte Carlo meets machine learning - the live frontier</t>
        </is>
      </c>
      <c r="D399" s="10" t="inlineStr">
        <is>
          <t>Enhancing MCMC with Deep Learning</t>
        </is>
      </c>
      <c r="E399" s="10" t="inlineStr">
        <is>
          <t>Eric Vanden-Eijnden (Courant</t>
        </is>
      </c>
      <c r="F399" s="11" t="inlineStr">
        <is>
          <t>46:05</t>
        </is>
      </c>
      <c r="G399" s="11" t="n">
        <v>0.77</v>
      </c>
      <c r="H399" s="12" t="inlineStr"/>
      <c r="I399" s="11" t="inlineStr">
        <is>
          <t>Not started</t>
        </is>
      </c>
      <c r="J399" s="13" t="n"/>
      <c r="K399" s="10" t="inlineStr"/>
      <c r="L399" s="14" t="inlineStr">
        <is>
          <t>▶ watch</t>
        </is>
      </c>
      <c r="M399" s="10" t="inlineStr">
        <is>
          <t>Grossfield &amp; Zuckerman 2009, Annu Rep Comput Chem 5:23 (Quantifying uncertainty and sampling quality) [read this one twice] · Chodera 2016, JCTC 12:1799 (automatic equilibration detection)</t>
        </is>
      </c>
      <c r="N399" s="14" t="inlineStr">
        <is>
          <t>read ↗</t>
        </is>
      </c>
      <c r="O399" s="11" t="inlineStr">
        <is>
          <t xml:space="preserve">reading for B.5 Convergence, error bars, and what a </t>
        </is>
      </c>
      <c r="P399" s="10" t="inlineStr"/>
    </row>
    <row r="400">
      <c r="A400" s="15" t="n">
        <v>399</v>
      </c>
      <c r="B400" s="15" t="inlineStr">
        <is>
          <t>Part II - The Method Atlas</t>
        </is>
      </c>
      <c r="C400" s="16" t="inlineStr">
        <is>
          <t>C.5 Monte Carlo meets machine learning - the live frontier</t>
        </is>
      </c>
      <c r="D400" s="10" t="inlineStr">
        <is>
          <t>Adaptive Monte Carlo with Normalizing Flows</t>
        </is>
      </c>
      <c r="E400" s="10" t="inlineStr">
        <is>
          <t>Marylou Gabrié (NYU/Flatiron</t>
        </is>
      </c>
      <c r="F400" s="11" t="inlineStr">
        <is>
          <t>1:00:37</t>
        </is>
      </c>
      <c r="G400" s="11" t="n">
        <v>1.01</v>
      </c>
      <c r="H400" s="12" t="inlineStr">
        <is>
          <t>★</t>
        </is>
      </c>
      <c r="I400" s="11" t="inlineStr">
        <is>
          <t>Not started</t>
        </is>
      </c>
      <c r="J400" s="13" t="n"/>
      <c r="K400" s="10" t="inlineStr"/>
      <c r="L400" s="14" t="inlineStr">
        <is>
          <t>▶ watch</t>
        </is>
      </c>
      <c r="M400" s="10" t="inlineStr">
        <is>
          <t>Grossfield &amp; Zuckerman 2009, Annu Rep Comput Chem 5:23 (Quantifying uncertainty and sampling quality) [read this one twice] · Chodera 2016, JCTC 12:1799 (automatic equilibration detection)</t>
        </is>
      </c>
      <c r="N400" s="14" t="inlineStr">
        <is>
          <t>read ↗</t>
        </is>
      </c>
      <c r="O400" s="11" t="inlineStr">
        <is>
          <t xml:space="preserve">reading for B.5 Convergence, error bars, and what a </t>
        </is>
      </c>
      <c r="P400" s="10" t="inlineStr"/>
    </row>
    <row r="401">
      <c r="A401" s="15" t="n">
        <v>400</v>
      </c>
      <c r="B401" s="15" t="inlineStr">
        <is>
          <t>Part II - The Method Atlas</t>
        </is>
      </c>
      <c r="C401" s="16" t="inlineStr">
        <is>
          <t>C.5 Monte Carlo meets machine learning - the live frontier</t>
        </is>
      </c>
      <c r="D401" s="10" t="inlineStr">
        <is>
          <t>Arnaud Doucet (Oxford/DeepMind</t>
        </is>
      </c>
      <c r="E401" s="10" t="inlineStr">
        <is>
          <t>Diffusion models for sampling</t>
        </is>
      </c>
      <c r="F401" s="11" t="inlineStr">
        <is>
          <t>42:43</t>
        </is>
      </c>
      <c r="G401" s="11" t="n">
        <v>0.71</v>
      </c>
      <c r="H401" s="12" t="inlineStr"/>
      <c r="I401" s="11" t="inlineStr">
        <is>
          <t>Not started</t>
        </is>
      </c>
      <c r="J401" s="13" t="n"/>
      <c r="K401" s="10" t="inlineStr"/>
      <c r="L401" s="14" t="inlineStr">
        <is>
          <t>▶ watch</t>
        </is>
      </c>
      <c r="M401" s="10" t="inlineStr">
        <is>
          <t>Grossfield &amp; Zuckerman 2009, Annu Rep Comput Chem 5:23 (Quantifying uncertainty and sampling quality) [read this one twice] · Chodera 2016, JCTC 12:1799 (automatic equilibration detection)</t>
        </is>
      </c>
      <c r="N401" s="14" t="inlineStr">
        <is>
          <t>read ↗</t>
        </is>
      </c>
      <c r="O401" s="11" t="inlineStr">
        <is>
          <t xml:space="preserve">reading for B.5 Convergence, error bars, and what a </t>
        </is>
      </c>
      <c r="P401" s="10" t="inlineStr"/>
    </row>
    <row r="402">
      <c r="A402" s="15" t="n">
        <v>401</v>
      </c>
      <c r="B402" s="15" t="inlineStr">
        <is>
          <t>Part II - The Method Atlas</t>
        </is>
      </c>
      <c r="C402" s="16" t="inlineStr">
        <is>
          <t>C.5 Monte Carlo meets machine learning - the live frontier</t>
        </is>
      </c>
      <c r="D402" s="10" t="inlineStr">
        <is>
          <t>Non-equilibrium transport and tilt matching for sampling</t>
        </is>
      </c>
      <c r="E402" s="10" t="inlineStr">
        <is>
          <t>Michael Albergo (Harvard/NYU</t>
        </is>
      </c>
      <c r="F402" s="11" t="inlineStr">
        <is>
          <t>38:53</t>
        </is>
      </c>
      <c r="G402" s="11" t="n">
        <v>0.65</v>
      </c>
      <c r="H402" s="12" t="inlineStr"/>
      <c r="I402" s="11" t="inlineStr">
        <is>
          <t>Not started</t>
        </is>
      </c>
      <c r="J402" s="13" t="n"/>
      <c r="K402" s="10" t="inlineStr"/>
      <c r="L402" s="14" t="inlineStr">
        <is>
          <t>▶ watch</t>
        </is>
      </c>
      <c r="M402" s="10" t="inlineStr">
        <is>
          <t>Grossfield &amp; Zuckerman 2009, Annu Rep Comput Chem 5:23 (Quantifying uncertainty and sampling quality) [read this one twice] · Chodera 2016, JCTC 12:1799 (automatic equilibration detection)</t>
        </is>
      </c>
      <c r="N402" s="14" t="inlineStr">
        <is>
          <t>read ↗</t>
        </is>
      </c>
      <c r="O402" s="11" t="inlineStr">
        <is>
          <t xml:space="preserve">reading for B.5 Convergence, error bars, and what a </t>
        </is>
      </c>
      <c r="P402" s="10" t="inlineStr"/>
    </row>
    <row r="403">
      <c r="A403" s="15" t="n">
        <v>402</v>
      </c>
      <c r="B403" s="15" t="inlineStr">
        <is>
          <t>Part II - The Method Atlas</t>
        </is>
      </c>
      <c r="C403" s="16" t="inlineStr">
        <is>
          <t>C.6 Quantum and Bayesian Monte Carlo</t>
        </is>
      </c>
      <c r="D403" s="10" t="inlineStr">
        <is>
          <t>Introduction to Monte Carlo</t>
        </is>
      </c>
      <c r="E403" s="10" t="inlineStr">
        <is>
          <t>David Ceperley (UIUC</t>
        </is>
      </c>
      <c r="F403" s="11" t="inlineStr">
        <is>
          <t>1:03:42</t>
        </is>
      </c>
      <c r="G403" s="11" t="n">
        <v>1.06</v>
      </c>
      <c r="H403" s="12" t="inlineStr"/>
      <c r="I403" s="11" t="inlineStr">
        <is>
          <t>Not started</t>
        </is>
      </c>
      <c r="J403" s="13" t="n"/>
      <c r="K403" s="10" t="inlineStr"/>
      <c r="L403" s="14" t="inlineStr">
        <is>
          <t>▶ watch</t>
        </is>
      </c>
      <c r="M403" s="10" t="inlineStr">
        <is>
          <t>Grossfield &amp; Zuckerman 2009, Annu Rep Comput Chem 5:23 (Quantifying uncertainty and sampling quality) [read this one twice] · Chodera 2016, JCTC 12:1799 (automatic equilibration detection)</t>
        </is>
      </c>
      <c r="N403" s="14" t="inlineStr">
        <is>
          <t>read ↗</t>
        </is>
      </c>
      <c r="O403" s="11" t="inlineStr">
        <is>
          <t xml:space="preserve">reading for B.5 Convergence, error bars, and what a </t>
        </is>
      </c>
      <c r="P403" s="10" t="inlineStr"/>
    </row>
    <row r="404">
      <c r="A404" s="15" t="n">
        <v>403</v>
      </c>
      <c r="B404" s="15" t="inlineStr">
        <is>
          <t>Part II - The Method Atlas</t>
        </is>
      </c>
      <c r="C404" s="16" t="inlineStr">
        <is>
          <t>C.6 Quantum and Bayesian Monte Carlo</t>
        </is>
      </c>
      <c r="D404" s="10" t="inlineStr">
        <is>
          <t>Variational Monte Carlo</t>
        </is>
      </c>
      <c r="E404" s="10" t="inlineStr">
        <is>
          <t>David Ceperley</t>
        </is>
      </c>
      <c r="F404" s="11" t="inlineStr">
        <is>
          <t>57:17</t>
        </is>
      </c>
      <c r="G404" s="11" t="n">
        <v>0.95</v>
      </c>
      <c r="H404" s="12" t="inlineStr"/>
      <c r="I404" s="11" t="inlineStr">
        <is>
          <t>Not started</t>
        </is>
      </c>
      <c r="J404" s="13" t="n"/>
      <c r="K404" s="10" t="inlineStr"/>
      <c r="L404" s="14" t="inlineStr">
        <is>
          <t>▶ watch</t>
        </is>
      </c>
      <c r="M404" s="10" t="inlineStr">
        <is>
          <t>Grossfield &amp; Zuckerman 2009, Annu Rep Comput Chem 5:23 (Quantifying uncertainty and sampling quality) [read this one twice] · Chodera 2016, JCTC 12:1799 (automatic equilibration detection)</t>
        </is>
      </c>
      <c r="N404" s="14" t="inlineStr">
        <is>
          <t>read ↗</t>
        </is>
      </c>
      <c r="O404" s="11" t="inlineStr">
        <is>
          <t xml:space="preserve">reading for B.5 Convergence, error bars, and what a </t>
        </is>
      </c>
      <c r="P404" s="10" t="inlineStr"/>
    </row>
    <row r="405">
      <c r="A405" s="15" t="n">
        <v>404</v>
      </c>
      <c r="B405" s="15" t="inlineStr">
        <is>
          <t>Part II - The Method Atlas</t>
        </is>
      </c>
      <c r="C405" s="16" t="inlineStr">
        <is>
          <t>C.6 Quantum and Bayesian Monte Carlo</t>
        </is>
      </c>
      <c r="D405" s="10" t="inlineStr">
        <is>
          <t>Diffusion Monte Carlo, Part 1</t>
        </is>
      </c>
      <c r="E405" s="10" t="inlineStr">
        <is>
          <t>David Ceperley</t>
        </is>
      </c>
      <c r="F405" s="11" t="inlineStr">
        <is>
          <t>54:54</t>
        </is>
      </c>
      <c r="G405" s="11" t="n">
        <v>0.92</v>
      </c>
      <c r="H405" s="12" t="inlineStr"/>
      <c r="I405" s="11" t="inlineStr">
        <is>
          <t>Not started</t>
        </is>
      </c>
      <c r="J405" s="13" t="n"/>
      <c r="K405" s="10" t="inlineStr"/>
      <c r="L405" s="14" t="inlineStr">
        <is>
          <t>▶ watch</t>
        </is>
      </c>
      <c r="M405" s="10" t="inlineStr">
        <is>
          <t>Grossfield &amp; Zuckerman 2009, Annu Rep Comput Chem 5:23 (Quantifying uncertainty and sampling quality) [read this one twice] · Chodera 2016, JCTC 12:1799 (automatic equilibration detection)</t>
        </is>
      </c>
      <c r="N405" s="14" t="inlineStr">
        <is>
          <t>read ↗</t>
        </is>
      </c>
      <c r="O405" s="11" t="inlineStr">
        <is>
          <t xml:space="preserve">reading for B.5 Convergence, error bars, and what a </t>
        </is>
      </c>
      <c r="P405" s="10" t="inlineStr"/>
    </row>
    <row r="406">
      <c r="A406" s="15" t="n">
        <v>405</v>
      </c>
      <c r="B406" s="15" t="inlineStr">
        <is>
          <t>Part II - The Method Atlas</t>
        </is>
      </c>
      <c r="C406" s="16" t="inlineStr">
        <is>
          <t>C.6 Quantum and Bayesian Monte Carlo</t>
        </is>
      </c>
      <c r="D406" s="10" t="inlineStr">
        <is>
          <t>Natural QMC Computation of Excited States (FermiNet</t>
        </is>
      </c>
      <c r="E406" s="10" t="inlineStr">
        <is>
          <t>David Pfau (DeepMind</t>
        </is>
      </c>
      <c r="F406" s="11" t="inlineStr">
        <is>
          <t>25:39</t>
        </is>
      </c>
      <c r="G406" s="11" t="n">
        <v>0.43</v>
      </c>
      <c r="H406" s="12" t="inlineStr"/>
      <c r="I406" s="11" t="inlineStr">
        <is>
          <t>Not started</t>
        </is>
      </c>
      <c r="J406" s="13" t="n"/>
      <c r="K406" s="10" t="inlineStr"/>
      <c r="L406" s="14" t="inlineStr">
        <is>
          <t>▶ watch</t>
        </is>
      </c>
      <c r="M406" s="10" t="inlineStr">
        <is>
          <t>Grossfield &amp; Zuckerman 2009, Annu Rep Comput Chem 5:23 (Quantifying uncertainty and sampling quality) [read this one twice] · Chodera 2016, JCTC 12:1799 (automatic equilibration detection)</t>
        </is>
      </c>
      <c r="N406" s="14" t="inlineStr">
        <is>
          <t>read ↗</t>
        </is>
      </c>
      <c r="O406" s="11" t="inlineStr">
        <is>
          <t xml:space="preserve">reading for B.5 Convergence, error bars, and what a </t>
        </is>
      </c>
      <c r="P406" s="10" t="inlineStr"/>
    </row>
    <row r="407">
      <c r="A407" s="15" t="n">
        <v>406</v>
      </c>
      <c r="B407" s="15" t="inlineStr">
        <is>
          <t>Part II - The Method Atlas</t>
        </is>
      </c>
      <c r="C407" s="16" t="inlineStr">
        <is>
          <t>C.6 Quantum and Bayesian Monte Carlo</t>
        </is>
      </c>
      <c r="D407" s="10" t="inlineStr">
        <is>
          <t>Neural-network wave functions for quantum chemistry (PauliNet</t>
        </is>
      </c>
      <c r="E407" s="10" t="inlineStr">
        <is>
          <t>Jan Hermann (FU Berlin/MSR</t>
        </is>
      </c>
      <c r="F407" s="11" t="inlineStr">
        <is>
          <t>50:41</t>
        </is>
      </c>
      <c r="G407" s="11" t="n">
        <v>0.84</v>
      </c>
      <c r="H407" s="12" t="inlineStr"/>
      <c r="I407" s="11" t="inlineStr">
        <is>
          <t>Not started</t>
        </is>
      </c>
      <c r="J407" s="13" t="n"/>
      <c r="K407" s="10" t="inlineStr"/>
      <c r="L407" s="14" t="inlineStr">
        <is>
          <t>▶ watch</t>
        </is>
      </c>
      <c r="M407" s="10" t="inlineStr">
        <is>
          <t>Grossfield &amp; Zuckerman 2009, Annu Rep Comput Chem 5:23 (Quantifying uncertainty and sampling quality) [read this one twice] · Chodera 2016, JCTC 12:1799 (automatic equilibration detection)</t>
        </is>
      </c>
      <c r="N407" s="14" t="inlineStr">
        <is>
          <t>read ↗</t>
        </is>
      </c>
      <c r="O407" s="11" t="inlineStr">
        <is>
          <t xml:space="preserve">reading for B.5 Convergence, error bars, and what a </t>
        </is>
      </c>
      <c r="P407" s="10" t="inlineStr"/>
    </row>
    <row r="408">
      <c r="A408" s="15" t="n">
        <v>407</v>
      </c>
      <c r="B408" s="15" t="inlineStr">
        <is>
          <t>Part II - The Method Atlas</t>
        </is>
      </c>
      <c r="C408" s="16" t="inlineStr">
        <is>
          <t>C.6 Quantum and Bayesian Monte Carlo</t>
        </is>
      </c>
      <c r="D408" s="10" t="inlineStr">
        <is>
          <t>Approximating Many-Electron Wave Functions using Neural Networks</t>
        </is>
      </c>
      <c r="E408" s="10" t="inlineStr">
        <is>
          <t>Matthew Foulkes (Imperial</t>
        </is>
      </c>
      <c r="F408" s="11" t="inlineStr">
        <is>
          <t>50:02</t>
        </is>
      </c>
      <c r="G408" s="11" t="n">
        <v>0.83</v>
      </c>
      <c r="H408" s="12" t="inlineStr"/>
      <c r="I408" s="11" t="inlineStr">
        <is>
          <t>Not started</t>
        </is>
      </c>
      <c r="J408" s="13" t="n"/>
      <c r="K408" s="10" t="inlineStr"/>
      <c r="L408" s="14" t="inlineStr">
        <is>
          <t>▶ watch</t>
        </is>
      </c>
      <c r="M408" s="10" t="inlineStr">
        <is>
          <t>Grossfield &amp; Zuckerman 2009, Annu Rep Comput Chem 5:23 (Quantifying uncertainty and sampling quality) [read this one twice] · Chodera 2016, JCTC 12:1799 (automatic equilibration detection)</t>
        </is>
      </c>
      <c r="N408" s="14" t="inlineStr">
        <is>
          <t>read ↗</t>
        </is>
      </c>
      <c r="O408" s="11" t="inlineStr">
        <is>
          <t xml:space="preserve">reading for B.5 Convergence, error bars, and what a </t>
        </is>
      </c>
      <c r="P408" s="10" t="inlineStr"/>
    </row>
    <row r="409">
      <c r="A409" s="15" t="n">
        <v>408</v>
      </c>
      <c r="B409" s="15" t="inlineStr">
        <is>
          <t>Part II - The Method Atlas</t>
        </is>
      </c>
      <c r="C409" s="16" t="inlineStr">
        <is>
          <t>Bayesian computation and diagnostics</t>
        </is>
      </c>
      <c r="D409" s="10" t="inlineStr">
        <is>
          <t>Statistical Rethinking 2023 Lec 08: MCMC</t>
        </is>
      </c>
      <c r="E409" s="10" t="inlineStr">
        <is>
          <t>Richard McElreath (MPI-EVA</t>
        </is>
      </c>
      <c r="F409" s="11" t="inlineStr">
        <is>
          <t>1:16:17</t>
        </is>
      </c>
      <c r="G409" s="11" t="n">
        <v>1.27</v>
      </c>
      <c r="H409" s="12" t="inlineStr"/>
      <c r="I409" s="11" t="inlineStr">
        <is>
          <t>Not started</t>
        </is>
      </c>
      <c r="J409" s="13" t="n"/>
      <c r="K409" s="10" t="inlineStr"/>
      <c r="L409" s="14" t="inlineStr">
        <is>
          <t>▶ watch</t>
        </is>
      </c>
      <c r="M409" s="10" t="inlineStr">
        <is>
          <t>Grossfield &amp; Zuckerman 2009, Annu Rep Comput Chem 5:23 (Quantifying uncertainty and sampling quality) [read this one twice] · Chodera 2016, JCTC 12:1799 (automatic equilibration detection)</t>
        </is>
      </c>
      <c r="N409" s="14" t="inlineStr">
        <is>
          <t>read ↗</t>
        </is>
      </c>
      <c r="O409" s="11" t="inlineStr">
        <is>
          <t xml:space="preserve">reading for B.5 Convergence, error bars, and what a </t>
        </is>
      </c>
      <c r="P409" s="10" t="inlineStr"/>
    </row>
    <row r="410">
      <c r="A410" s="15" t="n">
        <v>409</v>
      </c>
      <c r="B410" s="15" t="inlineStr">
        <is>
          <t>Part II - The Method Atlas</t>
        </is>
      </c>
      <c r="C410" s="16" t="inlineStr">
        <is>
          <t>Bayesian computation and diagnostics</t>
        </is>
      </c>
      <c r="D410" s="10" t="inlineStr">
        <is>
          <t>BDA Lec 5.2: Convergence diagnostics, R-hat and ESS</t>
        </is>
      </c>
      <c r="E410" s="10" t="inlineStr">
        <is>
          <t>Aki Vehtari (Aalto</t>
        </is>
      </c>
      <c r="F410" s="11" t="inlineStr">
        <is>
          <t>37:39</t>
        </is>
      </c>
      <c r="G410" s="11" t="n">
        <v>0.63</v>
      </c>
      <c r="H410" s="12" t="inlineStr">
        <is>
          <t>★</t>
        </is>
      </c>
      <c r="I410" s="11" t="inlineStr">
        <is>
          <t>Not started</t>
        </is>
      </c>
      <c r="J410" s="13" t="n"/>
      <c r="K410" s="10" t="inlineStr"/>
      <c r="L410" s="14" t="inlineStr">
        <is>
          <t>▶ watch</t>
        </is>
      </c>
      <c r="M410" s="10" t="inlineStr">
        <is>
          <t>Grossfield &amp; Zuckerman 2009, Annu Rep Comput Chem 5:23 (Quantifying uncertainty and sampling quality) [read this one twice] · Chodera 2016, JCTC 12:1799 (automatic equilibration detection)</t>
        </is>
      </c>
      <c r="N410" s="14" t="inlineStr">
        <is>
          <t>read ↗</t>
        </is>
      </c>
      <c r="O410" s="11" t="inlineStr">
        <is>
          <t xml:space="preserve">reading for B.5 Convergence, error bars, and what a </t>
        </is>
      </c>
      <c r="P410" s="10" t="inlineStr"/>
    </row>
    <row r="411">
      <c r="A411" s="15" t="n">
        <v>410</v>
      </c>
      <c r="B411" s="15" t="inlineStr">
        <is>
          <t>Part II - The Method Atlas</t>
        </is>
      </c>
      <c r="C411" s="16" t="inlineStr">
        <is>
          <t>Bayesian computation and diagnostics</t>
        </is>
      </c>
      <c r="D411" s="10" t="inlineStr">
        <is>
          <t>BDA Lec 6.1: HMC, NUTS, dynamic HMC and diagnostics</t>
        </is>
      </c>
      <c r="E411" s="10" t="inlineStr">
        <is>
          <t>Aki Vehtari</t>
        </is>
      </c>
      <c r="F411" s="11" t="inlineStr">
        <is>
          <t>49:59</t>
        </is>
      </c>
      <c r="G411" s="11" t="n">
        <v>0.83</v>
      </c>
      <c r="H411" s="12" t="inlineStr"/>
      <c r="I411" s="11" t="inlineStr">
        <is>
          <t>Not started</t>
        </is>
      </c>
      <c r="J411" s="13" t="n"/>
      <c r="K411" s="10" t="inlineStr"/>
      <c r="L411" s="14" t="inlineStr">
        <is>
          <t>▶ watch</t>
        </is>
      </c>
      <c r="M411" s="10" t="inlineStr">
        <is>
          <t>Grossfield &amp; Zuckerman 2009, Annu Rep Comput Chem 5:23 (Quantifying uncertainty and sampling quality) [read this one twice] · Chodera 2016, JCTC 12:1799 (automatic equilibration detection)</t>
        </is>
      </c>
      <c r="N411" s="14" t="inlineStr">
        <is>
          <t>read ↗</t>
        </is>
      </c>
      <c r="O411" s="11" t="inlineStr">
        <is>
          <t xml:space="preserve">reading for B.5 Convergence, error bars, and what a </t>
        </is>
      </c>
      <c r="P411" s="10" t="inlineStr"/>
    </row>
    <row r="412">
      <c r="A412" s="15" t="n">
        <v>411</v>
      </c>
      <c r="B412" s="15" t="inlineStr">
        <is>
          <t>Part II - The Method Atlas</t>
        </is>
      </c>
      <c r="C412" s="16" t="inlineStr">
        <is>
          <t>Bayesian computation and diagnostics</t>
        </is>
      </c>
      <c r="D412" s="10" t="inlineStr">
        <is>
          <t>A Few of My Favorite Diagnostics</t>
        </is>
      </c>
      <c r="E412" s="10" t="inlineStr">
        <is>
          <t>Aki Vehtari (PyMCon</t>
        </is>
      </c>
      <c r="F412" s="11" t="inlineStr">
        <is>
          <t>58:54</t>
        </is>
      </c>
      <c r="G412" s="11" t="n">
        <v>0.98</v>
      </c>
      <c r="H412" s="12" t="inlineStr"/>
      <c r="I412" s="11" t="inlineStr">
        <is>
          <t>Not started</t>
        </is>
      </c>
      <c r="J412" s="13" t="n"/>
      <c r="K412" s="10" t="inlineStr"/>
      <c r="L412" s="14" t="inlineStr">
        <is>
          <t>▶ watch</t>
        </is>
      </c>
      <c r="M412" s="10" t="inlineStr">
        <is>
          <t>Grossfield &amp; Zuckerman 2009, Annu Rep Comput Chem 5:23 (Quantifying uncertainty and sampling quality) [read this one twice] · Chodera 2016, JCTC 12:1799 (automatic equilibration detection)</t>
        </is>
      </c>
      <c r="N412" s="14" t="inlineStr">
        <is>
          <t>read ↗</t>
        </is>
      </c>
      <c r="O412" s="11" t="inlineStr">
        <is>
          <t xml:space="preserve">reading for B.5 Convergence, error bars, and what a </t>
        </is>
      </c>
      <c r="P412" s="10" t="inlineStr"/>
    </row>
    <row r="413">
      <c r="A413" s="15" t="n">
        <v>412</v>
      </c>
      <c r="B413" s="15" t="inlineStr">
        <is>
          <t>Part II - The Method Atlas</t>
        </is>
      </c>
      <c r="C413" s="16" t="inlineStr">
        <is>
          <t>Bayesian computation and diagnostics</t>
        </is>
      </c>
      <c r="D413" s="10" t="inlineStr">
        <is>
          <t>Practical pre-asymptotic diagnostic of Monte Carlo estimates</t>
        </is>
      </c>
      <c r="E413" s="10" t="inlineStr">
        <is>
          <t>Aki Vehtari</t>
        </is>
      </c>
      <c r="F413" s="11" t="inlineStr">
        <is>
          <t>50:14</t>
        </is>
      </c>
      <c r="G413" s="11" t="n">
        <v>0.84</v>
      </c>
      <c r="H413" s="12" t="inlineStr"/>
      <c r="I413" s="11" t="inlineStr">
        <is>
          <t>Not started</t>
        </is>
      </c>
      <c r="J413" s="13" t="n"/>
      <c r="K413" s="10" t="inlineStr"/>
      <c r="L413" s="14" t="inlineStr">
        <is>
          <t>▶ watch</t>
        </is>
      </c>
      <c r="M413" s="10" t="inlineStr">
        <is>
          <t>Grossfield &amp; Zuckerman 2009, Annu Rep Comput Chem 5:23 (Quantifying uncertainty and sampling quality) [read this one twice] · Chodera 2016, JCTC 12:1799 (automatic equilibration detection)</t>
        </is>
      </c>
      <c r="N413" s="14" t="inlineStr">
        <is>
          <t>read ↗</t>
        </is>
      </c>
      <c r="O413" s="11" t="inlineStr">
        <is>
          <t xml:space="preserve">reading for B.5 Convergence, error bars, and what a </t>
        </is>
      </c>
      <c r="P413" s="10" t="inlineStr"/>
    </row>
    <row r="414">
      <c r="A414" s="15" t="n">
        <v>413</v>
      </c>
      <c r="B414" s="15" t="inlineStr">
        <is>
          <t>Part II - The Method Atlas</t>
        </is>
      </c>
      <c r="C414" s="16" t="inlineStr">
        <is>
          <t>Bayesian computation and diagnostics</t>
        </is>
      </c>
      <c r="D414" s="10" t="inlineStr">
        <is>
          <t>PSIS-LOO and K-fold cross-validation</t>
        </is>
      </c>
      <c r="E414" s="10" t="inlineStr">
        <is>
          <t>Aki Vehtari</t>
        </is>
      </c>
      <c r="F414" s="11" t="inlineStr">
        <is>
          <t>50:50</t>
        </is>
      </c>
      <c r="G414" s="11" t="n">
        <v>0.85</v>
      </c>
      <c r="H414" s="12" t="inlineStr"/>
      <c r="I414" s="11" t="inlineStr">
        <is>
          <t>Not started</t>
        </is>
      </c>
      <c r="J414" s="13" t="n"/>
      <c r="K414" s="10" t="inlineStr"/>
      <c r="L414" s="14" t="inlineStr">
        <is>
          <t>▶ watch</t>
        </is>
      </c>
      <c r="M414" s="10" t="inlineStr">
        <is>
          <t>Grossfield &amp; Zuckerman 2009, Annu Rep Comput Chem 5:23 (Quantifying uncertainty and sampling quality) [read this one twice] · Chodera 2016, JCTC 12:1799 (automatic equilibration detection)</t>
        </is>
      </c>
      <c r="N414" s="14" t="inlineStr">
        <is>
          <t>read ↗</t>
        </is>
      </c>
      <c r="O414" s="11" t="inlineStr">
        <is>
          <t xml:space="preserve">reading for B.5 Convergence, error bars, and what a </t>
        </is>
      </c>
      <c r="P414" s="10" t="inlineStr"/>
    </row>
    <row r="415">
      <c r="A415" s="15" t="n">
        <v>414</v>
      </c>
      <c r="B415" s="15" t="inlineStr">
        <is>
          <t>Part II - The Method Atlas</t>
        </is>
      </c>
      <c r="C415" s="16" t="inlineStr">
        <is>
          <t>Bayesian computation and diagnostics</t>
        </is>
      </c>
      <c r="D415" s="10" t="inlineStr">
        <is>
          <t>Andrew Gelman (Columbia</t>
        </is>
      </c>
      <c r="E415" s="10" t="inlineStr">
        <is>
          <t>Bayesian Workflow</t>
        </is>
      </c>
      <c r="F415" s="11" t="inlineStr">
        <is>
          <t>1:02:48</t>
        </is>
      </c>
      <c r="G415" s="11" t="n">
        <v>1.05</v>
      </c>
      <c r="H415" s="12" t="inlineStr">
        <is>
          <t>★</t>
        </is>
      </c>
      <c r="I415" s="11" t="inlineStr">
        <is>
          <t>Not started</t>
        </is>
      </c>
      <c r="J415" s="13" t="n"/>
      <c r="K415" s="10" t="inlineStr"/>
      <c r="L415" s="14" t="inlineStr">
        <is>
          <t>▶ watch</t>
        </is>
      </c>
      <c r="M415" s="10" t="inlineStr">
        <is>
          <t>Gelman et al. 2020, arXiv:2011.01808</t>
        </is>
      </c>
      <c r="N415" s="14" t="inlineStr">
        <is>
          <t>read ↗</t>
        </is>
      </c>
      <c r="O415" s="11" t="inlineStr">
        <is>
          <t>paired reading</t>
        </is>
      </c>
      <c r="P415" s="10" t="inlineStr"/>
    </row>
    <row r="416">
      <c r="A416" s="15" t="n">
        <v>415</v>
      </c>
      <c r="B416" s="15" t="inlineStr">
        <is>
          <t>Part II - The Method Atlas</t>
        </is>
      </c>
      <c r="C416" s="16" t="inlineStr">
        <is>
          <t>Bayesian computation and diagnostics</t>
        </is>
      </c>
      <c r="D416" s="10" t="inlineStr">
        <is>
          <t>Problems I'd like to solve in Stan</t>
        </is>
      </c>
      <c r="E416" s="10" t="inlineStr">
        <is>
          <t>Andrew Gelman</t>
        </is>
      </c>
      <c r="F416" s="11" t="inlineStr">
        <is>
          <t>36:14</t>
        </is>
      </c>
      <c r="G416" s="11" t="n">
        <v>0.6</v>
      </c>
      <c r="H416" s="12" t="inlineStr"/>
      <c r="I416" s="11" t="inlineStr">
        <is>
          <t>Not started</t>
        </is>
      </c>
      <c r="J416" s="13" t="n"/>
      <c r="K416" s="10" t="inlineStr"/>
      <c r="L416" s="14" t="inlineStr">
        <is>
          <t>▶ watch</t>
        </is>
      </c>
      <c r="M416" s="10" t="inlineStr">
        <is>
          <t>Grossfield &amp; Zuckerman 2009, Annu Rep Comput Chem 5:23 (Quantifying uncertainty and sampling quality) [read this one twice] · Chodera 2016, JCTC 12:1799 (automatic equilibration detection)</t>
        </is>
      </c>
      <c r="N416" s="14" t="inlineStr">
        <is>
          <t>read ↗</t>
        </is>
      </c>
      <c r="O416" s="11" t="inlineStr">
        <is>
          <t xml:space="preserve">reading for B.5 Convergence, error bars, and what a </t>
        </is>
      </c>
      <c r="P416" s="10" t="inlineStr"/>
    </row>
    <row r="417">
      <c r="A417" s="15" t="n">
        <v>416</v>
      </c>
      <c r="B417" s="15" t="inlineStr">
        <is>
          <t>Part II - The Method Atlas</t>
        </is>
      </c>
      <c r="C417" s="16" t="inlineStr">
        <is>
          <t>Bayesian computation and diagnostics</t>
        </is>
      </c>
      <c r="D417" s="10" t="inlineStr">
        <is>
          <t>Bob Carpenter (Flatiron</t>
        </is>
      </c>
      <c r="E417" s="10" t="inlineStr">
        <is>
          <t>How does Stan work?</t>
        </is>
      </c>
      <c r="F417" s="11" t="inlineStr">
        <is>
          <t>55:47</t>
        </is>
      </c>
      <c r="G417" s="11" t="n">
        <v>0.93</v>
      </c>
      <c r="H417" s="12" t="inlineStr"/>
      <c r="I417" s="11" t="inlineStr">
        <is>
          <t>Not started</t>
        </is>
      </c>
      <c r="J417" s="13" t="n"/>
      <c r="K417" s="10" t="inlineStr"/>
      <c r="L417" s="14" t="inlineStr">
        <is>
          <t>▶ watch</t>
        </is>
      </c>
      <c r="M417" s="10" t="inlineStr">
        <is>
          <t>Carpenter et al. 2017, JSS 76(1)</t>
        </is>
      </c>
      <c r="N417" s="14" t="inlineStr">
        <is>
          <t>read ↗</t>
        </is>
      </c>
      <c r="O417" s="11" t="inlineStr">
        <is>
          <t>paired reading</t>
        </is>
      </c>
      <c r="P417" s="10" t="inlineStr"/>
    </row>
    <row r="418">
      <c r="A418" s="15" t="n">
        <v>417</v>
      </c>
      <c r="B418" s="15" t="inlineStr">
        <is>
          <t>Part II - The Method Atlas</t>
        </is>
      </c>
      <c r="C418" s="16" t="inlineStr">
        <is>
          <t>Bayesian computation and diagnostics</t>
        </is>
      </c>
      <c r="D418" s="10" t="inlineStr">
        <is>
          <t>Debugging Bayesian Inference</t>
        </is>
      </c>
      <c r="E418" s="10" t="inlineStr">
        <is>
          <t>PyMC Labs</t>
        </is>
      </c>
      <c r="F418" s="11" t="inlineStr">
        <is>
          <t>54:41</t>
        </is>
      </c>
      <c r="G418" s="11" t="n">
        <v>0.91</v>
      </c>
      <c r="H418" s="12" t="inlineStr"/>
      <c r="I418" s="11" t="inlineStr">
        <is>
          <t>Not started</t>
        </is>
      </c>
      <c r="J418" s="13" t="n"/>
      <c r="K418" s="10" t="inlineStr"/>
      <c r="L418" s="14" t="inlineStr">
        <is>
          <t>▶ watch</t>
        </is>
      </c>
      <c r="M418" s="10" t="inlineStr">
        <is>
          <t>Grossfield &amp; Zuckerman 2009, Annu Rep Comput Chem 5:23 (Quantifying uncertainty and sampling quality) [read this one twice] · Chodera 2016, JCTC 12:1799 (automatic equilibration detection)</t>
        </is>
      </c>
      <c r="N418" s="14" t="inlineStr">
        <is>
          <t>read ↗</t>
        </is>
      </c>
      <c r="O418" s="11" t="inlineStr">
        <is>
          <t xml:space="preserve">reading for B.5 Convergence, error bars, and what a </t>
        </is>
      </c>
      <c r="P418" s="10" t="inlineStr"/>
    </row>
    <row r="419">
      <c r="A419" s="15" t="n">
        <v>418</v>
      </c>
      <c r="B419" s="15" t="inlineStr">
        <is>
          <t>Part II - The Method Atlas</t>
        </is>
      </c>
      <c r="C419" s="16" t="inlineStr">
        <is>
          <t>Bayesian computation and diagnostics</t>
        </is>
      </c>
      <c r="D419" s="10" t="inlineStr">
        <is>
          <t>The state of Bayesian workflows in JAX</t>
        </is>
      </c>
      <c r="E419" s="10" t="inlineStr">
        <is>
          <t>Colin Carroll (Google</t>
        </is>
      </c>
      <c r="F419" s="11" t="inlineStr">
        <is>
          <t>31:14</t>
        </is>
      </c>
      <c r="G419" s="11" t="n">
        <v>0.52</v>
      </c>
      <c r="H419" s="12" t="inlineStr"/>
      <c r="I419" s="11" t="inlineStr">
        <is>
          <t>Not started</t>
        </is>
      </c>
      <c r="J419" s="13" t="n"/>
      <c r="K419" s="10" t="inlineStr"/>
      <c r="L419" s="14" t="inlineStr">
        <is>
          <t>▶ watch</t>
        </is>
      </c>
      <c r="M419" s="10" t="inlineStr">
        <is>
          <t>Grossfield &amp; Zuckerman 2009, Annu Rep Comput Chem 5:23 (Quantifying uncertainty and sampling quality) [read this one twice] · Chodera 2016, JCTC 12:1799 (automatic equilibration detection)</t>
        </is>
      </c>
      <c r="N419" s="14" t="inlineStr">
        <is>
          <t>read ↗</t>
        </is>
      </c>
      <c r="O419" s="11" t="inlineStr">
        <is>
          <t xml:space="preserve">reading for B.5 Convergence, error bars, and what a </t>
        </is>
      </c>
      <c r="P419" s="10" t="inlineStr"/>
    </row>
    <row r="420">
      <c r="A420" s="15" t="n">
        <v>419</v>
      </c>
      <c r="B420" s="15" t="inlineStr">
        <is>
          <t>Part II - The Method Atlas</t>
        </is>
      </c>
      <c r="C420" s="16" t="inlineStr">
        <is>
          <t>D.2 Collective-variable methods</t>
        </is>
      </c>
      <c r="D420" s="10" t="inlineStr">
        <is>
          <t>Accelerate Atomistic Simulations, Sampling, and Dynamics</t>
        </is>
      </c>
      <c r="E420" s="10" t="inlineStr">
        <is>
          <t>Pratyush Tiwary (ML4DD Day 2</t>
        </is>
      </c>
      <c r="F420" s="11" t="inlineStr">
        <is>
          <t>1:01:06</t>
        </is>
      </c>
      <c r="G420" s="11" t="n">
        <v>1.02</v>
      </c>
      <c r="H420" s="12" t="inlineStr">
        <is>
          <t>★</t>
        </is>
      </c>
      <c r="I420" s="11" t="inlineStr">
        <is>
          <t>Not started</t>
        </is>
      </c>
      <c r="J420" s="13" t="n"/>
      <c r="K420" s="10" t="inlineStr"/>
      <c r="L420" s="14" t="inlineStr">
        <is>
          <t>▶ watch</t>
        </is>
      </c>
      <c r="M420" s="10" t="inlineStr">
        <is>
          <t>Torrie &amp; Valleau 1977, J Comput Phys 23:187 (umbrella sampling) · Kumar et al. 1992, J Comput Chem 13:1011 (WHAM)</t>
        </is>
      </c>
      <c r="N420" s="14" t="inlineStr">
        <is>
          <t>read ↗</t>
        </is>
      </c>
      <c r="O420" s="11" t="inlineStr">
        <is>
          <t>section reading (2 of 9)</t>
        </is>
      </c>
      <c r="P420" s="10" t="inlineStr">
        <is>
          <t>ML4DD Summer School 2024 - 13 sessions</t>
        </is>
      </c>
    </row>
    <row r="421">
      <c r="A421" s="15" t="n">
        <v>420</v>
      </c>
      <c r="B421" s="15" t="inlineStr">
        <is>
          <t>Part II - The Method Atlas</t>
        </is>
      </c>
      <c r="C421" s="16" t="inlineStr">
        <is>
          <t>D.2 Collective-variable methods</t>
        </is>
      </c>
      <c r="D421" s="10" t="inlineStr">
        <is>
          <t>Differentiable Simulations for Enhanced Sampling of Rare Events</t>
        </is>
      </c>
      <c r="E421" s="10" t="inlineStr">
        <is>
          <t>Gómez-Bombarelli (Valence</t>
        </is>
      </c>
      <c r="F421" s="11" t="inlineStr">
        <is>
          <t>1:01:15</t>
        </is>
      </c>
      <c r="G421" s="11" t="n">
        <v>1.02</v>
      </c>
      <c r="H421" s="12" t="inlineStr"/>
      <c r="I421" s="11" t="inlineStr">
        <is>
          <t>Not started</t>
        </is>
      </c>
      <c r="J421" s="13" t="n"/>
      <c r="K421" s="10" t="inlineStr"/>
      <c r="L421" s="14" t="inlineStr">
        <is>
          <t>▶ watch</t>
        </is>
      </c>
      <c r="M421" s="10" t="inlineStr">
        <is>
          <t>Torrie &amp; Valleau 1977, J Comput Phys 23:187 (umbrella sampling) · Kumar et al. 1992, J Comput Chem 13:1011 (WHAM)</t>
        </is>
      </c>
      <c r="N421" s="14" t="inlineStr">
        <is>
          <t>read ↗</t>
        </is>
      </c>
      <c r="O421" s="11" t="inlineStr">
        <is>
          <t>section reading (2 of 9)</t>
        </is>
      </c>
      <c r="P421" s="10" t="inlineStr">
        <is>
          <t>Simulation, force fields, coarse-graining and sampling</t>
        </is>
      </c>
    </row>
    <row r="422">
      <c r="A422" s="15" t="n">
        <v>421</v>
      </c>
      <c r="B422" s="15" t="inlineStr">
        <is>
          <t>Part II - The Method Atlas</t>
        </is>
      </c>
      <c r="C422" s="16" t="inlineStr">
        <is>
          <t>D.2 Collective-variable methods</t>
        </is>
      </c>
      <c r="D422" s="10" t="inlineStr">
        <is>
          <t>Differentiable sampling</t>
        </is>
      </c>
      <c r="E422" s="10" t="inlineStr">
        <is>
          <t>Martin Šípka (Valence</t>
        </is>
      </c>
      <c r="F422" s="11" t="inlineStr">
        <is>
          <t>41:28</t>
        </is>
      </c>
      <c r="G422" s="11" t="n">
        <v>0.6899999999999999</v>
      </c>
      <c r="H422" s="12" t="inlineStr"/>
      <c r="I422" s="11" t="inlineStr">
        <is>
          <t>Not started</t>
        </is>
      </c>
      <c r="J422" s="13" t="n"/>
      <c r="K422" s="10" t="inlineStr"/>
      <c r="L422" s="14" t="inlineStr">
        <is>
          <t>▶ watch</t>
        </is>
      </c>
      <c r="M422" s="10" t="inlineStr">
        <is>
          <t>Torrie &amp; Valleau 1977, J Comput Phys 23:187 (umbrella sampling) · Kumar et al. 1992, J Comput Chem 13:1011 (WHAM)</t>
        </is>
      </c>
      <c r="N422" s="14" t="inlineStr">
        <is>
          <t>read ↗</t>
        </is>
      </c>
      <c r="O422" s="11" t="inlineStr">
        <is>
          <t>section reading (2 of 9)</t>
        </is>
      </c>
      <c r="P422" s="10" t="inlineStr">
        <is>
          <t>Simulation, force fields, coarse-graining and sampling</t>
        </is>
      </c>
    </row>
    <row r="423">
      <c r="A423" s="15" t="n">
        <v>422</v>
      </c>
      <c r="B423" s="15" t="inlineStr">
        <is>
          <t>Part II - The Method Atlas</t>
        </is>
      </c>
      <c r="C423" s="16" t="inlineStr">
        <is>
          <t>D.4 Path and trajectory-space methods</t>
        </is>
      </c>
      <c r="D423" s="10" t="inlineStr">
        <is>
          <t>Action-Minimization Meets Generative Modeling: Transition Path Sampling</t>
        </is>
      </c>
      <c r="E423" s="10" t="inlineStr">
        <is>
          <t>Sanjeev Raja (Valence</t>
        </is>
      </c>
      <c r="F423" s="11" t="inlineStr">
        <is>
          <t>1:04:36</t>
        </is>
      </c>
      <c r="G423" s="11" t="n">
        <v>1.08</v>
      </c>
      <c r="H423" s="12" t="inlineStr">
        <is>
          <t>★</t>
        </is>
      </c>
      <c r="I423" s="11" t="inlineStr">
        <is>
          <t>Not started</t>
        </is>
      </c>
      <c r="J423" s="13" t="n"/>
      <c r="K423" s="10" t="inlineStr"/>
      <c r="L423" s="14" t="inlineStr">
        <is>
          <t>▶ watch</t>
        </is>
      </c>
      <c r="M423" s="10" t="inlineStr">
        <is>
          <t>Huber &amp; Kim 1996, Biophys J 70:97 (weighted ensemble, the original) · Zuckerman &amp; Chong 2017, Annu Rev Biophys 46:43 (the review to read)</t>
        </is>
      </c>
      <c r="N423" s="14" t="inlineStr">
        <is>
          <t>read ↗</t>
        </is>
      </c>
      <c r="O423" s="11" t="inlineStr">
        <is>
          <t>section reading (2 of 6)</t>
        </is>
      </c>
      <c r="P423" s="10" t="inlineStr">
        <is>
          <t>Simulation, force fields, coarse-graining and sampling</t>
        </is>
      </c>
    </row>
    <row r="424">
      <c r="A424" s="15" t="n">
        <v>423</v>
      </c>
      <c r="B424" s="15" t="inlineStr">
        <is>
          <t>Part II - The Method Atlas</t>
        </is>
      </c>
      <c r="C424" s="16" t="inlineStr">
        <is>
          <t>D.4 Path and trajectory-space methods</t>
        </is>
      </c>
      <c r="D424" s="10" t="inlineStr">
        <is>
          <t>Diffusion Models on Sampling Rare Events</t>
        </is>
      </c>
      <c r="E424" s="10" t="inlineStr">
        <is>
          <t>Chenru Duan (Valence</t>
        </is>
      </c>
      <c r="F424" s="11" t="inlineStr">
        <is>
          <t>48:08</t>
        </is>
      </c>
      <c r="G424" s="11" t="n">
        <v>0.8</v>
      </c>
      <c r="H424" s="12" t="inlineStr"/>
      <c r="I424" s="11" t="inlineStr">
        <is>
          <t>Not started</t>
        </is>
      </c>
      <c r="J424" s="13" t="n"/>
      <c r="K424" s="10" t="inlineStr"/>
      <c r="L424" s="14" t="inlineStr">
        <is>
          <t>▶ watch</t>
        </is>
      </c>
      <c r="M424" s="10" t="inlineStr">
        <is>
          <t>Huber &amp; Kim 1996, Biophys J 70:97 (weighted ensemble, the original) · Zuckerman &amp; Chong 2017, Annu Rev Biophys 46:43 (the review to read)</t>
        </is>
      </c>
      <c r="N424" s="14" t="inlineStr">
        <is>
          <t>read ↗</t>
        </is>
      </c>
      <c r="O424" s="11" t="inlineStr">
        <is>
          <t>section reading (2 of 6)</t>
        </is>
      </c>
      <c r="P424" s="10" t="inlineStr">
        <is>
          <t>Simulation, force fields, coarse-graining and sampling</t>
        </is>
      </c>
    </row>
    <row r="425">
      <c r="A425" s="15" t="n">
        <v>424</v>
      </c>
      <c r="B425" s="15" t="inlineStr">
        <is>
          <t>Part II - The Method Atlas</t>
        </is>
      </c>
      <c r="C425" s="16" t="inlineStr">
        <is>
          <t>D.5 Markov state models - many short runs instead of one long one</t>
        </is>
      </c>
      <c r="D425" s="10" t="inlineStr">
        <is>
          <t>Accelerating Cryptic Pocket Discovery With Deep Learning (PocketMiner</t>
        </is>
      </c>
      <c r="E425" s="10" t="inlineStr">
        <is>
          <t>Greg Bowman (Valence</t>
        </is>
      </c>
      <c r="F425" s="11" t="inlineStr">
        <is>
          <t>37:23</t>
        </is>
      </c>
      <c r="G425" s="11" t="n">
        <v>0.62</v>
      </c>
      <c r="H425" s="12" t="inlineStr">
        <is>
          <t>★</t>
        </is>
      </c>
      <c r="I425" s="11" t="inlineStr">
        <is>
          <t>Not started</t>
        </is>
      </c>
      <c r="J425" s="13" t="n"/>
      <c r="K425" s="10" t="inlineStr"/>
      <c r="L425" s="14" t="inlineStr">
        <is>
          <t>▶ watch</t>
        </is>
      </c>
      <c r="M425" s="10" t="inlineStr">
        <is>
          <t>Meller et al. 2023, Nat Commun 14:1177 (PocketMiner)</t>
        </is>
      </c>
      <c r="N425" s="14" t="inlineStr">
        <is>
          <t>read ↗</t>
        </is>
      </c>
      <c r="O425" s="11" t="inlineStr">
        <is>
          <t>names POCKETMINER</t>
        </is>
      </c>
      <c r="P425" s="10" t="inlineStr">
        <is>
          <t>I.2 Pocket and site detection; Simulation, force fields, coarse-graining and sampling</t>
        </is>
      </c>
    </row>
    <row r="426">
      <c r="A426" s="15" t="n">
        <v>425</v>
      </c>
      <c r="B426" s="15" t="inlineStr">
        <is>
          <t>Part II - The Method Atlas</t>
        </is>
      </c>
      <c r="C426" s="16" t="inlineStr">
        <is>
          <t>D.5 Markov state models - many short runs instead of one long one</t>
        </is>
      </c>
      <c r="D426" s="10" t="inlineStr">
        <is>
          <t>Cryptic Pocket Discovery Using AlphaFold and Markov State Modelling</t>
        </is>
      </c>
      <c r="E426" s="10" t="inlineStr">
        <is>
          <t>Valence</t>
        </is>
      </c>
      <c r="F426" s="11" t="inlineStr">
        <is>
          <t>31:32</t>
        </is>
      </c>
      <c r="G426" s="11" t="n">
        <v>0.53</v>
      </c>
      <c r="H426" s="12" t="inlineStr"/>
      <c r="I426" s="11" t="inlineStr">
        <is>
          <t>Not started</t>
        </is>
      </c>
      <c r="J426" s="13" t="n"/>
      <c r="K426" s="10" t="inlineStr"/>
      <c r="L426" s="14" t="inlineStr">
        <is>
          <t>▶ watch</t>
        </is>
      </c>
      <c r="M426" s="10" t="inlineStr">
        <is>
          <t>Prinz et al. 2011, JCP 134:174105 (MSMs: the definitive construction paper) · Husic &amp; Pande 2018, JACS 140:2386 (MSM review)</t>
        </is>
      </c>
      <c r="N426" s="14" t="inlineStr">
        <is>
          <t>read ↗</t>
        </is>
      </c>
      <c r="O426" s="11" t="inlineStr">
        <is>
          <t>section reading (2 of 7)</t>
        </is>
      </c>
      <c r="P426" s="10" t="inlineStr">
        <is>
          <t>P.6 Conformational ensembles - the frontier; Simulation, force fields, coarse-graining and sampling</t>
        </is>
      </c>
    </row>
    <row r="427">
      <c r="A427" s="15" t="n">
        <v>426</v>
      </c>
      <c r="B427" s="15" t="inlineStr">
        <is>
          <t>Part II - The Method Atlas</t>
        </is>
      </c>
      <c r="C427" s="16" t="inlineStr">
        <is>
          <t>D.6 The learned-sampler frontier</t>
        </is>
      </c>
      <c r="D427" s="10" t="inlineStr">
        <is>
          <t>Designing Losses for Data-Free Training of Normalizing Flows on Boltzmann Distributions</t>
        </is>
      </c>
      <c r="E427" s="10" t="inlineStr">
        <is>
          <t>Valence</t>
        </is>
      </c>
      <c r="F427" s="11" t="inlineStr">
        <is>
          <t>1:07:25</t>
        </is>
      </c>
      <c r="G427" s="11" t="n">
        <v>1.12</v>
      </c>
      <c r="H427" s="12" t="inlineStr">
        <is>
          <t>★</t>
        </is>
      </c>
      <c r="I427" s="11" t="inlineStr">
        <is>
          <t>Not started</t>
        </is>
      </c>
      <c r="J427" s="13" t="n"/>
      <c r="K427" s="10" t="inlineStr"/>
      <c r="L427" s="14" t="inlineStr">
        <is>
          <t>▶ watch</t>
        </is>
      </c>
      <c r="M427" s="10" t="inlineStr">
        <is>
          <t>Noé et al. 2019, Science 365:eaaw1147 (Boltzmann generators) [landmark] · Klein et al. 2023, NeurIPS (Timewarp)</t>
        </is>
      </c>
      <c r="N427" s="14" t="inlineStr">
        <is>
          <t>read ↗</t>
        </is>
      </c>
      <c r="O427" s="11" t="inlineStr">
        <is>
          <t>section reading (2 of 7)</t>
        </is>
      </c>
      <c r="P427" s="10" t="inlineStr">
        <is>
          <t>Simulation, force fields, coarse-graining and sampling</t>
        </is>
      </c>
    </row>
    <row r="428">
      <c r="A428" s="15" t="n">
        <v>427</v>
      </c>
      <c r="B428" s="15" t="inlineStr">
        <is>
          <t>Part II - The Method Atlas</t>
        </is>
      </c>
      <c r="C428" s="16" t="inlineStr">
        <is>
          <t>D.6 The learned-sampler frontier</t>
        </is>
      </c>
      <c r="D428" s="10" t="inlineStr">
        <is>
          <t>Rigid Body Flows for Sampling Molecular Crystal Structures</t>
        </is>
      </c>
      <c r="E428" s="10" t="inlineStr">
        <is>
          <t>Jonas Köhler (Valence</t>
        </is>
      </c>
      <c r="F428" s="11" t="inlineStr">
        <is>
          <t>1:24:24</t>
        </is>
      </c>
      <c r="G428" s="11" t="n">
        <v>1.41</v>
      </c>
      <c r="H428" s="12" t="inlineStr">
        <is>
          <t>★</t>
        </is>
      </c>
      <c r="I428" s="11" t="inlineStr">
        <is>
          <t>Not started</t>
        </is>
      </c>
      <c r="J428" s="13" t="n"/>
      <c r="K428" s="10" t="inlineStr"/>
      <c r="L428" s="14" t="inlineStr">
        <is>
          <t>▶ watch</t>
        </is>
      </c>
      <c r="M428" s="10" t="inlineStr">
        <is>
          <t>Noé et al. 2019, Science 365:eaaw1147 (Boltzmann generators) [landmark] · Klein et al. 2023, NeurIPS (Timewarp)</t>
        </is>
      </c>
      <c r="N428" s="14" t="inlineStr">
        <is>
          <t>read ↗</t>
        </is>
      </c>
      <c r="O428" s="11" t="inlineStr">
        <is>
          <t>section reading (2 of 7)</t>
        </is>
      </c>
      <c r="P428" s="10" t="inlineStr">
        <is>
          <t>Simulation, force fields, coarse-graining and sampling</t>
        </is>
      </c>
    </row>
    <row r="429">
      <c r="A429" s="15" t="n">
        <v>428</v>
      </c>
      <c r="B429" s="15" t="inlineStr">
        <is>
          <t>Part II - The Method Atlas</t>
        </is>
      </c>
      <c r="C429" s="16" t="inlineStr">
        <is>
          <t>D.6 The learned-sampler frontier</t>
        </is>
      </c>
      <c r="D429" s="10" t="inlineStr">
        <is>
          <t>Timewarp: Transferable Acceleration of MD by Time-Coarsened Dynamics</t>
        </is>
      </c>
      <c r="E429" s="10" t="inlineStr">
        <is>
          <t>Klein &amp; Foong (Valence</t>
        </is>
      </c>
      <c r="F429" s="11" t="inlineStr">
        <is>
          <t>54:35</t>
        </is>
      </c>
      <c r="G429" s="11" t="n">
        <v>0.91</v>
      </c>
      <c r="H429" s="12" t="inlineStr">
        <is>
          <t>★</t>
        </is>
      </c>
      <c r="I429" s="11" t="inlineStr">
        <is>
          <t>Not started</t>
        </is>
      </c>
      <c r="J429" s="13" t="n"/>
      <c r="K429" s="10" t="inlineStr"/>
      <c r="L429" s="14" t="inlineStr">
        <is>
          <t>▶ watch</t>
        </is>
      </c>
      <c r="M429" s="10" t="inlineStr">
        <is>
          <t>Noé et al. 2019, Science 365:eaaw1147 (Boltzmann generators) [landmark] · Klein et al. 2023, NeurIPS (Timewarp)</t>
        </is>
      </c>
      <c r="N429" s="14" t="inlineStr">
        <is>
          <t>read ↗</t>
        </is>
      </c>
      <c r="O429" s="11" t="inlineStr">
        <is>
          <t>section reading (2 of 7)</t>
        </is>
      </c>
      <c r="P429" s="10" t="inlineStr">
        <is>
          <t>Simulation, force fields, coarse-graining and sampling</t>
        </is>
      </c>
    </row>
    <row r="430">
      <c r="A430" s="15" t="n">
        <v>429</v>
      </c>
      <c r="B430" s="15" t="inlineStr">
        <is>
          <t>Part II - The Method Atlas</t>
        </is>
      </c>
      <c r="C430" s="16" t="inlineStr">
        <is>
          <t>D.6 The learned-sampler frontier</t>
        </is>
      </c>
      <c r="D430" s="10" t="inlineStr">
        <is>
          <t>Timewarp (extended</t>
        </is>
      </c>
      <c r="E430" s="10" t="inlineStr">
        <is>
          <t>Valence</t>
        </is>
      </c>
      <c r="F430" s="11" t="inlineStr">
        <is>
          <t>1:14:35</t>
        </is>
      </c>
      <c r="G430" s="11" t="n">
        <v>1.24</v>
      </c>
      <c r="H430" s="12" t="inlineStr"/>
      <c r="I430" s="11" t="inlineStr">
        <is>
          <t>Not started</t>
        </is>
      </c>
      <c r="J430" s="13" t="n"/>
      <c r="K430" s="10" t="inlineStr"/>
      <c r="L430" s="14" t="inlineStr">
        <is>
          <t>▶ watch</t>
        </is>
      </c>
      <c r="M430" s="10" t="inlineStr">
        <is>
          <t>Noé et al. 2019, Science 365:eaaw1147 (Boltzmann generators) [landmark] · Klein et al. 2023, NeurIPS (Timewarp)</t>
        </is>
      </c>
      <c r="N430" s="14" t="inlineStr">
        <is>
          <t>read ↗</t>
        </is>
      </c>
      <c r="O430" s="11" t="inlineStr">
        <is>
          <t>section reading (2 of 7)</t>
        </is>
      </c>
      <c r="P430" s="10" t="inlineStr">
        <is>
          <t>Simulation, force fields, coarse-graining and sampling</t>
        </is>
      </c>
    </row>
    <row r="431">
      <c r="A431" s="15" t="n">
        <v>430</v>
      </c>
      <c r="B431" s="15" t="inlineStr">
        <is>
          <t>Part II - The Method Atlas</t>
        </is>
      </c>
      <c r="C431" s="16" t="inlineStr">
        <is>
          <t>D.6 The learned-sampler frontier</t>
        </is>
      </c>
      <c r="D431" s="10" t="inlineStr">
        <is>
          <t>Scalable Emulation of Protein Equilibrium Ensembles (BioEmu</t>
        </is>
      </c>
      <c r="E431" s="10" t="inlineStr">
        <is>
          <t>Valence</t>
        </is>
      </c>
      <c r="F431" s="11" t="inlineStr">
        <is>
          <t>1:17:02</t>
        </is>
      </c>
      <c r="G431" s="11" t="n">
        <v>1.28</v>
      </c>
      <c r="H431" s="12" t="inlineStr">
        <is>
          <t>★</t>
        </is>
      </c>
      <c r="I431" s="11" t="inlineStr">
        <is>
          <t>Not started</t>
        </is>
      </c>
      <c r="J431" s="13" t="n"/>
      <c r="K431" s="10" t="inlineStr"/>
      <c r="L431" s="14" t="inlineStr">
        <is>
          <t>▶ watch</t>
        </is>
      </c>
      <c r="M431" s="10" t="inlineStr">
        <is>
          <t>Lewis et al. 2025, Science 389:eadv9817 (BioEmu)</t>
        </is>
      </c>
      <c r="N431" s="14" t="inlineStr">
        <is>
          <t>read ↗</t>
        </is>
      </c>
      <c r="O431" s="11" t="inlineStr">
        <is>
          <t>names BIOEMU</t>
        </is>
      </c>
      <c r="P431" s="10" t="inlineStr">
        <is>
          <t>P.6 Conformational ensembles - the frontier; Simulation, force fields, coarse-graining and sampling</t>
        </is>
      </c>
    </row>
    <row r="432">
      <c r="A432" s="15" t="n">
        <v>431</v>
      </c>
      <c r="B432" s="15" t="inlineStr">
        <is>
          <t>Part II - The Method Atlas</t>
        </is>
      </c>
      <c r="C432" s="16" t="inlineStr">
        <is>
          <t>D.6 The learned-sampler frontier</t>
        </is>
      </c>
      <c r="D432" s="10" t="inlineStr">
        <is>
          <t>AlphaFold Meets Flow Matching (AlphaFlow</t>
        </is>
      </c>
      <c r="E432" s="10" t="inlineStr">
        <is>
          <t>Bowen Jing (Valence</t>
        </is>
      </c>
      <c r="F432" s="11" t="inlineStr">
        <is>
          <t>56:30</t>
        </is>
      </c>
      <c r="G432" s="11" t="n">
        <v>0.9399999999999999</v>
      </c>
      <c r="H432" s="12" t="inlineStr">
        <is>
          <t>★</t>
        </is>
      </c>
      <c r="I432" s="11" t="inlineStr">
        <is>
          <t>Not started</t>
        </is>
      </c>
      <c r="J432" s="13" t="n"/>
      <c r="K432" s="10" t="inlineStr"/>
      <c r="L432" s="14" t="inlineStr">
        <is>
          <t>▶ watch</t>
        </is>
      </c>
      <c r="M432" s="10" t="inlineStr">
        <is>
          <t>Jing et al. 2024, ICML (AlphaFlow)</t>
        </is>
      </c>
      <c r="N432" s="14" t="inlineStr">
        <is>
          <t>read ↗</t>
        </is>
      </c>
      <c r="O432" s="11" t="inlineStr">
        <is>
          <t>names ALPHAFLOW</t>
        </is>
      </c>
      <c r="P432" s="10" t="inlineStr">
        <is>
          <t>P.6 Conformational ensembles - the frontier; Simulation, force fields, coarse-graining and sampling</t>
        </is>
      </c>
    </row>
    <row r="433">
      <c r="A433" s="15" t="n">
        <v>432</v>
      </c>
      <c r="B433" s="15" t="inlineStr">
        <is>
          <t>Part II - The Method Atlas</t>
        </is>
      </c>
      <c r="C433" s="16" t="inlineStr">
        <is>
          <t>D.6 The learned-sampler frontier</t>
        </is>
      </c>
      <c r="D433" s="10" t="inlineStr">
        <is>
          <t>Consistent Sampling and Simulation: MD with Energy-Based Diffusion Models</t>
        </is>
      </c>
      <c r="E433" s="10" t="inlineStr">
        <is>
          <t>Valence</t>
        </is>
      </c>
      <c r="F433" s="11" t="inlineStr">
        <is>
          <t>43:48</t>
        </is>
      </c>
      <c r="G433" s="11" t="n">
        <v>0.73</v>
      </c>
      <c r="H433" s="12" t="inlineStr">
        <is>
          <t>★</t>
        </is>
      </c>
      <c r="I433" s="11" t="inlineStr">
        <is>
          <t>Not started</t>
        </is>
      </c>
      <c r="J433" s="13" t="n"/>
      <c r="K433" s="10" t="inlineStr"/>
      <c r="L433" s="14" t="inlineStr">
        <is>
          <t>▶ watch</t>
        </is>
      </c>
      <c r="M433" s="10" t="inlineStr">
        <is>
          <t>Noé et al. 2019, Science 365:eaaw1147 (Boltzmann generators) [landmark] · Klein et al. 2023, NeurIPS (Timewarp)</t>
        </is>
      </c>
      <c r="N433" s="14" t="inlineStr">
        <is>
          <t>read ↗</t>
        </is>
      </c>
      <c r="O433" s="11" t="inlineStr">
        <is>
          <t>section reading (2 of 7)</t>
        </is>
      </c>
      <c r="P433" s="10" t="inlineStr">
        <is>
          <t>Simulation, force fields, coarse-graining and sampling</t>
        </is>
      </c>
    </row>
    <row r="434">
      <c r="A434" s="15" t="n">
        <v>433</v>
      </c>
      <c r="B434" s="15" t="inlineStr">
        <is>
          <t>Part II - The Method Atlas</t>
        </is>
      </c>
      <c r="C434" s="16" t="inlineStr">
        <is>
          <t>D.6 The learned-sampler frontier</t>
        </is>
      </c>
      <c r="D434" s="10" t="inlineStr">
        <is>
          <t>PepFlow: Direct Conformational Sampling From Peptide Energy Landscapes</t>
        </is>
      </c>
      <c r="E434" s="10" t="inlineStr">
        <is>
          <t>Abdin (Valence</t>
        </is>
      </c>
      <c r="F434" s="11" t="inlineStr">
        <is>
          <t>55:42</t>
        </is>
      </c>
      <c r="G434" s="11" t="n">
        <v>0.93</v>
      </c>
      <c r="H434" s="12" t="inlineStr">
        <is>
          <t>★</t>
        </is>
      </c>
      <c r="I434" s="11" t="inlineStr">
        <is>
          <t>Not started</t>
        </is>
      </c>
      <c r="J434" s="13" t="n"/>
      <c r="K434" s="10" t="inlineStr"/>
      <c r="L434" s="14" t="inlineStr">
        <is>
          <t>▶ watch</t>
        </is>
      </c>
      <c r="M434" s="10" t="inlineStr">
        <is>
          <t>Noé et al. 2019, Science 365:eaaw1147 (Boltzmann generators) [landmark] · Klein et al. 2023, NeurIPS (Timewarp)</t>
        </is>
      </c>
      <c r="N434" s="14" t="inlineStr">
        <is>
          <t>read ↗</t>
        </is>
      </c>
      <c r="O434" s="11" t="inlineStr">
        <is>
          <t>section reading (2 of 7)</t>
        </is>
      </c>
      <c r="P434" s="10" t="inlineStr">
        <is>
          <t>P.6 Conformational ensembles - the frontier; Simulation, force fields, coarse-graining and sampling</t>
        </is>
      </c>
    </row>
    <row r="435">
      <c r="A435" s="15" t="n">
        <v>434</v>
      </c>
      <c r="B435" s="15" t="inlineStr">
        <is>
          <t>Part II - The Method Atlas</t>
        </is>
      </c>
      <c r="C435" s="16" t="inlineStr">
        <is>
          <t>D.6 The learned-sampler frontier</t>
        </is>
      </c>
      <c r="D435" s="10" t="inlineStr">
        <is>
          <t>Converging Advances to Accelerate Molecular Simulation</t>
        </is>
      </c>
      <c r="E435" s="10" t="inlineStr">
        <is>
          <t>Max Welling (Valence</t>
        </is>
      </c>
      <c r="F435" s="11" t="inlineStr">
        <is>
          <t>1:14:04</t>
        </is>
      </c>
      <c r="G435" s="11" t="n">
        <v>1.23</v>
      </c>
      <c r="H435" s="12" t="inlineStr">
        <is>
          <t>★</t>
        </is>
      </c>
      <c r="I435" s="11" t="inlineStr">
        <is>
          <t>Not started</t>
        </is>
      </c>
      <c r="J435" s="13" t="n"/>
      <c r="K435" s="10" t="inlineStr"/>
      <c r="L435" s="14" t="inlineStr">
        <is>
          <t>▶ watch</t>
        </is>
      </c>
      <c r="M435" s="10" t="inlineStr">
        <is>
          <t>Noé et al. 2019, Science 365:eaaw1147 (Boltzmann generators) [landmark] · Klein et al. 2023, NeurIPS (Timewarp)</t>
        </is>
      </c>
      <c r="N435" s="14" t="inlineStr">
        <is>
          <t>read ↗</t>
        </is>
      </c>
      <c r="O435" s="11" t="inlineStr">
        <is>
          <t>section reading (2 of 7)</t>
        </is>
      </c>
      <c r="P435" s="10" t="inlineStr">
        <is>
          <t>Simulation, force fields, coarse-graining and sampling</t>
        </is>
      </c>
    </row>
    <row r="436">
      <c r="A436" s="15" t="n">
        <v>435</v>
      </c>
      <c r="B436" s="15" t="inlineStr">
        <is>
          <t>Part II - The Method Atlas</t>
        </is>
      </c>
      <c r="C436" s="16" t="inlineStr">
        <is>
          <t>Alchemical foundations</t>
        </is>
      </c>
      <c r="D436" s="10" t="inlineStr">
        <is>
          <t>Free energies: What we've learned about how to estimate them</t>
        </is>
      </c>
      <c r="E436" s="10" t="inlineStr">
        <is>
          <t>Michael Shirts (CU Boulder, MBAR author</t>
        </is>
      </c>
      <c r="F436" s="11" t="inlineStr">
        <is>
          <t>30:13</t>
        </is>
      </c>
      <c r="G436" s="11" t="n">
        <v>0.5</v>
      </c>
      <c r="H436" s="12" t="inlineStr">
        <is>
          <t>★</t>
        </is>
      </c>
      <c r="I436" s="11" t="inlineStr">
        <is>
          <t>Not started</t>
        </is>
      </c>
      <c r="J436" s="13" t="n"/>
      <c r="K436" s="10" t="inlineStr"/>
      <c r="L436" s="14" t="inlineStr">
        <is>
          <t>▶ watch</t>
        </is>
      </c>
      <c r="M436" s="10" t="inlineStr">
        <is>
          <t>Noé et al. 2019, Science 365:eaaw1147 (Boltzmann generators) [landmark] · Klein et al. 2023, NeurIPS (Timewarp)</t>
        </is>
      </c>
      <c r="N436" s="14" t="inlineStr">
        <is>
          <t>read ↗</t>
        </is>
      </c>
      <c r="O436" s="11" t="inlineStr">
        <is>
          <t>reading for D.6 The learned-sampler frontier</t>
        </is>
      </c>
      <c r="P436" s="10" t="inlineStr">
        <is>
          <t>M.4 Binding free energy in practice</t>
        </is>
      </c>
    </row>
    <row r="437">
      <c r="A437" s="15" t="n">
        <v>436</v>
      </c>
      <c r="B437" s="15" t="inlineStr">
        <is>
          <t>Part II - The Method Atlas</t>
        </is>
      </c>
      <c r="C437" s="16" t="inlineStr">
        <is>
          <t>Alchemical foundations</t>
        </is>
      </c>
      <c r="D437" s="10" t="inlineStr">
        <is>
          <t>Estimator variance and convergence diagnosis</t>
        </is>
      </c>
      <c r="E437" s="10" t="inlineStr">
        <is>
          <t>Michael Shirts</t>
        </is>
      </c>
      <c r="F437" s="11" t="inlineStr">
        <is>
          <t>29:49</t>
        </is>
      </c>
      <c r="G437" s="11" t="n">
        <v>0.5</v>
      </c>
      <c r="H437" s="12" t="inlineStr">
        <is>
          <t>★</t>
        </is>
      </c>
      <c r="I437" s="11" t="inlineStr">
        <is>
          <t>Not started</t>
        </is>
      </c>
      <c r="J437" s="13" t="n"/>
      <c r="K437" s="10" t="inlineStr"/>
      <c r="L437" s="14" t="inlineStr">
        <is>
          <t>▶ watch</t>
        </is>
      </c>
      <c r="M437" s="10" t="inlineStr">
        <is>
          <t>Noé et al. 2019, Science 365:eaaw1147 (Boltzmann generators) [landmark] · Klein et al. 2023, NeurIPS (Timewarp)</t>
        </is>
      </c>
      <c r="N437" s="14" t="inlineStr">
        <is>
          <t>read ↗</t>
        </is>
      </c>
      <c r="O437" s="11" t="inlineStr">
        <is>
          <t>reading for D.6 The learned-sampler frontier</t>
        </is>
      </c>
      <c r="P437" s="10" t="inlineStr">
        <is>
          <t>B.4 Workshop on Free Energy, Kinetics and MSM in Drug Design, 2018 - 43 videos</t>
        </is>
      </c>
    </row>
    <row r="438">
      <c r="A438" s="15" t="n">
        <v>437</v>
      </c>
      <c r="B438" s="15" t="inlineStr">
        <is>
          <t>Part II - The Method Atlas</t>
        </is>
      </c>
      <c r="C438" s="16" t="inlineStr">
        <is>
          <t>Alchemical foundations</t>
        </is>
      </c>
      <c r="D438" s="10" t="inlineStr">
        <is>
          <t>A guide to multistate reweighting - the MBAR tutorial proper</t>
        </is>
      </c>
      <c r="E438" s="10" t="inlineStr">
        <is>
          <t>Michael Shirts</t>
        </is>
      </c>
      <c r="F438" s="11" t="inlineStr">
        <is>
          <t>36:27</t>
        </is>
      </c>
      <c r="G438" s="11" t="n">
        <v>0.61</v>
      </c>
      <c r="H438" s="12" t="inlineStr">
        <is>
          <t>★</t>
        </is>
      </c>
      <c r="I438" s="11" t="inlineStr">
        <is>
          <t>Not started</t>
        </is>
      </c>
      <c r="J438" s="13" t="n"/>
      <c r="K438" s="10" t="inlineStr"/>
      <c r="L438" s="14" t="inlineStr">
        <is>
          <t>▶ watch</t>
        </is>
      </c>
      <c r="M438" s="10" t="inlineStr">
        <is>
          <t>Noé et al. 2019, Science 365:eaaw1147 (Boltzmann generators) [landmark] · Klein et al. 2023, NeurIPS (Timewarp)</t>
        </is>
      </c>
      <c r="N438" s="14" t="inlineStr">
        <is>
          <t>read ↗</t>
        </is>
      </c>
      <c r="O438" s="11" t="inlineStr">
        <is>
          <t>reading for D.6 The learned-sampler frontier</t>
        </is>
      </c>
      <c r="P438" s="10" t="inlineStr"/>
    </row>
    <row r="439">
      <c r="A439" s="15" t="n">
        <v>438</v>
      </c>
      <c r="B439" s="15" t="inlineStr">
        <is>
          <t>Part II - The Method Atlas</t>
        </is>
      </c>
      <c r="C439" s="16" t="inlineStr">
        <is>
          <t>Alchemical foundations</t>
        </is>
      </c>
      <c r="D439" s="10" t="inlineStr">
        <is>
          <t>Teaching free energy calculations to learn</t>
        </is>
      </c>
      <c r="E439" s="10" t="inlineStr">
        <is>
          <t>John Chodera (MSKCC</t>
        </is>
      </c>
      <c r="F439" s="11" t="inlineStr">
        <is>
          <t>29:22</t>
        </is>
      </c>
      <c r="G439" s="11" t="n">
        <v>0.49</v>
      </c>
      <c r="H439" s="12" t="inlineStr">
        <is>
          <t>★</t>
        </is>
      </c>
      <c r="I439" s="11" t="inlineStr">
        <is>
          <t>Not started</t>
        </is>
      </c>
      <c r="J439" s="13" t="n"/>
      <c r="K439" s="10" t="inlineStr"/>
      <c r="L439" s="14" t="inlineStr">
        <is>
          <t>▶ watch</t>
        </is>
      </c>
      <c r="M439" s="10" t="inlineStr">
        <is>
          <t>Noé et al. 2019, Science 365:eaaw1147 (Boltzmann generators) [landmark] · Klein et al. 2023, NeurIPS (Timewarp)</t>
        </is>
      </c>
      <c r="N439" s="14" t="inlineStr">
        <is>
          <t>read ↗</t>
        </is>
      </c>
      <c r="O439" s="11" t="inlineStr">
        <is>
          <t>reading for D.6 The learned-sampler frontier</t>
        </is>
      </c>
      <c r="P439" s="10" t="inlineStr"/>
    </row>
    <row r="440">
      <c r="A440" s="15" t="n">
        <v>439</v>
      </c>
      <c r="B440" s="15" t="inlineStr">
        <is>
          <t>Part II - The Method Atlas</t>
        </is>
      </c>
      <c r="C440" s="16" t="inlineStr">
        <is>
          <t>Alchemical foundations</t>
        </is>
      </c>
      <c r="D440" s="10" t="inlineStr">
        <is>
          <t>Developing and Using FE Calculations to Guide Lead Optimization</t>
        </is>
      </c>
      <c r="E440" s="10" t="inlineStr">
        <is>
          <t>David Mobley (UC Irvine</t>
        </is>
      </c>
      <c r="F440" s="11" t="inlineStr">
        <is>
          <t>1:00:03</t>
        </is>
      </c>
      <c r="G440" s="11" t="n">
        <v>1</v>
      </c>
      <c r="H440" s="12" t="inlineStr">
        <is>
          <t>★</t>
        </is>
      </c>
      <c r="I440" s="11" t="inlineStr">
        <is>
          <t>Not started</t>
        </is>
      </c>
      <c r="J440" s="13" t="n"/>
      <c r="K440" s="10" t="inlineStr"/>
      <c r="L440" s="14" t="inlineStr">
        <is>
          <t>▶ watch</t>
        </is>
      </c>
      <c r="M440" s="10" t="inlineStr">
        <is>
          <t>Noé et al. 2019, Science 365:eaaw1147 (Boltzmann generators) [landmark] · Klein et al. 2023, NeurIPS (Timewarp)</t>
        </is>
      </c>
      <c r="N440" s="14" t="inlineStr">
        <is>
          <t>read ↗</t>
        </is>
      </c>
      <c r="O440" s="11" t="inlineStr">
        <is>
          <t>reading for D.6 The learned-sampler frontier</t>
        </is>
      </c>
      <c r="P440" s="10" t="inlineStr">
        <is>
          <t>M.4 Binding free energy in practice</t>
        </is>
      </c>
    </row>
    <row r="441">
      <c r="A441" s="15" t="n">
        <v>440</v>
      </c>
      <c r="B441" s="15" t="inlineStr">
        <is>
          <t>Part II - The Method Atlas</t>
        </is>
      </c>
      <c r="C441" s="16" t="inlineStr">
        <is>
          <t>Alchemical foundations</t>
        </is>
      </c>
      <c r="D441" s="10" t="inlineStr">
        <is>
          <t>Introduction to Free Energy Calculations</t>
        </is>
      </c>
      <c r="E441" s="10" t="inlineStr">
        <is>
          <t>Christophe Chipot (CNRS/UIUC</t>
        </is>
      </c>
      <c r="F441" s="11" t="inlineStr">
        <is>
          <t>56:09</t>
        </is>
      </c>
      <c r="G441" s="11" t="n">
        <v>0.9399999999999999</v>
      </c>
      <c r="H441" s="12" t="inlineStr">
        <is>
          <t>★</t>
        </is>
      </c>
      <c r="I441" s="11" t="inlineStr">
        <is>
          <t>Not started</t>
        </is>
      </c>
      <c r="J441" s="13" t="n"/>
      <c r="K441" s="10" t="inlineStr"/>
      <c r="L441" s="14" t="inlineStr">
        <is>
          <t>▶ watch</t>
        </is>
      </c>
      <c r="M441" s="10" t="inlineStr">
        <is>
          <t>Noé et al. 2019, Science 365:eaaw1147 (Boltzmann generators) [landmark] · Klein et al. 2023, NeurIPS (Timewarp)</t>
        </is>
      </c>
      <c r="N441" s="14" t="inlineStr">
        <is>
          <t>read ↗</t>
        </is>
      </c>
      <c r="O441" s="11" t="inlineStr">
        <is>
          <t>reading for D.6 The learned-sampler frontier</t>
        </is>
      </c>
      <c r="P441" s="10" t="inlineStr"/>
    </row>
    <row r="442">
      <c r="A442" s="15" t="n">
        <v>441</v>
      </c>
      <c r="B442" s="15" t="inlineStr">
        <is>
          <t>Part II - The Method Atlas</t>
        </is>
      </c>
      <c r="C442" s="16" t="inlineStr">
        <is>
          <t>Alchemical foundations</t>
        </is>
      </c>
      <c r="D442" s="10" t="inlineStr">
        <is>
          <t>A General Overview of Free Energy Methods</t>
        </is>
      </c>
      <c r="E442" s="10" t="inlineStr">
        <is>
          <t>Christophe Chipot</t>
        </is>
      </c>
      <c r="F442" s="11" t="inlineStr">
        <is>
          <t>1:30:38</t>
        </is>
      </c>
      <c r="G442" s="11" t="n">
        <v>1.51</v>
      </c>
      <c r="H442" s="12" t="inlineStr">
        <is>
          <t>★</t>
        </is>
      </c>
      <c r="I442" s="11" t="inlineStr">
        <is>
          <t>Not started</t>
        </is>
      </c>
      <c r="J442" s="13" t="n"/>
      <c r="K442" s="10" t="inlineStr"/>
      <c r="L442" s="14" t="inlineStr">
        <is>
          <t>▶ watch</t>
        </is>
      </c>
      <c r="M442" s="10" t="inlineStr">
        <is>
          <t>Noé et al. 2019, Science 365:eaaw1147 (Boltzmann generators) [landmark] · Klein et al. 2023, NeurIPS (Timewarp)</t>
        </is>
      </c>
      <c r="N442" s="14" t="inlineStr">
        <is>
          <t>read ↗</t>
        </is>
      </c>
      <c r="O442" s="11" t="inlineStr">
        <is>
          <t>reading for D.6 The learned-sampler frontier</t>
        </is>
      </c>
      <c r="P442" s="10" t="inlineStr"/>
    </row>
    <row r="443">
      <c r="A443" s="15" t="n">
        <v>442</v>
      </c>
      <c r="B443" s="15" t="inlineStr">
        <is>
          <t>Part II - The Method Atlas</t>
        </is>
      </c>
      <c r="C443" s="16" t="inlineStr">
        <is>
          <t>Alchemical foundations</t>
        </is>
      </c>
      <c r="D443" s="10" t="inlineStr">
        <is>
          <t>Accurate Calculation of Protein-Ligand Binding Energies</t>
        </is>
      </c>
      <c r="E443" s="10" t="inlineStr">
        <is>
          <t>Christophe Chipot</t>
        </is>
      </c>
      <c r="F443" s="11" t="inlineStr">
        <is>
          <t>1:40:42</t>
        </is>
      </c>
      <c r="G443" s="11" t="n">
        <v>1.68</v>
      </c>
      <c r="H443" s="12" t="inlineStr">
        <is>
          <t>★</t>
        </is>
      </c>
      <c r="I443" s="11" t="inlineStr">
        <is>
          <t>Not started</t>
        </is>
      </c>
      <c r="J443" s="13" t="n"/>
      <c r="K443" s="10" t="inlineStr"/>
      <c r="L443" s="14" t="inlineStr">
        <is>
          <t>▶ watch</t>
        </is>
      </c>
      <c r="M443" s="10" t="inlineStr">
        <is>
          <t>Noé et al. 2019, Science 365:eaaw1147 (Boltzmann generators) [landmark] · Klein et al. 2023, NeurIPS (Timewarp)</t>
        </is>
      </c>
      <c r="N443" s="14" t="inlineStr">
        <is>
          <t>read ↗</t>
        </is>
      </c>
      <c r="O443" s="11" t="inlineStr">
        <is>
          <t>reading for D.6 The learned-sampler frontier</t>
        </is>
      </c>
      <c r="P443" s="10" t="inlineStr">
        <is>
          <t>M.4 Binding free energy in practice</t>
        </is>
      </c>
    </row>
    <row r="444">
      <c r="A444" s="15" t="n">
        <v>443</v>
      </c>
      <c r="B444" s="15" t="inlineStr">
        <is>
          <t>Part II - The Method Atlas</t>
        </is>
      </c>
      <c r="C444" s="16" t="inlineStr">
        <is>
          <t>Alchemical foundations</t>
        </is>
      </c>
      <c r="D444" s="10" t="inlineStr">
        <is>
          <t>Introduction to Free-Energy Calculations, Part 1</t>
        </is>
      </c>
      <c r="E444" s="10" t="inlineStr">
        <is>
          <t>Christophe Chipot</t>
        </is>
      </c>
      <c r="F444" s="11" t="inlineStr">
        <is>
          <t>1:31:10</t>
        </is>
      </c>
      <c r="G444" s="11" t="n">
        <v>1.52</v>
      </c>
      <c r="H444" s="12" t="inlineStr"/>
      <c r="I444" s="11" t="inlineStr">
        <is>
          <t>Not started</t>
        </is>
      </c>
      <c r="J444" s="13" t="n"/>
      <c r="K444" s="10" t="inlineStr"/>
      <c r="L444" s="14" t="inlineStr">
        <is>
          <t>▶ watch</t>
        </is>
      </c>
      <c r="M444" s="10" t="inlineStr">
        <is>
          <t>Noé et al. 2019, Science 365:eaaw1147 (Boltzmann generators) [landmark] · Klein et al. 2023, NeurIPS (Timewarp)</t>
        </is>
      </c>
      <c r="N444" s="14" t="inlineStr">
        <is>
          <t>read ↗</t>
        </is>
      </c>
      <c r="O444" s="11" t="inlineStr">
        <is>
          <t>reading for D.6 The learned-sampler frontier</t>
        </is>
      </c>
      <c r="P444" s="10" t="inlineStr"/>
    </row>
    <row r="445">
      <c r="A445" s="15" t="n">
        <v>444</v>
      </c>
      <c r="B445" s="15" t="inlineStr">
        <is>
          <t>Part II - The Method Atlas</t>
        </is>
      </c>
      <c r="C445" s="16" t="inlineStr">
        <is>
          <t>Alchemical foundations</t>
        </is>
      </c>
      <c r="D445" s="10" t="inlineStr">
        <is>
          <t>Introduction to Free-Energy Calculations, Part 2</t>
        </is>
      </c>
      <c r="E445" s="10" t="inlineStr">
        <is>
          <t>Christophe Chipot</t>
        </is>
      </c>
      <c r="F445" s="11" t="inlineStr">
        <is>
          <t>1:32:55</t>
        </is>
      </c>
      <c r="G445" s="11" t="n">
        <v>1.55</v>
      </c>
      <c r="H445" s="12" t="inlineStr"/>
      <c r="I445" s="11" t="inlineStr">
        <is>
          <t>Not started</t>
        </is>
      </c>
      <c r="J445" s="13" t="n"/>
      <c r="K445" s="10" t="inlineStr"/>
      <c r="L445" s="14" t="inlineStr">
        <is>
          <t>▶ watch</t>
        </is>
      </c>
      <c r="M445" s="10" t="inlineStr">
        <is>
          <t>Noé et al. 2019, Science 365:eaaw1147 (Boltzmann generators) [landmark] · Klein et al. 2023, NeurIPS (Timewarp)</t>
        </is>
      </c>
      <c r="N445" s="14" t="inlineStr">
        <is>
          <t>read ↗</t>
        </is>
      </c>
      <c r="O445" s="11" t="inlineStr">
        <is>
          <t>reading for D.6 The learned-sampler frontier</t>
        </is>
      </c>
      <c r="P445" s="10" t="inlineStr"/>
    </row>
    <row r="446">
      <c r="A446" s="15" t="n">
        <v>445</v>
      </c>
      <c r="B446" s="15" t="inlineStr">
        <is>
          <t>Part II - The Method Atlas</t>
        </is>
      </c>
      <c r="C446" s="16" t="inlineStr">
        <is>
          <t>Alchemical foundations</t>
        </is>
      </c>
      <c r="D446" s="10" t="inlineStr">
        <is>
          <t>Geometrical Free Energy Methods (the CV/PMF route</t>
        </is>
      </c>
      <c r="E446" s="10" t="inlineStr">
        <is>
          <t>Giacomo Fiorin (NIH, Colvars author</t>
        </is>
      </c>
      <c r="F446" s="11" t="inlineStr">
        <is>
          <t>2:25:35</t>
        </is>
      </c>
      <c r="G446" s="11" t="n">
        <v>2.43</v>
      </c>
      <c r="H446" s="12" t="inlineStr">
        <is>
          <t>★</t>
        </is>
      </c>
      <c r="I446" s="11" t="inlineStr">
        <is>
          <t>Not started</t>
        </is>
      </c>
      <c r="J446" s="13" t="n"/>
      <c r="K446" s="10" t="inlineStr"/>
      <c r="L446" s="14" t="inlineStr">
        <is>
          <t>▶ watch</t>
        </is>
      </c>
      <c r="M446" s="10" t="inlineStr">
        <is>
          <t>Noé et al. 2019, Science 365:eaaw1147 (Boltzmann generators) [landmark] · Klein et al. 2023, NeurIPS (Timewarp)</t>
        </is>
      </c>
      <c r="N446" s="14" t="inlineStr">
        <is>
          <t>read ↗</t>
        </is>
      </c>
      <c r="O446" s="11" t="inlineStr">
        <is>
          <t>reading for D.6 The learned-sampler frontier</t>
        </is>
      </c>
      <c r="P446" s="10" t="inlineStr"/>
    </row>
    <row r="447">
      <c r="A447" s="15" t="n">
        <v>446</v>
      </c>
      <c r="B447" s="15" t="inlineStr">
        <is>
          <t>Part II - The Method Atlas</t>
        </is>
      </c>
      <c r="C447" s="16" t="inlineStr">
        <is>
          <t>Alchemical foundations</t>
        </is>
      </c>
      <c r="D447" s="10" t="inlineStr">
        <is>
          <t>Accelerating Convergence with replica-exchange alchemy</t>
        </is>
      </c>
      <c r="E447" s="10" t="inlineStr">
        <is>
          <t>Wei Jiang (Argonne</t>
        </is>
      </c>
      <c r="F447" s="11" t="inlineStr">
        <is>
          <t>1:11:26</t>
        </is>
      </c>
      <c r="G447" s="11" t="n">
        <v>1.19</v>
      </c>
      <c r="H447" s="12" t="inlineStr"/>
      <c r="I447" s="11" t="inlineStr">
        <is>
          <t>Not started</t>
        </is>
      </c>
      <c r="J447" s="13" t="n"/>
      <c r="K447" s="10" t="inlineStr"/>
      <c r="L447" s="14" t="inlineStr">
        <is>
          <t>▶ watch</t>
        </is>
      </c>
      <c r="M447" s="10" t="inlineStr">
        <is>
          <t>Noé et al. 2019, Science 365:eaaw1147 (Boltzmann generators) [landmark] · Klein et al. 2023, NeurIPS (Timewarp)</t>
        </is>
      </c>
      <c r="N447" s="14" t="inlineStr">
        <is>
          <t>read ↗</t>
        </is>
      </c>
      <c r="O447" s="11" t="inlineStr">
        <is>
          <t>reading for D.6 The learned-sampler frontier</t>
        </is>
      </c>
      <c r="P447" s="10" t="inlineStr"/>
    </row>
    <row r="448">
      <c r="A448" s="15" t="n">
        <v>447</v>
      </c>
      <c r="B448" s="15" t="inlineStr">
        <is>
          <t>Part II - The Method Atlas</t>
        </is>
      </c>
      <c r="C448" s="16" t="inlineStr">
        <is>
          <t>Alchemical foundations</t>
        </is>
      </c>
      <c r="D448" s="10" t="inlineStr">
        <is>
          <t>Introduction to free energy calculations (GROMACS-flavoured</t>
        </is>
      </c>
      <c r="E448" s="10" t="inlineStr">
        <is>
          <t>BioExcel</t>
        </is>
      </c>
      <c r="F448" s="11" t="inlineStr">
        <is>
          <t>55:25</t>
        </is>
      </c>
      <c r="G448" s="11" t="n">
        <v>0.92</v>
      </c>
      <c r="H448" s="12" t="inlineStr"/>
      <c r="I448" s="11" t="inlineStr">
        <is>
          <t>Not started</t>
        </is>
      </c>
      <c r="J448" s="13" t="n"/>
      <c r="K448" s="10" t="inlineStr"/>
      <c r="L448" s="14" t="inlineStr">
        <is>
          <t>▶ watch</t>
        </is>
      </c>
      <c r="M448" s="10" t="inlineStr">
        <is>
          <t>Noé et al. 2019, Science 365:eaaw1147 (Boltzmann generators) [landmark] · Klein et al. 2023, NeurIPS (Timewarp)</t>
        </is>
      </c>
      <c r="N448" s="14" t="inlineStr">
        <is>
          <t>read ↗</t>
        </is>
      </c>
      <c r="O448" s="11" t="inlineStr">
        <is>
          <t>reading for D.6 The learned-sampler frontier</t>
        </is>
      </c>
      <c r="P448" s="10" t="inlineStr"/>
    </row>
    <row r="449">
      <c r="A449" s="15" t="n">
        <v>448</v>
      </c>
      <c r="B449" s="15" t="inlineStr">
        <is>
          <t>Part II - The Method Atlas</t>
        </is>
      </c>
      <c r="C449" s="16" t="inlineStr">
        <is>
          <t>Alchemical foundations</t>
        </is>
      </c>
      <c r="D449" s="10" t="inlineStr">
        <is>
          <t>A rigorous statistical-mechanics-first derivation</t>
        </is>
      </c>
      <c r="E449" s="10" t="inlineStr">
        <is>
          <t>Leandro Martínez (UNICAMP</t>
        </is>
      </c>
      <c r="F449" s="11" t="inlineStr">
        <is>
          <t>1:34:46</t>
        </is>
      </c>
      <c r="G449" s="11" t="n">
        <v>1.58</v>
      </c>
      <c r="H449" s="12" t="inlineStr">
        <is>
          <t>★</t>
        </is>
      </c>
      <c r="I449" s="11" t="inlineStr">
        <is>
          <t>Not started</t>
        </is>
      </c>
      <c r="J449" s="13" t="n"/>
      <c r="K449" s="10" t="inlineStr"/>
      <c r="L449" s="14" t="inlineStr">
        <is>
          <t>▶ watch</t>
        </is>
      </c>
      <c r="M449" s="10" t="inlineStr">
        <is>
          <t>Noé et al. 2019, Science 365:eaaw1147 (Boltzmann generators) [landmark] · Klein et al. 2023, NeurIPS (Timewarp)</t>
        </is>
      </c>
      <c r="N449" s="14" t="inlineStr">
        <is>
          <t>read ↗</t>
        </is>
      </c>
      <c r="O449" s="11" t="inlineStr">
        <is>
          <t>reading for D.6 The learned-sampler frontier</t>
        </is>
      </c>
      <c r="P449" s="10" t="inlineStr"/>
    </row>
    <row r="450">
      <c r="A450" s="15" t="n">
        <v>449</v>
      </c>
      <c r="B450" s="15" t="inlineStr">
        <is>
          <t>Part II - The Method Atlas</t>
        </is>
      </c>
      <c r="C450" s="16" t="inlineStr">
        <is>
          <t>Alchemical foundations</t>
        </is>
      </c>
      <c r="D450" s="10" t="inlineStr">
        <is>
          <t>Statistical-mechanical basis of binding free energy</t>
        </is>
      </c>
      <c r="E450" s="10" t="inlineStr">
        <is>
          <t>Benoit Roux (Chicago</t>
        </is>
      </c>
      <c r="F450" s="11" t="inlineStr">
        <is>
          <t>33:43</t>
        </is>
      </c>
      <c r="G450" s="11" t="n">
        <v>0.5600000000000001</v>
      </c>
      <c r="H450" s="12" t="inlineStr">
        <is>
          <t>★</t>
        </is>
      </c>
      <c r="I450" s="11" t="inlineStr">
        <is>
          <t>Not started</t>
        </is>
      </c>
      <c r="J450" s="13" t="n"/>
      <c r="K450" s="10" t="inlineStr"/>
      <c r="L450" s="14" t="inlineStr">
        <is>
          <t>▶ watch</t>
        </is>
      </c>
      <c r="M450" s="10" t="inlineStr">
        <is>
          <t>Noé et al. 2019, Science 365:eaaw1147 (Boltzmann generators) [landmark] · Klein et al. 2023, NeurIPS (Timewarp)</t>
        </is>
      </c>
      <c r="N450" s="14" t="inlineStr">
        <is>
          <t>read ↗</t>
        </is>
      </c>
      <c r="O450" s="11" t="inlineStr">
        <is>
          <t>reading for D.6 The learned-sampler frontier</t>
        </is>
      </c>
      <c r="P450" s="10" t="inlineStr">
        <is>
          <t>B.4 Workshop on Free Energy, Kinetics and MSM in Drug Design, 2018 - 43 videos; I.7 Membrane proteins and large assemblies</t>
        </is>
      </c>
    </row>
    <row r="451">
      <c r="A451" s="15" t="n">
        <v>450</v>
      </c>
      <c r="B451" s="15" t="inlineStr">
        <is>
          <t>Part II - The Method Atlas</t>
        </is>
      </c>
      <c r="C451" s="16" t="inlineStr">
        <is>
          <t>Alchemical foundations</t>
        </is>
      </c>
      <c r="D451" s="10" t="inlineStr">
        <is>
          <t>λ-dynamics and multisite λ-dynamics</t>
        </is>
      </c>
      <c r="E451" s="10" t="inlineStr">
        <is>
          <t>Charles Brooks III (Michigan</t>
        </is>
      </c>
      <c r="F451" s="11" t="inlineStr">
        <is>
          <t>30:56</t>
        </is>
      </c>
      <c r="G451" s="11" t="n">
        <v>0.52</v>
      </c>
      <c r="H451" s="12" t="inlineStr">
        <is>
          <t>★</t>
        </is>
      </c>
      <c r="I451" s="11" t="inlineStr">
        <is>
          <t>Not started</t>
        </is>
      </c>
      <c r="J451" s="13" t="n"/>
      <c r="K451" s="10" t="inlineStr"/>
      <c r="L451" s="14" t="inlineStr">
        <is>
          <t>▶ watch</t>
        </is>
      </c>
      <c r="M451" s="10" t="inlineStr">
        <is>
          <t>Noé et al. 2019, Science 365:eaaw1147 (Boltzmann generators) [landmark] · Klein et al. 2023, NeurIPS (Timewarp)</t>
        </is>
      </c>
      <c r="N451" s="14" t="inlineStr">
        <is>
          <t>read ↗</t>
        </is>
      </c>
      <c r="O451" s="11" t="inlineStr">
        <is>
          <t>reading for D.6 The learned-sampler frontier</t>
        </is>
      </c>
      <c r="P451" s="10" t="inlineStr">
        <is>
          <t>B.4 Workshop on Free Energy, Kinetics and MSM in Drug Design, 2018 - 43 videos</t>
        </is>
      </c>
    </row>
    <row r="452">
      <c r="A452" s="15" t="n">
        <v>451</v>
      </c>
      <c r="B452" s="15" t="inlineStr">
        <is>
          <t>Part II - The Method Atlas</t>
        </is>
      </c>
      <c r="C452" s="16" t="inlineStr">
        <is>
          <t>Alchemical foundations</t>
        </is>
      </c>
      <c r="D452" s="10" t="inlineStr">
        <is>
          <t>Constant-pH and charge-change alchemy</t>
        </is>
      </c>
      <c r="E452" s="10" t="inlineStr">
        <is>
          <t>Thomas Simonson (Polytechnique</t>
        </is>
      </c>
      <c r="F452" s="11" t="inlineStr">
        <is>
          <t>30:44</t>
        </is>
      </c>
      <c r="G452" s="11" t="n">
        <v>0.51</v>
      </c>
      <c r="H452" s="12" t="inlineStr"/>
      <c r="I452" s="11" t="inlineStr">
        <is>
          <t>Not started</t>
        </is>
      </c>
      <c r="J452" s="13" t="n"/>
      <c r="K452" s="10" t="inlineStr"/>
      <c r="L452" s="14" t="inlineStr">
        <is>
          <t>▶ watch</t>
        </is>
      </c>
      <c r="M452" s="10" t="inlineStr">
        <is>
          <t>Noé et al. 2019, Science 365:eaaw1147 (Boltzmann generators) [landmark] · Klein et al. 2023, NeurIPS (Timewarp)</t>
        </is>
      </c>
      <c r="N452" s="14" t="inlineStr">
        <is>
          <t>read ↗</t>
        </is>
      </c>
      <c r="O452" s="11" t="inlineStr">
        <is>
          <t>reading for D.6 The learned-sampler frontier</t>
        </is>
      </c>
      <c r="P452" s="10" t="inlineStr">
        <is>
          <t>B.4 Workshop on Free Energy, Kinetics and MSM in Drug Design, 2018 - 43 videos</t>
        </is>
      </c>
    </row>
    <row r="453">
      <c r="A453" s="15" t="n">
        <v>452</v>
      </c>
      <c r="B453" s="15" t="inlineStr">
        <is>
          <t>Part II - The Method Atlas</t>
        </is>
      </c>
      <c r="C453" s="16" t="inlineStr">
        <is>
          <t>Alchemical foundations</t>
        </is>
      </c>
      <c r="D453" s="10" t="inlineStr">
        <is>
          <t>Soft-core potentials and the end-point singularity</t>
        </is>
      </c>
      <c r="E453" s="10" t="inlineStr">
        <is>
          <t>Darrin York (Rutgers</t>
        </is>
      </c>
      <c r="F453" s="11" t="inlineStr">
        <is>
          <t>26:16</t>
        </is>
      </c>
      <c r="G453" s="11" t="n">
        <v>0.44</v>
      </c>
      <c r="H453" s="12" t="inlineStr">
        <is>
          <t>★</t>
        </is>
      </c>
      <c r="I453" s="11" t="inlineStr">
        <is>
          <t>Not started</t>
        </is>
      </c>
      <c r="J453" s="13" t="n"/>
      <c r="K453" s="10" t="inlineStr"/>
      <c r="L453" s="14" t="inlineStr">
        <is>
          <t>▶ watch</t>
        </is>
      </c>
      <c r="M453" s="10" t="inlineStr">
        <is>
          <t>Noé et al. 2019, Science 365:eaaw1147 (Boltzmann generators) [landmark] · Klein et al. 2023, NeurIPS (Timewarp)</t>
        </is>
      </c>
      <c r="N453" s="14" t="inlineStr">
        <is>
          <t>read ↗</t>
        </is>
      </c>
      <c r="O453" s="11" t="inlineStr">
        <is>
          <t>reading for D.6 The learned-sampler frontier</t>
        </is>
      </c>
      <c r="P453" s="10" t="inlineStr"/>
    </row>
    <row r="454">
      <c r="A454" s="15" t="n">
        <v>453</v>
      </c>
      <c r="B454" s="15" t="inlineStr">
        <is>
          <t>Part II - The Method Atlas</t>
        </is>
      </c>
      <c r="C454" s="16" t="inlineStr">
        <is>
          <t>Alchemical foundations</t>
        </is>
      </c>
      <c r="D454" s="10" t="inlineStr">
        <is>
          <t>Reducing free energy simulations to the bare essentials</t>
        </is>
      </c>
      <c r="E454" s="10" t="inlineStr">
        <is>
          <t>Stefan Boresch (Vienna</t>
        </is>
      </c>
      <c r="F454" s="11" t="inlineStr">
        <is>
          <t>23:34</t>
        </is>
      </c>
      <c r="G454" s="11" t="n">
        <v>0.39</v>
      </c>
      <c r="H454" s="12" t="inlineStr"/>
      <c r="I454" s="11" t="inlineStr">
        <is>
          <t>Not started</t>
        </is>
      </c>
      <c r="J454" s="13" t="n"/>
      <c r="K454" s="10" t="inlineStr"/>
      <c r="L454" s="14" t="inlineStr">
        <is>
          <t>▶ watch</t>
        </is>
      </c>
      <c r="M454" s="10" t="inlineStr">
        <is>
          <t>Noé et al. 2019, Science 365:eaaw1147 (Boltzmann generators) [landmark] · Klein et al. 2023, NeurIPS (Timewarp)</t>
        </is>
      </c>
      <c r="N454" s="14" t="inlineStr">
        <is>
          <t>read ↗</t>
        </is>
      </c>
      <c r="O454" s="11" t="inlineStr">
        <is>
          <t>reading for D.6 The learned-sampler frontier</t>
        </is>
      </c>
      <c r="P454" s="10" t="inlineStr"/>
    </row>
    <row r="455">
      <c r="A455" s="15" t="n">
        <v>454</v>
      </c>
      <c r="B455" s="15" t="inlineStr">
        <is>
          <t>Part II - The Method Atlas</t>
        </is>
      </c>
      <c r="C455" s="16" t="inlineStr">
        <is>
          <t>Alchemical foundations</t>
        </is>
      </c>
      <c r="D455" s="10" t="inlineStr">
        <is>
          <t>Binding free energy calculations with non-equilibrium alchemy</t>
        </is>
      </c>
      <c r="E455" s="10" t="inlineStr">
        <is>
          <t>Vytautas Gapsys (MPI-NAT</t>
        </is>
      </c>
      <c r="F455" s="11" t="inlineStr">
        <is>
          <t>52:01</t>
        </is>
      </c>
      <c r="G455" s="11" t="n">
        <v>0.87</v>
      </c>
      <c r="H455" s="12" t="inlineStr">
        <is>
          <t>★</t>
        </is>
      </c>
      <c r="I455" s="11" t="inlineStr">
        <is>
          <t>Not started</t>
        </is>
      </c>
      <c r="J455" s="13" t="n"/>
      <c r="K455" s="10" t="inlineStr"/>
      <c r="L455" s="14" t="inlineStr">
        <is>
          <t>▶ watch</t>
        </is>
      </c>
      <c r="M455" s="10" t="inlineStr">
        <is>
          <t>Noé et al. 2019, Science 365:eaaw1147 (Boltzmann generators) [landmark] · Klein et al. 2023, NeurIPS (Timewarp)</t>
        </is>
      </c>
      <c r="N455" s="14" t="inlineStr">
        <is>
          <t>read ↗</t>
        </is>
      </c>
      <c r="O455" s="11" t="inlineStr">
        <is>
          <t>reading for D.6 The learned-sampler frontier</t>
        </is>
      </c>
      <c r="P455" s="10" t="inlineStr">
        <is>
          <t>M.4 Binding free energy in practice</t>
        </is>
      </c>
    </row>
    <row r="456">
      <c r="A456" s="15" t="n">
        <v>455</v>
      </c>
      <c r="B456" s="15" t="inlineStr">
        <is>
          <t>Part II - The Method Atlas</t>
        </is>
      </c>
      <c r="C456" s="16" t="inlineStr">
        <is>
          <t>Alchemical foundations</t>
        </is>
      </c>
      <c r="D456" s="10" t="inlineStr">
        <is>
          <t>Free Energy Calculations with BioSimSpace</t>
        </is>
      </c>
      <c r="E456" s="10" t="inlineStr">
        <is>
          <t>CCPBioSim</t>
        </is>
      </c>
      <c r="F456" s="11" t="inlineStr">
        <is>
          <t>19:45</t>
        </is>
      </c>
      <c r="G456" s="11" t="n">
        <v>0.33</v>
      </c>
      <c r="H456" s="12" t="inlineStr"/>
      <c r="I456" s="11" t="inlineStr">
        <is>
          <t>Not started</t>
        </is>
      </c>
      <c r="J456" s="13" t="n"/>
      <c r="K456" s="10" t="inlineStr"/>
      <c r="L456" s="14" t="inlineStr">
        <is>
          <t>▶ watch</t>
        </is>
      </c>
      <c r="M456" s="10" t="inlineStr">
        <is>
          <t>Noé et al. 2019, Science 365:eaaw1147 (Boltzmann generators) [landmark] · Klein et al. 2023, NeurIPS (Timewarp)</t>
        </is>
      </c>
      <c r="N456" s="14" t="inlineStr">
        <is>
          <t>read ↗</t>
        </is>
      </c>
      <c r="O456" s="11" t="inlineStr">
        <is>
          <t>reading for D.6 The learned-sampler frontier</t>
        </is>
      </c>
      <c r="P456" s="10" t="inlineStr"/>
    </row>
    <row r="457">
      <c r="A457" s="15" t="n">
        <v>456</v>
      </c>
      <c r="B457" s="15" t="inlineStr">
        <is>
          <t>Part II - The Method Atlas</t>
        </is>
      </c>
      <c r="C457" s="16" t="inlineStr">
        <is>
          <t>Alchemical foundations</t>
        </is>
      </c>
      <c r="D457" s="10" t="inlineStr">
        <is>
          <t>MDAnalysis and alchemlyb - not fooling yourself with your own estimator</t>
        </is>
      </c>
      <c r="E457" s="10" t="inlineStr">
        <is>
          <t>Richard Gowers (OpenFE</t>
        </is>
      </c>
      <c r="F457" s="11" t="inlineStr">
        <is>
          <t>35:31</t>
        </is>
      </c>
      <c r="G457" s="11" t="n">
        <v>0.59</v>
      </c>
      <c r="H457" s="12" t="inlineStr">
        <is>
          <t>★</t>
        </is>
      </c>
      <c r="I457" s="11" t="inlineStr">
        <is>
          <t>Not started</t>
        </is>
      </c>
      <c r="J457" s="13" t="n"/>
      <c r="K457" s="10" t="inlineStr"/>
      <c r="L457" s="14" t="inlineStr">
        <is>
          <t>▶ watch</t>
        </is>
      </c>
      <c r="M457" s="10" t="inlineStr">
        <is>
          <t>Noé et al. 2019, Science 365:eaaw1147 (Boltzmann generators) [landmark] · Klein et al. 2023, NeurIPS (Timewarp)</t>
        </is>
      </c>
      <c r="N457" s="14" t="inlineStr">
        <is>
          <t>read ↗</t>
        </is>
      </c>
      <c r="O457" s="11" t="inlineStr">
        <is>
          <t>reading for D.6 The learned-sampler frontier</t>
        </is>
      </c>
      <c r="P457" s="10" t="inlineStr"/>
    </row>
    <row r="458">
      <c r="A458" s="15" t="n">
        <v>457</v>
      </c>
      <c r="B458" s="15" t="inlineStr">
        <is>
          <t>Part II - The Method Atlas</t>
        </is>
      </c>
      <c r="C458" s="16" t="inlineStr">
        <is>
          <t>Alchemical foundations</t>
        </is>
      </c>
      <c r="D458" s="10" t="inlineStr">
        <is>
          <t>Open Free Energy: Open Source Alchemy</t>
        </is>
      </c>
      <c r="E458" s="10" t="inlineStr">
        <is>
          <t>Hannah Baumann (OpenFE</t>
        </is>
      </c>
      <c r="F458" s="11" t="inlineStr">
        <is>
          <t>22:03</t>
        </is>
      </c>
      <c r="G458" s="11" t="n">
        <v>0.37</v>
      </c>
      <c r="H458" s="12" t="inlineStr"/>
      <c r="I458" s="11" t="inlineStr">
        <is>
          <t>Not started</t>
        </is>
      </c>
      <c r="J458" s="13" t="n"/>
      <c r="K458" s="10" t="inlineStr"/>
      <c r="L458" s="14" t="inlineStr">
        <is>
          <t>▶ watch</t>
        </is>
      </c>
      <c r="M458" s="10" t="inlineStr">
        <is>
          <t>Noé et al. 2019, Science 365:eaaw1147 (Boltzmann generators) [landmark] · Klein et al. 2023, NeurIPS (Timewarp)</t>
        </is>
      </c>
      <c r="N458" s="14" t="inlineStr">
        <is>
          <t>read ↗</t>
        </is>
      </c>
      <c r="O458" s="11" t="inlineStr">
        <is>
          <t>reading for D.6 The learned-sampler frontier</t>
        </is>
      </c>
      <c r="P458" s="10" t="inlineStr"/>
    </row>
    <row r="459">
      <c r="A459" s="15" t="n">
        <v>458</v>
      </c>
      <c r="B459" s="15" t="inlineStr">
        <is>
          <t>Part II - The Method Atlas</t>
        </is>
      </c>
      <c r="C459" s="16" t="inlineStr">
        <is>
          <t>Alchemical foundations</t>
        </is>
      </c>
      <c r="D459" s="10" t="inlineStr">
        <is>
          <t>Engineering FEP science in the open</t>
        </is>
      </c>
      <c r="E459" s="10" t="inlineStr">
        <is>
          <t>Julien Michel (Edinburgh</t>
        </is>
      </c>
      <c r="F459" s="11" t="inlineStr">
        <is>
          <t>31:18</t>
        </is>
      </c>
      <c r="G459" s="11" t="n">
        <v>0.52</v>
      </c>
      <c r="H459" s="12" t="inlineStr"/>
      <c r="I459" s="11" t="inlineStr">
        <is>
          <t>Not started</t>
        </is>
      </c>
      <c r="J459" s="13" t="n"/>
      <c r="K459" s="10" t="inlineStr"/>
      <c r="L459" s="14" t="inlineStr">
        <is>
          <t>▶ watch</t>
        </is>
      </c>
      <c r="M459" s="10" t="inlineStr">
        <is>
          <t>Noé et al. 2019, Science 365:eaaw1147 (Boltzmann generators) [landmark] · Klein et al. 2023, NeurIPS (Timewarp)</t>
        </is>
      </c>
      <c r="N459" s="14" t="inlineStr">
        <is>
          <t>read ↗</t>
        </is>
      </c>
      <c r="O459" s="11" t="inlineStr">
        <is>
          <t>reading for D.6 The learned-sampler frontier</t>
        </is>
      </c>
      <c r="P459" s="10" t="inlineStr"/>
    </row>
    <row r="460">
      <c r="A460" s="15" t="n">
        <v>459</v>
      </c>
      <c r="B460" s="15" t="inlineStr">
        <is>
          <t>Part II - The Method Atlas</t>
        </is>
      </c>
      <c r="C460" s="16" t="inlineStr">
        <is>
          <t>Alchemical foundations</t>
        </is>
      </c>
      <c r="D460" s="10" t="inlineStr">
        <is>
          <t>Free energy of solids: the 1983 CECAM workshop retrospective</t>
        </is>
      </c>
      <c r="E460" s="10" t="inlineStr">
        <is>
          <t>CECAM</t>
        </is>
      </c>
      <c r="F460" s="11" t="inlineStr">
        <is>
          <t>3:17:06</t>
        </is>
      </c>
      <c r="G460" s="11" t="n">
        <v>3.29</v>
      </c>
      <c r="H460" s="12" t="inlineStr">
        <is>
          <t>★</t>
        </is>
      </c>
      <c r="I460" s="11" t="inlineStr">
        <is>
          <t>Not started</t>
        </is>
      </c>
      <c r="J460" s="13" t="n"/>
      <c r="K460" s="10" t="inlineStr"/>
      <c r="L460" s="14" t="inlineStr">
        <is>
          <t>▶ watch</t>
        </is>
      </c>
      <c r="M460" s="10" t="inlineStr">
        <is>
          <t>Noé et al. 2019, Science 365:eaaw1147 (Boltzmann generators) [landmark] · Klein et al. 2023, NeurIPS (Timewarp)</t>
        </is>
      </c>
      <c r="N460" s="14" t="inlineStr">
        <is>
          <t>read ↗</t>
        </is>
      </c>
      <c r="O460" s="11" t="inlineStr">
        <is>
          <t>reading for D.6 The learned-sampler frontier</t>
        </is>
      </c>
      <c r="P460" s="10" t="inlineStr"/>
    </row>
    <row r="461">
      <c r="A461" s="15" t="n">
        <v>460</v>
      </c>
      <c r="B461" s="15" t="inlineStr">
        <is>
          <t>Part II - The Method Atlas</t>
        </is>
      </c>
      <c r="C461" s="16" t="inlineStr">
        <is>
          <t>Industrial practice, and the skeptics</t>
        </is>
      </c>
      <c r="D461" s="10" t="inlineStr">
        <is>
          <t>FEP and Drug Discovery: Where We've Been and Where We'd Like to Go</t>
        </is>
      </c>
      <c r="E461" s="10" t="inlineStr">
        <is>
          <t>Derek Lowe (Novartis, In the Pipeline</t>
        </is>
      </c>
      <c r="F461" s="11" t="inlineStr">
        <is>
          <t>35:09</t>
        </is>
      </c>
      <c r="G461" s="11" t="n">
        <v>0.59</v>
      </c>
      <c r="H461" s="12" t="inlineStr">
        <is>
          <t>★</t>
        </is>
      </c>
      <c r="I461" s="11" t="inlineStr">
        <is>
          <t>Not started</t>
        </is>
      </c>
      <c r="J461" s="13" t="n"/>
      <c r="K461" s="10" t="inlineStr"/>
      <c r="L461" s="14" t="inlineStr">
        <is>
          <t>▶ watch</t>
        </is>
      </c>
      <c r="M461" s="10" t="inlineStr">
        <is>
          <t>Noé et al. 2019, Science 365:eaaw1147 (Boltzmann generators) [landmark] · Klein et al. 2023, NeurIPS (Timewarp)</t>
        </is>
      </c>
      <c r="N461" s="14" t="inlineStr">
        <is>
          <t>read ↗</t>
        </is>
      </c>
      <c r="O461" s="11" t="inlineStr">
        <is>
          <t>reading for D.6 The learned-sampler frontier</t>
        </is>
      </c>
      <c r="P461" s="10" t="inlineStr"/>
    </row>
    <row r="462">
      <c r="A462" s="15" t="n">
        <v>461</v>
      </c>
      <c r="B462" s="15" t="inlineStr">
        <is>
          <t>Part II - The Method Atlas</t>
        </is>
      </c>
      <c r="C462" s="16" t="inlineStr">
        <is>
          <t>Industrial practice, and the skeptics</t>
        </is>
      </c>
      <c r="D462" s="10" t="inlineStr">
        <is>
          <t>Promises and Limitations: Free Energy Methods in Drug Discovery Projects</t>
        </is>
      </c>
      <c r="E462" s="10" t="inlineStr">
        <is>
          <t>Xin Yan (Merck</t>
        </is>
      </c>
      <c r="F462" s="11" t="inlineStr">
        <is>
          <t>26:51</t>
        </is>
      </c>
      <c r="G462" s="11" t="n">
        <v>0.45</v>
      </c>
      <c r="H462" s="12" t="inlineStr">
        <is>
          <t>★</t>
        </is>
      </c>
      <c r="I462" s="11" t="inlineStr">
        <is>
          <t>Not started</t>
        </is>
      </c>
      <c r="J462" s="13" t="n"/>
      <c r="K462" s="10" t="inlineStr"/>
      <c r="L462" s="14" t="inlineStr">
        <is>
          <t>▶ watch</t>
        </is>
      </c>
      <c r="M462" s="10" t="inlineStr">
        <is>
          <t>Noé et al. 2019, Science 365:eaaw1147 (Boltzmann generators) [landmark] · Klein et al. 2023, NeurIPS (Timewarp)</t>
        </is>
      </c>
      <c r="N462" s="14" t="inlineStr">
        <is>
          <t>read ↗</t>
        </is>
      </c>
      <c r="O462" s="11" t="inlineStr">
        <is>
          <t>reading for D.6 The learned-sampler frontier</t>
        </is>
      </c>
      <c r="P462" s="10" t="inlineStr"/>
    </row>
    <row r="463">
      <c r="A463" s="15" t="n">
        <v>462</v>
      </c>
      <c r="B463" s="15" t="inlineStr">
        <is>
          <t>Part II - The Method Atlas</t>
        </is>
      </c>
      <c r="C463" s="16" t="inlineStr">
        <is>
          <t>Industrial practice, and the skeptics</t>
        </is>
      </c>
      <c r="D463" s="10" t="inlineStr">
        <is>
          <t>The FEP+ author on the FEP+ benchmark</t>
        </is>
      </c>
      <c r="E463" s="10" t="inlineStr">
        <is>
          <t>Lingle Wang (Schrödinger</t>
        </is>
      </c>
      <c r="F463" s="11" t="inlineStr">
        <is>
          <t>35:36</t>
        </is>
      </c>
      <c r="G463" s="11" t="n">
        <v>0.59</v>
      </c>
      <c r="H463" s="12" t="inlineStr">
        <is>
          <t>★</t>
        </is>
      </c>
      <c r="I463" s="11" t="inlineStr">
        <is>
          <t>Not started</t>
        </is>
      </c>
      <c r="J463" s="13" t="n"/>
      <c r="K463" s="10" t="inlineStr"/>
      <c r="L463" s="14" t="inlineStr">
        <is>
          <t>▶ watch</t>
        </is>
      </c>
      <c r="M463" s="10" t="inlineStr">
        <is>
          <t>Noé et al. 2019, Science 365:eaaw1147 (Boltzmann generators) [landmark] · Klein et al. 2023, NeurIPS (Timewarp)</t>
        </is>
      </c>
      <c r="N463" s="14" t="inlineStr">
        <is>
          <t>read ↗</t>
        </is>
      </c>
      <c r="O463" s="11" t="inlineStr">
        <is>
          <t>reading for D.6 The learned-sampler frontier</t>
        </is>
      </c>
      <c r="P463" s="10" t="inlineStr">
        <is>
          <t>B.4 Workshop on Free Energy, Kinetics and MSM in Drug Design, 2018 - 43 videos; M.4 Binding free energy in practice</t>
        </is>
      </c>
    </row>
    <row r="464">
      <c r="A464" s="15" t="n">
        <v>463</v>
      </c>
      <c r="B464" s="15" t="inlineStr">
        <is>
          <t>Part II - The Method Atlas</t>
        </is>
      </c>
      <c r="C464" s="16" t="inlineStr">
        <is>
          <t>Industrial practice, and the skeptics</t>
        </is>
      </c>
      <c r="D464" s="10" t="inlineStr">
        <is>
          <t>Updated FEP+ results</t>
        </is>
      </c>
      <c r="E464" s="10" t="inlineStr">
        <is>
          <t>Lingle Wang</t>
        </is>
      </c>
      <c r="F464" s="11" t="inlineStr">
        <is>
          <t>30:08</t>
        </is>
      </c>
      <c r="G464" s="11" t="n">
        <v>0.5</v>
      </c>
      <c r="H464" s="12" t="inlineStr"/>
      <c r="I464" s="11" t="inlineStr">
        <is>
          <t>Not started</t>
        </is>
      </c>
      <c r="J464" s="13" t="n"/>
      <c r="K464" s="10" t="inlineStr"/>
      <c r="L464" s="14" t="inlineStr">
        <is>
          <t>▶ watch</t>
        </is>
      </c>
      <c r="M464" s="10" t="inlineStr">
        <is>
          <t>Noé et al. 2019, Science 365:eaaw1147 (Boltzmann generators) [landmark] · Klein et al. 2023, NeurIPS (Timewarp)</t>
        </is>
      </c>
      <c r="N464" s="14" t="inlineStr">
        <is>
          <t>read ↗</t>
        </is>
      </c>
      <c r="O464" s="11" t="inlineStr">
        <is>
          <t>reading for D.6 The learned-sampler frontier</t>
        </is>
      </c>
      <c r="P464" s="10" t="inlineStr"/>
    </row>
    <row r="465">
      <c r="A465" s="15" t="n">
        <v>464</v>
      </c>
      <c r="B465" s="15" t="inlineStr">
        <is>
          <t>Part II - The Method Atlas</t>
        </is>
      </c>
      <c r="C465" s="16" t="inlineStr">
        <is>
          <t>Industrial practice, and the skeptics</t>
        </is>
      </c>
      <c r="D465" s="10" t="inlineStr">
        <is>
          <t>IFD-MD and FEP+ with AlphaFold inputs</t>
        </is>
      </c>
      <c r="E465" s="10" t="inlineStr">
        <is>
          <t>Márton Vass (Schrödinger</t>
        </is>
      </c>
      <c r="F465" s="11" t="inlineStr">
        <is>
          <t>55:23</t>
        </is>
      </c>
      <c r="G465" s="11" t="n">
        <v>0.92</v>
      </c>
      <c r="H465" s="12" t="inlineStr"/>
      <c r="I465" s="11" t="inlineStr">
        <is>
          <t>Not started</t>
        </is>
      </c>
      <c r="J465" s="13" t="n"/>
      <c r="K465" s="10" t="inlineStr"/>
      <c r="L465" s="14" t="inlineStr">
        <is>
          <t>▶ watch</t>
        </is>
      </c>
      <c r="M465" s="10" t="inlineStr">
        <is>
          <t>Noé et al. 2019, Science 365:eaaw1147 (Boltzmann generators) [landmark] · Klein et al. 2023, NeurIPS (Timewarp)</t>
        </is>
      </c>
      <c r="N465" s="14" t="inlineStr">
        <is>
          <t>read ↗</t>
        </is>
      </c>
      <c r="O465" s="11" t="inlineStr">
        <is>
          <t>reading for D.6 The learned-sampler frontier</t>
        </is>
      </c>
      <c r="P465" s="10" t="inlineStr"/>
    </row>
    <row r="466">
      <c r="A466" s="15" t="n">
        <v>465</v>
      </c>
      <c r="B466" s="15" t="inlineStr">
        <is>
          <t>Part II - The Method Atlas</t>
        </is>
      </c>
      <c r="C466" s="16" t="inlineStr">
        <is>
          <t>Industrial practice, and the skeptics</t>
        </is>
      </c>
      <c r="D466" s="10" t="inlineStr">
        <is>
          <t>Woody Sherman (Silicon Therapeutics</t>
        </is>
      </c>
      <c r="E466" s="10" t="inlineStr">
        <is>
          <t>Physics-Driven Discovery of SNX281</t>
        </is>
      </c>
      <c r="F466" s="11" t="inlineStr">
        <is>
          <t>54:06</t>
        </is>
      </c>
      <c r="G466" s="11" t="n">
        <v>0.9</v>
      </c>
      <c r="H466" s="12" t="inlineStr">
        <is>
          <t>★</t>
        </is>
      </c>
      <c r="I466" s="11" t="inlineStr">
        <is>
          <t>Not started</t>
        </is>
      </c>
      <c r="J466" s="13" t="n"/>
      <c r="K466" s="10" t="inlineStr"/>
      <c r="L466" s="14" t="inlineStr">
        <is>
          <t>▶ watch</t>
        </is>
      </c>
      <c r="M466" s="10" t="inlineStr">
        <is>
          <t>Noé et al. 2019, Science 365:eaaw1147 (Boltzmann generators) [landmark] · Klein et al. 2023, NeurIPS (Timewarp)</t>
        </is>
      </c>
      <c r="N466" s="14" t="inlineStr">
        <is>
          <t>read ↗</t>
        </is>
      </c>
      <c r="O466" s="11" t="inlineStr">
        <is>
          <t>reading for D.6 The learned-sampler frontier</t>
        </is>
      </c>
      <c r="P466" s="10" t="inlineStr"/>
    </row>
    <row r="467">
      <c r="A467" s="15" t="n">
        <v>466</v>
      </c>
      <c r="B467" s="15" t="inlineStr">
        <is>
          <t>Part II - The Method Atlas</t>
        </is>
      </c>
      <c r="C467" s="16" t="inlineStr">
        <is>
          <t>Industrial practice, and the skeptics</t>
        </is>
      </c>
      <c r="D467" s="10" t="inlineStr">
        <is>
          <t>From Concept to Clinic: a non-CDN STING agonist</t>
        </is>
      </c>
      <c r="E467" s="10" t="inlineStr">
        <is>
          <t>Woody Sherman (Psivant</t>
        </is>
      </c>
      <c r="F467" s="11" t="inlineStr">
        <is>
          <t>29:15</t>
        </is>
      </c>
      <c r="G467" s="11" t="n">
        <v>0.49</v>
      </c>
      <c r="H467" s="12" t="inlineStr"/>
      <c r="I467" s="11" t="inlineStr">
        <is>
          <t>Not started</t>
        </is>
      </c>
      <c r="J467" s="13" t="n"/>
      <c r="K467" s="10" t="inlineStr"/>
      <c r="L467" s="14" t="inlineStr">
        <is>
          <t>▶ watch</t>
        </is>
      </c>
      <c r="M467" s="10" t="inlineStr">
        <is>
          <t>Noé et al. 2019, Science 365:eaaw1147 (Boltzmann generators) [landmark] · Klein et al. 2023, NeurIPS (Timewarp)</t>
        </is>
      </c>
      <c r="N467" s="14" t="inlineStr">
        <is>
          <t>read ↗</t>
        </is>
      </c>
      <c r="O467" s="11" t="inlineStr">
        <is>
          <t>reading for D.6 The learned-sampler frontier</t>
        </is>
      </c>
      <c r="P467" s="10" t="inlineStr"/>
    </row>
    <row r="468">
      <c r="A468" s="15" t="n">
        <v>467</v>
      </c>
      <c r="B468" s="15" t="inlineStr">
        <is>
          <t>Part II - The Method Atlas</t>
        </is>
      </c>
      <c r="C468" s="16" t="inlineStr">
        <is>
          <t>Industrial practice, and the skeptics</t>
        </is>
      </c>
      <c r="D468" s="10" t="inlineStr">
        <is>
          <t>Free Energy Calculations from Butane to COVID-19</t>
        </is>
      </c>
      <c r="E468" s="10" t="inlineStr">
        <is>
          <t>William Jorgensen (Yale</t>
        </is>
      </c>
      <c r="F468" s="11" t="inlineStr">
        <is>
          <t>36:33</t>
        </is>
      </c>
      <c r="G468" s="11" t="n">
        <v>0.61</v>
      </c>
      <c r="H468" s="12" t="inlineStr">
        <is>
          <t>★</t>
        </is>
      </c>
      <c r="I468" s="11" t="inlineStr">
        <is>
          <t>Not started</t>
        </is>
      </c>
      <c r="J468" s="13" t="n"/>
      <c r="K468" s="10" t="inlineStr"/>
      <c r="L468" s="14" t="inlineStr">
        <is>
          <t>▶ watch</t>
        </is>
      </c>
      <c r="M468" s="10" t="inlineStr">
        <is>
          <t>Noé et al. 2019, Science 365:eaaw1147 (Boltzmann generators) [landmark] · Klein et al. 2023, NeurIPS (Timewarp)</t>
        </is>
      </c>
      <c r="N468" s="14" t="inlineStr">
        <is>
          <t>read ↗</t>
        </is>
      </c>
      <c r="O468" s="11" t="inlineStr">
        <is>
          <t>reading for D.6 The learned-sampler frontier</t>
        </is>
      </c>
      <c r="P468" s="10" t="inlineStr">
        <is>
          <t>M.4 Binding free energy in practice</t>
        </is>
      </c>
    </row>
    <row r="469">
      <c r="A469" s="15" t="n">
        <v>468</v>
      </c>
      <c r="B469" s="15" t="inlineStr">
        <is>
          <t>Part II - The Method Atlas</t>
        </is>
      </c>
      <c r="C469" s="16" t="inlineStr">
        <is>
          <t>Industrial practice, and the skeptics</t>
        </is>
      </c>
      <c r="D469" s="10" t="inlineStr">
        <is>
          <t>Absolute binding free energy for pose prediction</t>
        </is>
      </c>
      <c r="E469" s="10" t="inlineStr">
        <is>
          <t>David Minh (IIT</t>
        </is>
      </c>
      <c r="F469" s="11" t="inlineStr">
        <is>
          <t>23:25</t>
        </is>
      </c>
      <c r="G469" s="11" t="n">
        <v>0.39</v>
      </c>
      <c r="H469" s="12" t="inlineStr"/>
      <c r="I469" s="11" t="inlineStr">
        <is>
          <t>Not started</t>
        </is>
      </c>
      <c r="J469" s="13" t="n"/>
      <c r="K469" s="10" t="inlineStr"/>
      <c r="L469" s="14" t="inlineStr">
        <is>
          <t>▶ watch</t>
        </is>
      </c>
      <c r="M469" s="10" t="inlineStr">
        <is>
          <t>Noé et al. 2019, Science 365:eaaw1147 (Boltzmann generators) [landmark] · Klein et al. 2023, NeurIPS (Timewarp)</t>
        </is>
      </c>
      <c r="N469" s="14" t="inlineStr">
        <is>
          <t>read ↗</t>
        </is>
      </c>
      <c r="O469" s="11" t="inlineStr">
        <is>
          <t>reading for D.6 The learned-sampler frontier</t>
        </is>
      </c>
      <c r="P469" s="10" t="inlineStr"/>
    </row>
    <row r="470">
      <c r="A470" s="15" t="n">
        <v>469</v>
      </c>
      <c r="B470" s="15" t="inlineStr">
        <is>
          <t>Part II - The Method Atlas</t>
        </is>
      </c>
      <c r="C470" s="16" t="inlineStr">
        <is>
          <t>Industrial practice, and the skeptics</t>
        </is>
      </c>
      <c r="D470" s="10" t="inlineStr">
        <is>
          <t>Active learning for absolute binding free energies</t>
        </is>
      </c>
      <c r="E470" s="10" t="inlineStr">
        <is>
          <t>Steven Jerome (Broad</t>
        </is>
      </c>
      <c r="F470" s="11" t="inlineStr">
        <is>
          <t>23:11</t>
        </is>
      </c>
      <c r="G470" s="11" t="n">
        <v>0.39</v>
      </c>
      <c r="H470" s="12" t="inlineStr"/>
      <c r="I470" s="11" t="inlineStr">
        <is>
          <t>Not started</t>
        </is>
      </c>
      <c r="J470" s="13" t="n"/>
      <c r="K470" s="10" t="inlineStr"/>
      <c r="L470" s="14" t="inlineStr">
        <is>
          <t>▶ watch</t>
        </is>
      </c>
      <c r="M470" s="10" t="inlineStr">
        <is>
          <t>Noé et al. 2019, Science 365:eaaw1147 (Boltzmann generators) [landmark] · Klein et al. 2023, NeurIPS (Timewarp)</t>
        </is>
      </c>
      <c r="N470" s="14" t="inlineStr">
        <is>
          <t>read ↗</t>
        </is>
      </c>
      <c r="O470" s="11" t="inlineStr">
        <is>
          <t>reading for D.6 The learned-sampler frontier</t>
        </is>
      </c>
      <c r="P470" s="10" t="inlineStr"/>
    </row>
    <row r="471">
      <c r="A471" s="15" t="n">
        <v>470</v>
      </c>
      <c r="B471" s="15" t="inlineStr">
        <is>
          <t>Part II - The Method Atlas</t>
        </is>
      </c>
      <c r="C471" s="16" t="inlineStr">
        <is>
          <t>Industrial practice, and the skeptics</t>
        </is>
      </c>
      <c r="D471" s="10" t="inlineStr">
        <is>
          <t>Large-scale alchemical screening with GROMACS/pmx</t>
        </is>
      </c>
      <c r="E471" s="10" t="inlineStr">
        <is>
          <t>BioExcel #63</t>
        </is>
      </c>
      <c r="F471" s="11" t="inlineStr">
        <is>
          <t>54:29</t>
        </is>
      </c>
      <c r="G471" s="11" t="n">
        <v>0.91</v>
      </c>
      <c r="H471" s="12" t="inlineStr"/>
      <c r="I471" s="11" t="inlineStr">
        <is>
          <t>Not started</t>
        </is>
      </c>
      <c r="J471" s="13" t="n"/>
      <c r="K471" s="10" t="inlineStr"/>
      <c r="L471" s="14" t="inlineStr">
        <is>
          <t>▶ watch</t>
        </is>
      </c>
      <c r="M471" s="10" t="inlineStr">
        <is>
          <t>Noé et al. 2019, Science 365:eaaw1147 (Boltzmann generators) [landmark] · Klein et al. 2023, NeurIPS (Timewarp)</t>
        </is>
      </c>
      <c r="N471" s="14" t="inlineStr">
        <is>
          <t>read ↗</t>
        </is>
      </c>
      <c r="O471" s="11" t="inlineStr">
        <is>
          <t>reading for D.6 The learned-sampler frontier</t>
        </is>
      </c>
      <c r="P471" s="10" t="inlineStr">
        <is>
          <t>M.4 Binding free energy in practice</t>
        </is>
      </c>
    </row>
    <row r="472">
      <c r="A472" s="15" t="n">
        <v>471</v>
      </c>
      <c r="B472" s="15" t="inlineStr">
        <is>
          <t>Part II - The Method Atlas</t>
        </is>
      </c>
      <c r="C472" s="16" t="inlineStr">
        <is>
          <t>Blind challenges</t>
        </is>
      </c>
      <c r="D472" s="10" t="inlineStr">
        <is>
          <t>Challenges, 1:09:32</t>
        </is>
      </c>
      <c r="E472" s="10" t="inlineStr"/>
      <c r="F472" s="11" t="inlineStr">
        <is>
          <t>1:09:32</t>
        </is>
      </c>
      <c r="G472" s="11" t="n">
        <v>1.16</v>
      </c>
      <c r="H472" s="12" t="inlineStr">
        <is>
          <t>★</t>
        </is>
      </c>
      <c r="I472" s="11" t="inlineStr">
        <is>
          <t>Not started</t>
        </is>
      </c>
      <c r="J472" s="13" t="n"/>
      <c r="K472" s="10" t="inlineStr"/>
      <c r="L472" s="14" t="inlineStr">
        <is>
          <t>▶ watch</t>
        </is>
      </c>
      <c r="M472" s="10" t="inlineStr">
        <is>
          <t>Noé et al. 2019, Science 365:eaaw1147 (Boltzmann generators) [landmark] · Klein et al. 2023, NeurIPS (Timewarp)</t>
        </is>
      </c>
      <c r="N472" s="14" t="inlineStr">
        <is>
          <t>read ↗</t>
        </is>
      </c>
      <c r="O472" s="11" t="inlineStr">
        <is>
          <t>reading for D.6 The learned-sampler frontier</t>
        </is>
      </c>
      <c r="P472" s="10" t="inlineStr"/>
    </row>
    <row r="473">
      <c r="A473" s="15" t="n">
        <v>472</v>
      </c>
      <c r="B473" s="15" t="inlineStr">
        <is>
          <t>Part II - The Method Atlas</t>
        </is>
      </c>
      <c r="C473" s="16" t="inlineStr">
        <is>
          <t>Blind challenges</t>
        </is>
      </c>
      <c r="D473" s="10" t="inlineStr">
        <is>
          <t>, 1:09:32</t>
        </is>
      </c>
      <c r="E473" s="10" t="inlineStr"/>
      <c r="F473" s="11" t="inlineStr"/>
      <c r="G473" s="11" t="n">
        <v>0</v>
      </c>
      <c r="H473" s="12" t="inlineStr">
        <is>
          <t>★</t>
        </is>
      </c>
      <c r="I473" s="11" t="inlineStr">
        <is>
          <t>Not started</t>
        </is>
      </c>
      <c r="J473" s="13" t="n"/>
      <c r="K473" s="10" t="inlineStr"/>
      <c r="L473" s="14" t="inlineStr">
        <is>
          <t>▶ watch</t>
        </is>
      </c>
      <c r="M473" s="10" t="inlineStr">
        <is>
          <t>Noé et al. 2019, Science 365:eaaw1147 (Boltzmann generators) [landmark] · Klein et al. 2023, NeurIPS (Timewarp)</t>
        </is>
      </c>
      <c r="N473" s="14" t="inlineStr">
        <is>
          <t>read ↗</t>
        </is>
      </c>
      <c r="O473" s="11" t="inlineStr">
        <is>
          <t>reading for D.6 The learned-sampler frontier</t>
        </is>
      </c>
      <c r="P473" s="10" t="inlineStr"/>
    </row>
    <row r="474">
      <c r="A474" s="15" t="n">
        <v>473</v>
      </c>
      <c r="B474" s="15" t="inlineStr">
        <is>
          <t>Part II - The Method Atlas</t>
        </is>
      </c>
      <c r="C474" s="16" t="inlineStr">
        <is>
          <t>Blind challenges</t>
        </is>
      </c>
      <c r="D474" s="10" t="inlineStr">
        <is>
          <t>, 1:09:32</t>
        </is>
      </c>
      <c r="E474" s="10" t="inlineStr"/>
      <c r="F474" s="11" t="inlineStr"/>
      <c r="G474" s="11" t="n">
        <v>0</v>
      </c>
      <c r="H474" s="12" t="inlineStr">
        <is>
          <t>★</t>
        </is>
      </c>
      <c r="I474" s="11" t="inlineStr">
        <is>
          <t>Not started</t>
        </is>
      </c>
      <c r="J474" s="13" t="n"/>
      <c r="K474" s="10" t="inlineStr"/>
      <c r="L474" s="14" t="inlineStr">
        <is>
          <t>▶ watch</t>
        </is>
      </c>
      <c r="M474" s="10" t="inlineStr">
        <is>
          <t>Noé et al. 2019, Science 365:eaaw1147 (Boltzmann generators) [landmark] · Klein et al. 2023, NeurIPS (Timewarp)</t>
        </is>
      </c>
      <c r="N474" s="14" t="inlineStr">
        <is>
          <t>read ↗</t>
        </is>
      </c>
      <c r="O474" s="11" t="inlineStr">
        <is>
          <t>reading for D.6 The learned-sampler frontier</t>
        </is>
      </c>
      <c r="P474" s="10" t="inlineStr"/>
    </row>
    <row r="475">
      <c r="A475" s="15" t="n">
        <v>474</v>
      </c>
      <c r="B475" s="15" t="inlineStr">
        <is>
          <t>Part II - The Method Atlas</t>
        </is>
      </c>
      <c r="C475" s="16" t="inlineStr">
        <is>
          <t>Blind challenges</t>
        </is>
      </c>
      <c r="D475" s="10" t="inlineStr">
        <is>
          <t>, 1:09:32</t>
        </is>
      </c>
      <c r="E475" s="10" t="inlineStr"/>
      <c r="F475" s="11" t="inlineStr"/>
      <c r="G475" s="11" t="n">
        <v>0</v>
      </c>
      <c r="H475" s="12" t="inlineStr"/>
      <c r="I475" s="11" t="inlineStr">
        <is>
          <t>Not started</t>
        </is>
      </c>
      <c r="J475" s="13" t="n"/>
      <c r="K475" s="10" t="inlineStr"/>
      <c r="L475" s="14" t="inlineStr">
        <is>
          <t>▶ watch</t>
        </is>
      </c>
      <c r="M475" s="10" t="inlineStr">
        <is>
          <t>Noé et al. 2019, Science 365:eaaw1147 (Boltzmann generators) [landmark] · Klein et al. 2023, NeurIPS (Timewarp)</t>
        </is>
      </c>
      <c r="N475" s="14" t="inlineStr">
        <is>
          <t>read ↗</t>
        </is>
      </c>
      <c r="O475" s="11" t="inlineStr">
        <is>
          <t>reading for D.6 The learned-sampler frontier</t>
        </is>
      </c>
      <c r="P475" s="10" t="inlineStr"/>
    </row>
    <row r="476">
      <c r="A476" s="15" t="n">
        <v>475</v>
      </c>
      <c r="B476" s="15" t="inlineStr">
        <is>
          <t>Part II - The Method Atlas</t>
        </is>
      </c>
      <c r="C476" s="16" t="inlineStr">
        <is>
          <t>Blind challenges</t>
        </is>
      </c>
      <c r="D476" s="10" t="inlineStr">
        <is>
          <t>, 1:09:32</t>
        </is>
      </c>
      <c r="E476" s="10" t="inlineStr"/>
      <c r="F476" s="11" t="inlineStr"/>
      <c r="G476" s="11" t="n">
        <v>0</v>
      </c>
      <c r="H476" s="12" t="inlineStr"/>
      <c r="I476" s="11" t="inlineStr">
        <is>
          <t>Not started</t>
        </is>
      </c>
      <c r="J476" s="13" t="n"/>
      <c r="K476" s="10" t="inlineStr"/>
      <c r="L476" s="14" t="inlineStr">
        <is>
          <t>▶ watch</t>
        </is>
      </c>
      <c r="M476" s="10" t="inlineStr">
        <is>
          <t>Noé et al. 2019, Science 365:eaaw1147 (Boltzmann generators) [landmark] · Klein et al. 2023, NeurIPS (Timewarp)</t>
        </is>
      </c>
      <c r="N476" s="14" t="inlineStr">
        <is>
          <t>read ↗</t>
        </is>
      </c>
      <c r="O476" s="11" t="inlineStr">
        <is>
          <t>reading for D.6 The learned-sampler frontier</t>
        </is>
      </c>
      <c r="P476" s="10" t="inlineStr"/>
    </row>
    <row r="477">
      <c r="A477" s="15" t="n">
        <v>476</v>
      </c>
      <c r="B477" s="15" t="inlineStr">
        <is>
          <t>Part II - The Method Atlas</t>
        </is>
      </c>
      <c r="C477" s="16" t="inlineStr">
        <is>
          <t>Blind challenges</t>
        </is>
      </c>
      <c r="D477" s="10" t="inlineStr">
        <is>
          <t>, the field arguing openly about what the challenges actually measured · the 2018 version · Chodera's submission post-mortem · Gapsys under blind conditions · Mobley on SAMPL</t>
        </is>
      </c>
      <c r="E477" s="10" t="inlineStr"/>
      <c r="F477" s="11" t="inlineStr"/>
      <c r="G477" s="11" t="n">
        <v>0</v>
      </c>
      <c r="H477" s="12" t="inlineStr">
        <is>
          <t>★</t>
        </is>
      </c>
      <c r="I477" s="11" t="inlineStr">
        <is>
          <t>Not started</t>
        </is>
      </c>
      <c r="J477" s="13" t="n"/>
      <c r="K477" s="10" t="inlineStr"/>
      <c r="L477" s="14" t="inlineStr">
        <is>
          <t>▶ watch</t>
        </is>
      </c>
      <c r="M477" s="10" t="inlineStr">
        <is>
          <t>Noé et al. 2019, Science 365:eaaw1147 (Boltzmann generators) [landmark] · Klein et al. 2023, NeurIPS (Timewarp)</t>
        </is>
      </c>
      <c r="N477" s="14" t="inlineStr">
        <is>
          <t>read ↗</t>
        </is>
      </c>
      <c r="O477" s="11" t="inlineStr">
        <is>
          <t>reading for D.6 The learned-sampler frontier</t>
        </is>
      </c>
      <c r="P477" s="10" t="inlineStr"/>
    </row>
    <row r="478">
      <c r="A478" s="15" t="n">
        <v>477</v>
      </c>
      <c r="B478" s="15" t="inlineStr">
        <is>
          <t>Part II - The Method Atlas</t>
        </is>
      </c>
      <c r="C478" s="16" t="inlineStr">
        <is>
          <t>Blind challenges</t>
        </is>
      </c>
      <c r="D478" s="10" t="inlineStr">
        <is>
          <t>the SAMPL6 pKa challenge, where nearly every method failed informatively</t>
        </is>
      </c>
      <c r="E478" s="10" t="inlineStr"/>
      <c r="F478" s="11" t="inlineStr"/>
      <c r="G478" s="11" t="n">
        <v>0</v>
      </c>
      <c r="H478" s="12" t="inlineStr">
        <is>
          <t>★</t>
        </is>
      </c>
      <c r="I478" s="11" t="inlineStr">
        <is>
          <t>Not started</t>
        </is>
      </c>
      <c r="J478" s="13" t="n"/>
      <c r="K478" s="10" t="inlineStr"/>
      <c r="L478" s="14" t="inlineStr">
        <is>
          <t>▶ watch</t>
        </is>
      </c>
      <c r="M478" s="10" t="inlineStr">
        <is>
          <t>Noé et al. 2019, Science 365:eaaw1147 (Boltzmann generators) [landmark] · Klein et al. 2023, NeurIPS (Timewarp)</t>
        </is>
      </c>
      <c r="N478" s="14" t="inlineStr">
        <is>
          <t>read ↗</t>
        </is>
      </c>
      <c r="O478" s="11" t="inlineStr">
        <is>
          <t>reading for D.6 The learned-sampler frontier</t>
        </is>
      </c>
      <c r="P478" s="10" t="inlineStr"/>
    </row>
    <row r="479">
      <c r="A479" s="15" t="n">
        <v>478</v>
      </c>
      <c r="B479" s="15" t="inlineStr">
        <is>
          <t>Part II - The Method Atlas</t>
        </is>
      </c>
      <c r="C479" s="16" t="inlineStr">
        <is>
          <t>Nonequilibrium methods</t>
        </is>
      </c>
      <c r="D479" s="10" t="inlineStr">
        <is>
          <t>(see curriculum section)</t>
        </is>
      </c>
      <c r="E479" s="10" t="inlineStr"/>
      <c r="F479" s="11" t="inlineStr">
        <is>
          <t>1:14:06</t>
        </is>
      </c>
      <c r="G479" s="11" t="n">
        <v>1.24</v>
      </c>
      <c r="H479" s="12" t="inlineStr"/>
      <c r="I479" s="11" t="inlineStr">
        <is>
          <t>Not started</t>
        </is>
      </c>
      <c r="J479" s="13" t="n"/>
      <c r="K479" s="10" t="inlineStr"/>
      <c r="L479" s="14" t="inlineStr">
        <is>
          <t>▶ watch</t>
        </is>
      </c>
      <c r="M479" s="10" t="inlineStr">
        <is>
          <t>Noé et al. 2019, Science 365:eaaw1147 (Boltzmann generators) [landmark] · Klein et al. 2023, NeurIPS (Timewarp)</t>
        </is>
      </c>
      <c r="N479" s="14" t="inlineStr">
        <is>
          <t>read ↗</t>
        </is>
      </c>
      <c r="O479" s="11" t="inlineStr">
        <is>
          <t>reading for D.6 The learned-sampler frontier</t>
        </is>
      </c>
      <c r="P479" s="10" t="inlineStr"/>
    </row>
    <row r="480">
      <c r="A480" s="15" t="n">
        <v>479</v>
      </c>
      <c r="B480" s="15" t="inlineStr">
        <is>
          <t>Part II - The Method Atlas</t>
        </is>
      </c>
      <c r="C480" s="16" t="inlineStr">
        <is>
          <t>Nonequilibrium methods</t>
        </is>
      </c>
      <c r="D480" s="10" t="inlineStr">
        <is>
          <t>Nonequilibrium Statistical Mechanics II</t>
        </is>
      </c>
      <c r="E480" s="10" t="inlineStr"/>
      <c r="F480" s="11" t="inlineStr">
        <is>
          <t>1:14:06</t>
        </is>
      </c>
      <c r="G480" s="11" t="n">
        <v>1.24</v>
      </c>
      <c r="H480" s="12" t="inlineStr"/>
      <c r="I480" s="11" t="inlineStr">
        <is>
          <t>Not started</t>
        </is>
      </c>
      <c r="J480" s="13" t="n"/>
      <c r="K480" s="10" t="inlineStr"/>
      <c r="L480" s="14" t="inlineStr">
        <is>
          <t>▶ watch</t>
        </is>
      </c>
      <c r="M480" s="10" t="inlineStr">
        <is>
          <t>Noé et al. 2019, Science 365:eaaw1147 (Boltzmann generators) [landmark] · Klein et al. 2023, NeurIPS (Timewarp)</t>
        </is>
      </c>
      <c r="N480" s="14" t="inlineStr">
        <is>
          <t>read ↗</t>
        </is>
      </c>
      <c r="O480" s="11" t="inlineStr">
        <is>
          <t>reading for D.6 The learned-sampler frontier</t>
        </is>
      </c>
      <c r="P480" s="10" t="inlineStr"/>
    </row>
    <row r="481">
      <c r="A481" s="15" t="n">
        <v>480</v>
      </c>
      <c r="B481" s="15" t="inlineStr">
        <is>
          <t>Part II - The Method Atlas</t>
        </is>
      </c>
      <c r="C481" s="16" t="inlineStr">
        <is>
          <t>Nonequilibrium methods</t>
        </is>
      </c>
      <c r="D481" s="10" t="inlineStr">
        <is>
          <t>Nonequilibrium Statistical Mechanics II</t>
        </is>
      </c>
      <c r="E481" s="10" t="inlineStr"/>
      <c r="F481" s="11" t="inlineStr"/>
      <c r="G481" s="11" t="n">
        <v>0</v>
      </c>
      <c r="H481" s="12" t="inlineStr"/>
      <c r="I481" s="11" t="inlineStr">
        <is>
          <t>Not started</t>
        </is>
      </c>
      <c r="J481" s="13" t="n"/>
      <c r="K481" s="10" t="inlineStr"/>
      <c r="L481" s="14" t="inlineStr">
        <is>
          <t>▶ watch</t>
        </is>
      </c>
      <c r="M481" s="10" t="inlineStr">
        <is>
          <t>Noé et al. 2019, Science 365:eaaw1147 (Boltzmann generators) [landmark] · Klein et al. 2023, NeurIPS (Timewarp)</t>
        </is>
      </c>
      <c r="N481" s="14" t="inlineStr">
        <is>
          <t>read ↗</t>
        </is>
      </c>
      <c r="O481" s="11" t="inlineStr">
        <is>
          <t>reading for D.6 The learned-sampler frontier</t>
        </is>
      </c>
      <c r="P481" s="10" t="inlineStr"/>
    </row>
    <row r="482">
      <c r="A482" s="15" t="n">
        <v>481</v>
      </c>
      <c r="B482" s="15" t="inlineStr">
        <is>
          <t>Part II - The Method Atlas</t>
        </is>
      </c>
      <c r="C482" s="16" t="inlineStr">
        <is>
          <t>Nonequilibrium methods</t>
        </is>
      </c>
      <c r="D482" s="10" t="inlineStr">
        <is>
          <t>Nonequilibrium Statistical Mechanics II</t>
        </is>
      </c>
      <c r="E482" s="10" t="inlineStr"/>
      <c r="F482" s="11" t="inlineStr"/>
      <c r="G482" s="11" t="n">
        <v>0</v>
      </c>
      <c r="H482" s="12" t="inlineStr"/>
      <c r="I482" s="11" t="inlineStr">
        <is>
          <t>Not started</t>
        </is>
      </c>
      <c r="J482" s="13" t="n"/>
      <c r="K482" s="10" t="inlineStr"/>
      <c r="L482" s="14" t="inlineStr">
        <is>
          <t>▶ watch</t>
        </is>
      </c>
      <c r="M482" s="10" t="inlineStr">
        <is>
          <t>Noé et al. 2019, Science 365:eaaw1147 (Boltzmann generators) [landmark] · Klein et al. 2023, NeurIPS (Timewarp)</t>
        </is>
      </c>
      <c r="N482" s="14" t="inlineStr">
        <is>
          <t>read ↗</t>
        </is>
      </c>
      <c r="O482" s="11" t="inlineStr">
        <is>
          <t>reading for D.6 The learned-sampler frontier</t>
        </is>
      </c>
      <c r="P482" s="10" t="inlineStr"/>
    </row>
    <row r="483">
      <c r="A483" s="15" t="n">
        <v>482</v>
      </c>
      <c r="B483" s="15" t="inlineStr">
        <is>
          <t>Part II - The Method Atlas</t>
        </is>
      </c>
      <c r="C483" s="16" t="inlineStr">
        <is>
          <t>Nonequilibrium methods</t>
        </is>
      </c>
      <c r="D483" s="10" t="inlineStr">
        <is>
          <t>properly</t>
        </is>
      </c>
      <c r="E483" s="10" t="inlineStr"/>
      <c r="F483" s="11" t="inlineStr"/>
      <c r="G483" s="11" t="n">
        <v>0</v>
      </c>
      <c r="H483" s="12" t="inlineStr">
        <is>
          <t>★</t>
        </is>
      </c>
      <c r="I483" s="11" t="inlineStr">
        <is>
          <t>Not started</t>
        </is>
      </c>
      <c r="J483" s="13" t="n"/>
      <c r="K483" s="10" t="inlineStr"/>
      <c r="L483" s="14" t="inlineStr">
        <is>
          <t>▶ watch</t>
        </is>
      </c>
      <c r="M483" s="10" t="inlineStr">
        <is>
          <t>Noé et al. 2019, Science 365:eaaw1147 (Boltzmann generators) [landmark] · Klein et al. 2023, NeurIPS (Timewarp)</t>
        </is>
      </c>
      <c r="N483" s="14" t="inlineStr">
        <is>
          <t>read ↗</t>
        </is>
      </c>
      <c r="O483" s="11" t="inlineStr">
        <is>
          <t>reading for D.6 The learned-sampler frontier</t>
        </is>
      </c>
      <c r="P483" s="10" t="inlineStr"/>
    </row>
    <row r="484">
      <c r="A484" s="15" t="n">
        <v>483</v>
      </c>
      <c r="B484" s="15" t="inlineStr">
        <is>
          <t>Part II - The Method Atlas</t>
        </is>
      </c>
      <c r="C484" s="16" t="inlineStr">
        <is>
          <t>Nonequilibrium methods</t>
        </is>
      </c>
      <c r="D484" s="10" t="inlineStr">
        <is>
          <t>a two-hour derivation</t>
        </is>
      </c>
      <c r="E484" s="10" t="inlineStr"/>
      <c r="F484" s="11" t="inlineStr"/>
      <c r="G484" s="11" t="n">
        <v>0</v>
      </c>
      <c r="H484" s="12" t="inlineStr">
        <is>
          <t>★</t>
        </is>
      </c>
      <c r="I484" s="11" t="inlineStr">
        <is>
          <t>Not started</t>
        </is>
      </c>
      <c r="J484" s="13" t="n"/>
      <c r="K484" s="10" t="inlineStr"/>
      <c r="L484" s="14" t="inlineStr">
        <is>
          <t>▶ watch</t>
        </is>
      </c>
      <c r="M484" s="10" t="inlineStr">
        <is>
          <t>Noé et al. 2019, Science 365:eaaw1147 (Boltzmann generators) [landmark] · Klein et al. 2023, NeurIPS (Timewarp)</t>
        </is>
      </c>
      <c r="N484" s="14" t="inlineStr">
        <is>
          <t>read ↗</t>
        </is>
      </c>
      <c r="O484" s="11" t="inlineStr">
        <is>
          <t>reading for D.6 The learned-sampler frontier</t>
        </is>
      </c>
      <c r="P484" s="10" t="inlineStr"/>
    </row>
    <row r="485">
      <c r="A485" s="15" t="n">
        <v>484</v>
      </c>
      <c r="B485" s="15" t="inlineStr">
        <is>
          <t>Part II - The Method Atlas</t>
        </is>
      </c>
      <c r="C485" s="16" t="inlineStr">
        <is>
          <t>Nonequilibrium methods</t>
        </is>
      </c>
      <c r="D485" s="10" t="inlineStr">
        <is>
          <t>a two-hour derivation</t>
        </is>
      </c>
      <c r="E485" s="10" t="inlineStr"/>
      <c r="F485" s="11" t="inlineStr"/>
      <c r="G485" s="11" t="n">
        <v>0</v>
      </c>
      <c r="H485" s="12" t="inlineStr">
        <is>
          <t>★</t>
        </is>
      </c>
      <c r="I485" s="11" t="inlineStr">
        <is>
          <t>Not started</t>
        </is>
      </c>
      <c r="J485" s="13" t="n"/>
      <c r="K485" s="10" t="inlineStr"/>
      <c r="L485" s="14" t="inlineStr">
        <is>
          <t>▶ watch</t>
        </is>
      </c>
      <c r="M485" s="10" t="inlineStr">
        <is>
          <t>Noé et al. 2019, Science 365:eaaw1147 (Boltzmann generators) [landmark] · Klein et al. 2023, NeurIPS (Timewarp)</t>
        </is>
      </c>
      <c r="N485" s="14" t="inlineStr">
        <is>
          <t>read ↗</t>
        </is>
      </c>
      <c r="O485" s="11" t="inlineStr">
        <is>
          <t>reading for D.6 The learned-sampler frontier</t>
        </is>
      </c>
      <c r="P485" s="10" t="inlineStr"/>
    </row>
    <row r="486">
      <c r="A486" s="15" t="n">
        <v>485</v>
      </c>
      <c r="B486" s="15" t="inlineStr">
        <is>
          <t>Part II - The Method Atlas</t>
        </is>
      </c>
      <c r="C486" s="16" t="inlineStr">
        <is>
          <t>ΔΔG of mutation</t>
        </is>
      </c>
      <c r="D486" s="10" t="inlineStr">
        <is>
          <t>(see curriculum section)</t>
        </is>
      </c>
      <c r="E486" s="10" t="inlineStr">
        <is>
          <t>BioExcel CoE</t>
        </is>
      </c>
      <c r="F486" s="11" t="inlineStr">
        <is>
          <t>1:02:00</t>
        </is>
      </c>
      <c r="G486" s="11" t="n">
        <v>1.03</v>
      </c>
      <c r="H486" s="12" t="inlineStr"/>
      <c r="I486" s="11" t="inlineStr">
        <is>
          <t>Not started</t>
        </is>
      </c>
      <c r="J486" s="13" t="n"/>
      <c r="K486" s="10" t="inlineStr"/>
      <c r="L486" s="14" t="inlineStr">
        <is>
          <t>▶ watch</t>
        </is>
      </c>
      <c r="M486" s="10" t="inlineStr">
        <is>
          <t>Noé et al. 2019, Science 365:eaaw1147 (Boltzmann generators) [landmark] · Klein et al. 2023, NeurIPS (Timewarp)</t>
        </is>
      </c>
      <c r="N486" s="14" t="inlineStr">
        <is>
          <t>read ↗</t>
        </is>
      </c>
      <c r="O486" s="11" t="inlineStr">
        <is>
          <t>reading for D.6 The learned-sampler frontier</t>
        </is>
      </c>
      <c r="P486" s="10" t="inlineStr">
        <is>
          <t>M.4 Binding free energy in practice</t>
        </is>
      </c>
    </row>
    <row r="487">
      <c r="A487" s="15" t="n">
        <v>486</v>
      </c>
      <c r="B487" s="15" t="inlineStr">
        <is>
          <t>Part II - The Method Atlas</t>
        </is>
      </c>
      <c r="C487" s="16" t="inlineStr">
        <is>
          <t>ΔΔG of mutation</t>
        </is>
      </c>
      <c r="D487" s="10" t="inlineStr">
        <is>
          <t>the current pmx</t>
        </is>
      </c>
      <c r="E487" s="10" t="inlineStr"/>
      <c r="F487" s="11" t="inlineStr"/>
      <c r="G487" s="11" t="n">
        <v>0</v>
      </c>
      <c r="H487" s="12" t="inlineStr"/>
      <c r="I487" s="11" t="inlineStr">
        <is>
          <t>Not started</t>
        </is>
      </c>
      <c r="J487" s="13" t="n"/>
      <c r="K487" s="10" t="inlineStr"/>
      <c r="L487" s="14" t="inlineStr">
        <is>
          <t>▶ watch</t>
        </is>
      </c>
      <c r="M487" s="10" t="inlineStr">
        <is>
          <t>Noé et al. 2019, Science 365:eaaw1147 (Boltzmann generators) [landmark] · Klein et al. 2023, NeurIPS (Timewarp)</t>
        </is>
      </c>
      <c r="N487" s="14" t="inlineStr">
        <is>
          <t>read ↗</t>
        </is>
      </c>
      <c r="O487" s="11" t="inlineStr">
        <is>
          <t>reading for D.6 The learned-sampler frontier</t>
        </is>
      </c>
      <c r="P487" s="10" t="inlineStr"/>
    </row>
    <row r="488">
      <c r="A488" s="15" t="n">
        <v>487</v>
      </c>
      <c r="B488" s="15" t="inlineStr">
        <is>
          <t>Part II - The Method Atlas</t>
        </is>
      </c>
      <c r="C488" s="16" t="inlineStr">
        <is>
          <t>ΔΔG of mutation</t>
        </is>
      </c>
      <c r="D488" s="10" t="inlineStr">
        <is>
          <t>the teaching version</t>
        </is>
      </c>
      <c r="E488" s="10" t="inlineStr"/>
      <c r="F488" s="11" t="inlineStr"/>
      <c r="G488" s="11" t="n">
        <v>0</v>
      </c>
      <c r="H488" s="12" t="inlineStr"/>
      <c r="I488" s="11" t="inlineStr">
        <is>
          <t>Not started</t>
        </is>
      </c>
      <c r="J488" s="13" t="n"/>
      <c r="K488" s="10" t="inlineStr"/>
      <c r="L488" s="14" t="inlineStr">
        <is>
          <t>▶ watch</t>
        </is>
      </c>
      <c r="M488" s="10" t="inlineStr">
        <is>
          <t>Noé et al. 2019, Science 365:eaaw1147 (Boltzmann generators) [landmark] · Klein et al. 2023, NeurIPS (Timewarp)</t>
        </is>
      </c>
      <c r="N488" s="14" t="inlineStr">
        <is>
          <t>read ↗</t>
        </is>
      </c>
      <c r="O488" s="11" t="inlineStr">
        <is>
          <t>reading for D.6 The learned-sampler frontier</t>
        </is>
      </c>
      <c r="P488" s="10" t="inlineStr"/>
    </row>
    <row r="489">
      <c r="A489" s="15" t="n">
        <v>488</v>
      </c>
      <c r="B489" s="15" t="inlineStr">
        <is>
          <t>Part II - The Method Atlas</t>
        </is>
      </c>
      <c r="C489" s="16" t="inlineStr">
        <is>
          <t>ΔΔG of mutation</t>
        </is>
      </c>
      <c r="D489" s="10" t="inlineStr">
        <is>
          <t>applications to protein stability and resistance mutations</t>
        </is>
      </c>
      <c r="E489" s="10" t="inlineStr"/>
      <c r="F489" s="11" t="inlineStr"/>
      <c r="G489" s="11" t="n">
        <v>0</v>
      </c>
      <c r="H489" s="12" t="inlineStr"/>
      <c r="I489" s="11" t="inlineStr">
        <is>
          <t>Not started</t>
        </is>
      </c>
      <c r="J489" s="13" t="n"/>
      <c r="K489" s="10" t="inlineStr"/>
      <c r="L489" s="14" t="inlineStr">
        <is>
          <t>▶ watch</t>
        </is>
      </c>
      <c r="M489" s="10" t="inlineStr">
        <is>
          <t>Noé et al. 2019, Science 365:eaaw1147 (Boltzmann generators) [landmark] · Klein et al. 2023, NeurIPS (Timewarp)</t>
        </is>
      </c>
      <c r="N489" s="14" t="inlineStr">
        <is>
          <t>read ↗</t>
        </is>
      </c>
      <c r="O489" s="11" t="inlineStr">
        <is>
          <t>reading for D.6 The learned-sampler frontier</t>
        </is>
      </c>
      <c r="P489" s="10" t="inlineStr"/>
    </row>
    <row r="490">
      <c r="A490" s="15" t="n">
        <v>489</v>
      </c>
      <c r="B490" s="15" t="inlineStr">
        <is>
          <t>Part II - The Method Atlas</t>
        </is>
      </c>
      <c r="C490" s="16" t="inlineStr">
        <is>
          <t>ΔΔG of mutation</t>
        </is>
      </c>
      <c r="D490" s="10" t="inlineStr">
        <is>
          <t>the one honest, non-promotional MM-GBSA tutorial</t>
        </is>
      </c>
      <c r="E490" s="10" t="inlineStr"/>
      <c r="F490" s="11" t="inlineStr"/>
      <c r="G490" s="11" t="n">
        <v>0</v>
      </c>
      <c r="H490" s="12" t="inlineStr">
        <is>
          <t>★</t>
        </is>
      </c>
      <c r="I490" s="11" t="inlineStr">
        <is>
          <t>Not started</t>
        </is>
      </c>
      <c r="J490" s="13" t="n"/>
      <c r="K490" s="10" t="inlineStr"/>
      <c r="L490" s="14" t="inlineStr">
        <is>
          <t>▶ watch</t>
        </is>
      </c>
      <c r="M490" s="10" t="inlineStr">
        <is>
          <t>Noé et al. 2019, Science 365:eaaw1147 (Boltzmann generators) [landmark] · Klein et al. 2023, NeurIPS (Timewarp)</t>
        </is>
      </c>
      <c r="N490" s="14" t="inlineStr">
        <is>
          <t>read ↗</t>
        </is>
      </c>
      <c r="O490" s="11" t="inlineStr">
        <is>
          <t>reading for D.6 The learned-sampler frontier</t>
        </is>
      </c>
      <c r="P490" s="10" t="inlineStr"/>
    </row>
    <row r="491">
      <c r="A491" s="15" t="n">
        <v>490</v>
      </c>
      <c r="B491" s="15" t="inlineStr">
        <is>
          <t>Part II - The Method Atlas</t>
        </is>
      </c>
      <c r="C491" s="16" t="inlineStr">
        <is>
          <t>E.2 The estimators</t>
        </is>
      </c>
      <c r="D491" s="10" t="inlineStr">
        <is>
          <t>FEAT: Free energy Estimators with Adaptive Transport</t>
        </is>
      </c>
      <c r="E491" s="10" t="inlineStr">
        <is>
          <t>Du &amp; He (Valence</t>
        </is>
      </c>
      <c r="F491" s="11" t="inlineStr">
        <is>
          <t>1:00:59</t>
        </is>
      </c>
      <c r="G491" s="11" t="n">
        <v>1.02</v>
      </c>
      <c r="H491" s="12" t="inlineStr">
        <is>
          <t>★</t>
        </is>
      </c>
      <c r="I491" s="11" t="inlineStr">
        <is>
          <t>Not started</t>
        </is>
      </c>
      <c r="J491" s="13" t="n"/>
      <c r="K491" s="10" t="inlineStr"/>
      <c r="L491" s="14" t="inlineStr">
        <is>
          <t>▶ watch</t>
        </is>
      </c>
      <c r="M491" s="10" t="inlineStr">
        <is>
          <t>, and this is a short canonical list: Zwanzig 1954, JCP 22:1420 (FEP) · Kirkwood 1935, JCP 3:300 (thermodynamic integration)</t>
        </is>
      </c>
      <c r="N491" s="14" t="inlineStr">
        <is>
          <t>read ↗</t>
        </is>
      </c>
      <c r="O491" s="11" t="inlineStr">
        <is>
          <t>section reading (2 of 7)</t>
        </is>
      </c>
      <c r="P491" s="10" t="inlineStr">
        <is>
          <t>Simulation, force fields, coarse-graining and sampling</t>
        </is>
      </c>
    </row>
    <row r="492">
      <c r="A492" s="15" t="n">
        <v>491</v>
      </c>
      <c r="B492" s="15" t="inlineStr">
        <is>
          <t>Part II - The Method Atlas</t>
        </is>
      </c>
      <c r="C492" s="16" t="inlineStr">
        <is>
          <t>E.3 Binding free energies</t>
        </is>
      </c>
      <c r="D492" s="10" t="inlineStr">
        <is>
          <t>Boltz-2: affinity prediction</t>
        </is>
      </c>
      <c r="E492" s="10" t="inlineStr">
        <is>
          <t>Valence</t>
        </is>
      </c>
      <c r="F492" s="11" t="inlineStr">
        <is>
          <t>59:27</t>
        </is>
      </c>
      <c r="G492" s="11" t="n">
        <v>0.99</v>
      </c>
      <c r="H492" s="12" t="inlineStr">
        <is>
          <t>★</t>
        </is>
      </c>
      <c r="I492" s="11" t="inlineStr">
        <is>
          <t>Not started</t>
        </is>
      </c>
      <c r="J492" s="13" t="n"/>
      <c r="K492" s="10" t="inlineStr"/>
      <c r="L492" s="14" t="inlineStr">
        <is>
          <t>▶ watch</t>
        </is>
      </c>
      <c r="M492" s="10" t="inlineStr">
        <is>
          <t>The Boltz-2 paper</t>
        </is>
      </c>
      <c r="N492" s="14" t="inlineStr">
        <is>
          <t>read ↗</t>
        </is>
      </c>
      <c r="O492" s="11" t="inlineStr">
        <is>
          <t>paired reading</t>
        </is>
      </c>
      <c r="P492" s="10" t="inlineStr">
        <is>
          <t>E.7.1 AlphaFold, OpenFold and what training actually costs; P.4 AlphaFold3 and the co-folding era; Structure prediction, design and biomolecular foundation models</t>
        </is>
      </c>
    </row>
    <row r="493">
      <c r="A493" s="15" t="n">
        <v>492</v>
      </c>
      <c r="B493" s="15" t="inlineStr">
        <is>
          <t>Part II - The Method Atlas</t>
        </is>
      </c>
      <c r="C493" s="16" t="inlineStr">
        <is>
          <t>E.3 Binding free energies</t>
        </is>
      </c>
      <c r="D493" s="10" t="inlineStr">
        <is>
          <t>Quantitative Affinity Data at Scale: the Data Bottleneck</t>
        </is>
      </c>
      <c r="E493" s="10" t="inlineStr">
        <is>
          <t>Murakowska (BPDMC</t>
        </is>
      </c>
      <c r="F493" s="11" t="inlineStr">
        <is>
          <t>47:16</t>
        </is>
      </c>
      <c r="G493" s="11" t="n">
        <v>0.79</v>
      </c>
      <c r="H493" s="12" t="inlineStr">
        <is>
          <t>★</t>
        </is>
      </c>
      <c r="I493" s="11" t="inlineStr">
        <is>
          <t>Not started</t>
        </is>
      </c>
      <c r="J493" s="13" t="n"/>
      <c r="K493" s="10" t="inlineStr"/>
      <c r="L493" s="14" t="inlineStr">
        <is>
          <t>▶ watch</t>
        </is>
      </c>
      <c r="M493" s="10" t="inlineStr">
        <is>
          <t>Compare to Schindler 2020</t>
        </is>
      </c>
      <c r="N493" s="14" t="inlineStr">
        <is>
          <t>read ↗</t>
        </is>
      </c>
      <c r="O493" s="11" t="inlineStr">
        <is>
          <t>paired reading</t>
        </is>
      </c>
      <c r="P493" s="10" t="inlineStr">
        <is>
          <t>2026; S.1 The blind assessments</t>
        </is>
      </c>
    </row>
    <row r="494">
      <c r="A494" s="15" t="n">
        <v>493</v>
      </c>
      <c r="B494" s="15" t="inlineStr">
        <is>
          <t>Part II - The Method Atlas</t>
        </is>
      </c>
      <c r="C494" s="16" t="inlineStr">
        <is>
          <t>E.4 ΔΔG of mutation and protein stability</t>
        </is>
      </c>
      <c r="D494" s="10" t="inlineStr">
        <is>
          <t>ThermoMPNN tutorial (RosettaCommons, 42:39</t>
        </is>
      </c>
      <c r="E494" s="10" t="inlineStr">
        <is>
          <t>ThermoMPNN</t>
        </is>
      </c>
      <c r="F494" s="11" t="inlineStr">
        <is>
          <t>42:39</t>
        </is>
      </c>
      <c r="G494" s="11" t="n">
        <v>0.71</v>
      </c>
      <c r="H494" s="12" t="inlineStr">
        <is>
          <t>★</t>
        </is>
      </c>
      <c r="I494" s="11" t="inlineStr">
        <is>
          <t>Not started</t>
        </is>
      </c>
      <c r="J494" s="13" t="n"/>
      <c r="K494" s="10" t="inlineStr"/>
      <c r="L494" s="14" t="inlineStr">
        <is>
          <t>▶ watch</t>
        </is>
      </c>
      <c r="M494" s="10" t="inlineStr">
        <is>
          <t>Dieckhaus et al. 2024, PNAS 121:e2314853121 (ThermoMPNN)</t>
        </is>
      </c>
      <c r="N494" s="14" t="inlineStr">
        <is>
          <t>read ↗</t>
        </is>
      </c>
      <c r="O494" s="11" t="inlineStr">
        <is>
          <t>names THERMOMPNN</t>
        </is>
      </c>
      <c r="P494" s="10" t="inlineStr">
        <is>
          <t>R.1 Inverse folding and sequence design</t>
        </is>
      </c>
    </row>
    <row r="495">
      <c r="A495" s="15" t="n">
        <v>494</v>
      </c>
      <c r="B495" s="15" t="inlineStr">
        <is>
          <t>Part II - The Method Atlas</t>
        </is>
      </c>
      <c r="C495" s="16" t="inlineStr">
        <is>
          <t>E.4 ΔΔG of mutation and protein stability</t>
        </is>
      </c>
      <c r="D495" s="10" t="inlineStr">
        <is>
          <t>Mega-scale stability (Tsuboyama, ML4PE, 50:57</t>
        </is>
      </c>
      <c r="E495" s="10" t="inlineStr">
        <is>
          <t>Stability at scale</t>
        </is>
      </c>
      <c r="F495" s="11" t="inlineStr">
        <is>
          <t>50:57</t>
        </is>
      </c>
      <c r="G495" s="11" t="n">
        <v>0.85</v>
      </c>
      <c r="H495" s="12" t="inlineStr">
        <is>
          <t>★</t>
        </is>
      </c>
      <c r="I495" s="11" t="inlineStr">
        <is>
          <t>Not started</t>
        </is>
      </c>
      <c r="J495" s="13" t="n"/>
      <c r="K495" s="10" t="inlineStr"/>
      <c r="L495" s="14" t="inlineStr">
        <is>
          <t>▶ watch</t>
        </is>
      </c>
      <c r="M495" s="10" t="inlineStr">
        <is>
          <t>Tsuboyama et al. 2023, Nature 620:434</t>
        </is>
      </c>
      <c r="N495" s="14" t="inlineStr">
        <is>
          <t>read ↗</t>
        </is>
      </c>
      <c r="O495" s="11" t="inlineStr">
        <is>
          <t>paired reading</t>
        </is>
      </c>
      <c r="P495" s="10" t="inlineStr">
        <is>
          <t>2023; R.1 Inverse folding and sequence design</t>
        </is>
      </c>
    </row>
    <row r="496">
      <c r="A496" s="15" t="n">
        <v>495</v>
      </c>
      <c r="B496" s="15" t="inlineStr">
        <is>
          <t>Part II - The Method Atlas</t>
        </is>
      </c>
      <c r="C496" s="16" t="inlineStr">
        <is>
          <t>E.4 ΔΔG of mutation and protein stability</t>
        </is>
      </c>
      <c r="D496" s="10" t="inlineStr">
        <is>
          <t>Antibody ΔΔG data requirements (Hummer, BPDMC, 1:14:43</t>
        </is>
      </c>
      <c r="E496" s="10" t="inlineStr">
        <is>
          <t>Alissa Hummer (Oxford</t>
        </is>
      </c>
      <c r="F496" s="11" t="inlineStr">
        <is>
          <t>1:14:43</t>
        </is>
      </c>
      <c r="G496" s="11" t="n">
        <v>1.25</v>
      </c>
      <c r="H496" s="12" t="inlineStr">
        <is>
          <t>★</t>
        </is>
      </c>
      <c r="I496" s="11" t="inlineStr">
        <is>
          <t>Not started</t>
        </is>
      </c>
      <c r="J496" s="13" t="n"/>
      <c r="K496" s="10" t="inlineStr"/>
      <c r="L496" s="14" t="inlineStr">
        <is>
          <t>▶ watch</t>
        </is>
      </c>
      <c r="M496" s="10" t="inlineStr">
        <is>
          <t>Gapsys et al. 2016, Chem Sci 7:4728 (PMX, accurate alchemical ΔΔG) · Steinbrecher et al. 2017, J Mol Biol 429:948</t>
        </is>
      </c>
      <c r="N496" s="14" t="inlineStr">
        <is>
          <t>read ↗</t>
        </is>
      </c>
      <c r="O496" s="11" t="inlineStr">
        <is>
          <t>section reading (2 of 6)</t>
        </is>
      </c>
      <c r="P496" s="10" t="inlineStr">
        <is>
          <t>2023</t>
        </is>
      </c>
    </row>
    <row r="497">
      <c r="A497" s="15" t="n">
        <v>496</v>
      </c>
      <c r="B497" s="15" t="inlineStr">
        <is>
          <t>Part II - The Method Atlas</t>
        </is>
      </c>
      <c r="C497" s="16" t="inlineStr">
        <is>
          <t>Voth and multiscale coarse-graining</t>
        </is>
      </c>
      <c r="D497" s="10" t="inlineStr">
        <is>
          <t>Theory of Coarse-graining</t>
        </is>
      </c>
      <c r="E497" s="10" t="inlineStr">
        <is>
          <t>Gregory Voth (Chicago</t>
        </is>
      </c>
      <c r="F497" s="11" t="inlineStr">
        <is>
          <t>58:45</t>
        </is>
      </c>
      <c r="G497" s="11" t="n">
        <v>0.98</v>
      </c>
      <c r="H497" s="12" t="inlineStr">
        <is>
          <t>★</t>
        </is>
      </c>
      <c r="I497" s="11" t="inlineStr">
        <is>
          <t>Not started</t>
        </is>
      </c>
      <c r="J497" s="13" t="n"/>
      <c r="K497" s="10" t="inlineStr"/>
      <c r="L497" s="14" t="inlineStr">
        <is>
          <t>▶ watch</t>
        </is>
      </c>
      <c r="M497" s="10" t="inlineStr">
        <is>
          <t>Izvekov &amp; Voth 2005, JPC B 109:2469; Noid et al. 2008, JCP 128:244114</t>
        </is>
      </c>
      <c r="N497" s="14" t="inlineStr">
        <is>
          <t>read ↗</t>
        </is>
      </c>
      <c r="O497" s="11" t="inlineStr">
        <is>
          <t>paired reading</t>
        </is>
      </c>
      <c r="P497" s="10" t="inlineStr"/>
    </row>
    <row r="498">
      <c r="A498" s="15" t="n">
        <v>497</v>
      </c>
      <c r="B498" s="15" t="inlineStr">
        <is>
          <t>Part II - The Method Atlas</t>
        </is>
      </c>
      <c r="C498" s="16" t="inlineStr">
        <is>
          <t>Voth and multiscale coarse-graining</t>
        </is>
      </c>
      <c r="D498" s="10" t="inlineStr">
        <is>
          <t>Theory of Ultra-Coarse-Graining</t>
        </is>
      </c>
      <c r="E498" s="10" t="inlineStr">
        <is>
          <t>Gregory Voth</t>
        </is>
      </c>
      <c r="F498" s="11" t="inlineStr">
        <is>
          <t>1:08:56</t>
        </is>
      </c>
      <c r="G498" s="11" t="n">
        <v>1.15</v>
      </c>
      <c r="H498" s="12" t="inlineStr"/>
      <c r="I498" s="11" t="inlineStr">
        <is>
          <t>Not started</t>
        </is>
      </c>
      <c r="J498" s="13" t="n"/>
      <c r="K498" s="10" t="inlineStr"/>
      <c r="L498" s="14" t="inlineStr">
        <is>
          <t>▶ watch</t>
        </is>
      </c>
      <c r="M498" s="10" t="inlineStr">
        <is>
          <t>Izvekov &amp; Voth 2005, JPC B 109:2469; Noid et al. 2008, JCP 128:244114</t>
        </is>
      </c>
      <c r="N498" s="14" t="inlineStr">
        <is>
          <t>read ↗</t>
        </is>
      </c>
      <c r="O498" s="11" t="inlineStr">
        <is>
          <t>paired reading</t>
        </is>
      </c>
      <c r="P498" s="10" t="inlineStr"/>
    </row>
    <row r="499">
      <c r="A499" s="15" t="n">
        <v>498</v>
      </c>
      <c r="B499" s="15" t="inlineStr">
        <is>
          <t>Part II - The Method Atlas</t>
        </is>
      </c>
      <c r="C499" s="16" t="inlineStr">
        <is>
          <t>Voth and multiscale coarse-graining</t>
        </is>
      </c>
      <c r="D499" s="10" t="inlineStr">
        <is>
          <t>Molecular Modeling: A Window to the Biochemical World</t>
        </is>
      </c>
      <c r="E499" s="10" t="inlineStr">
        <is>
          <t>Gregory Voth</t>
        </is>
      </c>
      <c r="F499" s="11" t="inlineStr">
        <is>
          <t>1:06:25</t>
        </is>
      </c>
      <c r="G499" s="11" t="n">
        <v>1.11</v>
      </c>
      <c r="H499" s="12" t="inlineStr"/>
      <c r="I499" s="11" t="inlineStr">
        <is>
          <t>Not started</t>
        </is>
      </c>
      <c r="J499" s="13" t="n"/>
      <c r="K499" s="10" t="inlineStr"/>
      <c r="L499" s="14" t="inlineStr">
        <is>
          <t>▶ watch</t>
        </is>
      </c>
      <c r="M499" s="10" t="inlineStr">
        <is>
          <t>Gapsys et al. 2016, Chem Sci 7:4728 (PMX, accurate alchemical ΔΔG) · Steinbrecher et al. 2017, J Mol Biol 429:948</t>
        </is>
      </c>
      <c r="N499" s="14" t="inlineStr">
        <is>
          <t>read ↗</t>
        </is>
      </c>
      <c r="O499" s="11" t="inlineStr">
        <is>
          <t>reading for E.4 ΔΔG of mutation and protein stabilit</t>
        </is>
      </c>
      <c r="P499" s="10" t="inlineStr"/>
    </row>
    <row r="500">
      <c r="A500" s="15" t="n">
        <v>499</v>
      </c>
      <c r="B500" s="15" t="inlineStr">
        <is>
          <t>Part II - The Method Atlas</t>
        </is>
      </c>
      <c r="C500" s="16" t="inlineStr">
        <is>
          <t>Force matching and iterative Boltzmann inversion - the PASI 2012 school</t>
        </is>
      </c>
      <c r="D500" s="10" t="inlineStr">
        <is>
          <t>Force matching fundamentals</t>
        </is>
      </c>
      <c r="E500" s="10" t="inlineStr">
        <is>
          <t>Monica Lamm (Iowa State</t>
        </is>
      </c>
      <c r="F500" s="11" t="inlineStr">
        <is>
          <t>1:02:50</t>
        </is>
      </c>
      <c r="G500" s="11" t="n">
        <v>1.05</v>
      </c>
      <c r="H500" s="12" t="inlineStr"/>
      <c r="I500" s="11" t="inlineStr">
        <is>
          <t>Not started</t>
        </is>
      </c>
      <c r="J500" s="13" t="n"/>
      <c r="K500" s="10" t="inlineStr"/>
      <c r="L500" s="14" t="inlineStr">
        <is>
          <t>▶ watch</t>
        </is>
      </c>
      <c r="M500" s="10" t="inlineStr">
        <is>
          <t>Gapsys et al. 2016, Chem Sci 7:4728 (PMX, accurate alchemical ΔΔG) · Steinbrecher et al. 2017, J Mol Biol 429:948</t>
        </is>
      </c>
      <c r="N500" s="14" t="inlineStr">
        <is>
          <t>read ↗</t>
        </is>
      </c>
      <c r="O500" s="11" t="inlineStr">
        <is>
          <t>reading for E.4 ΔΔG of mutation and protein stabilit</t>
        </is>
      </c>
      <c r="P500" s="10" t="inlineStr"/>
    </row>
    <row r="501">
      <c r="A501" s="15" t="n">
        <v>500</v>
      </c>
      <c r="B501" s="15" t="inlineStr">
        <is>
          <t>Part II - The Method Atlas</t>
        </is>
      </c>
      <c r="C501" s="16" t="inlineStr">
        <is>
          <t>Force matching and iterative Boltzmann inversion - the PASI 2012 school</t>
        </is>
      </c>
      <c r="D501" s="10" t="inlineStr">
        <is>
          <t>Fundamentals of the Iterative Boltzmann Inversion</t>
        </is>
      </c>
      <c r="E501" s="10" t="inlineStr">
        <is>
          <t>Roland Faller (UC Davis</t>
        </is>
      </c>
      <c r="F501" s="11" t="inlineStr">
        <is>
          <t>52:14</t>
        </is>
      </c>
      <c r="G501" s="11" t="n">
        <v>0.87</v>
      </c>
      <c r="H501" s="12" t="inlineStr">
        <is>
          <t>★</t>
        </is>
      </c>
      <c r="I501" s="11" t="inlineStr">
        <is>
          <t>Not started</t>
        </is>
      </c>
      <c r="J501" s="13" t="n"/>
      <c r="K501" s="10" t="inlineStr"/>
      <c r="L501" s="14" t="inlineStr">
        <is>
          <t>▶ watch</t>
        </is>
      </c>
      <c r="M501" s="10" t="inlineStr">
        <is>
          <t>Gapsys et al. 2016, Chem Sci 7:4728 (PMX, accurate alchemical ΔΔG) · Steinbrecher et al. 2017, J Mol Biol 429:948</t>
        </is>
      </c>
      <c r="N501" s="14" t="inlineStr">
        <is>
          <t>read ↗</t>
        </is>
      </c>
      <c r="O501" s="11" t="inlineStr">
        <is>
          <t>reading for E.4 ΔΔG of mutation and protein stabilit</t>
        </is>
      </c>
      <c r="P501" s="10" t="inlineStr"/>
    </row>
    <row r="502">
      <c r="A502" s="15" t="n">
        <v>501</v>
      </c>
      <c r="B502" s="15" t="inlineStr">
        <is>
          <t>Part II - The Method Atlas</t>
        </is>
      </c>
      <c r="C502" s="16" t="inlineStr">
        <is>
          <t>Force matching and iterative Boltzmann inversion - the PASI 2012 school</t>
        </is>
      </c>
      <c r="D502" s="10" t="inlineStr">
        <is>
          <t>Using the IBI for polymers</t>
        </is>
      </c>
      <c r="E502" s="10" t="inlineStr">
        <is>
          <t>Roland Faller</t>
        </is>
      </c>
      <c r="F502" s="11" t="inlineStr">
        <is>
          <t>43:07</t>
        </is>
      </c>
      <c r="G502" s="11" t="n">
        <v>0.72</v>
      </c>
      <c r="H502" s="12" t="inlineStr"/>
      <c r="I502" s="11" t="inlineStr">
        <is>
          <t>Not started</t>
        </is>
      </c>
      <c r="J502" s="13" t="n"/>
      <c r="K502" s="10" t="inlineStr"/>
      <c r="L502" s="14" t="inlineStr">
        <is>
          <t>▶ watch</t>
        </is>
      </c>
      <c r="M502" s="10" t="inlineStr">
        <is>
          <t>Gapsys et al. 2016, Chem Sci 7:4728 (PMX, accurate alchemical ΔΔG) · Steinbrecher et al. 2017, J Mol Biol 429:948</t>
        </is>
      </c>
      <c r="N502" s="14" t="inlineStr">
        <is>
          <t>read ↗</t>
        </is>
      </c>
      <c r="O502" s="11" t="inlineStr">
        <is>
          <t>reading for E.4 ΔΔG of mutation and protein stabilit</t>
        </is>
      </c>
      <c r="P502" s="10" t="inlineStr"/>
    </row>
    <row r="503">
      <c r="A503" s="15" t="n">
        <v>502</v>
      </c>
      <c r="B503" s="15" t="inlineStr">
        <is>
          <t>Part II - The Method Atlas</t>
        </is>
      </c>
      <c r="C503" s="16" t="inlineStr">
        <is>
          <t>Force matching and iterative Boltzmann inversion - the PASI 2012 school</t>
        </is>
      </c>
      <c r="D503" s="10" t="inlineStr">
        <is>
          <t>Developing numerical potentials and their state point dependence</t>
        </is>
      </c>
      <c r="E503" s="10" t="inlineStr">
        <is>
          <t>Roland Faller</t>
        </is>
      </c>
      <c r="F503" s="11" t="inlineStr">
        <is>
          <t>50:24</t>
        </is>
      </c>
      <c r="G503" s="11" t="n">
        <v>0.84</v>
      </c>
      <c r="H503" s="12" t="inlineStr">
        <is>
          <t>★</t>
        </is>
      </c>
      <c r="I503" s="11" t="inlineStr">
        <is>
          <t>Not started</t>
        </is>
      </c>
      <c r="J503" s="13" t="n"/>
      <c r="K503" s="10" t="inlineStr"/>
      <c r="L503" s="14" t="inlineStr">
        <is>
          <t>▶ watch</t>
        </is>
      </c>
      <c r="M503" s="10" t="inlineStr">
        <is>
          <t>Gapsys et al. 2016, Chem Sci 7:4728 (PMX, accurate alchemical ΔΔG) · Steinbrecher et al. 2017, J Mol Biol 429:948</t>
        </is>
      </c>
      <c r="N503" s="14" t="inlineStr">
        <is>
          <t>read ↗</t>
        </is>
      </c>
      <c r="O503" s="11" t="inlineStr">
        <is>
          <t>reading for E.4 ΔΔG of mutation and protein stabilit</t>
        </is>
      </c>
      <c r="P503" s="10" t="inlineStr"/>
    </row>
    <row r="504">
      <c r="A504" s="15" t="n">
        <v>503</v>
      </c>
      <c r="B504" s="15" t="inlineStr">
        <is>
          <t>Part II - The Method Atlas</t>
        </is>
      </c>
      <c r="C504" s="16" t="inlineStr">
        <is>
          <t>Force matching and iterative Boltzmann inversion - the PASI 2012 school</t>
        </is>
      </c>
      <c r="D504" s="10" t="inlineStr">
        <is>
          <t>From high to low resolution: the mapping problem</t>
        </is>
      </c>
      <c r="E504" s="10" t="inlineStr">
        <is>
          <t>Marco Giulini</t>
        </is>
      </c>
      <c r="F504" s="11" t="inlineStr">
        <is>
          <t>29:31</t>
        </is>
      </c>
      <c r="G504" s="11" t="n">
        <v>0.49</v>
      </c>
      <c r="H504" s="12" t="inlineStr"/>
      <c r="I504" s="11" t="inlineStr">
        <is>
          <t>Not started</t>
        </is>
      </c>
      <c r="J504" s="13" t="n"/>
      <c r="K504" s="10" t="inlineStr"/>
      <c r="L504" s="14" t="inlineStr">
        <is>
          <t>▶ watch</t>
        </is>
      </c>
      <c r="M504" s="10" t="inlineStr">
        <is>
          <t>Gapsys et al. 2016, Chem Sci 7:4728 (PMX, accurate alchemical ΔΔG) · Steinbrecher et al. 2017, J Mol Biol 429:948</t>
        </is>
      </c>
      <c r="N504" s="14" t="inlineStr">
        <is>
          <t>read ↗</t>
        </is>
      </c>
      <c r="O504" s="11" t="inlineStr">
        <is>
          <t>reading for E.4 ΔΔG of mutation and protein stabilit</t>
        </is>
      </c>
      <c r="P504" s="10" t="inlineStr"/>
    </row>
    <row r="505">
      <c r="A505" s="15" t="n">
        <v>504</v>
      </c>
      <c r="B505" s="15" t="inlineStr">
        <is>
          <t>Part II - The Method Atlas</t>
        </is>
      </c>
      <c r="C505" s="16" t="inlineStr">
        <is>
          <t>Mori-Zwanzig and the memory kernel</t>
        </is>
      </c>
      <c r="D505" s="10" t="inlineStr">
        <is>
          <t>Entropic Barriers and Dynamical Coarse-Graining via Mori-Zwanzig</t>
        </is>
      </c>
      <c r="E505" s="10" t="inlineStr">
        <is>
          <t>Xingjie Li</t>
        </is>
      </c>
      <c r="F505" s="11" t="inlineStr">
        <is>
          <t>25:43</t>
        </is>
      </c>
      <c r="G505" s="11" t="n">
        <v>0.43</v>
      </c>
      <c r="H505" s="12" t="inlineStr"/>
      <c r="I505" s="11" t="inlineStr">
        <is>
          <t>Not started</t>
        </is>
      </c>
      <c r="J505" s="13" t="n"/>
      <c r="K505" s="10" t="inlineStr"/>
      <c r="L505" s="14" t="inlineStr">
        <is>
          <t>▶ watch</t>
        </is>
      </c>
      <c r="M505" s="10" t="inlineStr">
        <is>
          <t>Gapsys et al. 2016, Chem Sci 7:4728 (PMX, accurate alchemical ΔΔG) · Steinbrecher et al. 2017, J Mol Biol 429:948</t>
        </is>
      </c>
      <c r="N505" s="14" t="inlineStr">
        <is>
          <t>read ↗</t>
        </is>
      </c>
      <c r="O505" s="11" t="inlineStr">
        <is>
          <t>reading for E.4 ΔΔG of mutation and protein stabilit</t>
        </is>
      </c>
      <c r="P505" s="10" t="inlineStr"/>
    </row>
    <row r="506">
      <c r="A506" s="15" t="n">
        <v>505</v>
      </c>
      <c r="B506" s="15" t="inlineStr">
        <is>
          <t>Part II - The Method Atlas</t>
        </is>
      </c>
      <c r="C506" s="16" t="inlineStr">
        <is>
          <t>Mori-Zwanzig and the memory kernel</t>
        </is>
      </c>
      <c r="D506" s="10" t="inlineStr">
        <is>
          <t>George Karniadakis (Brown</t>
        </is>
      </c>
      <c r="E506" s="10" t="inlineStr">
        <is>
          <t>CM4: Mori-Zwanzig</t>
        </is>
      </c>
      <c r="F506" s="11" t="inlineStr">
        <is>
          <t>1:18:30</t>
        </is>
      </c>
      <c r="G506" s="11" t="n">
        <v>1.31</v>
      </c>
      <c r="H506" s="12" t="inlineStr"/>
      <c r="I506" s="11" t="inlineStr">
        <is>
          <t>Not started</t>
        </is>
      </c>
      <c r="J506" s="13" t="n"/>
      <c r="K506" s="10" t="inlineStr"/>
      <c r="L506" s="14" t="inlineStr">
        <is>
          <t>▶ watch</t>
        </is>
      </c>
      <c r="M506" s="10" t="inlineStr">
        <is>
          <t>Zwanzig 1961, Phys Rev 124:983; Mori 1965</t>
        </is>
      </c>
      <c r="N506" s="14" t="inlineStr">
        <is>
          <t>read ↗</t>
        </is>
      </c>
      <c r="O506" s="11" t="inlineStr">
        <is>
          <t>paired reading</t>
        </is>
      </c>
      <c r="P506" s="10" t="inlineStr"/>
    </row>
    <row r="507">
      <c r="A507" s="15" t="n">
        <v>506</v>
      </c>
      <c r="B507" s="15" t="inlineStr">
        <is>
          <t>Part II - The Method Atlas</t>
        </is>
      </c>
      <c r="C507" s="16" t="inlineStr">
        <is>
          <t>Mori-Zwanzig and the memory kernel</t>
        </is>
      </c>
      <c r="D507" s="10" t="inlineStr">
        <is>
          <t>Mori-Zwanzig Formulation / Model order reduction</t>
        </is>
      </c>
      <c r="E507" s="10" t="inlineStr">
        <is>
          <t>CRUNCH Group, Brown</t>
        </is>
      </c>
      <c r="F507" s="11" t="inlineStr">
        <is>
          <t>2:02:11</t>
        </is>
      </c>
      <c r="G507" s="11" t="n">
        <v>2.04</v>
      </c>
      <c r="H507" s="12" t="inlineStr"/>
      <c r="I507" s="11" t="inlineStr">
        <is>
          <t>Not started</t>
        </is>
      </c>
      <c r="J507" s="13" t="n"/>
      <c r="K507" s="10" t="inlineStr"/>
      <c r="L507" s="14" t="inlineStr">
        <is>
          <t>▶ watch</t>
        </is>
      </c>
      <c r="M507" s="10" t="inlineStr">
        <is>
          <t>Gapsys et al. 2016, Chem Sci 7:4728 (PMX, accurate alchemical ΔΔG) · Steinbrecher et al. 2017, J Mol Biol 429:948</t>
        </is>
      </c>
      <c r="N507" s="14" t="inlineStr">
        <is>
          <t>read ↗</t>
        </is>
      </c>
      <c r="O507" s="11" t="inlineStr">
        <is>
          <t>reading for E.4 ΔΔG of mutation and protein stabilit</t>
        </is>
      </c>
      <c r="P507" s="10" t="inlineStr"/>
    </row>
    <row r="508">
      <c r="A508" s="15" t="n">
        <v>507</v>
      </c>
      <c r="B508" s="15" t="inlineStr">
        <is>
          <t>Part II - The Method Atlas</t>
        </is>
      </c>
      <c r="C508" s="16" t="inlineStr">
        <is>
          <t>Mori-Zwanzig and the memory kernel</t>
        </is>
      </c>
      <c r="D508" s="10" t="inlineStr">
        <is>
          <t>Generalized Langevin Equations from MD simulations</t>
        </is>
      </c>
      <c r="E508" s="10" t="inlineStr">
        <is>
          <t>Laura Scalfi</t>
        </is>
      </c>
      <c r="F508" s="11" t="inlineStr">
        <is>
          <t>57:28</t>
        </is>
      </c>
      <c r="G508" s="11" t="n">
        <v>0.96</v>
      </c>
      <c r="H508" s="12" t="inlineStr">
        <is>
          <t>★</t>
        </is>
      </c>
      <c r="I508" s="11" t="inlineStr">
        <is>
          <t>Not started</t>
        </is>
      </c>
      <c r="J508" s="13" t="n"/>
      <c r="K508" s="10" t="inlineStr"/>
      <c r="L508" s="14" t="inlineStr">
        <is>
          <t>▶ watch</t>
        </is>
      </c>
      <c r="M508" s="10" t="inlineStr">
        <is>
          <t>Zwanzig 1961; Ermak &amp; McCammon 1978</t>
        </is>
      </c>
      <c r="N508" s="14" t="inlineStr">
        <is>
          <t>read ↗</t>
        </is>
      </c>
      <c r="O508" s="11" t="inlineStr">
        <is>
          <t>paired reading</t>
        </is>
      </c>
      <c r="P508" s="10" t="inlineStr">
        <is>
          <t>G.1 Brownian and Langevin dynamics, and association kinetics</t>
        </is>
      </c>
    </row>
    <row r="509">
      <c r="A509" s="15" t="n">
        <v>508</v>
      </c>
      <c r="B509" s="15" t="inlineStr">
        <is>
          <t>Part II - The Method Atlas</t>
        </is>
      </c>
      <c r="C509" s="16" t="inlineStr">
        <is>
          <t>Machine-learned coarse-graining - Clementi</t>
        </is>
      </c>
      <c r="D509" s="10" t="inlineStr">
        <is>
          <t>Coarse-graining classical and quantum systems</t>
        </is>
      </c>
      <c r="E509" s="10" t="inlineStr">
        <is>
          <t>Cecilia Clementi (FU Berlin/Rice</t>
        </is>
      </c>
      <c r="F509" s="11" t="inlineStr">
        <is>
          <t>56:52</t>
        </is>
      </c>
      <c r="G509" s="11" t="n">
        <v>0.95</v>
      </c>
      <c r="H509" s="12" t="inlineStr">
        <is>
          <t>★</t>
        </is>
      </c>
      <c r="I509" s="11" t="inlineStr">
        <is>
          <t>Not started</t>
        </is>
      </c>
      <c r="J509" s="13" t="n"/>
      <c r="K509" s="10" t="inlineStr"/>
      <c r="L509" s="14" t="inlineStr">
        <is>
          <t>▶ watch</t>
        </is>
      </c>
      <c r="M509" s="10" t="inlineStr">
        <is>
          <t>Wang et al. 2019, ACS Cent Sci 5:755 (CGnets)</t>
        </is>
      </c>
      <c r="N509" s="14" t="inlineStr">
        <is>
          <t>read ↗</t>
        </is>
      </c>
      <c r="O509" s="11" t="inlineStr">
        <is>
          <t>paired reading</t>
        </is>
      </c>
      <c r="P509" s="10" t="inlineStr"/>
    </row>
    <row r="510">
      <c r="A510" s="15" t="n">
        <v>509</v>
      </c>
      <c r="B510" s="15" t="inlineStr">
        <is>
          <t>Part II - The Method Atlas</t>
        </is>
      </c>
      <c r="C510" s="16" t="inlineStr">
        <is>
          <t>Machine-learned coarse-graining - Clementi</t>
        </is>
      </c>
      <c r="D510" s="10" t="inlineStr">
        <is>
          <t>Coarse-graining for classical and quantum systems (GGI</t>
        </is>
      </c>
      <c r="E510" s="10" t="inlineStr">
        <is>
          <t>Cecilia Clementi</t>
        </is>
      </c>
      <c r="F510" s="11" t="inlineStr">
        <is>
          <t>37:47</t>
        </is>
      </c>
      <c r="G510" s="11" t="n">
        <v>0.63</v>
      </c>
      <c r="H510" s="12" t="inlineStr"/>
      <c r="I510" s="11" t="inlineStr">
        <is>
          <t>Not started</t>
        </is>
      </c>
      <c r="J510" s="13" t="n"/>
      <c r="K510" s="10" t="inlineStr"/>
      <c r="L510" s="14" t="inlineStr">
        <is>
          <t>▶ watch</t>
        </is>
      </c>
      <c r="M510" s="10" t="inlineStr">
        <is>
          <t>Wang et al. 2019, ACS Cent Sci 5:755 (CGnets)</t>
        </is>
      </c>
      <c r="N510" s="14" t="inlineStr">
        <is>
          <t>read ↗</t>
        </is>
      </c>
      <c r="O510" s="11" t="inlineStr">
        <is>
          <t>paired reading</t>
        </is>
      </c>
      <c r="P510" s="10" t="inlineStr"/>
    </row>
    <row r="511">
      <c r="A511" s="15" t="n">
        <v>510</v>
      </c>
      <c r="B511" s="15" t="inlineStr">
        <is>
          <t>Part II - The Method Atlas</t>
        </is>
      </c>
      <c r="C511" s="16" t="inlineStr">
        <is>
          <t>Machine-learned coarse-graining - Clementi</t>
        </is>
      </c>
      <c r="D511" s="10" t="inlineStr">
        <is>
          <t>Learning molecular models from simulation and experimental data</t>
        </is>
      </c>
      <c r="E511" s="10" t="inlineStr">
        <is>
          <t>Cecilia Clementi (IPAM</t>
        </is>
      </c>
      <c r="F511" s="11" t="inlineStr">
        <is>
          <t>54:53</t>
        </is>
      </c>
      <c r="G511" s="11" t="n">
        <v>0.91</v>
      </c>
      <c r="H511" s="12" t="inlineStr"/>
      <c r="I511" s="11" t="inlineStr">
        <is>
          <t>Not started</t>
        </is>
      </c>
      <c r="J511" s="13" t="n"/>
      <c r="K511" s="10" t="inlineStr"/>
      <c r="L511" s="14" t="inlineStr">
        <is>
          <t>▶ watch</t>
        </is>
      </c>
      <c r="M511" s="10" t="inlineStr">
        <is>
          <t>Gapsys et al. 2016, Chem Sci 7:4728 (PMX, accurate alchemical ΔΔG) · Steinbrecher et al. 2017, J Mol Biol 429:948</t>
        </is>
      </c>
      <c r="N511" s="14" t="inlineStr">
        <is>
          <t>read ↗</t>
        </is>
      </c>
      <c r="O511" s="11" t="inlineStr">
        <is>
          <t>reading for E.4 ΔΔG of mutation and protein stabilit</t>
        </is>
      </c>
      <c r="P511" s="10" t="inlineStr"/>
    </row>
    <row r="512">
      <c r="A512" s="15" t="n">
        <v>511</v>
      </c>
      <c r="B512" s="15" t="inlineStr">
        <is>
          <t>Part II - The Method Atlas</t>
        </is>
      </c>
      <c r="C512" s="16" t="inlineStr">
        <is>
          <t>Machine-learned coarse-graining - Clementi</t>
        </is>
      </c>
      <c r="D512" s="10" t="inlineStr">
        <is>
          <t>Designing molecular models by ML and experimental data</t>
        </is>
      </c>
      <c r="E512" s="10" t="inlineStr">
        <is>
          <t>Cecilia Clementi</t>
        </is>
      </c>
      <c r="F512" s="11" t="inlineStr">
        <is>
          <t>54:42</t>
        </is>
      </c>
      <c r="G512" s="11" t="n">
        <v>0.91</v>
      </c>
      <c r="H512" s="12" t="inlineStr"/>
      <c r="I512" s="11" t="inlineStr">
        <is>
          <t>Not started</t>
        </is>
      </c>
      <c r="J512" s="13" t="n"/>
      <c r="K512" s="10" t="inlineStr"/>
      <c r="L512" s="14" t="inlineStr">
        <is>
          <t>▶ watch</t>
        </is>
      </c>
      <c r="M512" s="10" t="inlineStr">
        <is>
          <t>Gapsys et al. 2016, Chem Sci 7:4728 (PMX, accurate alchemical ΔΔG) · Steinbrecher et al. 2017, J Mol Biol 429:948</t>
        </is>
      </c>
      <c r="N512" s="14" t="inlineStr">
        <is>
          <t>read ↗</t>
        </is>
      </c>
      <c r="O512" s="11" t="inlineStr">
        <is>
          <t>reading for E.4 ΔΔG of mutation and protein stabilit</t>
        </is>
      </c>
      <c r="P512" s="10" t="inlineStr"/>
    </row>
    <row r="513">
      <c r="A513" s="15" t="n">
        <v>512</v>
      </c>
      <c r="B513" s="15" t="inlineStr">
        <is>
          <t>Part II - The Method Atlas</t>
        </is>
      </c>
      <c r="C513" s="16" t="inlineStr">
        <is>
          <t>Machine-learned coarse-graining - Clementi</t>
        </is>
      </c>
      <c r="D513" s="10" t="inlineStr">
        <is>
          <t>Clementi, TCBG seminar (CGnet/CGSchNet results</t>
        </is>
      </c>
      <c r="E513" s="10" t="inlineStr">
        <is>
          <t>Cecilia Clementi</t>
        </is>
      </c>
      <c r="F513" s="11" t="inlineStr">
        <is>
          <t>1:00:37</t>
        </is>
      </c>
      <c r="G513" s="11" t="n">
        <v>1.01</v>
      </c>
      <c r="H513" s="12" t="inlineStr"/>
      <c r="I513" s="11" t="inlineStr">
        <is>
          <t>Not started</t>
        </is>
      </c>
      <c r="J513" s="13" t="n"/>
      <c r="K513" s="10" t="inlineStr"/>
      <c r="L513" s="14" t="inlineStr">
        <is>
          <t>▶ watch</t>
        </is>
      </c>
      <c r="M513" s="10" t="inlineStr">
        <is>
          <t>Gapsys et al. 2016, Chem Sci 7:4728 (PMX, accurate alchemical ΔΔG) · Steinbrecher et al. 2017, J Mol Biol 429:948</t>
        </is>
      </c>
      <c r="N513" s="14" t="inlineStr">
        <is>
          <t>read ↗</t>
        </is>
      </c>
      <c r="O513" s="11" t="inlineStr">
        <is>
          <t>reading for E.4 ΔΔG of mutation and protein stabilit</t>
        </is>
      </c>
      <c r="P513" s="10" t="inlineStr"/>
    </row>
    <row r="514">
      <c r="A514" s="15" t="n">
        <v>513</v>
      </c>
      <c r="B514" s="15" t="inlineStr">
        <is>
          <t>Part II - The Method Atlas</t>
        </is>
      </c>
      <c r="C514" s="16" t="inlineStr">
        <is>
          <t>Machine-learned coarse-graining - Clementi</t>
        </is>
      </c>
      <c r="D514" s="10" t="inlineStr">
        <is>
          <t>Designing molecular models with ML and experimental data (IPAM</t>
        </is>
      </c>
      <c r="E514" s="10" t="inlineStr">
        <is>
          <t>Cecilia Clementi</t>
        </is>
      </c>
      <c r="F514" s="11" t="inlineStr">
        <is>
          <t>46:18</t>
        </is>
      </c>
      <c r="G514" s="11" t="n">
        <v>0.77</v>
      </c>
      <c r="H514" s="12" t="inlineStr"/>
      <c r="I514" s="11" t="inlineStr">
        <is>
          <t>Not started</t>
        </is>
      </c>
      <c r="J514" s="13" t="n"/>
      <c r="K514" s="10" t="inlineStr"/>
      <c r="L514" s="14" t="inlineStr">
        <is>
          <t>▶ watch</t>
        </is>
      </c>
      <c r="M514" s="10" t="inlineStr">
        <is>
          <t>Gapsys et al. 2016, Chem Sci 7:4728 (PMX, accurate alchemical ΔΔG) · Steinbrecher et al. 2017, J Mol Biol 429:948</t>
        </is>
      </c>
      <c r="N514" s="14" t="inlineStr">
        <is>
          <t>read ↗</t>
        </is>
      </c>
      <c r="O514" s="11" t="inlineStr">
        <is>
          <t>reading for E.4 ΔΔG of mutation and protein stabilit</t>
        </is>
      </c>
      <c r="P514" s="10" t="inlineStr"/>
    </row>
    <row r="515">
      <c r="A515" s="15" t="n">
        <v>514</v>
      </c>
      <c r="B515" s="15" t="inlineStr">
        <is>
          <t>Part II - The Method Atlas</t>
        </is>
      </c>
      <c r="C515" s="16" t="inlineStr">
        <is>
          <t>Machine-learned coarse-graining - Clementi</t>
        </is>
      </c>
      <c r="D515" s="10" t="inlineStr">
        <is>
          <t>ML Coarse-Grained Models with Graph Neural Networks</t>
        </is>
      </c>
      <c r="E515" s="10" t="inlineStr">
        <is>
          <t>Computational Biomedicine</t>
        </is>
      </c>
      <c r="F515" s="11" t="inlineStr">
        <is>
          <t>1:12:21</t>
        </is>
      </c>
      <c r="G515" s="11" t="n">
        <v>1.21</v>
      </c>
      <c r="H515" s="12" t="inlineStr"/>
      <c r="I515" s="11" t="inlineStr">
        <is>
          <t>Not started</t>
        </is>
      </c>
      <c r="J515" s="13" t="n"/>
      <c r="K515" s="10" t="inlineStr"/>
      <c r="L515" s="14" t="inlineStr">
        <is>
          <t>▶ watch</t>
        </is>
      </c>
      <c r="M515" s="10" t="inlineStr">
        <is>
          <t>Gapsys et al. 2016, Chem Sci 7:4728 (PMX, accurate alchemical ΔΔG) · Steinbrecher et al. 2017, J Mol Biol 429:948</t>
        </is>
      </c>
      <c r="N515" s="14" t="inlineStr">
        <is>
          <t>read ↗</t>
        </is>
      </c>
      <c r="O515" s="11" t="inlineStr">
        <is>
          <t>reading for E.4 ΔΔG of mutation and protein stabilit</t>
        </is>
      </c>
      <c r="P515" s="10" t="inlineStr"/>
    </row>
    <row r="516">
      <c r="A516" s="15" t="n">
        <v>515</v>
      </c>
      <c r="B516" s="15" t="inlineStr">
        <is>
          <t>Part II - The Method Atlas</t>
        </is>
      </c>
      <c r="C516" s="16" t="inlineStr">
        <is>
          <t>Machine-learned coarse-graining - Clementi</t>
        </is>
      </c>
      <c r="D516" s="10" t="inlineStr">
        <is>
          <t>HITS-SIMPLAIX Colloquium: protein dynamics and ML</t>
        </is>
      </c>
      <c r="E516" s="10" t="inlineStr">
        <is>
          <t>Cecilia Clementi</t>
        </is>
      </c>
      <c r="F516" s="11" t="inlineStr">
        <is>
          <t>50:45</t>
        </is>
      </c>
      <c r="G516" s="11" t="n">
        <v>0.85</v>
      </c>
      <c r="H516" s="12" t="inlineStr"/>
      <c r="I516" s="11" t="inlineStr">
        <is>
          <t>Not started</t>
        </is>
      </c>
      <c r="J516" s="13" t="n"/>
      <c r="K516" s="10" t="inlineStr"/>
      <c r="L516" s="14" t="inlineStr">
        <is>
          <t>▶ watch</t>
        </is>
      </c>
      <c r="M516" s="10" t="inlineStr">
        <is>
          <t>Gapsys et al. 2016, Chem Sci 7:4728 (PMX, accurate alchemical ΔΔG) · Steinbrecher et al. 2017, J Mol Biol 429:948</t>
        </is>
      </c>
      <c r="N516" s="14" t="inlineStr">
        <is>
          <t>read ↗</t>
        </is>
      </c>
      <c r="O516" s="11" t="inlineStr">
        <is>
          <t>reading for E.4 ΔΔG of mutation and protein stabilit</t>
        </is>
      </c>
      <c r="P516" s="10" t="inlineStr"/>
    </row>
    <row r="517">
      <c r="A517" s="15" t="n">
        <v>516</v>
      </c>
      <c r="B517" s="15" t="inlineStr">
        <is>
          <t>Part II - The Method Atlas</t>
        </is>
      </c>
      <c r="C517" s="16" t="inlineStr">
        <is>
          <t>Learned mappings and backmapping</t>
        </is>
      </c>
      <c r="D517" s="10" t="inlineStr">
        <is>
          <t>Physics in and out of machine learning for molecular simulations</t>
        </is>
      </c>
      <c r="E517" s="10" t="inlineStr">
        <is>
          <t>Tristan Bereau (Amsterdam</t>
        </is>
      </c>
      <c r="F517" s="11" t="inlineStr">
        <is>
          <t>52:34</t>
        </is>
      </c>
      <c r="G517" s="11" t="n">
        <v>0.88</v>
      </c>
      <c r="H517" s="12" t="inlineStr"/>
      <c r="I517" s="11" t="inlineStr">
        <is>
          <t>Not started</t>
        </is>
      </c>
      <c r="J517" s="13" t="n"/>
      <c r="K517" s="10" t="inlineStr"/>
      <c r="L517" s="14" t="inlineStr">
        <is>
          <t>▶ watch</t>
        </is>
      </c>
      <c r="M517" s="10" t="inlineStr">
        <is>
          <t>Gapsys et al. 2016, Chem Sci 7:4728 (PMX, accurate alchemical ΔΔG) · Steinbrecher et al. 2017, J Mol Biol 429:948</t>
        </is>
      </c>
      <c r="N517" s="14" t="inlineStr">
        <is>
          <t>read ↗</t>
        </is>
      </c>
      <c r="O517" s="11" t="inlineStr">
        <is>
          <t>reading for E.4 ΔΔG of mutation and protein stabilit</t>
        </is>
      </c>
      <c r="P517" s="10" t="inlineStr"/>
    </row>
    <row r="518">
      <c r="A518" s="15" t="n">
        <v>517</v>
      </c>
      <c r="B518" s="15" t="inlineStr">
        <is>
          <t>Part II - The Method Atlas</t>
        </is>
      </c>
      <c r="C518" s="16" t="inlineStr">
        <is>
          <t>Learned mappings and backmapping</t>
        </is>
      </c>
      <c r="D518" s="10" t="inlineStr">
        <is>
          <t>Tractable Mapping Entropy and Generative Backmapping via Split-Flows</t>
        </is>
      </c>
      <c r="E518" s="10" t="inlineStr">
        <is>
          <t>Tristan Bereau</t>
        </is>
      </c>
      <c r="F518" s="11" t="inlineStr">
        <is>
          <t>55:30</t>
        </is>
      </c>
      <c r="G518" s="11" t="n">
        <v>0.93</v>
      </c>
      <c r="H518" s="12" t="inlineStr"/>
      <c r="I518" s="11" t="inlineStr">
        <is>
          <t>Not started</t>
        </is>
      </c>
      <c r="J518" s="13" t="n"/>
      <c r="K518" s="10" t="inlineStr"/>
      <c r="L518" s="14" t="inlineStr">
        <is>
          <t>▶ watch</t>
        </is>
      </c>
      <c r="M518" s="10" t="inlineStr">
        <is>
          <t>Gapsys et al. 2016, Chem Sci 7:4728 (PMX, accurate alchemical ΔΔG) · Steinbrecher et al. 2017, J Mol Biol 429:948</t>
        </is>
      </c>
      <c r="N518" s="14" t="inlineStr">
        <is>
          <t>read ↗</t>
        </is>
      </c>
      <c r="O518" s="11" t="inlineStr">
        <is>
          <t>reading for E.4 ΔΔG of mutation and protein stabilit</t>
        </is>
      </c>
      <c r="P518" s="10" t="inlineStr"/>
    </row>
    <row r="519">
      <c r="A519" s="15" t="n">
        <v>518</v>
      </c>
      <c r="B519" s="15" t="inlineStr">
        <is>
          <t>Part II - The Method Atlas</t>
        </is>
      </c>
      <c r="C519" s="16" t="inlineStr">
        <is>
          <t>Learned mappings and backmapping</t>
        </is>
      </c>
      <c r="D519" s="10" t="inlineStr">
        <is>
          <t>Chemically Transferable Generative Backmapping of CG Proteins</t>
        </is>
      </c>
      <c r="E519" s="10" t="inlineStr">
        <is>
          <t>Soojung Yang (MIT</t>
        </is>
      </c>
      <c r="F519" s="11" t="inlineStr">
        <is>
          <t>1:06:07</t>
        </is>
      </c>
      <c r="G519" s="11" t="n">
        <v>1.1</v>
      </c>
      <c r="H519" s="12" t="inlineStr">
        <is>
          <t>★</t>
        </is>
      </c>
      <c r="I519" s="11" t="inlineStr">
        <is>
          <t>Not started</t>
        </is>
      </c>
      <c r="J519" s="13" t="n"/>
      <c r="K519" s="10" t="inlineStr"/>
      <c r="L519" s="14" t="inlineStr">
        <is>
          <t>▶ watch</t>
        </is>
      </c>
      <c r="M519" s="10" t="inlineStr">
        <is>
          <t>Gapsys et al. 2016, Chem Sci 7:4728 (PMX, accurate alchemical ΔΔG) · Steinbrecher et al. 2017, J Mol Biol 429:948</t>
        </is>
      </c>
      <c r="N519" s="14" t="inlineStr">
        <is>
          <t>read ↗</t>
        </is>
      </c>
      <c r="O519" s="11" t="inlineStr">
        <is>
          <t>reading for E.4 ΔΔG of mutation and protein stabilit</t>
        </is>
      </c>
      <c r="P519" s="10" t="inlineStr">
        <is>
          <t>Simulation, force fields, coarse-graining and sampling</t>
        </is>
      </c>
    </row>
    <row r="520">
      <c r="A520" s="15" t="n">
        <v>519</v>
      </c>
      <c r="B520" s="15" t="inlineStr">
        <is>
          <t>Part II - The Method Atlas</t>
        </is>
      </c>
      <c r="C520" s="16" t="inlineStr">
        <is>
          <t>Learned mappings and backmapping</t>
        </is>
      </c>
      <c r="D520" s="10" t="inlineStr">
        <is>
          <t>Coarse-graining autoencoders and evolutionary learning</t>
        </is>
      </c>
      <c r="E520" s="10" t="inlineStr">
        <is>
          <t>Rafael Gómez-Bombarelli (MIT</t>
        </is>
      </c>
      <c r="F520" s="11" t="inlineStr">
        <is>
          <t>36:42</t>
        </is>
      </c>
      <c r="G520" s="11" t="n">
        <v>0.61</v>
      </c>
      <c r="H520" s="12" t="inlineStr"/>
      <c r="I520" s="11" t="inlineStr">
        <is>
          <t>Not started</t>
        </is>
      </c>
      <c r="J520" s="13" t="n"/>
      <c r="K520" s="10" t="inlineStr"/>
      <c r="L520" s="14" t="inlineStr">
        <is>
          <t>▶ watch</t>
        </is>
      </c>
      <c r="M520" s="10" t="inlineStr">
        <is>
          <t>Gapsys et al. 2016, Chem Sci 7:4728 (PMX, accurate alchemical ΔΔG) · Steinbrecher et al. 2017, J Mol Biol 429:948</t>
        </is>
      </c>
      <c r="N520" s="14" t="inlineStr">
        <is>
          <t>read ↗</t>
        </is>
      </c>
      <c r="O520" s="11" t="inlineStr">
        <is>
          <t>reading for E.4 ΔΔG of mutation and protein stabilit</t>
        </is>
      </c>
      <c r="P520" s="10" t="inlineStr"/>
    </row>
    <row r="521">
      <c r="A521" s="15" t="n">
        <v>520</v>
      </c>
      <c r="B521" s="15" t="inlineStr">
        <is>
          <t>Part II - The Method Atlas</t>
        </is>
      </c>
      <c r="C521" s="16" t="inlineStr">
        <is>
          <t>Learned mappings and backmapping</t>
        </is>
      </c>
      <c r="D521" s="10" t="inlineStr">
        <is>
          <t>Generative Coarse-Graining of Molecular Conformations</t>
        </is>
      </c>
      <c r="E521" s="10" t="inlineStr">
        <is>
          <t>Wujie Wang (MIT</t>
        </is>
      </c>
      <c r="F521" s="11" t="inlineStr">
        <is>
          <t>1:53:41</t>
        </is>
      </c>
      <c r="G521" s="11" t="n">
        <v>1.89</v>
      </c>
      <c r="H521" s="12" t="inlineStr">
        <is>
          <t>★</t>
        </is>
      </c>
      <c r="I521" s="11" t="inlineStr">
        <is>
          <t>Not started</t>
        </is>
      </c>
      <c r="J521" s="13" t="n"/>
      <c r="K521" s="10" t="inlineStr"/>
      <c r="L521" s="14" t="inlineStr">
        <is>
          <t>▶ watch</t>
        </is>
      </c>
      <c r="M521" s="10" t="inlineStr">
        <is>
          <t>Gapsys et al. 2016, Chem Sci 7:4728 (PMX, accurate alchemical ΔΔG) · Steinbrecher et al. 2017, J Mol Biol 429:948</t>
        </is>
      </c>
      <c r="N521" s="14" t="inlineStr">
        <is>
          <t>read ↗</t>
        </is>
      </c>
      <c r="O521" s="11" t="inlineStr">
        <is>
          <t>reading for E.4 ΔΔG of mutation and protein stabilit</t>
        </is>
      </c>
      <c r="P521" s="10" t="inlineStr">
        <is>
          <t>Simulation, force fields, coarse-graining and sampling</t>
        </is>
      </c>
    </row>
    <row r="522">
      <c r="A522" s="15" t="n">
        <v>521</v>
      </c>
      <c r="B522" s="15" t="inlineStr">
        <is>
          <t>Part II - The Method Atlas</t>
        </is>
      </c>
      <c r="C522" s="16" t="inlineStr">
        <is>
          <t>Learned mappings and backmapping</t>
        </is>
      </c>
      <c r="D522" s="10" t="inlineStr">
        <is>
          <t>Simulate Time-integrated CG Molecular Dynamics with Geometric ML</t>
        </is>
      </c>
      <c r="E522" s="10" t="inlineStr">
        <is>
          <t>Xiang Fu (MIT</t>
        </is>
      </c>
      <c r="F522" s="11" t="inlineStr">
        <is>
          <t>1:40:25</t>
        </is>
      </c>
      <c r="G522" s="11" t="n">
        <v>1.67</v>
      </c>
      <c r="H522" s="12" t="inlineStr">
        <is>
          <t>★</t>
        </is>
      </c>
      <c r="I522" s="11" t="inlineStr">
        <is>
          <t>Not started</t>
        </is>
      </c>
      <c r="J522" s="13" t="n"/>
      <c r="K522" s="10" t="inlineStr"/>
      <c r="L522" s="14" t="inlineStr">
        <is>
          <t>▶ watch</t>
        </is>
      </c>
      <c r="M522" s="10" t="inlineStr">
        <is>
          <t>Gapsys et al. 2016, Chem Sci 7:4728 (PMX, accurate alchemical ΔΔG) · Steinbrecher et al. 2017, J Mol Biol 429:948</t>
        </is>
      </c>
      <c r="N522" s="14" t="inlineStr">
        <is>
          <t>read ↗</t>
        </is>
      </c>
      <c r="O522" s="11" t="inlineStr">
        <is>
          <t>reading for E.4 ΔΔG of mutation and protein stabilit</t>
        </is>
      </c>
      <c r="P522" s="10" t="inlineStr">
        <is>
          <t>Simulation, force fields, coarse-graining and sampling</t>
        </is>
      </c>
    </row>
    <row r="523">
      <c r="A523" s="15" t="n">
        <v>522</v>
      </c>
      <c r="B523" s="15" t="inlineStr">
        <is>
          <t>Part II - The Method Atlas</t>
        </is>
      </c>
      <c r="C523" s="16" t="inlineStr">
        <is>
          <t>Learned mappings and backmapping</t>
        </is>
      </c>
      <c r="D523" s="10" t="inlineStr">
        <is>
          <t>Utilizing ML for Scale Bridging: atomistic to CG and back</t>
        </is>
      </c>
      <c r="E523" s="10" t="inlineStr">
        <is>
          <t>CaSToRC</t>
        </is>
      </c>
      <c r="F523" s="11" t="inlineStr">
        <is>
          <t>1:20:39</t>
        </is>
      </c>
      <c r="G523" s="11" t="n">
        <v>1.34</v>
      </c>
      <c r="H523" s="12" t="inlineStr"/>
      <c r="I523" s="11" t="inlineStr">
        <is>
          <t>Not started</t>
        </is>
      </c>
      <c r="J523" s="13" t="n"/>
      <c r="K523" s="10" t="inlineStr"/>
      <c r="L523" s="14" t="inlineStr">
        <is>
          <t>▶ watch</t>
        </is>
      </c>
      <c r="M523" s="10" t="inlineStr">
        <is>
          <t>Gapsys et al. 2016, Chem Sci 7:4728 (PMX, accurate alchemical ΔΔG) · Steinbrecher et al. 2017, J Mol Biol 429:948</t>
        </is>
      </c>
      <c r="N523" s="14" t="inlineStr">
        <is>
          <t>read ↗</t>
        </is>
      </c>
      <c r="O523" s="11" t="inlineStr">
        <is>
          <t>reading for E.4 ΔΔG of mutation and protein stabilit</t>
        </is>
      </c>
      <c r="P523" s="10" t="inlineStr"/>
    </row>
    <row r="524">
      <c r="A524" s="15" t="n">
        <v>523</v>
      </c>
      <c r="B524" s="15" t="inlineStr">
        <is>
          <t>Part II - The Method Atlas</t>
        </is>
      </c>
      <c r="C524" s="16" t="inlineStr">
        <is>
          <t>MARTINI</t>
        </is>
      </c>
      <c r="D524" s="10" t="inlineStr">
        <is>
          <t>Perspective on the Martini model: the road to simulating entire cells</t>
        </is>
      </c>
      <c r="E524" s="10" t="inlineStr">
        <is>
          <t>Siewert-Jan Marrink (Groningen</t>
        </is>
      </c>
      <c r="F524" s="11" t="inlineStr">
        <is>
          <t>40:22</t>
        </is>
      </c>
      <c r="G524" s="11" t="n">
        <v>0.67</v>
      </c>
      <c r="H524" s="12" t="inlineStr"/>
      <c r="I524" s="11" t="inlineStr">
        <is>
          <t>Not started</t>
        </is>
      </c>
      <c r="J524" s="13" t="n"/>
      <c r="K524" s="10" t="inlineStr"/>
      <c r="L524" s="14" t="inlineStr">
        <is>
          <t>▶ watch</t>
        </is>
      </c>
      <c r="M524" s="10" t="inlineStr">
        <is>
          <t>Gapsys et al. 2016, Chem Sci 7:4728 (PMX, accurate alchemical ΔΔG) · Steinbrecher et al. 2017, J Mol Biol 429:948</t>
        </is>
      </c>
      <c r="N524" s="14" t="inlineStr">
        <is>
          <t>read ↗</t>
        </is>
      </c>
      <c r="O524" s="11" t="inlineStr">
        <is>
          <t>reading for E.4 ΔΔG of mutation and protein stabilit</t>
        </is>
      </c>
      <c r="P524" s="10" t="inlineStr"/>
    </row>
    <row r="525">
      <c r="A525" s="15" t="n">
        <v>524</v>
      </c>
      <c r="B525" s="15" t="inlineStr">
        <is>
          <t>Part II - The Method Atlas</t>
        </is>
      </c>
      <c r="C525" s="16" t="inlineStr">
        <is>
          <t>MARTINI</t>
        </is>
      </c>
      <c r="D525" s="10" t="inlineStr">
        <is>
          <t>BioExcel #24: Perspective on the Martini Force Field</t>
        </is>
      </c>
      <c r="E525" s="10" t="inlineStr">
        <is>
          <t>BioExcel CoE</t>
        </is>
      </c>
      <c r="F525" s="11" t="inlineStr">
        <is>
          <t>1:19:47</t>
        </is>
      </c>
      <c r="G525" s="11" t="n">
        <v>1.33</v>
      </c>
      <c r="H525" s="12" t="inlineStr"/>
      <c r="I525" s="11" t="inlineStr">
        <is>
          <t>Not started</t>
        </is>
      </c>
      <c r="J525" s="13" t="n"/>
      <c r="K525" s="10" t="inlineStr"/>
      <c r="L525" s="14" t="inlineStr">
        <is>
          <t>▶ watch</t>
        </is>
      </c>
      <c r="M525" s="10" t="inlineStr">
        <is>
          <t>Gapsys et al. 2016, Chem Sci 7:4728 (PMX, accurate alchemical ΔΔG) · Steinbrecher et al. 2017, J Mol Biol 429:948</t>
        </is>
      </c>
      <c r="N525" s="14" t="inlineStr">
        <is>
          <t>read ↗</t>
        </is>
      </c>
      <c r="O525" s="11" t="inlineStr">
        <is>
          <t>reading for E.4 ΔΔG of mutation and protein stabilit</t>
        </is>
      </c>
      <c r="P525" s="10" t="inlineStr"/>
    </row>
    <row r="526">
      <c r="A526" s="15" t="n">
        <v>525</v>
      </c>
      <c r="B526" s="15" t="inlineStr">
        <is>
          <t>Part II - The Method Atlas</t>
        </is>
      </c>
      <c r="C526" s="16" t="inlineStr">
        <is>
          <t>MARTINI</t>
        </is>
      </c>
      <c r="D526" s="10" t="inlineStr">
        <is>
          <t>BioExcel #84: Simulating whole cells with Martini</t>
        </is>
      </c>
      <c r="E526" s="10" t="inlineStr">
        <is>
          <t>BioExcel CoE</t>
        </is>
      </c>
      <c r="F526" s="11" t="inlineStr">
        <is>
          <t>1:01:50</t>
        </is>
      </c>
      <c r="G526" s="11" t="n">
        <v>1.03</v>
      </c>
      <c r="H526" s="12" t="inlineStr">
        <is>
          <t>★</t>
        </is>
      </c>
      <c r="I526" s="11" t="inlineStr">
        <is>
          <t>Not started</t>
        </is>
      </c>
      <c r="J526" s="13" t="n"/>
      <c r="K526" s="10" t="inlineStr"/>
      <c r="L526" s="14" t="inlineStr">
        <is>
          <t>▶ watch</t>
        </is>
      </c>
      <c r="M526" s="10" t="inlineStr">
        <is>
          <t>Gapsys et al. 2016, Chem Sci 7:4728 (PMX, accurate alchemical ΔΔG) · Steinbrecher et al. 2017, J Mol Biol 429:948</t>
        </is>
      </c>
      <c r="N526" s="14" t="inlineStr">
        <is>
          <t>read ↗</t>
        </is>
      </c>
      <c r="O526" s="11" t="inlineStr">
        <is>
          <t>reading for E.4 ΔΔG of mutation and protein stabilit</t>
        </is>
      </c>
      <c r="P526" s="10" t="inlineStr">
        <is>
          <t>G.3 Whole-cell modeling</t>
        </is>
      </c>
    </row>
    <row r="527">
      <c r="A527" s="15" t="n">
        <v>526</v>
      </c>
      <c r="B527" s="15" t="inlineStr">
        <is>
          <t>Part II - The Method Atlas</t>
        </is>
      </c>
      <c r="C527" s="16" t="inlineStr">
        <is>
          <t>MARTINI</t>
        </is>
      </c>
      <c r="D527" s="10" t="inlineStr">
        <is>
          <t>Coarse Grain (full workshop session</t>
        </is>
      </c>
      <c r="E527" s="10" t="inlineStr">
        <is>
          <t>Manuel Melo (MoBioChem</t>
        </is>
      </c>
      <c r="F527" s="11" t="inlineStr">
        <is>
          <t>2:02:57</t>
        </is>
      </c>
      <c r="G527" s="11" t="n">
        <v>2.05</v>
      </c>
      <c r="H527" s="12" t="inlineStr">
        <is>
          <t>★</t>
        </is>
      </c>
      <c r="I527" s="11" t="inlineStr">
        <is>
          <t>Not started</t>
        </is>
      </c>
      <c r="J527" s="13" t="n"/>
      <c r="K527" s="10" t="inlineStr"/>
      <c r="L527" s="14" t="inlineStr">
        <is>
          <t>▶ watch</t>
        </is>
      </c>
      <c r="M527" s="10" t="inlineStr">
        <is>
          <t>Gapsys et al. 2016, Chem Sci 7:4728 (PMX, accurate alchemical ΔΔG) · Steinbrecher et al. 2017, J Mol Biol 429:948</t>
        </is>
      </c>
      <c r="N527" s="14" t="inlineStr">
        <is>
          <t>read ↗</t>
        </is>
      </c>
      <c r="O527" s="11" t="inlineStr">
        <is>
          <t>reading for E.4 ΔΔG of mutation and protein stabilit</t>
        </is>
      </c>
      <c r="P527" s="10" t="inlineStr"/>
    </row>
    <row r="528">
      <c r="A528" s="15" t="n">
        <v>527</v>
      </c>
      <c r="B528" s="15" t="inlineStr">
        <is>
          <t>Part II - The Method Atlas</t>
        </is>
      </c>
      <c r="C528" s="16" t="inlineStr">
        <is>
          <t>MARTINI</t>
        </is>
      </c>
      <c r="D528" s="10" t="inlineStr">
        <is>
          <t>Key aspects when modelling amphiphiles with MARTINI</t>
        </is>
      </c>
      <c r="E528" s="10" t="inlineStr">
        <is>
          <t>Germán Pérez-Sánchez</t>
        </is>
      </c>
      <c r="F528" s="11" t="inlineStr">
        <is>
          <t>43:00</t>
        </is>
      </c>
      <c r="G528" s="11" t="n">
        <v>0.72</v>
      </c>
      <c r="H528" s="12" t="inlineStr"/>
      <c r="I528" s="11" t="inlineStr">
        <is>
          <t>Not started</t>
        </is>
      </c>
      <c r="J528" s="13" t="n"/>
      <c r="K528" s="10" t="inlineStr"/>
      <c r="L528" s="14" t="inlineStr">
        <is>
          <t>▶ watch</t>
        </is>
      </c>
      <c r="M528" s="10" t="inlineStr">
        <is>
          <t>Gapsys et al. 2016, Chem Sci 7:4728 (PMX, accurate alchemical ΔΔG) · Steinbrecher et al. 2017, J Mol Biol 429:948</t>
        </is>
      </c>
      <c r="N528" s="14" t="inlineStr">
        <is>
          <t>read ↗</t>
        </is>
      </c>
      <c r="O528" s="11" t="inlineStr">
        <is>
          <t>reading for E.4 ΔΔG of mutation and protein stabilit</t>
        </is>
      </c>
      <c r="P528" s="10" t="inlineStr"/>
    </row>
    <row r="529">
      <c r="A529" s="15" t="n">
        <v>528</v>
      </c>
      <c r="B529" s="15" t="inlineStr">
        <is>
          <t>Part II - The Method Atlas</t>
        </is>
      </c>
      <c r="C529" s="16" t="inlineStr">
        <is>
          <t>MARTINI</t>
        </is>
      </c>
      <c r="D529" s="10" t="inlineStr">
        <is>
          <t>OpenMM + Martini3: Simulating Proteins in Membrane Systems</t>
        </is>
      </c>
      <c r="E529" s="10" t="inlineStr">
        <is>
          <t>Neurosnap</t>
        </is>
      </c>
      <c r="F529" s="11" t="inlineStr">
        <is>
          <t>6:52</t>
        </is>
      </c>
      <c r="G529" s="11" t="n">
        <v>0.11</v>
      </c>
      <c r="H529" s="12" t="inlineStr"/>
      <c r="I529" s="11" t="inlineStr">
        <is>
          <t>Not started</t>
        </is>
      </c>
      <c r="J529" s="13" t="n"/>
      <c r="K529" s="10" t="inlineStr"/>
      <c r="L529" s="14" t="inlineStr">
        <is>
          <t>▶ watch</t>
        </is>
      </c>
      <c r="M529" s="10" t="inlineStr">
        <is>
          <t>Gapsys et al. 2016, Chem Sci 7:4728 (PMX, accurate alchemical ΔΔG) · Steinbrecher et al. 2017, J Mol Biol 429:948</t>
        </is>
      </c>
      <c r="N529" s="14" t="inlineStr">
        <is>
          <t>read ↗</t>
        </is>
      </c>
      <c r="O529" s="11" t="inlineStr">
        <is>
          <t>reading for E.4 ΔΔG of mutation and protein stabilit</t>
        </is>
      </c>
      <c r="P529" s="10" t="inlineStr"/>
    </row>
    <row r="530">
      <c r="A530" s="15" t="n">
        <v>529</v>
      </c>
      <c r="B530" s="15" t="inlineStr">
        <is>
          <t>Part II - The Method Atlas</t>
        </is>
      </c>
      <c r="C530" s="16" t="inlineStr">
        <is>
          <t>MARTINI</t>
        </is>
      </c>
      <c r="D530" s="10" t="inlineStr">
        <is>
          <t>Martinize.py: Generate Martini Protein Topology</t>
        </is>
      </c>
      <c r="E530" s="10" t="inlineStr">
        <is>
          <t>Ubeiden Samboni</t>
        </is>
      </c>
      <c r="F530" s="11" t="inlineStr">
        <is>
          <t>11:21</t>
        </is>
      </c>
      <c r="G530" s="11" t="n">
        <v>0.19</v>
      </c>
      <c r="H530" s="12" t="inlineStr"/>
      <c r="I530" s="11" t="inlineStr">
        <is>
          <t>Not started</t>
        </is>
      </c>
      <c r="J530" s="13" t="n"/>
      <c r="K530" s="10" t="inlineStr"/>
      <c r="L530" s="14" t="inlineStr">
        <is>
          <t>▶ watch</t>
        </is>
      </c>
      <c r="M530" s="10" t="inlineStr">
        <is>
          <t>Gapsys et al. 2016, Chem Sci 7:4728 (PMX, accurate alchemical ΔΔG) · Steinbrecher et al. 2017, J Mol Biol 429:948</t>
        </is>
      </c>
      <c r="N530" s="14" t="inlineStr">
        <is>
          <t>read ↗</t>
        </is>
      </c>
      <c r="O530" s="11" t="inlineStr">
        <is>
          <t>reading for E.4 ΔΔG of mutation and protein stabilit</t>
        </is>
      </c>
      <c r="P530" s="10" t="inlineStr"/>
    </row>
    <row r="531">
      <c r="A531" s="15" t="n">
        <v>530</v>
      </c>
      <c r="B531" s="15" t="inlineStr">
        <is>
          <t>Part II - The Method Atlas</t>
        </is>
      </c>
      <c r="C531" s="16" t="inlineStr">
        <is>
          <t>MARTINI</t>
        </is>
      </c>
      <c r="D531" s="10" t="inlineStr">
        <is>
          <t>Increasing complexity in simulations of biological membranes</t>
        </is>
      </c>
      <c r="E531" s="10" t="inlineStr">
        <is>
          <t>D. Peter Tieleman (Calgary</t>
        </is>
      </c>
      <c r="F531" s="11" t="inlineStr">
        <is>
          <t>1:16:01</t>
        </is>
      </c>
      <c r="G531" s="11" t="n">
        <v>1.27</v>
      </c>
      <c r="H531" s="12" t="inlineStr"/>
      <c r="I531" s="11" t="inlineStr">
        <is>
          <t>Not started</t>
        </is>
      </c>
      <c r="J531" s="13" t="n"/>
      <c r="K531" s="10" t="inlineStr"/>
      <c r="L531" s="14" t="inlineStr">
        <is>
          <t>▶ watch</t>
        </is>
      </c>
      <c r="M531" s="10" t="inlineStr">
        <is>
          <t>Gapsys et al. 2016, Chem Sci 7:4728 (PMX, accurate alchemical ΔΔG) · Steinbrecher et al. 2017, J Mol Biol 429:948</t>
        </is>
      </c>
      <c r="N531" s="14" t="inlineStr">
        <is>
          <t>read ↗</t>
        </is>
      </c>
      <c r="O531" s="11" t="inlineStr">
        <is>
          <t>reading for E.4 ΔΔG of mutation and protein stabilit</t>
        </is>
      </c>
      <c r="P531" s="10" t="inlineStr"/>
    </row>
    <row r="532">
      <c r="A532" s="15" t="n">
        <v>531</v>
      </c>
      <c r="B532" s="15" t="inlineStr">
        <is>
          <t>Part II - The Method Atlas</t>
        </is>
      </c>
      <c r="C532" s="16" t="inlineStr">
        <is>
          <t>MARTINI</t>
        </is>
      </c>
      <c r="D532" s="10" t="inlineStr">
        <is>
          <t>Tieleman, TCBG seminar (Martini 3 validation</t>
        </is>
      </c>
      <c r="E532" s="10" t="inlineStr">
        <is>
          <t>D. Peter Tieleman</t>
        </is>
      </c>
      <c r="F532" s="11" t="inlineStr">
        <is>
          <t>1:04:31</t>
        </is>
      </c>
      <c r="G532" s="11" t="n">
        <v>1.08</v>
      </c>
      <c r="H532" s="12" t="inlineStr"/>
      <c r="I532" s="11" t="inlineStr">
        <is>
          <t>Not started</t>
        </is>
      </c>
      <c r="J532" s="13" t="n"/>
      <c r="K532" s="10" t="inlineStr"/>
      <c r="L532" s="14" t="inlineStr">
        <is>
          <t>▶ watch</t>
        </is>
      </c>
      <c r="M532" s="10" t="inlineStr">
        <is>
          <t>Gapsys et al. 2016, Chem Sci 7:4728 (PMX, accurate alchemical ΔΔG) · Steinbrecher et al. 2017, J Mol Biol 429:948</t>
        </is>
      </c>
      <c r="N532" s="14" t="inlineStr">
        <is>
          <t>read ↗</t>
        </is>
      </c>
      <c r="O532" s="11" t="inlineStr">
        <is>
          <t>reading for E.4 ΔΔG of mutation and protein stabilit</t>
        </is>
      </c>
      <c r="P532" s="10" t="inlineStr"/>
    </row>
    <row r="533">
      <c r="A533" s="15" t="n">
        <v>532</v>
      </c>
      <c r="B533" s="15" t="inlineStr">
        <is>
          <t>Part II - The Method Atlas</t>
        </is>
      </c>
      <c r="C533" s="16" t="inlineStr">
        <is>
          <t>MARTINI</t>
        </is>
      </c>
      <c r="D533" s="10" t="inlineStr">
        <is>
          <t>TCBG 2003: Coarse Grained Modeling of Lipid Phases</t>
        </is>
      </c>
      <c r="E533" s="10" t="inlineStr">
        <is>
          <t>UIUC TCBG</t>
        </is>
      </c>
      <c r="F533" s="11" t="inlineStr">
        <is>
          <t>48:00</t>
        </is>
      </c>
      <c r="G533" s="11" t="n">
        <v>0.8</v>
      </c>
      <c r="H533" s="12" t="inlineStr"/>
      <c r="I533" s="11" t="inlineStr">
        <is>
          <t>Not started</t>
        </is>
      </c>
      <c r="J533" s="13" t="n"/>
      <c r="K533" s="10" t="inlineStr"/>
      <c r="L533" s="14" t="inlineStr">
        <is>
          <t>▶ watch</t>
        </is>
      </c>
      <c r="M533" s="10" t="inlineStr">
        <is>
          <t>Gapsys et al. 2016, Chem Sci 7:4728 (PMX, accurate alchemical ΔΔG) · Steinbrecher et al. 2017, J Mol Biol 429:948</t>
        </is>
      </c>
      <c r="N533" s="14" t="inlineStr">
        <is>
          <t>read ↗</t>
        </is>
      </c>
      <c r="O533" s="11" t="inlineStr">
        <is>
          <t>reading for E.4 ΔΔG of mutation and protein stabilit</t>
        </is>
      </c>
      <c r="P533" s="10" t="inlineStr"/>
    </row>
    <row r="534">
      <c r="A534" s="15" t="n">
        <v>533</v>
      </c>
      <c r="B534" s="15" t="inlineStr">
        <is>
          <t>Part II - The Method Atlas</t>
        </is>
      </c>
      <c r="C534" s="16" t="inlineStr">
        <is>
          <t>Structure-based (Gō) models and the funnel lineage</t>
        </is>
      </c>
      <c r="D534" s="10" t="inlineStr">
        <is>
          <t>Structure-based model workshop, part 1 (SMOG</t>
        </is>
      </c>
      <c r="E534" s="10" t="inlineStr">
        <is>
          <t>Paul Whitford (Northeastern</t>
        </is>
      </c>
      <c r="F534" s="11" t="inlineStr">
        <is>
          <t>58:35</t>
        </is>
      </c>
      <c r="G534" s="11" t="n">
        <v>0.98</v>
      </c>
      <c r="H534" s="12" t="inlineStr">
        <is>
          <t>★</t>
        </is>
      </c>
      <c r="I534" s="11" t="inlineStr">
        <is>
          <t>Not started</t>
        </is>
      </c>
      <c r="J534" s="13" t="n"/>
      <c r="K534" s="10" t="inlineStr"/>
      <c r="L534" s="14" t="inlineStr">
        <is>
          <t>▶ watch</t>
        </is>
      </c>
      <c r="M534" s="10" t="inlineStr">
        <is>
          <t>Gapsys et al. 2016, Chem Sci 7:4728 (PMX, accurate alchemical ΔΔG) · Steinbrecher et al. 2017, J Mol Biol 429:948</t>
        </is>
      </c>
      <c r="N534" s="14" t="inlineStr">
        <is>
          <t>read ↗</t>
        </is>
      </c>
      <c r="O534" s="11" t="inlineStr">
        <is>
          <t>reading for E.4 ΔΔG of mutation and protein stabilit</t>
        </is>
      </c>
      <c r="P534" s="10" t="inlineStr"/>
    </row>
    <row r="535">
      <c r="A535" s="15" t="n">
        <v>534</v>
      </c>
      <c r="B535" s="15" t="inlineStr">
        <is>
          <t>Part II - The Method Atlas</t>
        </is>
      </c>
      <c r="C535" s="16" t="inlineStr">
        <is>
          <t>Structure-based (Gō) models and the funnel lineage</t>
        </is>
      </c>
      <c r="D535" s="10" t="inlineStr">
        <is>
          <t>Structure-based model workshop, part 2</t>
        </is>
      </c>
      <c r="E535" s="10" t="inlineStr">
        <is>
          <t>Paul Whitford</t>
        </is>
      </c>
      <c r="F535" s="11" t="inlineStr">
        <is>
          <t>49:31</t>
        </is>
      </c>
      <c r="G535" s="11" t="n">
        <v>0.83</v>
      </c>
      <c r="H535" s="12" t="inlineStr"/>
      <c r="I535" s="11" t="inlineStr">
        <is>
          <t>Not started</t>
        </is>
      </c>
      <c r="J535" s="13" t="n"/>
      <c r="K535" s="10" t="inlineStr"/>
      <c r="L535" s="14" t="inlineStr">
        <is>
          <t>▶ watch</t>
        </is>
      </c>
      <c r="M535" s="10" t="inlineStr">
        <is>
          <t>Gapsys et al. 2016, Chem Sci 7:4728 (PMX, accurate alchemical ΔΔG) · Steinbrecher et al. 2017, J Mol Biol 429:948</t>
        </is>
      </c>
      <c r="N535" s="14" t="inlineStr">
        <is>
          <t>read ↗</t>
        </is>
      </c>
      <c r="O535" s="11" t="inlineStr">
        <is>
          <t>reading for E.4 ΔΔG of mutation and protein stabilit</t>
        </is>
      </c>
      <c r="P535" s="10" t="inlineStr"/>
    </row>
    <row r="536">
      <c r="A536" s="15" t="n">
        <v>535</v>
      </c>
      <c r="B536" s="15" t="inlineStr">
        <is>
          <t>Part II - The Method Atlas</t>
        </is>
      </c>
      <c r="C536" s="16" t="inlineStr">
        <is>
          <t>Structure-based (Gō) models and the funnel lineage</t>
        </is>
      </c>
      <c r="D536" s="10" t="inlineStr">
        <is>
          <t>Funnels and Landscapes in protein folding: a historical perspective</t>
        </is>
      </c>
      <c r="E536" s="10" t="inlineStr">
        <is>
          <t>José Onuchic (Rice</t>
        </is>
      </c>
      <c r="F536" s="11" t="inlineStr">
        <is>
          <t>1:05:51</t>
        </is>
      </c>
      <c r="G536" s="11" t="n">
        <v>1.1</v>
      </c>
      <c r="H536" s="12" t="inlineStr">
        <is>
          <t>★</t>
        </is>
      </c>
      <c r="I536" s="11" t="inlineStr">
        <is>
          <t>Not started</t>
        </is>
      </c>
      <c r="J536" s="13" t="n"/>
      <c r="K536" s="10" t="inlineStr"/>
      <c r="L536" s="14" t="inlineStr">
        <is>
          <t>▶ watch</t>
        </is>
      </c>
      <c r="M536" s="10" t="inlineStr">
        <is>
          <t>Gapsys et al. 2016, Chem Sci 7:4728 (PMX, accurate alchemical ΔΔG) · Steinbrecher et al. 2017, J Mol Biol 429:948</t>
        </is>
      </c>
      <c r="N536" s="14" t="inlineStr">
        <is>
          <t>read ↗</t>
        </is>
      </c>
      <c r="O536" s="11" t="inlineStr">
        <is>
          <t>reading for E.4 ΔΔG of mutation and protein stabilit</t>
        </is>
      </c>
      <c r="P536" s="10" t="inlineStr"/>
    </row>
    <row r="537">
      <c r="A537" s="15" t="n">
        <v>536</v>
      </c>
      <c r="B537" s="15" t="inlineStr">
        <is>
          <t>Part II - The Method Atlas</t>
        </is>
      </c>
      <c r="C537" s="16" t="inlineStr">
        <is>
          <t>Structure-based (Gō) models and the funnel lineage</t>
        </is>
      </c>
      <c r="D537" s="10" t="inlineStr">
        <is>
          <t>Funnels, cooperativity, desolvation, and enthalpic barriers</t>
        </is>
      </c>
      <c r="E537" s="10" t="inlineStr">
        <is>
          <t>Hue Sun Chan (Toronto</t>
        </is>
      </c>
      <c r="F537" s="11" t="inlineStr">
        <is>
          <t>1:00:52</t>
        </is>
      </c>
      <c r="G537" s="11" t="n">
        <v>1.01</v>
      </c>
      <c r="H537" s="12" t="inlineStr">
        <is>
          <t>★</t>
        </is>
      </c>
      <c r="I537" s="11" t="inlineStr">
        <is>
          <t>Not started</t>
        </is>
      </c>
      <c r="J537" s="13" t="n"/>
      <c r="K537" s="10" t="inlineStr"/>
      <c r="L537" s="14" t="inlineStr">
        <is>
          <t>▶ watch</t>
        </is>
      </c>
      <c r="M537" s="10" t="inlineStr">
        <is>
          <t>Chan et al. 2011, Annu Rev Phys Chem 62:301</t>
        </is>
      </c>
      <c r="N537" s="14" t="inlineStr">
        <is>
          <t>read ↗</t>
        </is>
      </c>
      <c r="O537" s="11" t="inlineStr">
        <is>
          <t>paired reading</t>
        </is>
      </c>
      <c r="P537" s="10" t="inlineStr"/>
    </row>
    <row r="538">
      <c r="A538" s="15" t="n">
        <v>537</v>
      </c>
      <c r="B538" s="15" t="inlineStr">
        <is>
          <t>Part II - The Method Atlas</t>
        </is>
      </c>
      <c r="C538" s="16" t="inlineStr">
        <is>
          <t>AWSEM, UNRES, SIRAH and the rest</t>
        </is>
      </c>
      <c r="D538" s="10" t="inlineStr">
        <is>
          <t>Coarse-Grained Modeling of Biomolecules: A Brief History and Overview</t>
        </is>
      </c>
      <c r="E538" s="10" t="inlineStr">
        <is>
          <t>Garegin Papoian (Maryland</t>
        </is>
      </c>
      <c r="F538" s="11" t="inlineStr">
        <is>
          <t>51:19</t>
        </is>
      </c>
      <c r="G538" s="11" t="n">
        <v>0.86</v>
      </c>
      <c r="H538" s="12" t="inlineStr">
        <is>
          <t>★</t>
        </is>
      </c>
      <c r="I538" s="11" t="inlineStr">
        <is>
          <t>Not started</t>
        </is>
      </c>
      <c r="J538" s="13" t="n"/>
      <c r="K538" s="10" t="inlineStr"/>
      <c r="L538" s="14" t="inlineStr">
        <is>
          <t>▶ watch</t>
        </is>
      </c>
      <c r="M538" s="10" t="inlineStr">
        <is>
          <t>Gapsys et al. 2016, Chem Sci 7:4728 (PMX, accurate alchemical ΔΔG) · Steinbrecher et al. 2017, J Mol Biol 429:948</t>
        </is>
      </c>
      <c r="N538" s="14" t="inlineStr">
        <is>
          <t>read ↗</t>
        </is>
      </c>
      <c r="O538" s="11" t="inlineStr">
        <is>
          <t>reading for E.4 ΔΔG of mutation and protein stabilit</t>
        </is>
      </c>
      <c r="P538" s="10" t="inlineStr"/>
    </row>
    <row r="539">
      <c r="A539" s="15" t="n">
        <v>538</v>
      </c>
      <c r="B539" s="15" t="inlineStr">
        <is>
          <t>Part II - The Method Atlas</t>
        </is>
      </c>
      <c r="C539" s="16" t="inlineStr">
        <is>
          <t>AWSEM, UNRES, SIRAH and the rest</t>
        </is>
      </c>
      <c r="D539" s="10" t="inlineStr">
        <is>
          <t>Structure and Dynamics of Nucleosomes from Atomistic and CG Simulations</t>
        </is>
      </c>
      <c r="E539" s="10" t="inlineStr">
        <is>
          <t>Garegin Papoian</t>
        </is>
      </c>
      <c r="F539" s="11" t="inlineStr">
        <is>
          <t>1:01:02</t>
        </is>
      </c>
      <c r="G539" s="11" t="n">
        <v>1.02</v>
      </c>
      <c r="H539" s="12" t="inlineStr"/>
      <c r="I539" s="11" t="inlineStr">
        <is>
          <t>Not started</t>
        </is>
      </c>
      <c r="J539" s="13" t="n"/>
      <c r="K539" s="10" t="inlineStr"/>
      <c r="L539" s="14" t="inlineStr">
        <is>
          <t>▶ watch</t>
        </is>
      </c>
      <c r="M539" s="10" t="inlineStr">
        <is>
          <t>Gapsys et al. 2016, Chem Sci 7:4728 (PMX, accurate alchemical ΔΔG) · Steinbrecher et al. 2017, J Mol Biol 429:948</t>
        </is>
      </c>
      <c r="N539" s="14" t="inlineStr">
        <is>
          <t>read ↗</t>
        </is>
      </c>
      <c r="O539" s="11" t="inlineStr">
        <is>
          <t>reading for E.4 ΔΔG of mutation and protein stabilit</t>
        </is>
      </c>
      <c r="P539" s="10" t="inlineStr"/>
    </row>
    <row r="540">
      <c r="A540" s="15" t="n">
        <v>539</v>
      </c>
      <c r="B540" s="15" t="inlineStr">
        <is>
          <t>Part II - The Method Atlas</t>
        </is>
      </c>
      <c r="C540" s="16" t="inlineStr">
        <is>
          <t>AWSEM, UNRES, SIRAH and the rest</t>
        </is>
      </c>
      <c r="D540" s="10" t="inlineStr">
        <is>
          <t>SIRAH: a CG force field for biomolecular simulations</t>
        </is>
      </c>
      <c r="E540" s="10" t="inlineStr">
        <is>
          <t>Sergio Pantano (Pasteur Montevideo</t>
        </is>
      </c>
      <c r="F540" s="11" t="inlineStr">
        <is>
          <t>1:04:48</t>
        </is>
      </c>
      <c r="G540" s="11" t="n">
        <v>1.08</v>
      </c>
      <c r="H540" s="12" t="inlineStr"/>
      <c r="I540" s="11" t="inlineStr">
        <is>
          <t>Not started</t>
        </is>
      </c>
      <c r="J540" s="13" t="n"/>
      <c r="K540" s="10" t="inlineStr"/>
      <c r="L540" s="14" t="inlineStr">
        <is>
          <t>▶ watch</t>
        </is>
      </c>
      <c r="M540" s="10" t="inlineStr">
        <is>
          <t>Gapsys et al. 2016, Chem Sci 7:4728 (PMX, accurate alchemical ΔΔG) · Steinbrecher et al. 2017, J Mol Biol 429:948</t>
        </is>
      </c>
      <c r="N540" s="14" t="inlineStr">
        <is>
          <t>read ↗</t>
        </is>
      </c>
      <c r="O540" s="11" t="inlineStr">
        <is>
          <t>reading for E.4 ΔΔG of mutation and protein stabilit</t>
        </is>
      </c>
      <c r="P540" s="10" t="inlineStr"/>
    </row>
    <row r="541">
      <c r="A541" s="15" t="n">
        <v>540</v>
      </c>
      <c r="B541" s="15" t="inlineStr">
        <is>
          <t>Part II - The Method Atlas</t>
        </is>
      </c>
      <c r="C541" s="16" t="inlineStr">
        <is>
          <t>AWSEM, UNRES, SIRAH and the rest</t>
        </is>
      </c>
      <c r="D541" s="10" t="inlineStr">
        <is>
          <t>Introduction to coarse-grained modeling for biological systems</t>
        </is>
      </c>
      <c r="E541" s="10" t="inlineStr">
        <is>
          <t>L. Silva (SIRAH</t>
        </is>
      </c>
      <c r="F541" s="11" t="inlineStr">
        <is>
          <t>17:43</t>
        </is>
      </c>
      <c r="G541" s="11" t="n">
        <v>0.3</v>
      </c>
      <c r="H541" s="12" t="inlineStr"/>
      <c r="I541" s="11" t="inlineStr">
        <is>
          <t>Not started</t>
        </is>
      </c>
      <c r="J541" s="13" t="n"/>
      <c r="K541" s="10" t="inlineStr"/>
      <c r="L541" s="14" t="inlineStr">
        <is>
          <t>▶ watch</t>
        </is>
      </c>
      <c r="M541" s="10" t="inlineStr">
        <is>
          <t>Gapsys et al. 2016, Chem Sci 7:4728 (PMX, accurate alchemical ΔΔG) · Steinbrecher et al. 2017, J Mol Biol 429:948</t>
        </is>
      </c>
      <c r="N541" s="14" t="inlineStr">
        <is>
          <t>read ↗</t>
        </is>
      </c>
      <c r="O541" s="11" t="inlineStr">
        <is>
          <t>reading for E.4 ΔΔG of mutation and protein stabilit</t>
        </is>
      </c>
      <c r="P541" s="10" t="inlineStr"/>
    </row>
    <row r="542">
      <c r="A542" s="15" t="n">
        <v>541</v>
      </c>
      <c r="B542" s="15" t="inlineStr">
        <is>
          <t>Part II - The Method Atlas</t>
        </is>
      </c>
      <c r="C542" s="16" t="inlineStr">
        <is>
          <t>AWSEM, UNRES, SIRAH and the rest</t>
        </is>
      </c>
      <c r="D542" s="10" t="inlineStr">
        <is>
          <t>Geometry-consistent expressions for energy terms (UNRES</t>
        </is>
      </c>
      <c r="E542" s="10" t="inlineStr">
        <is>
          <t>Adam Liwo (Gdańsk</t>
        </is>
      </c>
      <c r="F542" s="11" t="inlineStr">
        <is>
          <t>42:57</t>
        </is>
      </c>
      <c r="G542" s="11" t="n">
        <v>0.72</v>
      </c>
      <c r="H542" s="12" t="inlineStr"/>
      <c r="I542" s="11" t="inlineStr">
        <is>
          <t>Not started</t>
        </is>
      </c>
      <c r="J542" s="13" t="n"/>
      <c r="K542" s="10" t="inlineStr"/>
      <c r="L542" s="14" t="inlineStr">
        <is>
          <t>▶ watch</t>
        </is>
      </c>
      <c r="M542" s="10" t="inlineStr">
        <is>
          <t>Liwo et al. 2001, JCP 115:2323</t>
        </is>
      </c>
      <c r="N542" s="14" t="inlineStr">
        <is>
          <t>read ↗</t>
        </is>
      </c>
      <c r="O542" s="11" t="inlineStr">
        <is>
          <t>paired reading</t>
        </is>
      </c>
      <c r="P542" s="10" t="inlineStr"/>
    </row>
    <row r="543">
      <c r="A543" s="15" t="n">
        <v>542</v>
      </c>
      <c r="B543" s="15" t="inlineStr">
        <is>
          <t>Part II - The Method Atlas</t>
        </is>
      </c>
      <c r="C543" s="16" t="inlineStr">
        <is>
          <t>AWSEM, UNRES, SIRAH and the rest</t>
        </is>
      </c>
      <c r="D543" s="10" t="inlineStr">
        <is>
          <t>Template-based prediction using coarse-grained UNRES</t>
        </is>
      </c>
      <c r="E543" s="10" t="inlineStr">
        <is>
          <t>Adam Liwo</t>
        </is>
      </c>
      <c r="F543" s="11" t="inlineStr">
        <is>
          <t>43:31</t>
        </is>
      </c>
      <c r="G543" s="11" t="n">
        <v>0.73</v>
      </c>
      <c r="H543" s="12" t="inlineStr"/>
      <c r="I543" s="11" t="inlineStr">
        <is>
          <t>Not started</t>
        </is>
      </c>
      <c r="J543" s="13" t="n"/>
      <c r="K543" s="10" t="inlineStr"/>
      <c r="L543" s="14" t="inlineStr">
        <is>
          <t>▶ watch</t>
        </is>
      </c>
      <c r="M543" s="10" t="inlineStr">
        <is>
          <t>Gapsys et al. 2016, Chem Sci 7:4728 (PMX, accurate alchemical ΔΔG) · Steinbrecher et al. 2017, J Mol Biol 429:948</t>
        </is>
      </c>
      <c r="N543" s="14" t="inlineStr">
        <is>
          <t>read ↗</t>
        </is>
      </c>
      <c r="O543" s="11" t="inlineStr">
        <is>
          <t>reading for E.4 ΔΔG of mutation and protein stabilit</t>
        </is>
      </c>
      <c r="P543" s="10" t="inlineStr"/>
    </row>
    <row r="544">
      <c r="A544" s="15" t="n">
        <v>543</v>
      </c>
      <c r="B544" s="15" t="inlineStr">
        <is>
          <t>Part II - The Method Atlas</t>
        </is>
      </c>
      <c r="C544" s="16" t="inlineStr">
        <is>
          <t>AWSEM, UNRES, SIRAH and the rest</t>
        </is>
      </c>
      <c r="D544" s="10" t="inlineStr">
        <is>
          <t>CABS-flex 2.0: predicting structural ensembles</t>
        </is>
      </c>
      <c r="E544" s="10" t="inlineStr">
        <is>
          <t>Bernal Institute</t>
        </is>
      </c>
      <c r="F544" s="11" t="inlineStr">
        <is>
          <t>26:49</t>
        </is>
      </c>
      <c r="G544" s="11" t="n">
        <v>0.45</v>
      </c>
      <c r="H544" s="12" t="inlineStr"/>
      <c r="I544" s="11" t="inlineStr">
        <is>
          <t>Not started</t>
        </is>
      </c>
      <c r="J544" s="13" t="n"/>
      <c r="K544" s="10" t="inlineStr"/>
      <c r="L544" s="14" t="inlineStr">
        <is>
          <t>▶ watch</t>
        </is>
      </c>
      <c r="M544" s="10" t="inlineStr">
        <is>
          <t>Gapsys et al. 2016, Chem Sci 7:4728 (PMX, accurate alchemical ΔΔG) · Steinbrecher et al. 2017, J Mol Biol 429:948</t>
        </is>
      </c>
      <c r="N544" s="14" t="inlineStr">
        <is>
          <t>read ↗</t>
        </is>
      </c>
      <c r="O544" s="11" t="inlineStr">
        <is>
          <t>reading for E.4 ΔΔG of mutation and protein stabilit</t>
        </is>
      </c>
      <c r="P544" s="10" t="inlineStr"/>
    </row>
    <row r="545">
      <c r="A545" s="15" t="n">
        <v>544</v>
      </c>
      <c r="B545" s="15" t="inlineStr">
        <is>
          <t>Part II - The Method Atlas</t>
        </is>
      </c>
      <c r="C545" s="16" t="inlineStr">
        <is>
          <t>AWSEM, UNRES, SIRAH and the rest</t>
        </is>
      </c>
      <c r="D545" s="10" t="inlineStr">
        <is>
          <t>Protein folding simulation using SURPASS</t>
        </is>
      </c>
      <c r="E545" s="10" t="inlineStr">
        <is>
          <t>Bio Comp Pictures</t>
        </is>
      </c>
      <c r="F545" s="11" t="inlineStr">
        <is>
          <t>3:37</t>
        </is>
      </c>
      <c r="G545" s="11" t="n">
        <v>0.06</v>
      </c>
      <c r="H545" s="12" t="inlineStr"/>
      <c r="I545" s="11" t="inlineStr">
        <is>
          <t>Not started</t>
        </is>
      </c>
      <c r="J545" s="13" t="n"/>
      <c r="K545" s="10" t="inlineStr"/>
      <c r="L545" s="14" t="inlineStr">
        <is>
          <t>▶ watch</t>
        </is>
      </c>
      <c r="M545" s="10" t="inlineStr">
        <is>
          <t>Gapsys et al. 2016, Chem Sci 7:4728 (PMX, accurate alchemical ΔΔG) · Steinbrecher et al. 2017, J Mol Biol 429:948</t>
        </is>
      </c>
      <c r="N545" s="14" t="inlineStr">
        <is>
          <t>read ↗</t>
        </is>
      </c>
      <c r="O545" s="11" t="inlineStr">
        <is>
          <t>reading for E.4 ΔΔG of mutation and protein stabilit</t>
        </is>
      </c>
      <c r="P545" s="10" t="inlineStr"/>
    </row>
    <row r="546">
      <c r="A546" s="15" t="n">
        <v>545</v>
      </c>
      <c r="B546" s="15" t="inlineStr">
        <is>
          <t>Part II - The Method Atlas</t>
        </is>
      </c>
      <c r="C546" s="16" t="inlineStr">
        <is>
          <t>AWSEM, UNRES, SIRAH and the rest</t>
        </is>
      </c>
      <c r="D546" s="10" t="inlineStr">
        <is>
          <t>Coarse-Grained Simulation of Proteins to Capture Conformational Change</t>
        </is>
      </c>
      <c r="E546" s="10" t="inlineStr">
        <is>
          <t>IIT Madras</t>
        </is>
      </c>
      <c r="F546" s="11" t="inlineStr">
        <is>
          <t>1:11:55</t>
        </is>
      </c>
      <c r="G546" s="11" t="n">
        <v>1.2</v>
      </c>
      <c r="H546" s="12" t="inlineStr"/>
      <c r="I546" s="11" t="inlineStr">
        <is>
          <t>Not started</t>
        </is>
      </c>
      <c r="J546" s="13" t="n"/>
      <c r="K546" s="10" t="inlineStr"/>
      <c r="L546" s="14" t="inlineStr">
        <is>
          <t>▶ watch</t>
        </is>
      </c>
      <c r="M546" s="10" t="inlineStr">
        <is>
          <t>Gapsys et al. 2016, Chem Sci 7:4728 (PMX, accurate alchemical ΔΔG) · Steinbrecher et al. 2017, J Mol Biol 429:948</t>
        </is>
      </c>
      <c r="N546" s="14" t="inlineStr">
        <is>
          <t>read ↗</t>
        </is>
      </c>
      <c r="O546" s="11" t="inlineStr">
        <is>
          <t>reading for E.4 ΔΔG of mutation and protein stabilit</t>
        </is>
      </c>
      <c r="P546" s="10" t="inlineStr"/>
    </row>
    <row r="547">
      <c r="A547" s="15" t="n">
        <v>546</v>
      </c>
      <c r="B547" s="15" t="inlineStr">
        <is>
          <t>Part II - The Method Atlas</t>
        </is>
      </c>
      <c r="C547" s="16" t="inlineStr">
        <is>
          <t>Adaptive resolution and multiscale coupling</t>
        </is>
      </c>
      <c r="D547" s="10" t="inlineStr">
        <is>
          <t>Adaptive resolution simulation methods for soft matter</t>
        </is>
      </c>
      <c r="E547" s="10" t="inlineStr">
        <is>
          <t>Kurt Kremer (MPI-P Mainz</t>
        </is>
      </c>
      <c r="F547" s="11" t="inlineStr">
        <is>
          <t>52:58</t>
        </is>
      </c>
      <c r="G547" s="11" t="n">
        <v>0.88</v>
      </c>
      <c r="H547" s="12" t="inlineStr">
        <is>
          <t>★</t>
        </is>
      </c>
      <c r="I547" s="11" t="inlineStr">
        <is>
          <t>Not started</t>
        </is>
      </c>
      <c r="J547" s="13" t="n"/>
      <c r="K547" s="10" t="inlineStr"/>
      <c r="L547" s="14" t="inlineStr">
        <is>
          <t>▶ watch</t>
        </is>
      </c>
      <c r="M547" s="10" t="inlineStr">
        <is>
          <t>Gapsys et al. 2016, Chem Sci 7:4728 (PMX, accurate alchemical ΔΔG) · Steinbrecher et al. 2017, J Mol Biol 429:948</t>
        </is>
      </c>
      <c r="N547" s="14" t="inlineStr">
        <is>
          <t>read ↗</t>
        </is>
      </c>
      <c r="O547" s="11" t="inlineStr">
        <is>
          <t>reading for E.4 ΔΔG of mutation and protein stabilit</t>
        </is>
      </c>
      <c r="P547" s="10" t="inlineStr"/>
    </row>
    <row r="548">
      <c r="A548" s="15" t="n">
        <v>547</v>
      </c>
      <c r="B548" s="15" t="inlineStr">
        <is>
          <t>Part II - The Method Atlas</t>
        </is>
      </c>
      <c r="C548" s="16" t="inlineStr">
        <is>
          <t>Adaptive resolution and multiscale coupling</t>
        </is>
      </c>
      <c r="D548" s="10" t="inlineStr">
        <is>
          <t>BioExcel #20: Adaptive resolution methods in soft matter</t>
        </is>
      </c>
      <c r="E548" s="10" t="inlineStr">
        <is>
          <t>BioExcel CoE</t>
        </is>
      </c>
      <c r="F548" s="11" t="inlineStr">
        <is>
          <t>1:00:48</t>
        </is>
      </c>
      <c r="G548" s="11" t="n">
        <v>1.01</v>
      </c>
      <c r="H548" s="12" t="inlineStr"/>
      <c r="I548" s="11" t="inlineStr">
        <is>
          <t>Not started</t>
        </is>
      </c>
      <c r="J548" s="13" t="n"/>
      <c r="K548" s="10" t="inlineStr"/>
      <c r="L548" s="14" t="inlineStr">
        <is>
          <t>▶ watch</t>
        </is>
      </c>
      <c r="M548" s="10" t="inlineStr">
        <is>
          <t>Gapsys et al. 2016, Chem Sci 7:4728 (PMX, accurate alchemical ΔΔG) · Steinbrecher et al. 2017, J Mol Biol 429:948</t>
        </is>
      </c>
      <c r="N548" s="14" t="inlineStr">
        <is>
          <t>read ↗</t>
        </is>
      </c>
      <c r="O548" s="11" t="inlineStr">
        <is>
          <t>reading for E.4 ΔΔG of mutation and protein stabilit</t>
        </is>
      </c>
      <c r="P548" s="10" t="inlineStr"/>
    </row>
    <row r="549">
      <c r="A549" s="15" t="n">
        <v>548</v>
      </c>
      <c r="B549" s="15" t="inlineStr">
        <is>
          <t>Part II - The Method Atlas</t>
        </is>
      </c>
      <c r="C549" s="16" t="inlineStr">
        <is>
          <t>Adaptive resolution and multiscale coupling</t>
        </is>
      </c>
      <c r="D549" s="10" t="inlineStr">
        <is>
          <t>BioExcel #19: Hybrid MM/Coarse-Grained approaches</t>
        </is>
      </c>
      <c r="E549" s="10" t="inlineStr">
        <is>
          <t>BioExcel CoE</t>
        </is>
      </c>
      <c r="F549" s="11" t="inlineStr">
        <is>
          <t>58:46</t>
        </is>
      </c>
      <c r="G549" s="11" t="n">
        <v>0.98</v>
      </c>
      <c r="H549" s="12" t="inlineStr"/>
      <c r="I549" s="11" t="inlineStr">
        <is>
          <t>Not started</t>
        </is>
      </c>
      <c r="J549" s="13" t="n"/>
      <c r="K549" s="10" t="inlineStr"/>
      <c r="L549" s="14" t="inlineStr">
        <is>
          <t>▶ watch</t>
        </is>
      </c>
      <c r="M549" s="10" t="inlineStr">
        <is>
          <t>Gapsys et al. 2016, Chem Sci 7:4728 (PMX, accurate alchemical ΔΔG) · Steinbrecher et al. 2017, J Mol Biol 429:948</t>
        </is>
      </c>
      <c r="N549" s="14" t="inlineStr">
        <is>
          <t>read ↗</t>
        </is>
      </c>
      <c r="O549" s="11" t="inlineStr">
        <is>
          <t>reading for E.4 ΔΔG of mutation and protein stabilit</t>
        </is>
      </c>
      <c r="P549" s="10" t="inlineStr"/>
    </row>
    <row r="550">
      <c r="A550" s="15" t="n">
        <v>549</v>
      </c>
      <c r="B550" s="15" t="inlineStr">
        <is>
          <t>Part II - The Method Atlas</t>
        </is>
      </c>
      <c r="C550" s="16" t="inlineStr">
        <is>
          <t>Adaptive resolution and multiscale coupling</t>
        </is>
      </c>
      <c r="D550" s="10" t="inlineStr">
        <is>
          <t>Coarse-grained / multiscale simulation in NAMD, with validation</t>
        </is>
      </c>
      <c r="E550" s="10" t="inlineStr">
        <is>
          <t>NanoBio Node</t>
        </is>
      </c>
      <c r="F550" s="11" t="inlineStr">
        <is>
          <t>56:28</t>
        </is>
      </c>
      <c r="G550" s="11" t="n">
        <v>0.9399999999999999</v>
      </c>
      <c r="H550" s="12" t="inlineStr"/>
      <c r="I550" s="11" t="inlineStr">
        <is>
          <t>Not started</t>
        </is>
      </c>
      <c r="J550" s="13" t="n"/>
      <c r="K550" s="10" t="inlineStr"/>
      <c r="L550" s="14" t="inlineStr">
        <is>
          <t>▶ watch</t>
        </is>
      </c>
      <c r="M550" s="10" t="inlineStr">
        <is>
          <t>Gapsys et al. 2016, Chem Sci 7:4728 (PMX, accurate alchemical ΔΔG) · Steinbrecher et al. 2017, J Mol Biol 429:948</t>
        </is>
      </c>
      <c r="N550" s="14" t="inlineStr">
        <is>
          <t>read ↗</t>
        </is>
      </c>
      <c r="O550" s="11" t="inlineStr">
        <is>
          <t>reading for E.4 ΔΔG of mutation and protein stabilit</t>
        </is>
      </c>
      <c r="P550" s="10" t="inlineStr"/>
    </row>
    <row r="551">
      <c r="A551" s="15" t="n">
        <v>550</v>
      </c>
      <c r="B551" s="15" t="inlineStr">
        <is>
          <t>Part II - The Method Atlas</t>
        </is>
      </c>
      <c r="C551" s="16" t="inlineStr">
        <is>
          <t>Membrane elasticity - the Deserno course</t>
        </is>
      </c>
      <c r="D551" s="10" t="inlineStr">
        <is>
          <t>Membrane Elasticity and Thermodynamics I</t>
        </is>
      </c>
      <c r="E551" s="10" t="inlineStr">
        <is>
          <t>Markus Deserno (CMU</t>
        </is>
      </c>
      <c r="F551" s="11" t="inlineStr">
        <is>
          <t>1:33:32</t>
        </is>
      </c>
      <c r="G551" s="11" t="n">
        <v>1.56</v>
      </c>
      <c r="H551" s="12" t="inlineStr"/>
      <c r="I551" s="11" t="inlineStr">
        <is>
          <t>Not started</t>
        </is>
      </c>
      <c r="J551" s="13" t="n"/>
      <c r="K551" s="10" t="inlineStr"/>
      <c r="L551" s="14" t="inlineStr">
        <is>
          <t>▶ watch</t>
        </is>
      </c>
      <c r="M551" s="10" t="inlineStr">
        <is>
          <t>Gapsys et al. 2016, Chem Sci 7:4728 (PMX, accurate alchemical ΔΔG) · Steinbrecher et al. 2017, J Mol Biol 429:948</t>
        </is>
      </c>
      <c r="N551" s="14" t="inlineStr">
        <is>
          <t>read ↗</t>
        </is>
      </c>
      <c r="O551" s="11" t="inlineStr">
        <is>
          <t>reading for E.4 ΔΔG of mutation and protein stabilit</t>
        </is>
      </c>
      <c r="P551" s="10" t="inlineStr"/>
    </row>
    <row r="552">
      <c r="A552" s="15" t="n">
        <v>551</v>
      </c>
      <c r="B552" s="15" t="inlineStr">
        <is>
          <t>Part II - The Method Atlas</t>
        </is>
      </c>
      <c r="C552" s="16" t="inlineStr">
        <is>
          <t>Membrane elasticity - the Deserno course</t>
        </is>
      </c>
      <c r="D552" s="10" t="inlineStr">
        <is>
          <t>Membrane Elasticity and Thermodynamics II</t>
        </is>
      </c>
      <c r="E552" s="10" t="inlineStr">
        <is>
          <t>Markus Deserno</t>
        </is>
      </c>
      <c r="F552" s="11" t="inlineStr">
        <is>
          <t>1:40:11</t>
        </is>
      </c>
      <c r="G552" s="11" t="n">
        <v>1.67</v>
      </c>
      <c r="H552" s="12" t="inlineStr"/>
      <c r="I552" s="11" t="inlineStr">
        <is>
          <t>Not started</t>
        </is>
      </c>
      <c r="J552" s="13" t="n"/>
      <c r="K552" s="10" t="inlineStr"/>
      <c r="L552" s="14" t="inlineStr">
        <is>
          <t>▶ watch</t>
        </is>
      </c>
      <c r="M552" s="10" t="inlineStr">
        <is>
          <t>Gapsys et al. 2016, Chem Sci 7:4728 (PMX, accurate alchemical ΔΔG) · Steinbrecher et al. 2017, J Mol Biol 429:948</t>
        </is>
      </c>
      <c r="N552" s="14" t="inlineStr">
        <is>
          <t>read ↗</t>
        </is>
      </c>
      <c r="O552" s="11" t="inlineStr">
        <is>
          <t>reading for E.4 ΔΔG of mutation and protein stabilit</t>
        </is>
      </c>
      <c r="P552" s="10" t="inlineStr"/>
    </row>
    <row r="553">
      <c r="A553" s="15" t="n">
        <v>552</v>
      </c>
      <c r="B553" s="15" t="inlineStr">
        <is>
          <t>Part II - The Method Atlas</t>
        </is>
      </c>
      <c r="C553" s="16" t="inlineStr">
        <is>
          <t>Membrane elasticity - the Deserno course</t>
        </is>
      </c>
      <c r="D553" s="10" t="inlineStr">
        <is>
          <t>Membrane Elasticity and Thermodynamics III</t>
        </is>
      </c>
      <c r="E553" s="10" t="inlineStr">
        <is>
          <t>Markus Deserno</t>
        </is>
      </c>
      <c r="F553" s="11" t="inlineStr">
        <is>
          <t>1:43:25</t>
        </is>
      </c>
      <c r="G553" s="11" t="n">
        <v>1.72</v>
      </c>
      <c r="H553" s="12" t="inlineStr"/>
      <c r="I553" s="11" t="inlineStr">
        <is>
          <t>Not started</t>
        </is>
      </c>
      <c r="J553" s="13" t="n"/>
      <c r="K553" s="10" t="inlineStr"/>
      <c r="L553" s="14" t="inlineStr">
        <is>
          <t>▶ watch</t>
        </is>
      </c>
      <c r="M553" s="10" t="inlineStr">
        <is>
          <t>Gapsys et al. 2016, Chem Sci 7:4728 (PMX, accurate alchemical ΔΔG) · Steinbrecher et al. 2017, J Mol Biol 429:948</t>
        </is>
      </c>
      <c r="N553" s="14" t="inlineStr">
        <is>
          <t>read ↗</t>
        </is>
      </c>
      <c r="O553" s="11" t="inlineStr">
        <is>
          <t>reading for E.4 ΔΔG of mutation and protein stabilit</t>
        </is>
      </c>
      <c r="P553" s="10" t="inlineStr"/>
    </row>
    <row r="554">
      <c r="A554" s="15" t="n">
        <v>553</v>
      </c>
      <c r="B554" s="15" t="inlineStr">
        <is>
          <t>Part II - The Method Atlas</t>
        </is>
      </c>
      <c r="C554" s="16" t="inlineStr">
        <is>
          <t>Membrane elasticity - the Deserno course</t>
        </is>
      </c>
      <c r="D554" s="10" t="inlineStr">
        <is>
          <t>A Physicist's View on Biological Membranes (single-lecture version</t>
        </is>
      </c>
      <c r="E554" s="10" t="inlineStr">
        <is>
          <t>Markus Deserno</t>
        </is>
      </c>
      <c r="F554" s="11" t="inlineStr">
        <is>
          <t>1:14:13</t>
        </is>
      </c>
      <c r="G554" s="11" t="n">
        <v>1.24</v>
      </c>
      <c r="H554" s="12" t="inlineStr"/>
      <c r="I554" s="11" t="inlineStr">
        <is>
          <t>Not started</t>
        </is>
      </c>
      <c r="J554" s="13" t="n"/>
      <c r="K554" s="10" t="inlineStr"/>
      <c r="L554" s="14" t="inlineStr">
        <is>
          <t>▶ watch</t>
        </is>
      </c>
      <c r="M554" s="10" t="inlineStr">
        <is>
          <t>Gapsys et al. 2016, Chem Sci 7:4728 (PMX, accurate alchemical ΔΔG) · Steinbrecher et al. 2017, J Mol Biol 429:948</t>
        </is>
      </c>
      <c r="N554" s="14" t="inlineStr">
        <is>
          <t>read ↗</t>
        </is>
      </c>
      <c r="O554" s="11" t="inlineStr">
        <is>
          <t>reading for E.4 ΔΔG of mutation and protein stabilit</t>
        </is>
      </c>
      <c r="P554" s="10" t="inlineStr"/>
    </row>
    <row r="555">
      <c r="A555" s="15" t="n">
        <v>554</v>
      </c>
      <c r="B555" s="15" t="inlineStr">
        <is>
          <t>Part II - The Method Atlas</t>
        </is>
      </c>
      <c r="C555" s="16" t="inlineStr">
        <is>
          <t>Membrane elasticity - the Deserno course</t>
        </is>
      </c>
      <c r="D555" s="10" t="inlineStr">
        <is>
          <t>Coarse-grained Simulation Studies of membranes</t>
        </is>
      </c>
      <c r="E555" s="10" t="inlineStr">
        <is>
          <t>Markus Deserno (Nordita</t>
        </is>
      </c>
      <c r="F555" s="11" t="inlineStr">
        <is>
          <t>56:36</t>
        </is>
      </c>
      <c r="G555" s="11" t="n">
        <v>0.9399999999999999</v>
      </c>
      <c r="H555" s="12" t="inlineStr"/>
      <c r="I555" s="11" t="inlineStr">
        <is>
          <t>Not started</t>
        </is>
      </c>
      <c r="J555" s="13" t="n"/>
      <c r="K555" s="10" t="inlineStr"/>
      <c r="L555" s="14" t="inlineStr">
        <is>
          <t>▶ watch</t>
        </is>
      </c>
      <c r="M555" s="10" t="inlineStr">
        <is>
          <t>Gapsys et al. 2016, Chem Sci 7:4728 (PMX, accurate alchemical ΔΔG) · Steinbrecher et al. 2017, J Mol Biol 429:948</t>
        </is>
      </c>
      <c r="N555" s="14" t="inlineStr">
        <is>
          <t>read ↗</t>
        </is>
      </c>
      <c r="O555" s="11" t="inlineStr">
        <is>
          <t>reading for E.4 ΔΔG of mutation and protein stabilit</t>
        </is>
      </c>
      <c r="P555" s="10" t="inlineStr"/>
    </row>
    <row r="556">
      <c r="A556" s="15" t="n">
        <v>555</v>
      </c>
      <c r="B556" s="15" t="inlineStr">
        <is>
          <t>Part II - The Method Atlas</t>
        </is>
      </c>
      <c r="C556" s="16" t="inlineStr">
        <is>
          <t>Membrane elasticity - the Deserno course</t>
        </is>
      </c>
      <c r="D556" s="10" t="inlineStr">
        <is>
          <t>Helfrich Energy: From Heisenberg Spins to Mean Curvature</t>
        </is>
      </c>
      <c r="E556" s="10" t="inlineStr">
        <is>
          <t>PhysicsOfLifeLMU</t>
        </is>
      </c>
      <c r="F556" s="11" t="inlineStr">
        <is>
          <t>45:41</t>
        </is>
      </c>
      <c r="G556" s="11" t="n">
        <v>0.76</v>
      </c>
      <c r="H556" s="12" t="inlineStr"/>
      <c r="I556" s="11" t="inlineStr">
        <is>
          <t>Not started</t>
        </is>
      </c>
      <c r="J556" s="13" t="n"/>
      <c r="K556" s="10" t="inlineStr"/>
      <c r="L556" s="14" t="inlineStr">
        <is>
          <t>▶ watch</t>
        </is>
      </c>
      <c r="M556" s="10" t="inlineStr">
        <is>
          <t>Gapsys et al. 2016, Chem Sci 7:4728 (PMX, accurate alchemical ΔΔG) · Steinbrecher et al. 2017, J Mol Biol 429:948</t>
        </is>
      </c>
      <c r="N556" s="14" t="inlineStr">
        <is>
          <t>read ↗</t>
        </is>
      </c>
      <c r="O556" s="11" t="inlineStr">
        <is>
          <t>reading for E.4 ΔΔG of mutation and protein stabilit</t>
        </is>
      </c>
      <c r="P556" s="10" t="inlineStr"/>
    </row>
    <row r="557">
      <c r="A557" s="15" t="n">
        <v>556</v>
      </c>
      <c r="B557" s="15" t="inlineStr">
        <is>
          <t>Part II - The Method Atlas</t>
        </is>
      </c>
      <c r="C557" s="16" t="inlineStr">
        <is>
          <t>Membrane elasticity - the Deserno course</t>
        </is>
      </c>
      <c r="D557" s="10" t="inlineStr">
        <is>
          <t>Physics approaches of biological membranes</t>
        </is>
      </c>
      <c r="E557" s="10" t="inlineStr">
        <is>
          <t>Patricia Bassereau (Institut Curie</t>
        </is>
      </c>
      <c r="F557" s="11" t="inlineStr">
        <is>
          <t>1:08:10</t>
        </is>
      </c>
      <c r="G557" s="11" t="n">
        <v>1.14</v>
      </c>
      <c r="H557" s="12" t="inlineStr"/>
      <c r="I557" s="11" t="inlineStr">
        <is>
          <t>Not started</t>
        </is>
      </c>
      <c r="J557" s="13" t="n"/>
      <c r="K557" s="10" t="inlineStr"/>
      <c r="L557" s="14" t="inlineStr">
        <is>
          <t>▶ watch</t>
        </is>
      </c>
      <c r="M557" s="10" t="inlineStr">
        <is>
          <t>Gapsys et al. 2016, Chem Sci 7:4728 (PMX, accurate alchemical ΔΔG) · Steinbrecher et al. 2017, J Mol Biol 429:948</t>
        </is>
      </c>
      <c r="N557" s="14" t="inlineStr">
        <is>
          <t>read ↗</t>
        </is>
      </c>
      <c r="O557" s="11" t="inlineStr">
        <is>
          <t>reading for E.4 ΔΔG of mutation and protein stabilit</t>
        </is>
      </c>
      <c r="P557" s="10" t="inlineStr"/>
    </row>
    <row r="558">
      <c r="A558" s="15" t="n">
        <v>557</v>
      </c>
      <c r="B558" s="15" t="inlineStr">
        <is>
          <t>Part II - The Method Atlas</t>
        </is>
      </c>
      <c r="C558" s="16" t="inlineStr">
        <is>
          <t>Membrane elasticity - the Deserno course</t>
        </is>
      </c>
      <c r="D558" s="10" t="inlineStr">
        <is>
          <t>Coarse-Graining Phase Separation: Flory-Huggins to Ginzburg-Landau</t>
        </is>
      </c>
      <c r="E558" s="10" t="inlineStr">
        <is>
          <t>PhysicsOfLifeLMU</t>
        </is>
      </c>
      <c r="F558" s="11" t="inlineStr">
        <is>
          <t>48:20</t>
        </is>
      </c>
      <c r="G558" s="11" t="n">
        <v>0.8100000000000001</v>
      </c>
      <c r="H558" s="12" t="inlineStr"/>
      <c r="I558" s="11" t="inlineStr">
        <is>
          <t>Not started</t>
        </is>
      </c>
      <c r="J558" s="13" t="n"/>
      <c r="K558" s="10" t="inlineStr"/>
      <c r="L558" s="14" t="inlineStr">
        <is>
          <t>▶ watch</t>
        </is>
      </c>
      <c r="M558" s="10" t="inlineStr">
        <is>
          <t>Gapsys et al. 2016, Chem Sci 7:4728 (PMX, accurate alchemical ΔΔG) · Steinbrecher et al. 2017, J Mol Biol 429:948</t>
        </is>
      </c>
      <c r="N558" s="14" t="inlineStr">
        <is>
          <t>read ↗</t>
        </is>
      </c>
      <c r="O558" s="11" t="inlineStr">
        <is>
          <t>reading for E.4 ΔΔG of mutation and protein stabilit</t>
        </is>
      </c>
      <c r="P558" s="10" t="inlineStr"/>
    </row>
    <row r="559">
      <c r="A559" s="15" t="n">
        <v>558</v>
      </c>
      <c r="B559" s="15" t="inlineStr">
        <is>
          <t>Part II - The Method Atlas</t>
        </is>
      </c>
      <c r="C559" s="16" t="inlineStr">
        <is>
          <t>Dissipative particle dynamics and lattice Boltzmann</t>
        </is>
      </c>
      <c r="D559" s="10" t="inlineStr">
        <is>
          <t>Lec 31: Dissipative Particle Dynamics</t>
        </is>
      </c>
      <c r="E559" s="10" t="inlineStr">
        <is>
          <t>IIT Madras</t>
        </is>
      </c>
      <c r="F559" s="11" t="inlineStr">
        <is>
          <t>39:54</t>
        </is>
      </c>
      <c r="G559" s="11" t="n">
        <v>0.67</v>
      </c>
      <c r="H559" s="12" t="inlineStr"/>
      <c r="I559" s="11" t="inlineStr">
        <is>
          <t>Not started</t>
        </is>
      </c>
      <c r="J559" s="13" t="n"/>
      <c r="K559" s="10" t="inlineStr"/>
      <c r="L559" s="14" t="inlineStr">
        <is>
          <t>▶ watch</t>
        </is>
      </c>
      <c r="M559" s="10" t="inlineStr">
        <is>
          <t>Gapsys et al. 2016, Chem Sci 7:4728 (PMX, accurate alchemical ΔΔG) · Steinbrecher et al. 2017, J Mol Biol 429:948</t>
        </is>
      </c>
      <c r="N559" s="14" t="inlineStr">
        <is>
          <t>read ↗</t>
        </is>
      </c>
      <c r="O559" s="11" t="inlineStr">
        <is>
          <t>reading for E.4 ΔΔG of mutation and protein stabilit</t>
        </is>
      </c>
      <c r="P559" s="10" t="inlineStr"/>
    </row>
    <row r="560">
      <c r="A560" s="15" t="n">
        <v>559</v>
      </c>
      <c r="B560" s="15" t="inlineStr">
        <is>
          <t>Part II - The Method Atlas</t>
        </is>
      </c>
      <c r="C560" s="16" t="inlineStr">
        <is>
          <t>Dissipative particle dynamics and lattice Boltzmann</t>
        </is>
      </c>
      <c r="D560" s="10" t="inlineStr">
        <is>
          <t>Mesoscale Modeling of Soft Matter with DPD</t>
        </is>
      </c>
      <c r="E560" s="10" t="inlineStr">
        <is>
          <t>ATOMS UFRJ</t>
        </is>
      </c>
      <c r="F560" s="11" t="inlineStr">
        <is>
          <t>1:19:41</t>
        </is>
      </c>
      <c r="G560" s="11" t="n">
        <v>1.33</v>
      </c>
      <c r="H560" s="12" t="inlineStr">
        <is>
          <t>★</t>
        </is>
      </c>
      <c r="I560" s="11" t="inlineStr">
        <is>
          <t>Not started</t>
        </is>
      </c>
      <c r="J560" s="13" t="n"/>
      <c r="K560" s="10" t="inlineStr"/>
      <c r="L560" s="14" t="inlineStr">
        <is>
          <t>▶ watch</t>
        </is>
      </c>
      <c r="M560" s="10" t="inlineStr">
        <is>
          <t>Gapsys et al. 2016, Chem Sci 7:4728 (PMX, accurate alchemical ΔΔG) · Steinbrecher et al. 2017, J Mol Biol 429:948</t>
        </is>
      </c>
      <c r="N560" s="14" t="inlineStr">
        <is>
          <t>read ↗</t>
        </is>
      </c>
      <c r="O560" s="11" t="inlineStr">
        <is>
          <t>reading for E.4 ΔΔG of mutation and protein stabilit</t>
        </is>
      </c>
      <c r="P560" s="10" t="inlineStr">
        <is>
          <t>G.6 Continuum electrostatics and mesoscale hydrodynamics</t>
        </is>
      </c>
    </row>
    <row r="561">
      <c r="A561" s="15" t="n">
        <v>560</v>
      </c>
      <c r="B561" s="15" t="inlineStr">
        <is>
          <t>Part II - The Method Atlas</t>
        </is>
      </c>
      <c r="C561" s="16" t="inlineStr">
        <is>
          <t>Dissipative particle dynamics and lattice Boltzmann</t>
        </is>
      </c>
      <c r="D561" s="10" t="inlineStr">
        <is>
          <t>DPD Simulation of Red Blood Cells</t>
        </is>
      </c>
      <c r="E561" s="10" t="inlineStr">
        <is>
          <t>Bruce Caswell</t>
        </is>
      </c>
      <c r="F561" s="11" t="inlineStr">
        <is>
          <t>1:02:02</t>
        </is>
      </c>
      <c r="G561" s="11" t="n">
        <v>1.03</v>
      </c>
      <c r="H561" s="12" t="inlineStr">
        <is>
          <t>★</t>
        </is>
      </c>
      <c r="I561" s="11" t="inlineStr">
        <is>
          <t>Not started</t>
        </is>
      </c>
      <c r="J561" s="13" t="n"/>
      <c r="K561" s="10" t="inlineStr"/>
      <c r="L561" s="14" t="inlineStr">
        <is>
          <t>▶ watch</t>
        </is>
      </c>
      <c r="M561" s="10" t="inlineStr">
        <is>
          <t>Gapsys et al. 2016, Chem Sci 7:4728 (PMX, accurate alchemical ΔΔG) · Steinbrecher et al. 2017, J Mol Biol 429:948</t>
        </is>
      </c>
      <c r="N561" s="14" t="inlineStr">
        <is>
          <t>read ↗</t>
        </is>
      </c>
      <c r="O561" s="11" t="inlineStr">
        <is>
          <t>reading for E.4 ΔΔG of mutation and protein stabilit</t>
        </is>
      </c>
      <c r="P561" s="10" t="inlineStr">
        <is>
          <t>G.6 Continuum electrostatics and mesoscale hydrodynamics</t>
        </is>
      </c>
    </row>
    <row r="562">
      <c r="A562" s="15" t="n">
        <v>561</v>
      </c>
      <c r="B562" s="15" t="inlineStr">
        <is>
          <t>Part II - The Method Atlas</t>
        </is>
      </c>
      <c r="C562" s="16" t="inlineStr">
        <is>
          <t>Dissipative particle dynamics and lattice Boltzmann</t>
        </is>
      </c>
      <c r="D562" s="10" t="inlineStr">
        <is>
          <t>DLMESO (hands-on</t>
        </is>
      </c>
      <c r="E562" s="10" t="inlineStr">
        <is>
          <t>CCPBioSim</t>
        </is>
      </c>
      <c r="F562" s="11" t="inlineStr">
        <is>
          <t>1:15:06</t>
        </is>
      </c>
      <c r="G562" s="11" t="n">
        <v>1.25</v>
      </c>
      <c r="H562" s="12" t="inlineStr"/>
      <c r="I562" s="11" t="inlineStr">
        <is>
          <t>Not started</t>
        </is>
      </c>
      <c r="J562" s="13" t="n"/>
      <c r="K562" s="10" t="inlineStr"/>
      <c r="L562" s="14" t="inlineStr">
        <is>
          <t>▶ watch</t>
        </is>
      </c>
      <c r="M562" s="10" t="inlineStr">
        <is>
          <t>Gapsys et al. 2016, Chem Sci 7:4728 (PMX, accurate alchemical ΔΔG) · Steinbrecher et al. 2017, J Mol Biol 429:948</t>
        </is>
      </c>
      <c r="N562" s="14" t="inlineStr">
        <is>
          <t>read ↗</t>
        </is>
      </c>
      <c r="O562" s="11" t="inlineStr">
        <is>
          <t>reading for E.4 ΔΔG of mutation and protein stabilit</t>
        </is>
      </c>
      <c r="P562" s="10" t="inlineStr">
        <is>
          <t>G.6 Continuum electrostatics and mesoscale hydrodynamics</t>
        </is>
      </c>
    </row>
    <row r="563">
      <c r="A563" s="15" t="n">
        <v>562</v>
      </c>
      <c r="B563" s="15" t="inlineStr">
        <is>
          <t>Part II - The Method Atlas</t>
        </is>
      </c>
      <c r="C563" s="16" t="inlineStr">
        <is>
          <t>Dissipative particle dynamics and lattice Boltzmann</t>
        </is>
      </c>
      <c r="D563" s="10" t="inlineStr">
        <is>
          <t>Lattice Boltzmann for simple fluids 1/4</t>
        </is>
      </c>
      <c r="E563" s="10" t="inlineStr">
        <is>
          <t>Ignacio Pagonabarraga (EPFL</t>
        </is>
      </c>
      <c r="F563" s="11" t="inlineStr">
        <is>
          <t>19:45</t>
        </is>
      </c>
      <c r="G563" s="11" t="n">
        <v>0.33</v>
      </c>
      <c r="H563" s="12" t="inlineStr"/>
      <c r="I563" s="11" t="inlineStr">
        <is>
          <t>Not started</t>
        </is>
      </c>
      <c r="J563" s="13" t="n"/>
      <c r="K563" s="10" t="inlineStr"/>
      <c r="L563" s="14" t="inlineStr">
        <is>
          <t>▶ watch</t>
        </is>
      </c>
      <c r="M563" s="10" t="inlineStr">
        <is>
          <t>Gapsys et al. 2016, Chem Sci 7:4728 (PMX, accurate alchemical ΔΔG) · Steinbrecher et al. 2017, J Mol Biol 429:948</t>
        </is>
      </c>
      <c r="N563" s="14" t="inlineStr">
        <is>
          <t>read ↗</t>
        </is>
      </c>
      <c r="O563" s="11" t="inlineStr">
        <is>
          <t>reading for E.4 ΔΔG of mutation and protein stabilit</t>
        </is>
      </c>
      <c r="P563" s="10" t="inlineStr"/>
    </row>
    <row r="564">
      <c r="A564" s="15" t="n">
        <v>563</v>
      </c>
      <c r="B564" s="15" t="inlineStr">
        <is>
          <t>Part II - The Method Atlas</t>
        </is>
      </c>
      <c r="C564" s="16" t="inlineStr">
        <is>
          <t>Dissipative particle dynamics and lattice Boltzmann</t>
        </is>
      </c>
      <c r="D564" s="10" t="inlineStr">
        <is>
          <t>Lattice Boltzmann for simple fluids 2/4</t>
        </is>
      </c>
      <c r="E564" s="10" t="inlineStr">
        <is>
          <t>Ignacio Pagonabarraga</t>
        </is>
      </c>
      <c r="F564" s="11" t="inlineStr">
        <is>
          <t>23:09</t>
        </is>
      </c>
      <c r="G564" s="11" t="n">
        <v>0.39</v>
      </c>
      <c r="H564" s="12" t="inlineStr"/>
      <c r="I564" s="11" t="inlineStr">
        <is>
          <t>Not started</t>
        </is>
      </c>
      <c r="J564" s="13" t="n"/>
      <c r="K564" s="10" t="inlineStr"/>
      <c r="L564" s="14" t="inlineStr">
        <is>
          <t>▶ watch</t>
        </is>
      </c>
      <c r="M564" s="10" t="inlineStr">
        <is>
          <t>Gapsys et al. 2016, Chem Sci 7:4728 (PMX, accurate alchemical ΔΔG) · Steinbrecher et al. 2017, J Mol Biol 429:948</t>
        </is>
      </c>
      <c r="N564" s="14" t="inlineStr">
        <is>
          <t>read ↗</t>
        </is>
      </c>
      <c r="O564" s="11" t="inlineStr">
        <is>
          <t>reading for E.4 ΔΔG of mutation and protein stabilit</t>
        </is>
      </c>
      <c r="P564" s="10" t="inlineStr"/>
    </row>
    <row r="565">
      <c r="A565" s="15" t="n">
        <v>564</v>
      </c>
      <c r="B565" s="15" t="inlineStr">
        <is>
          <t>Part II - The Method Atlas</t>
        </is>
      </c>
      <c r="C565" s="16" t="inlineStr">
        <is>
          <t>Dissipative particle dynamics and lattice Boltzmann</t>
        </is>
      </c>
      <c r="D565" s="10" t="inlineStr">
        <is>
          <t>Lattice Boltzmann for simple fluids 3/4</t>
        </is>
      </c>
      <c r="E565" s="10" t="inlineStr">
        <is>
          <t>Ignacio Pagonabarraga</t>
        </is>
      </c>
      <c r="F565" s="11" t="inlineStr">
        <is>
          <t>33:24</t>
        </is>
      </c>
      <c r="G565" s="11" t="n">
        <v>0.5600000000000001</v>
      </c>
      <c r="H565" s="12" t="inlineStr"/>
      <c r="I565" s="11" t="inlineStr">
        <is>
          <t>Not started</t>
        </is>
      </c>
      <c r="J565" s="13" t="n"/>
      <c r="K565" s="10" t="inlineStr"/>
      <c r="L565" s="14" t="inlineStr">
        <is>
          <t>▶ watch</t>
        </is>
      </c>
      <c r="M565" s="10" t="inlineStr">
        <is>
          <t>Gapsys et al. 2016, Chem Sci 7:4728 (PMX, accurate alchemical ΔΔG) · Steinbrecher et al. 2017, J Mol Biol 429:948</t>
        </is>
      </c>
      <c r="N565" s="14" t="inlineStr">
        <is>
          <t>read ↗</t>
        </is>
      </c>
      <c r="O565" s="11" t="inlineStr">
        <is>
          <t>reading for E.4 ΔΔG of mutation and protein stabilit</t>
        </is>
      </c>
      <c r="P565" s="10" t="inlineStr"/>
    </row>
    <row r="566">
      <c r="A566" s="15" t="n">
        <v>565</v>
      </c>
      <c r="B566" s="15" t="inlineStr">
        <is>
          <t>Part II - The Method Atlas</t>
        </is>
      </c>
      <c r="C566" s="16" t="inlineStr">
        <is>
          <t>Dissipative particle dynamics and lattice Boltzmann</t>
        </is>
      </c>
      <c r="D566" s="10" t="inlineStr">
        <is>
          <t>Lattice Boltzmann for simple fluids 4/4</t>
        </is>
      </c>
      <c r="E566" s="10" t="inlineStr">
        <is>
          <t>Ignacio Pagonabarraga</t>
        </is>
      </c>
      <c r="F566" s="11" t="inlineStr">
        <is>
          <t>35:52</t>
        </is>
      </c>
      <c r="G566" s="11" t="n">
        <v>0.6</v>
      </c>
      <c r="H566" s="12" t="inlineStr"/>
      <c r="I566" s="11" t="inlineStr">
        <is>
          <t>Not started</t>
        </is>
      </c>
      <c r="J566" s="13" t="n"/>
      <c r="K566" s="10" t="inlineStr"/>
      <c r="L566" s="14" t="inlineStr">
        <is>
          <t>▶ watch</t>
        </is>
      </c>
      <c r="M566" s="10" t="inlineStr">
        <is>
          <t>Gapsys et al. 2016, Chem Sci 7:4728 (PMX, accurate alchemical ΔΔG) · Steinbrecher et al. 2017, J Mol Biol 429:948</t>
        </is>
      </c>
      <c r="N566" s="14" t="inlineStr">
        <is>
          <t>read ↗</t>
        </is>
      </c>
      <c r="O566" s="11" t="inlineStr">
        <is>
          <t>reading for E.4 ΔΔG of mutation and protein stabilit</t>
        </is>
      </c>
      <c r="P566" s="10" t="inlineStr"/>
    </row>
    <row r="567">
      <c r="A567" s="15" t="n">
        <v>566</v>
      </c>
      <c r="B567" s="15" t="inlineStr">
        <is>
          <t>Part II - The Method Atlas</t>
        </is>
      </c>
      <c r="C567" s="16" t="inlineStr">
        <is>
          <t>Dissipative particle dynamics and lattice Boltzmann</t>
        </is>
      </c>
      <c r="D567" s="10" t="inlineStr">
        <is>
          <t>Introduction to Lattice Boltzmann Method</t>
        </is>
      </c>
      <c r="E567" s="10" t="inlineStr">
        <is>
          <t>ESPResSo</t>
        </is>
      </c>
      <c r="F567" s="11" t="inlineStr">
        <is>
          <t>1:03:56</t>
        </is>
      </c>
      <c r="G567" s="11" t="n">
        <v>1.07</v>
      </c>
      <c r="H567" s="12" t="inlineStr"/>
      <c r="I567" s="11" t="inlineStr">
        <is>
          <t>Not started</t>
        </is>
      </c>
      <c r="J567" s="13" t="n"/>
      <c r="K567" s="10" t="inlineStr"/>
      <c r="L567" s="14" t="inlineStr">
        <is>
          <t>▶ watch</t>
        </is>
      </c>
      <c r="M567" s="10" t="inlineStr">
        <is>
          <t>Gapsys et al. 2016, Chem Sci 7:4728 (PMX, accurate alchemical ΔΔG) · Steinbrecher et al. 2017, J Mol Biol 429:948</t>
        </is>
      </c>
      <c r="N567" s="14" t="inlineStr">
        <is>
          <t>read ↗</t>
        </is>
      </c>
      <c r="O567" s="11" t="inlineStr">
        <is>
          <t>reading for E.4 ΔΔG of mutation and protein stabilit</t>
        </is>
      </c>
      <c r="P567" s="10" t="inlineStr"/>
    </row>
    <row r="568">
      <c r="A568" s="15" t="n">
        <v>567</v>
      </c>
      <c r="B568" s="15" t="inlineStr">
        <is>
          <t>Part II - The Method Atlas</t>
        </is>
      </c>
      <c r="C568" s="16" t="inlineStr">
        <is>
          <t>G.1 Brownian and Langevin dynamics, and association kinetics</t>
        </is>
      </c>
      <c r="D568" s="10" t="inlineStr">
        <is>
          <t>Effects of crowding on binding and enzyme reaction rates</t>
        </is>
      </c>
      <c r="E568" s="10" t="inlineStr">
        <is>
          <t>Gideon Schreiber (Weizmann</t>
        </is>
      </c>
      <c r="F568" s="11" t="inlineStr">
        <is>
          <t>1:06:51</t>
        </is>
      </c>
      <c r="G568" s="11" t="n">
        <v>1.11</v>
      </c>
      <c r="H568" s="12" t="inlineStr">
        <is>
          <t>★</t>
        </is>
      </c>
      <c r="I568" s="11" t="inlineStr">
        <is>
          <t>Not started</t>
        </is>
      </c>
      <c r="J568" s="13" t="n"/>
      <c r="K568" s="10" t="inlineStr"/>
      <c r="L568" s="14" t="inlineStr">
        <is>
          <t>▶ watch</t>
        </is>
      </c>
      <c r="M568" s="10" t="inlineStr">
        <is>
          <t>Ermak &amp; McCammon 1978, JCP 69:1352 · Northrup, Allison &amp; McCammon 1984, JCP 80:1517</t>
        </is>
      </c>
      <c r="N568" s="14" t="inlineStr">
        <is>
          <t>read ↗</t>
        </is>
      </c>
      <c r="O568" s="11" t="inlineStr">
        <is>
          <t>section reading (2 of 6)</t>
        </is>
      </c>
      <c r="P568" s="10" t="inlineStr"/>
    </row>
    <row r="569">
      <c r="A569" s="15" t="n">
        <v>568</v>
      </c>
      <c r="B569" s="15" t="inlineStr">
        <is>
          <t>Part II - The Method Atlas</t>
        </is>
      </c>
      <c r="C569" s="16" t="inlineStr">
        <is>
          <t>G.1 Brownian and Langevin dynamics, and association kinetics</t>
        </is>
      </c>
      <c r="D569" s="10" t="inlineStr">
        <is>
          <t>Diffusional association and residence times</t>
        </is>
      </c>
      <c r="E569" s="10" t="inlineStr">
        <is>
          <t>Rebecca Wade (HITS, author of SDA</t>
        </is>
      </c>
      <c r="F569" s="11" t="inlineStr">
        <is>
          <t>32:25</t>
        </is>
      </c>
      <c r="G569" s="11" t="n">
        <v>0.54</v>
      </c>
      <c r="H569" s="12" t="inlineStr">
        <is>
          <t>★</t>
        </is>
      </c>
      <c r="I569" s="11" t="inlineStr">
        <is>
          <t>Not started</t>
        </is>
      </c>
      <c r="J569" s="13" t="n"/>
      <c r="K569" s="10" t="inlineStr"/>
      <c r="L569" s="14" t="inlineStr">
        <is>
          <t>▶ watch</t>
        </is>
      </c>
      <c r="M569" s="10" t="inlineStr">
        <is>
          <t>Ermak &amp; McCammon 1978, JCP 69:1352 · Northrup, Allison &amp; McCammon 1984, JCP 80:1517</t>
        </is>
      </c>
      <c r="N569" s="14" t="inlineStr">
        <is>
          <t>read ↗</t>
        </is>
      </c>
      <c r="O569" s="11" t="inlineStr">
        <is>
          <t>section reading (2 of 6)</t>
        </is>
      </c>
      <c r="P569" s="10" t="inlineStr">
        <is>
          <t>B.4 Workshop on Free Energy, Kinetics and MSM in Drug Design, 2018 - 43 videos</t>
        </is>
      </c>
    </row>
    <row r="570">
      <c r="A570" s="15" t="n">
        <v>569</v>
      </c>
      <c r="B570" s="15" t="inlineStr">
        <is>
          <t>Part II - The Method Atlas</t>
        </is>
      </c>
      <c r="C570" s="16" t="inlineStr">
        <is>
          <t>G.1 Brownian and Langevin dynamics, and association kinetics</t>
        </is>
      </c>
      <c r="D570" s="10" t="inlineStr">
        <is>
          <t>Protein Dynamics in Cellular Environments</t>
        </is>
      </c>
      <c r="E570" s="10" t="inlineStr">
        <is>
          <t>Rommie Amaro (UCSD</t>
        </is>
      </c>
      <c r="F570" s="11" t="inlineStr">
        <is>
          <t>57:47</t>
        </is>
      </c>
      <c r="G570" s="11" t="n">
        <v>0.96</v>
      </c>
      <c r="H570" s="12" t="inlineStr">
        <is>
          <t>★</t>
        </is>
      </c>
      <c r="I570" s="11" t="inlineStr">
        <is>
          <t>Not started</t>
        </is>
      </c>
      <c r="J570" s="13" t="n"/>
      <c r="K570" s="10" t="inlineStr"/>
      <c r="L570" s="14" t="inlineStr">
        <is>
          <t>▶ watch</t>
        </is>
      </c>
      <c r="M570" s="10" t="inlineStr">
        <is>
          <t>Ermak &amp; McCammon 1978, JCP 69:1352 · Northrup, Allison &amp; McCammon 1984, JCP 80:1517</t>
        </is>
      </c>
      <c r="N570" s="14" t="inlineStr">
        <is>
          <t>read ↗</t>
        </is>
      </c>
      <c r="O570" s="11" t="inlineStr">
        <is>
          <t>section reading (2 of 6)</t>
        </is>
      </c>
      <c r="P570" s="10" t="inlineStr">
        <is>
          <t>I.7 Membrane proteins and large assemblies</t>
        </is>
      </c>
    </row>
    <row r="571">
      <c r="A571" s="15" t="n">
        <v>570</v>
      </c>
      <c r="B571" s="15" t="inlineStr">
        <is>
          <t>Part II - The Method Atlas</t>
        </is>
      </c>
      <c r="C571" s="16" t="inlineStr">
        <is>
          <t>G.1 Brownian and Langevin dynamics, and association kinetics</t>
        </is>
      </c>
      <c r="D571" s="10" t="inlineStr">
        <is>
          <t>Raymond Goldstein (Cambridge</t>
        </is>
      </c>
      <c r="E571" s="10" t="inlineStr">
        <is>
          <t>Life at Low Reynolds Number</t>
        </is>
      </c>
      <c r="F571" s="11" t="inlineStr">
        <is>
          <t>15:03</t>
        </is>
      </c>
      <c r="G571" s="11" t="n">
        <v>0.25</v>
      </c>
      <c r="H571" s="12" t="inlineStr"/>
      <c r="I571" s="11" t="inlineStr">
        <is>
          <t>Not started</t>
        </is>
      </c>
      <c r="J571" s="13" t="n"/>
      <c r="K571" s="10" t="inlineStr"/>
      <c r="L571" s="14" t="inlineStr">
        <is>
          <t>▶ watch</t>
        </is>
      </c>
      <c r="M571" s="10" t="inlineStr">
        <is>
          <t>Ermak &amp; McCammon 1978, JCP 69:1352 · Northrup, Allison &amp; McCammon 1984, JCP 80:1517</t>
        </is>
      </c>
      <c r="N571" s="14" t="inlineStr">
        <is>
          <t>read ↗</t>
        </is>
      </c>
      <c r="O571" s="11" t="inlineStr">
        <is>
          <t>section reading (2 of 6)</t>
        </is>
      </c>
      <c r="P571" s="10" t="inlineStr"/>
    </row>
    <row r="572">
      <c r="A572" s="15" t="n">
        <v>571</v>
      </c>
      <c r="B572" s="15" t="inlineStr">
        <is>
          <t>Part II - The Method Atlas</t>
        </is>
      </c>
      <c r="C572" s="16" t="inlineStr">
        <is>
          <t>G.1 Brownian and Langevin dynamics, and association kinetics</t>
        </is>
      </c>
      <c r="D572" s="10" t="inlineStr">
        <is>
          <t>Batchelor Prize Lecture - low-Reynolds biological fluid dynamics</t>
        </is>
      </c>
      <c r="E572" s="10" t="inlineStr">
        <is>
          <t>Raymond Goldstein</t>
        </is>
      </c>
      <c r="F572" s="11" t="inlineStr">
        <is>
          <t>48:55</t>
        </is>
      </c>
      <c r="G572" s="11" t="n">
        <v>0.82</v>
      </c>
      <c r="H572" s="12" t="inlineStr"/>
      <c r="I572" s="11" t="inlineStr">
        <is>
          <t>Not started</t>
        </is>
      </c>
      <c r="J572" s="13" t="n"/>
      <c r="K572" s="10" t="inlineStr"/>
      <c r="L572" s="14" t="inlineStr">
        <is>
          <t>▶ watch</t>
        </is>
      </c>
      <c r="M572" s="10" t="inlineStr">
        <is>
          <t>Ermak &amp; McCammon 1978, JCP 69:1352 · Northrup, Allison &amp; McCammon 1984, JCP 80:1517</t>
        </is>
      </c>
      <c r="N572" s="14" t="inlineStr">
        <is>
          <t>read ↗</t>
        </is>
      </c>
      <c r="O572" s="11" t="inlineStr">
        <is>
          <t>section reading (2 of 6)</t>
        </is>
      </c>
      <c r="P572" s="10" t="inlineStr"/>
    </row>
    <row r="573">
      <c r="A573" s="15" t="n">
        <v>572</v>
      </c>
      <c r="B573" s="15" t="inlineStr">
        <is>
          <t>Part II - The Method Atlas</t>
        </is>
      </c>
      <c r="C573" s="16" t="inlineStr">
        <is>
          <t>G.2 Reaction-diffusion and particle-based cell simulation</t>
        </is>
      </c>
      <c r="D573" s="10" t="inlineStr">
        <is>
          <t>MCell: A 3D Monte Carlo Model of a Virtual Cell</t>
        </is>
      </c>
      <c r="E573" s="10" t="inlineStr">
        <is>
          <t>Terry Sejnowski (Salk</t>
        </is>
      </c>
      <c r="F573" s="11" t="inlineStr">
        <is>
          <t>11:06</t>
        </is>
      </c>
      <c r="G573" s="11" t="n">
        <v>0.18</v>
      </c>
      <c r="H573" s="12" t="inlineStr">
        <is>
          <t>★</t>
        </is>
      </c>
      <c r="I573" s="11" t="inlineStr">
        <is>
          <t>Not started</t>
        </is>
      </c>
      <c r="J573" s="13" t="n"/>
      <c r="K573" s="10" t="inlineStr"/>
      <c r="L573" s="14" t="inlineStr">
        <is>
          <t>▶ watch</t>
        </is>
      </c>
      <c r="M573" s="10" t="inlineStr">
        <is>
          <t>Kerr et al. 2008, SIAM J Sci Comput 30:3126 (MCell)</t>
        </is>
      </c>
      <c r="N573" s="14" t="inlineStr">
        <is>
          <t>read ↗</t>
        </is>
      </c>
      <c r="O573" s="11" t="inlineStr">
        <is>
          <t>names MCELL</t>
        </is>
      </c>
      <c r="P573" s="10" t="inlineStr"/>
    </row>
    <row r="574">
      <c r="A574" s="15" t="n">
        <v>573</v>
      </c>
      <c r="B574" s="15" t="inlineStr">
        <is>
          <t>Part II - The Method Atlas</t>
        </is>
      </c>
      <c r="C574" s="16" t="inlineStr">
        <is>
          <t>G.2 Reaction-diffusion and particle-based cell simulation</t>
        </is>
      </c>
      <c r="D574" s="10" t="inlineStr">
        <is>
          <t>How to build a synapse from molecules, membranes and Monte Carlo</t>
        </is>
      </c>
      <c r="E574" s="10" t="inlineStr">
        <is>
          <t>Thomas Bartol (Salk</t>
        </is>
      </c>
      <c r="F574" s="11" t="inlineStr">
        <is>
          <t>20:02</t>
        </is>
      </c>
      <c r="G574" s="11" t="n">
        <v>0.33</v>
      </c>
      <c r="H574" s="12" t="inlineStr"/>
      <c r="I574" s="11" t="inlineStr">
        <is>
          <t>Not started</t>
        </is>
      </c>
      <c r="J574" s="13" t="n"/>
      <c r="K574" s="10" t="inlineStr"/>
      <c r="L574" s="14" t="inlineStr">
        <is>
          <t>▶ watch</t>
        </is>
      </c>
      <c r="M574" s="10" t="inlineStr">
        <is>
          <t>Gillespie 1977, J Phys Chem 81:2340 · Gillespie 2001, JCP 115:1716 (tau-leaping)</t>
        </is>
      </c>
      <c r="N574" s="14" t="inlineStr">
        <is>
          <t>read ↗</t>
        </is>
      </c>
      <c r="O574" s="11" t="inlineStr">
        <is>
          <t>section reading (2 of 6)</t>
        </is>
      </c>
      <c r="P574" s="10" t="inlineStr"/>
    </row>
    <row r="575">
      <c r="A575" s="15" t="n">
        <v>574</v>
      </c>
      <c r="B575" s="15" t="inlineStr">
        <is>
          <t>Part II - The Method Atlas</t>
        </is>
      </c>
      <c r="C575" s="16" t="inlineStr">
        <is>
          <t>G.2 Reaction-diffusion and particle-based cell simulation</t>
        </is>
      </c>
      <c r="D575" s="10" t="inlineStr">
        <is>
          <t>Introduction to MCell4</t>
        </is>
      </c>
      <c r="E575" s="10" t="inlineStr">
        <is>
          <t>Salk CNL</t>
        </is>
      </c>
      <c r="F575" s="11" t="inlineStr">
        <is>
          <t>7:14</t>
        </is>
      </c>
      <c r="G575" s="11" t="n">
        <v>0.12</v>
      </c>
      <c r="H575" s="12" t="inlineStr"/>
      <c r="I575" s="11" t="inlineStr">
        <is>
          <t>Not started</t>
        </is>
      </c>
      <c r="J575" s="13" t="n"/>
      <c r="K575" s="10" t="inlineStr"/>
      <c r="L575" s="14" t="inlineStr">
        <is>
          <t>▶ watch</t>
        </is>
      </c>
      <c r="M575" s="10" t="inlineStr">
        <is>
          <t>Gillespie 1977, J Phys Chem 81:2340 · Gillespie 2001, JCP 115:1716 (tau-leaping)</t>
        </is>
      </c>
      <c r="N575" s="14" t="inlineStr">
        <is>
          <t>read ↗</t>
        </is>
      </c>
      <c r="O575" s="11" t="inlineStr">
        <is>
          <t>section reading (2 of 6)</t>
        </is>
      </c>
      <c r="P575" s="10" t="inlineStr"/>
    </row>
    <row r="576">
      <c r="A576" s="15" t="n">
        <v>575</v>
      </c>
      <c r="B576" s="15" t="inlineStr">
        <is>
          <t>Part II - The Method Atlas</t>
        </is>
      </c>
      <c r="C576" s="16" t="inlineStr">
        <is>
          <t>G.2 Reaction-diffusion and particle-based cell simulation</t>
        </is>
      </c>
      <c r="D576" s="10" t="inlineStr">
        <is>
          <t>MMBioS Cell Modeling Workshop, Day 1</t>
        </is>
      </c>
      <c r="E576" s="10" t="inlineStr">
        <is>
          <t>MMBioS (Pittsburgh/CMU/Salk</t>
        </is>
      </c>
      <c r="F576" s="11" t="inlineStr">
        <is>
          <t>2:07:43</t>
        </is>
      </c>
      <c r="G576" s="11" t="n">
        <v>2.13</v>
      </c>
      <c r="H576" s="12" t="inlineStr">
        <is>
          <t>★</t>
        </is>
      </c>
      <c r="I576" s="11" t="inlineStr">
        <is>
          <t>Not started</t>
        </is>
      </c>
      <c r="J576" s="13" t="n"/>
      <c r="K576" s="10" t="inlineStr"/>
      <c r="L576" s="14" t="inlineStr">
        <is>
          <t>▶ watch</t>
        </is>
      </c>
      <c r="M576" s="10" t="inlineStr">
        <is>
          <t>Gillespie 1977, J Phys Chem 81:2340 · Gillespie 2001, JCP 115:1716 (tau-leaping)</t>
        </is>
      </c>
      <c r="N576" s="14" t="inlineStr">
        <is>
          <t>read ↗</t>
        </is>
      </c>
      <c r="O576" s="11" t="inlineStr">
        <is>
          <t>section reading (2 of 6)</t>
        </is>
      </c>
      <c r="P576" s="10" t="inlineStr"/>
    </row>
    <row r="577">
      <c r="A577" s="15" t="n">
        <v>576</v>
      </c>
      <c r="B577" s="15" t="inlineStr">
        <is>
          <t>Part II - The Method Atlas</t>
        </is>
      </c>
      <c r="C577" s="16" t="inlineStr">
        <is>
          <t>G.2 Reaction-diffusion and particle-based cell simulation</t>
        </is>
      </c>
      <c r="D577" s="10" t="inlineStr">
        <is>
          <t>MMBioS Cell Modeling Workshop, Day 2</t>
        </is>
      </c>
      <c r="E577" s="10" t="inlineStr">
        <is>
          <t>MMBioS</t>
        </is>
      </c>
      <c r="F577" s="11" t="inlineStr">
        <is>
          <t>1:14:38</t>
        </is>
      </c>
      <c r="G577" s="11" t="n">
        <v>1.24</v>
      </c>
      <c r="H577" s="12" t="inlineStr"/>
      <c r="I577" s="11" t="inlineStr">
        <is>
          <t>Not started</t>
        </is>
      </c>
      <c r="J577" s="13" t="n"/>
      <c r="K577" s="10" t="inlineStr"/>
      <c r="L577" s="14" t="inlineStr">
        <is>
          <t>▶ watch</t>
        </is>
      </c>
      <c r="M577" s="10" t="inlineStr">
        <is>
          <t>Gillespie 1977, J Phys Chem 81:2340 · Gillespie 2001, JCP 115:1716 (tau-leaping)</t>
        </is>
      </c>
      <c r="N577" s="14" t="inlineStr">
        <is>
          <t>read ↗</t>
        </is>
      </c>
      <c r="O577" s="11" t="inlineStr">
        <is>
          <t>section reading (2 of 6)</t>
        </is>
      </c>
      <c r="P577" s="10" t="inlineStr"/>
    </row>
    <row r="578">
      <c r="A578" s="15" t="n">
        <v>577</v>
      </c>
      <c r="B578" s="15" t="inlineStr">
        <is>
          <t>Part II - The Method Atlas</t>
        </is>
      </c>
      <c r="C578" s="16" t="inlineStr">
        <is>
          <t>G.2 Reaction-diffusion and particle-based cell simulation</t>
        </is>
      </c>
      <c r="D578" s="10" t="inlineStr">
        <is>
          <t>James Schaff (UConn Health</t>
        </is>
      </c>
      <c r="E578" s="10" t="inlineStr">
        <is>
          <t>Smoldyn inside VCell</t>
        </is>
      </c>
      <c r="F578" s="11" t="inlineStr">
        <is>
          <t>30:57</t>
        </is>
      </c>
      <c r="G578" s="11" t="n">
        <v>0.52</v>
      </c>
      <c r="H578" s="12" t="inlineStr">
        <is>
          <t>★</t>
        </is>
      </c>
      <c r="I578" s="11" t="inlineStr">
        <is>
          <t>Not started</t>
        </is>
      </c>
      <c r="J578" s="13" t="n"/>
      <c r="K578" s="10" t="inlineStr"/>
      <c r="L578" s="14" t="inlineStr">
        <is>
          <t>▶ watch</t>
        </is>
      </c>
      <c r="M578" s="10" t="inlineStr">
        <is>
          <t>Gillespie 1977, J Phys Chem 81:2340 · Gillespie 2001, JCP 115:1716 (tau-leaping)</t>
        </is>
      </c>
      <c r="N578" s="14" t="inlineStr">
        <is>
          <t>read ↗</t>
        </is>
      </c>
      <c r="O578" s="11" t="inlineStr">
        <is>
          <t>section reading (2 of 6)</t>
        </is>
      </c>
      <c r="P578" s="10" t="inlineStr"/>
    </row>
    <row r="579">
      <c r="A579" s="15" t="n">
        <v>578</v>
      </c>
      <c r="B579" s="15" t="inlineStr">
        <is>
          <t>Part II - The Method Atlas</t>
        </is>
      </c>
      <c r="C579" s="16" t="inlineStr">
        <is>
          <t>G.2 Reaction-diffusion and particle-based cell simulation</t>
        </is>
      </c>
      <c r="D579" s="10" t="inlineStr">
        <is>
          <t>Ann Cowan (UConn Health</t>
        </is>
      </c>
      <c r="E579" s="10" t="inlineStr">
        <is>
          <t>VCell tutorial</t>
        </is>
      </c>
      <c r="F579" s="11" t="inlineStr">
        <is>
          <t>1:03:26</t>
        </is>
      </c>
      <c r="G579" s="11" t="n">
        <v>1.06</v>
      </c>
      <c r="H579" s="12" t="inlineStr"/>
      <c r="I579" s="11" t="inlineStr">
        <is>
          <t>Not started</t>
        </is>
      </c>
      <c r="J579" s="13" t="n"/>
      <c r="K579" s="10" t="inlineStr"/>
      <c r="L579" s="14" t="inlineStr">
        <is>
          <t>▶ watch</t>
        </is>
      </c>
      <c r="M579" s="10" t="inlineStr">
        <is>
          <t>Gillespie 1977, J Phys Chem 81:2340 · Gillespie 2001, JCP 115:1716 (tau-leaping)</t>
        </is>
      </c>
      <c r="N579" s="14" t="inlineStr">
        <is>
          <t>read ↗</t>
        </is>
      </c>
      <c r="O579" s="11" t="inlineStr">
        <is>
          <t>section reading (2 of 6)</t>
        </is>
      </c>
      <c r="P579" s="10" t="inlineStr"/>
    </row>
    <row r="580">
      <c r="A580" s="15" t="n">
        <v>579</v>
      </c>
      <c r="B580" s="15" t="inlineStr">
        <is>
          <t>Part II - The Method Atlas</t>
        </is>
      </c>
      <c r="C580" s="16" t="inlineStr">
        <is>
          <t>G.2 Reaction-diffusion and particle-based cell simulation</t>
        </is>
      </c>
      <c r="D580" s="10" t="inlineStr">
        <is>
          <t>Multiscale and Multiphysics Modeling in VCell</t>
        </is>
      </c>
      <c r="E580" s="10" t="inlineStr">
        <is>
          <t>Leslie Loew (UConn Health</t>
        </is>
      </c>
      <c r="F580" s="11" t="inlineStr">
        <is>
          <t>1:14:07</t>
        </is>
      </c>
      <c r="G580" s="11" t="n">
        <v>1.24</v>
      </c>
      <c r="H580" s="12" t="inlineStr">
        <is>
          <t>★</t>
        </is>
      </c>
      <c r="I580" s="11" t="inlineStr">
        <is>
          <t>Not started</t>
        </is>
      </c>
      <c r="J580" s="13" t="n"/>
      <c r="K580" s="10" t="inlineStr"/>
      <c r="L580" s="14" t="inlineStr">
        <is>
          <t>▶ watch</t>
        </is>
      </c>
      <c r="M580" s="10" t="inlineStr">
        <is>
          <t>Gillespie 1977, J Phys Chem 81:2340 · Gillespie 2001, JCP 115:1716 (tau-leaping)</t>
        </is>
      </c>
      <c r="N580" s="14" t="inlineStr">
        <is>
          <t>read ↗</t>
        </is>
      </c>
      <c r="O580" s="11" t="inlineStr">
        <is>
          <t>section reading (2 of 6)</t>
        </is>
      </c>
      <c r="P580" s="10" t="inlineStr"/>
    </row>
    <row r="581">
      <c r="A581" s="15" t="n">
        <v>580</v>
      </c>
      <c r="B581" s="15" t="inlineStr">
        <is>
          <t>Part II - The Method Atlas</t>
        </is>
      </c>
      <c r="C581" s="16" t="inlineStr">
        <is>
          <t>G.2 Reaction-diffusion and particle-based cell simulation</t>
        </is>
      </c>
      <c r="D581" s="10" t="inlineStr">
        <is>
          <t>Bridging Molecular to Cellular Scales</t>
        </is>
      </c>
      <c r="E581" s="10" t="inlineStr">
        <is>
          <t>Leslie Loew</t>
        </is>
      </c>
      <c r="F581" s="11" t="inlineStr">
        <is>
          <t>1:00:26</t>
        </is>
      </c>
      <c r="G581" s="11" t="n">
        <v>1.01</v>
      </c>
      <c r="H581" s="12" t="inlineStr"/>
      <c r="I581" s="11" t="inlineStr">
        <is>
          <t>Not started</t>
        </is>
      </c>
      <c r="J581" s="13" t="n"/>
      <c r="K581" s="10" t="inlineStr"/>
      <c r="L581" s="14" t="inlineStr">
        <is>
          <t>▶ watch</t>
        </is>
      </c>
      <c r="M581" s="10" t="inlineStr">
        <is>
          <t>Gillespie 1977, J Phys Chem 81:2340 · Gillespie 2001, JCP 115:1716 (tau-leaping)</t>
        </is>
      </c>
      <c r="N581" s="14" t="inlineStr">
        <is>
          <t>read ↗</t>
        </is>
      </c>
      <c r="O581" s="11" t="inlineStr">
        <is>
          <t>section reading (2 of 6)</t>
        </is>
      </c>
      <c r="P581" s="10" t="inlineStr"/>
    </row>
    <row r="582">
      <c r="A582" s="15" t="n">
        <v>581</v>
      </c>
      <c r="B582" s="15" t="inlineStr">
        <is>
          <t>Part II - The Method Atlas</t>
        </is>
      </c>
      <c r="C582" s="16" t="inlineStr">
        <is>
          <t>G.2 Reaction-diffusion and particle-based cell simulation</t>
        </is>
      </c>
      <c r="D582" s="10" t="inlineStr">
        <is>
          <t>Reaction Kinetics and Diffusion - when diffusion limits a rate</t>
        </is>
      </c>
      <c r="E582" s="10" t="inlineStr">
        <is>
          <t>Leslie Loew</t>
        </is>
      </c>
      <c r="F582" s="11" t="inlineStr">
        <is>
          <t>46:09</t>
        </is>
      </c>
      <c r="G582" s="11" t="n">
        <v>0.77</v>
      </c>
      <c r="H582" s="12" t="inlineStr">
        <is>
          <t>★</t>
        </is>
      </c>
      <c r="I582" s="11" t="inlineStr">
        <is>
          <t>Not started</t>
        </is>
      </c>
      <c r="J582" s="13" t="n"/>
      <c r="K582" s="10" t="inlineStr"/>
      <c r="L582" s="14" t="inlineStr">
        <is>
          <t>▶ watch</t>
        </is>
      </c>
      <c r="M582" s="10" t="inlineStr">
        <is>
          <t>Gillespie 1977, J Phys Chem 81:2340 · Gillespie 2001, JCP 115:1716 (tau-leaping)</t>
        </is>
      </c>
      <c r="N582" s="14" t="inlineStr">
        <is>
          <t>read ↗</t>
        </is>
      </c>
      <c r="O582" s="11" t="inlineStr">
        <is>
          <t>section reading (2 of 6)</t>
        </is>
      </c>
      <c r="P582" s="10" t="inlineStr"/>
    </row>
    <row r="583">
      <c r="A583" s="15" t="n">
        <v>582</v>
      </c>
      <c r="B583" s="15" t="inlineStr">
        <is>
          <t>Part II - The Method Atlas</t>
        </is>
      </c>
      <c r="C583" s="16" t="inlineStr">
        <is>
          <t>G.2 Reaction-diffusion and particle-based cell simulation</t>
        </is>
      </c>
      <c r="D583" s="10" t="inlineStr">
        <is>
          <t>Macromolecular Assembly (NERDSS</t>
        </is>
      </c>
      <c r="E583" s="10" t="inlineStr">
        <is>
          <t>Margaret Johnson (Johns Hopkins</t>
        </is>
      </c>
      <c r="F583" s="11" t="inlineStr">
        <is>
          <t>1:03:30</t>
        </is>
      </c>
      <c r="G583" s="11" t="n">
        <v>1.06</v>
      </c>
      <c r="H583" s="12" t="inlineStr"/>
      <c r="I583" s="11" t="inlineStr">
        <is>
          <t>Not started</t>
        </is>
      </c>
      <c r="J583" s="13" t="n"/>
      <c r="K583" s="10" t="inlineStr"/>
      <c r="L583" s="14" t="inlineStr">
        <is>
          <t>▶ watch</t>
        </is>
      </c>
      <c r="M583" s="10" t="inlineStr">
        <is>
          <t>Gillespie 1977, J Phys Chem 81:2340 · Gillespie 2001, JCP 115:1716 (tau-leaping)</t>
        </is>
      </c>
      <c r="N583" s="14" t="inlineStr">
        <is>
          <t>read ↗</t>
        </is>
      </c>
      <c r="O583" s="11" t="inlineStr">
        <is>
          <t>section reading (2 of 6)</t>
        </is>
      </c>
      <c r="P583" s="10" t="inlineStr"/>
    </row>
    <row r="584">
      <c r="A584" s="15" t="n">
        <v>583</v>
      </c>
      <c r="B584" s="15" t="inlineStr">
        <is>
          <t>Part II - The Method Atlas</t>
        </is>
      </c>
      <c r="C584" s="16" t="inlineStr">
        <is>
          <t>G.2 Reaction-diffusion and particle-based cell simulation</t>
        </is>
      </c>
      <c r="D584" s="10" t="inlineStr">
        <is>
          <t>Stochastic Simulation of Models in the Life Sciences</t>
        </is>
      </c>
      <c r="E584" s="10" t="inlineStr">
        <is>
          <t>Samuel Isaacson (BU</t>
        </is>
      </c>
      <c r="F584" s="11" t="inlineStr">
        <is>
          <t>1:33:41</t>
        </is>
      </c>
      <c r="G584" s="11" t="n">
        <v>1.56</v>
      </c>
      <c r="H584" s="12" t="inlineStr">
        <is>
          <t>★</t>
        </is>
      </c>
      <c r="I584" s="11" t="inlineStr">
        <is>
          <t>Not started</t>
        </is>
      </c>
      <c r="J584" s="13" t="n"/>
      <c r="K584" s="10" t="inlineStr"/>
      <c r="L584" s="14" t="inlineStr">
        <is>
          <t>▶ watch</t>
        </is>
      </c>
      <c r="M584" s="10" t="inlineStr">
        <is>
          <t>Gillespie 1977, J Phys Chem 81:2340 · Gillespie 2001, JCP 115:1716 (tau-leaping)</t>
        </is>
      </c>
      <c r="N584" s="14" t="inlineStr">
        <is>
          <t>read ↗</t>
        </is>
      </c>
      <c r="O584" s="11" t="inlineStr">
        <is>
          <t>section reading (2 of 6)</t>
        </is>
      </c>
      <c r="P584" s="10" t="inlineStr"/>
    </row>
    <row r="585">
      <c r="A585" s="15" t="n">
        <v>584</v>
      </c>
      <c r="B585" s="15" t="inlineStr">
        <is>
          <t>Part II - The Method Atlas</t>
        </is>
      </c>
      <c r="C585" s="16" t="inlineStr">
        <is>
          <t>G.2 Reaction-diffusion and particle-based cell simulation</t>
        </is>
      </c>
      <c r="D585" s="10" t="inlineStr">
        <is>
          <t>Reaction-Diffusion Operator Splitting on Tetrahedral Meshes</t>
        </is>
      </c>
      <c r="E585" s="10" t="inlineStr">
        <is>
          <t>Erik De Schutter (OIST, STEPS</t>
        </is>
      </c>
      <c r="F585" s="11" t="inlineStr">
        <is>
          <t>44:47</t>
        </is>
      </c>
      <c r="G585" s="11" t="n">
        <v>0.75</v>
      </c>
      <c r="H585" s="12" t="inlineStr">
        <is>
          <t>★</t>
        </is>
      </c>
      <c r="I585" s="11" t="inlineStr">
        <is>
          <t>Not started</t>
        </is>
      </c>
      <c r="J585" s="13" t="n"/>
      <c r="K585" s="10" t="inlineStr"/>
      <c r="L585" s="14" t="inlineStr">
        <is>
          <t>▶ watch</t>
        </is>
      </c>
      <c r="M585" s="10" t="inlineStr">
        <is>
          <t>Hepburn et al. 2012, BMC Syst Biol 6:36 (STEPS)</t>
        </is>
      </c>
      <c r="N585" s="14" t="inlineStr">
        <is>
          <t>read ↗</t>
        </is>
      </c>
      <c r="O585" s="11" t="inlineStr">
        <is>
          <t>names STEPS</t>
        </is>
      </c>
      <c r="P585" s="10" t="inlineStr"/>
    </row>
    <row r="586">
      <c r="A586" s="15" t="n">
        <v>585</v>
      </c>
      <c r="B586" s="15" t="inlineStr">
        <is>
          <t>Part II - The Method Atlas</t>
        </is>
      </c>
      <c r="C586" s="16" t="inlineStr">
        <is>
          <t>G.2 Reaction-diffusion and particle-based cell simulation</t>
        </is>
      </c>
      <c r="D586" s="10" t="inlineStr">
        <is>
          <t>Mendes &amp; Slepchenko (UConn</t>
        </is>
      </c>
      <c r="E586" s="10" t="inlineStr">
        <is>
          <t>Stochastic Simulations</t>
        </is>
      </c>
      <c r="F586" s="11" t="inlineStr">
        <is>
          <t>56:00</t>
        </is>
      </c>
      <c r="G586" s="11" t="n">
        <v>0.93</v>
      </c>
      <c r="H586" s="12" t="inlineStr"/>
      <c r="I586" s="11" t="inlineStr">
        <is>
          <t>Not started</t>
        </is>
      </c>
      <c r="J586" s="13" t="n"/>
      <c r="K586" s="10" t="inlineStr"/>
      <c r="L586" s="14" t="inlineStr">
        <is>
          <t>▶ watch</t>
        </is>
      </c>
      <c r="M586" s="10" t="inlineStr">
        <is>
          <t>Gillespie 1977, J Phys Chem 81:2340 · Gillespie 2001, JCP 115:1716 (tau-leaping)</t>
        </is>
      </c>
      <c r="N586" s="14" t="inlineStr">
        <is>
          <t>read ↗</t>
        </is>
      </c>
      <c r="O586" s="11" t="inlineStr">
        <is>
          <t>section reading (2 of 6)</t>
        </is>
      </c>
      <c r="P586" s="10" t="inlineStr"/>
    </row>
    <row r="587">
      <c r="A587" s="15" t="n">
        <v>586</v>
      </c>
      <c r="B587" s="15" t="inlineStr">
        <is>
          <t>Part II - The Method Atlas</t>
        </is>
      </c>
      <c r="C587" s="16" t="inlineStr">
        <is>
          <t>G.2 Reaction-diffusion and particle-based cell simulation</t>
        </is>
      </c>
      <c r="D587" s="10" t="inlineStr">
        <is>
          <t>Pedro Mendes (UConn</t>
        </is>
      </c>
      <c r="E587" s="10" t="inlineStr">
        <is>
          <t>COPASI tutorial</t>
        </is>
      </c>
      <c r="F587" s="11" t="inlineStr">
        <is>
          <t>1:04:38</t>
        </is>
      </c>
      <c r="G587" s="11" t="n">
        <v>1.08</v>
      </c>
      <c r="H587" s="12" t="inlineStr"/>
      <c r="I587" s="11" t="inlineStr">
        <is>
          <t>Not started</t>
        </is>
      </c>
      <c r="J587" s="13" t="n"/>
      <c r="K587" s="10" t="inlineStr"/>
      <c r="L587" s="14" t="inlineStr">
        <is>
          <t>▶ watch</t>
        </is>
      </c>
      <c r="M587" s="10" t="inlineStr">
        <is>
          <t>Gillespie 1977, J Phys Chem 81:2340 · Gillespie 2001, JCP 115:1716 (tau-leaping)</t>
        </is>
      </c>
      <c r="N587" s="14" t="inlineStr">
        <is>
          <t>read ↗</t>
        </is>
      </c>
      <c r="O587" s="11" t="inlineStr">
        <is>
          <t>section reading (2 of 6)</t>
        </is>
      </c>
      <c r="P587" s="10" t="inlineStr"/>
    </row>
    <row r="588">
      <c r="A588" s="15" t="n">
        <v>587</v>
      </c>
      <c r="B588" s="15" t="inlineStr">
        <is>
          <t>Part II - The Method Atlas</t>
        </is>
      </c>
      <c r="C588" s="16" t="inlineStr">
        <is>
          <t>G.3 Whole-cell modeling</t>
        </is>
      </c>
      <c r="D588" s="10" t="inlineStr">
        <is>
          <t>Whole cell simulation with Lattice Microbes, Part I</t>
        </is>
      </c>
      <c r="E588" s="10" t="inlineStr">
        <is>
          <t>Zan Luthey-Schulten (UIUC</t>
        </is>
      </c>
      <c r="F588" s="11" t="inlineStr">
        <is>
          <t>1:11:19</t>
        </is>
      </c>
      <c r="G588" s="11" t="n">
        <v>1.19</v>
      </c>
      <c r="H588" s="12" t="inlineStr">
        <is>
          <t>★</t>
        </is>
      </c>
      <c r="I588" s="11" t="inlineStr">
        <is>
          <t>Not started</t>
        </is>
      </c>
      <c r="J588" s="13" t="n"/>
      <c r="K588" s="10" t="inlineStr"/>
      <c r="L588" s="14" t="inlineStr">
        <is>
          <t>▶ watch</t>
        </is>
      </c>
      <c r="M588" s="10" t="inlineStr">
        <is>
          <t>Thornburg et al. 2022, Cell 185:345 (a whole minimal cell) · Karr et al. 2012, Cell 150:389 (the first whole-cell model)</t>
        </is>
      </c>
      <c r="N588" s="14" t="inlineStr">
        <is>
          <t>read ↗</t>
        </is>
      </c>
      <c r="O588" s="11" t="inlineStr">
        <is>
          <t>section reading (2 of 5)</t>
        </is>
      </c>
      <c r="P588" s="10" t="inlineStr">
        <is>
          <t>I.7 Membrane proteins and large assemblies</t>
        </is>
      </c>
    </row>
    <row r="589">
      <c r="A589" s="15" t="n">
        <v>588</v>
      </c>
      <c r="B589" s="15" t="inlineStr">
        <is>
          <t>Part II - The Method Atlas</t>
        </is>
      </c>
      <c r="C589" s="16" t="inlineStr">
        <is>
          <t>G.3 Whole-cell modeling</t>
        </is>
      </c>
      <c r="D589" s="10" t="inlineStr">
        <is>
          <t>Whole cell simulation with Lattice Microbes, Part II</t>
        </is>
      </c>
      <c r="E589" s="10" t="inlineStr">
        <is>
          <t>Zan Luthey-Schulten</t>
        </is>
      </c>
      <c r="F589" s="11" t="inlineStr">
        <is>
          <t>1:19:11</t>
        </is>
      </c>
      <c r="G589" s="11" t="n">
        <v>1.32</v>
      </c>
      <c r="H589" s="12" t="inlineStr"/>
      <c r="I589" s="11" t="inlineStr">
        <is>
          <t>Not started</t>
        </is>
      </c>
      <c r="J589" s="13" t="n"/>
      <c r="K589" s="10" t="inlineStr"/>
      <c r="L589" s="14" t="inlineStr">
        <is>
          <t>▶ watch</t>
        </is>
      </c>
      <c r="M589" s="10" t="inlineStr">
        <is>
          <t>Thornburg et al. 2022, Cell 185:345</t>
        </is>
      </c>
      <c r="N589" s="14" t="inlineStr">
        <is>
          <t>read ↗</t>
        </is>
      </c>
      <c r="O589" s="11" t="inlineStr">
        <is>
          <t>paired reading</t>
        </is>
      </c>
      <c r="P589" s="10" t="inlineStr">
        <is>
          <t>I.7 Membrane proteins and large assemblies</t>
        </is>
      </c>
    </row>
    <row r="590">
      <c r="A590" s="15" t="n">
        <v>589</v>
      </c>
      <c r="B590" s="15" t="inlineStr">
        <is>
          <t>Part II - The Method Atlas</t>
        </is>
      </c>
      <c r="C590" s="16" t="inlineStr">
        <is>
          <t>G.3 Whole-cell modeling</t>
        </is>
      </c>
      <c r="D590" s="10" t="inlineStr">
        <is>
          <t>Introduction to Simulations of Bacterial Cells (best starting point</t>
        </is>
      </c>
      <c r="E590" s="10" t="inlineStr">
        <is>
          <t>Zan Luthey-Schulten</t>
        </is>
      </c>
      <c r="F590" s="11" t="inlineStr">
        <is>
          <t>1:11:36</t>
        </is>
      </c>
      <c r="G590" s="11" t="n">
        <v>1.19</v>
      </c>
      <c r="H590" s="12" t="inlineStr">
        <is>
          <t>★</t>
        </is>
      </c>
      <c r="I590" s="11" t="inlineStr">
        <is>
          <t>Not started</t>
        </is>
      </c>
      <c r="J590" s="13" t="n"/>
      <c r="K590" s="10" t="inlineStr"/>
      <c r="L590" s="14" t="inlineStr">
        <is>
          <t>▶ watch</t>
        </is>
      </c>
      <c r="M590" s="10" t="inlineStr">
        <is>
          <t>Thornburg et al. 2022, Cell 185:345 (a whole minimal cell) · Karr et al. 2012, Cell 150:389 (the first whole-cell model)</t>
        </is>
      </c>
      <c r="N590" s="14" t="inlineStr">
        <is>
          <t>read ↗</t>
        </is>
      </c>
      <c r="O590" s="11" t="inlineStr">
        <is>
          <t>section reading (2 of 5)</t>
        </is>
      </c>
      <c r="P590" s="10" t="inlineStr"/>
    </row>
    <row r="591">
      <c r="A591" s="15" t="n">
        <v>590</v>
      </c>
      <c r="B591" s="15" t="inlineStr">
        <is>
          <t>Part II - The Method Atlas</t>
        </is>
      </c>
      <c r="C591" s="16" t="inlineStr">
        <is>
          <t>G.3 Whole-cell modeling</t>
        </is>
      </c>
      <c r="D591" s="10" t="inlineStr">
        <is>
          <t>4D simulations of a growing minimal bacterial cell</t>
        </is>
      </c>
      <c r="E591" s="10" t="inlineStr">
        <is>
          <t>Zan Luthey-Schulten</t>
        </is>
      </c>
      <c r="F591" s="11" t="inlineStr">
        <is>
          <t>1:02:23</t>
        </is>
      </c>
      <c r="G591" s="11" t="n">
        <v>1.04</v>
      </c>
      <c r="H591" s="12" t="inlineStr">
        <is>
          <t>★</t>
        </is>
      </c>
      <c r="I591" s="11" t="inlineStr">
        <is>
          <t>Not started</t>
        </is>
      </c>
      <c r="J591" s="13" t="n"/>
      <c r="K591" s="10" t="inlineStr"/>
      <c r="L591" s="14" t="inlineStr">
        <is>
          <t>▶ watch</t>
        </is>
      </c>
      <c r="M591" s="10" t="inlineStr">
        <is>
          <t>Thornburg et al. 2022, Cell 185:345 (a whole minimal cell) · Karr et al. 2012, Cell 150:389 (the first whole-cell model)</t>
        </is>
      </c>
      <c r="N591" s="14" t="inlineStr">
        <is>
          <t>read ↗</t>
        </is>
      </c>
      <c r="O591" s="11" t="inlineStr">
        <is>
          <t>section reading (2 of 5)</t>
        </is>
      </c>
      <c r="P591" s="10" t="inlineStr">
        <is>
          <t>I.7 Membrane proteins and large assemblies</t>
        </is>
      </c>
    </row>
    <row r="592">
      <c r="A592" s="15" t="n">
        <v>591</v>
      </c>
      <c r="B592" s="15" t="inlineStr">
        <is>
          <t>Part II - The Method Atlas</t>
        </is>
      </c>
      <c r="C592" s="16" t="inlineStr">
        <is>
          <t>G.3 Whole-cell modeling</t>
        </is>
      </c>
      <c r="D592" s="10" t="inlineStr">
        <is>
          <t>4D simulations of a growing and dividing cell</t>
        </is>
      </c>
      <c r="E592" s="10" t="inlineStr">
        <is>
          <t>Zan Luthey-Schulten</t>
        </is>
      </c>
      <c r="F592" s="11" t="inlineStr">
        <is>
          <t>22:06</t>
        </is>
      </c>
      <c r="G592" s="11" t="n">
        <v>0.37</v>
      </c>
      <c r="H592" s="12" t="inlineStr"/>
      <c r="I592" s="11" t="inlineStr">
        <is>
          <t>Not started</t>
        </is>
      </c>
      <c r="J592" s="13" t="n"/>
      <c r="K592" s="10" t="inlineStr"/>
      <c r="L592" s="14" t="inlineStr">
        <is>
          <t>▶ watch</t>
        </is>
      </c>
      <c r="M592" s="10" t="inlineStr">
        <is>
          <t>Thornburg et al. 2022, Cell 185:345 (a whole minimal cell) · Karr et al. 2012, Cell 150:389 (the first whole-cell model)</t>
        </is>
      </c>
      <c r="N592" s="14" t="inlineStr">
        <is>
          <t>read ↗</t>
        </is>
      </c>
      <c r="O592" s="11" t="inlineStr">
        <is>
          <t>section reading (2 of 5)</t>
        </is>
      </c>
      <c r="P592" s="10" t="inlineStr"/>
    </row>
    <row r="593">
      <c r="A593" s="15" t="n">
        <v>592</v>
      </c>
      <c r="B593" s="15" t="inlineStr">
        <is>
          <t>Part II - The Method Atlas</t>
        </is>
      </c>
      <c r="C593" s="16" t="inlineStr">
        <is>
          <t>G.3 Whole-cell modeling</t>
        </is>
      </c>
      <c r="D593" s="10" t="inlineStr">
        <is>
          <t>Whole-cell modeling - a long-form interview</t>
        </is>
      </c>
      <c r="E593" s="10" t="inlineStr">
        <is>
          <t>Luthey-Schulten with Wieczór</t>
        </is>
      </c>
      <c r="F593" s="11" t="inlineStr">
        <is>
          <t>1:24:04</t>
        </is>
      </c>
      <c r="G593" s="11" t="n">
        <v>1.4</v>
      </c>
      <c r="H593" s="12" t="inlineStr"/>
      <c r="I593" s="11" t="inlineStr">
        <is>
          <t>Not started</t>
        </is>
      </c>
      <c r="J593" s="13" t="n"/>
      <c r="K593" s="10" t="inlineStr"/>
      <c r="L593" s="14" t="inlineStr">
        <is>
          <t>▶ watch</t>
        </is>
      </c>
      <c r="M593" s="10" t="inlineStr">
        <is>
          <t>Thornburg et al. 2022, Cell 185:345 (a whole minimal cell) · Karr et al. 2012, Cell 150:389 (the first whole-cell model)</t>
        </is>
      </c>
      <c r="N593" s="14" t="inlineStr">
        <is>
          <t>read ↗</t>
        </is>
      </c>
      <c r="O593" s="11" t="inlineStr">
        <is>
          <t>section reading (2 of 5)</t>
        </is>
      </c>
      <c r="P593" s="10" t="inlineStr"/>
    </row>
    <row r="594">
      <c r="A594" s="15" t="n">
        <v>593</v>
      </c>
      <c r="B594" s="15" t="inlineStr">
        <is>
          <t>Part II - The Method Atlas</t>
        </is>
      </c>
      <c r="C594" s="16" t="inlineStr">
        <is>
          <t>G.3 Whole-cell modeling</t>
        </is>
      </c>
      <c r="D594" s="10" t="inlineStr">
        <is>
          <t>How to build a computer model of a cell</t>
        </is>
      </c>
      <c r="E594" s="10" t="inlineStr">
        <is>
          <t>Markus Covert (Stanford</t>
        </is>
      </c>
      <c r="F594" s="11" t="inlineStr">
        <is>
          <t>28:30</t>
        </is>
      </c>
      <c r="G594" s="11" t="n">
        <v>0.47</v>
      </c>
      <c r="H594" s="12" t="inlineStr">
        <is>
          <t>★</t>
        </is>
      </c>
      <c r="I594" s="11" t="inlineStr">
        <is>
          <t>Not started</t>
        </is>
      </c>
      <c r="J594" s="13" t="n"/>
      <c r="K594" s="10" t="inlineStr"/>
      <c r="L594" s="14" t="inlineStr">
        <is>
          <t>▶ watch</t>
        </is>
      </c>
      <c r="M594" s="10" t="inlineStr">
        <is>
          <t>Thornburg et al. 2022, Cell 185:345 (a whole minimal cell) · Karr et al. 2012, Cell 150:389 (the first whole-cell model)</t>
        </is>
      </c>
      <c r="N594" s="14" t="inlineStr">
        <is>
          <t>read ↗</t>
        </is>
      </c>
      <c r="O594" s="11" t="inlineStr">
        <is>
          <t>section reading (2 of 5)</t>
        </is>
      </c>
      <c r="P594" s="10" t="inlineStr"/>
    </row>
    <row r="595">
      <c r="A595" s="15" t="n">
        <v>594</v>
      </c>
      <c r="B595" s="15" t="inlineStr">
        <is>
          <t>Part II - The Method Atlas</t>
        </is>
      </c>
      <c r="C595" s="16" t="inlineStr">
        <is>
          <t>G.3 Whole-cell modeling</t>
        </is>
      </c>
      <c r="D595" s="10" t="inlineStr">
        <is>
          <t>A Computational Whole-Cell Model of M. genitalium (the original</t>
        </is>
      </c>
      <c r="E595" s="10" t="inlineStr">
        <is>
          <t>Markus Covert</t>
        </is>
      </c>
      <c r="F595" s="11" t="inlineStr">
        <is>
          <t>35:37</t>
        </is>
      </c>
      <c r="G595" s="11" t="n">
        <v>0.59</v>
      </c>
      <c r="H595" s="12" t="inlineStr"/>
      <c r="I595" s="11" t="inlineStr">
        <is>
          <t>Not started</t>
        </is>
      </c>
      <c r="J595" s="13" t="n"/>
      <c r="K595" s="10" t="inlineStr"/>
      <c r="L595" s="14" t="inlineStr">
        <is>
          <t>▶ watch</t>
        </is>
      </c>
      <c r="M595" s="10" t="inlineStr">
        <is>
          <t>Thornburg et al. 2022, Cell 185:345 (a whole minimal cell) · Karr et al. 2012, Cell 150:389 (the first whole-cell model)</t>
        </is>
      </c>
      <c r="N595" s="14" t="inlineStr">
        <is>
          <t>read ↗</t>
        </is>
      </c>
      <c r="O595" s="11" t="inlineStr">
        <is>
          <t>section reading (2 of 5)</t>
        </is>
      </c>
      <c r="P595" s="10" t="inlineStr"/>
    </row>
    <row r="596">
      <c r="A596" s="15" t="n">
        <v>595</v>
      </c>
      <c r="B596" s="15" t="inlineStr">
        <is>
          <t>Part II - The Method Atlas</t>
        </is>
      </c>
      <c r="C596" s="16" t="inlineStr">
        <is>
          <t>G.3 Whole-cell modeling</t>
        </is>
      </c>
      <c r="D596" s="10" t="inlineStr">
        <is>
          <t>Whole-Cell Modeling - a dialogue</t>
        </is>
      </c>
      <c r="E596" s="10" t="inlineStr">
        <is>
          <t>Serrano (CRG) &amp; Covert (Stanford</t>
        </is>
      </c>
      <c r="F596" s="11" t="inlineStr">
        <is>
          <t>1:11:55</t>
        </is>
      </c>
      <c r="G596" s="11" t="n">
        <v>1.2</v>
      </c>
      <c r="H596" s="12" t="inlineStr"/>
      <c r="I596" s="11" t="inlineStr">
        <is>
          <t>Not started</t>
        </is>
      </c>
      <c r="J596" s="13" t="n"/>
      <c r="K596" s="10" t="inlineStr"/>
      <c r="L596" s="14" t="inlineStr">
        <is>
          <t>▶ watch</t>
        </is>
      </c>
      <c r="M596" s="10" t="inlineStr">
        <is>
          <t>Thornburg et al. 2022, Cell 185:345 (a whole minimal cell) · Karr et al. 2012, Cell 150:389 (the first whole-cell model)</t>
        </is>
      </c>
      <c r="N596" s="14" t="inlineStr">
        <is>
          <t>read ↗</t>
        </is>
      </c>
      <c r="O596" s="11" t="inlineStr">
        <is>
          <t>section reading (2 of 5)</t>
        </is>
      </c>
      <c r="P596" s="10" t="inlineStr"/>
    </row>
    <row r="597">
      <c r="A597" s="15" t="n">
        <v>596</v>
      </c>
      <c r="B597" s="15" t="inlineStr">
        <is>
          <t>Part II - The Method Atlas</t>
        </is>
      </c>
      <c r="C597" s="16" t="inlineStr">
        <is>
          <t>G.3 Whole-cell modeling</t>
        </is>
      </c>
      <c r="D597" s="10" t="inlineStr">
        <is>
          <t>Simulations of Ribosome Biogenesis at Whole-Cell Level</t>
        </is>
      </c>
      <c r="E597" s="10" t="inlineStr">
        <is>
          <t>Tyler Earnest (UIUC</t>
        </is>
      </c>
      <c r="F597" s="11" t="inlineStr">
        <is>
          <t>21:39</t>
        </is>
      </c>
      <c r="G597" s="11" t="n">
        <v>0.36</v>
      </c>
      <c r="H597" s="12" t="inlineStr"/>
      <c r="I597" s="11" t="inlineStr">
        <is>
          <t>Not started</t>
        </is>
      </c>
      <c r="J597" s="13" t="n"/>
      <c r="K597" s="10" t="inlineStr"/>
      <c r="L597" s="14" t="inlineStr">
        <is>
          <t>▶ watch</t>
        </is>
      </c>
      <c r="M597" s="10" t="inlineStr">
        <is>
          <t>Thornburg et al. 2022, Cell 185:345 (a whole minimal cell) · Karr et al. 2012, Cell 150:389 (the first whole-cell model)</t>
        </is>
      </c>
      <c r="N597" s="14" t="inlineStr">
        <is>
          <t>read ↗</t>
        </is>
      </c>
      <c r="O597" s="11" t="inlineStr">
        <is>
          <t>section reading (2 of 5)</t>
        </is>
      </c>
      <c r="P597" s="10" t="inlineStr"/>
    </row>
    <row r="598">
      <c r="A598" s="15" t="n">
        <v>597</v>
      </c>
      <c r="B598" s="15" t="inlineStr">
        <is>
          <t>Part II - The Method Atlas</t>
        </is>
      </c>
      <c r="C598" s="16" t="inlineStr">
        <is>
          <t>G.3 Whole-cell modeling</t>
        </is>
      </c>
      <c r="D598" s="10" t="inlineStr">
        <is>
          <t>Multi-scale Simulations of Whole Yeast Cells</t>
        </is>
      </c>
      <c r="E598" s="10" t="inlineStr">
        <is>
          <t>Tyler Earnest (UIUC</t>
        </is>
      </c>
      <c r="F598" s="11" t="inlineStr">
        <is>
          <t>19:56</t>
        </is>
      </c>
      <c r="G598" s="11" t="n">
        <v>0.33</v>
      </c>
      <c r="H598" s="12" t="inlineStr"/>
      <c r="I598" s="11" t="inlineStr">
        <is>
          <t>Not started</t>
        </is>
      </c>
      <c r="J598" s="13" t="n"/>
      <c r="K598" s="10" t="inlineStr"/>
      <c r="L598" s="14" t="inlineStr">
        <is>
          <t>▶ watch</t>
        </is>
      </c>
      <c r="M598" s="10" t="inlineStr">
        <is>
          <t>Thornburg et al. 2022, Cell 185:345 (a whole minimal cell) · Karr et al. 2012, Cell 150:389 (the first whole-cell model)</t>
        </is>
      </c>
      <c r="N598" s="14" t="inlineStr">
        <is>
          <t>read ↗</t>
        </is>
      </c>
      <c r="O598" s="11" t="inlineStr">
        <is>
          <t>section reading (2 of 5)</t>
        </is>
      </c>
      <c r="P598" s="10" t="inlineStr"/>
    </row>
    <row r="599">
      <c r="A599" s="15" t="n">
        <v>598</v>
      </c>
      <c r="B599" s="15" t="inlineStr">
        <is>
          <t>Part II - The Method Atlas</t>
        </is>
      </c>
      <c r="C599" s="16" t="inlineStr">
        <is>
          <t>G.3 Whole-cell modeling</t>
        </is>
      </c>
      <c r="D599" s="10" t="inlineStr">
        <is>
          <t>Integrative illustration and modeling of JCVI-syn3A</t>
        </is>
      </c>
      <c r="E599" s="10" t="inlineStr">
        <is>
          <t>David Goodsell (Scripps</t>
        </is>
      </c>
      <c r="F599" s="11" t="inlineStr">
        <is>
          <t>22:56</t>
        </is>
      </c>
      <c r="G599" s="11" t="n">
        <v>0.38</v>
      </c>
      <c r="H599" s="12" t="inlineStr">
        <is>
          <t>★</t>
        </is>
      </c>
      <c r="I599" s="11" t="inlineStr">
        <is>
          <t>Not started</t>
        </is>
      </c>
      <c r="J599" s="13" t="n"/>
      <c r="K599" s="10" t="inlineStr"/>
      <c r="L599" s="14" t="inlineStr">
        <is>
          <t>▶ watch</t>
        </is>
      </c>
      <c r="M599" s="10" t="inlineStr">
        <is>
          <t>Thornburg et al. 2022, Cell 185:345 (a whole minimal cell) · Karr et al. 2012, Cell 150:389 (the first whole-cell model)</t>
        </is>
      </c>
      <c r="N599" s="14" t="inlineStr">
        <is>
          <t>read ↗</t>
        </is>
      </c>
      <c r="O599" s="11" t="inlineStr">
        <is>
          <t>section reading (2 of 5)</t>
        </is>
      </c>
      <c r="P599" s="10" t="inlineStr"/>
    </row>
    <row r="600">
      <c r="A600" s="15" t="n">
        <v>599</v>
      </c>
      <c r="B600" s="15" t="inlineStr">
        <is>
          <t>Part II - The Method Atlas</t>
        </is>
      </c>
      <c r="C600" s="16" t="inlineStr">
        <is>
          <t>G.3 Whole-cell modeling</t>
        </is>
      </c>
      <c r="D600" s="10" t="inlineStr">
        <is>
          <t>MD of the JCVI-syn3A Cell Envelope</t>
        </is>
      </c>
      <c r="E600" s="10" t="inlineStr">
        <is>
          <t>Mert Bozoflu (JCVI/UIUC</t>
        </is>
      </c>
      <c r="F600" s="11" t="inlineStr">
        <is>
          <t>15:37</t>
        </is>
      </c>
      <c r="G600" s="11" t="n">
        <v>0.26</v>
      </c>
      <c r="H600" s="12" t="inlineStr"/>
      <c r="I600" s="11" t="inlineStr">
        <is>
          <t>Not started</t>
        </is>
      </c>
      <c r="J600" s="13" t="n"/>
      <c r="K600" s="10" t="inlineStr"/>
      <c r="L600" s="14" t="inlineStr">
        <is>
          <t>▶ watch</t>
        </is>
      </c>
      <c r="M600" s="10" t="inlineStr">
        <is>
          <t>Thornburg et al. 2022, Cell 185:345 (a whole minimal cell) · Karr et al. 2012, Cell 150:389 (the first whole-cell model)</t>
        </is>
      </c>
      <c r="N600" s="14" t="inlineStr">
        <is>
          <t>read ↗</t>
        </is>
      </c>
      <c r="O600" s="11" t="inlineStr">
        <is>
          <t>section reading (2 of 5)</t>
        </is>
      </c>
      <c r="P600" s="10" t="inlineStr"/>
    </row>
    <row r="601">
      <c r="A601" s="15" t="n">
        <v>600</v>
      </c>
      <c r="B601" s="15" t="inlineStr">
        <is>
          <t>Part II - The Method Atlas</t>
        </is>
      </c>
      <c r="C601" s="16" t="inlineStr">
        <is>
          <t>G.4 Crowding and the cytoplasm</t>
        </is>
      </c>
      <c r="D601" s="10" t="inlineStr">
        <is>
          <t>Wodak (SickKids) &amp; Michael Feig (Michigan State</t>
        </is>
      </c>
      <c r="E601" s="10" t="inlineStr">
        <is>
          <t>CASP SIG on Modeling Conformational Ensembles</t>
        </is>
      </c>
      <c r="F601" s="11" t="inlineStr">
        <is>
          <t>59:16</t>
        </is>
      </c>
      <c r="G601" s="11" t="n">
        <v>0.99</v>
      </c>
      <c r="H601" s="12" t="inlineStr">
        <is>
          <t>★</t>
        </is>
      </c>
      <c r="I601" s="11" t="inlineStr">
        <is>
          <t>Not started</t>
        </is>
      </c>
      <c r="J601" s="13" t="n"/>
      <c r="K601" s="10" t="inlineStr"/>
      <c r="L601" s="14" t="inlineStr">
        <is>
          <t>▶ watch</t>
        </is>
      </c>
      <c r="M601" s="10" t="inlineStr">
        <is>
          <t>Ellis 2001, Trends Biochem Sci 26:597 · McGuffee &amp; Elcock 2010, PLoS Comput Biol 6:e1000694 (atomistic cytoplasm)</t>
        </is>
      </c>
      <c r="N601" s="14" t="inlineStr">
        <is>
          <t>read ↗</t>
        </is>
      </c>
      <c r="O601" s="11" t="inlineStr">
        <is>
          <t>section reading (2 of 6)</t>
        </is>
      </c>
      <c r="P601" s="10" t="inlineStr">
        <is>
          <t>Bayesian inference and ensemble reweighting</t>
        </is>
      </c>
    </row>
    <row r="602">
      <c r="A602" s="15" t="n">
        <v>601</v>
      </c>
      <c r="B602" s="15" t="inlineStr">
        <is>
          <t>Part II - The Method Atlas</t>
        </is>
      </c>
      <c r="C602" s="16" t="inlineStr">
        <is>
          <t>G.4 Crowding and the cytoplasm</t>
        </is>
      </c>
      <c r="D602" s="10" t="inlineStr">
        <is>
          <t>Crowding effects on fibrillar self-assembly</t>
        </is>
      </c>
      <c r="E602" s="10" t="inlineStr">
        <is>
          <t>Divya Nayar (IIT Delhi</t>
        </is>
      </c>
      <c r="F602" s="11" t="inlineStr">
        <is>
          <t>27:46</t>
        </is>
      </c>
      <c r="G602" s="11" t="n">
        <v>0.46</v>
      </c>
      <c r="H602" s="12" t="inlineStr"/>
      <c r="I602" s="11" t="inlineStr">
        <is>
          <t>Not started</t>
        </is>
      </c>
      <c r="J602" s="13" t="n"/>
      <c r="K602" s="10" t="inlineStr"/>
      <c r="L602" s="14" t="inlineStr">
        <is>
          <t>▶ watch</t>
        </is>
      </c>
      <c r="M602" s="10" t="inlineStr">
        <is>
          <t>Ellis 2001, Trends Biochem Sci 26:597 · McGuffee &amp; Elcock 2010, PLoS Comput Biol 6:e1000694 (atomistic cytoplasm)</t>
        </is>
      </c>
      <c r="N602" s="14" t="inlineStr">
        <is>
          <t>read ↗</t>
        </is>
      </c>
      <c r="O602" s="11" t="inlineStr">
        <is>
          <t>section reading (2 of 6)</t>
        </is>
      </c>
      <c r="P602" s="10" t="inlineStr"/>
    </row>
    <row r="603">
      <c r="A603" s="15" t="n">
        <v>602</v>
      </c>
      <c r="B603" s="15" t="inlineStr">
        <is>
          <t>Part II - The Method Atlas</t>
        </is>
      </c>
      <c r="C603" s="16" t="inlineStr">
        <is>
          <t>G.4 Crowding and the cytoplasm</t>
        </is>
      </c>
      <c r="D603" s="10" t="inlineStr">
        <is>
          <t>Measuring cytoplasmic crowding with GEMs</t>
        </is>
      </c>
      <c r="E603" s="10" t="inlineStr">
        <is>
          <t>Liam Holt (NYU Langone</t>
        </is>
      </c>
      <c r="F603" s="11" t="inlineStr">
        <is>
          <t>1:17:37</t>
        </is>
      </c>
      <c r="G603" s="11" t="n">
        <v>1.29</v>
      </c>
      <c r="H603" s="12" t="inlineStr">
        <is>
          <t>★</t>
        </is>
      </c>
      <c r="I603" s="11" t="inlineStr">
        <is>
          <t>Not started</t>
        </is>
      </c>
      <c r="J603" s="13" t="n"/>
      <c r="K603" s="10" t="inlineStr"/>
      <c r="L603" s="14" t="inlineStr">
        <is>
          <t>▶ watch</t>
        </is>
      </c>
      <c r="M603" s="10" t="inlineStr">
        <is>
          <t>Delarue et al. 2018, Cell 174:338 (GEMs)</t>
        </is>
      </c>
      <c r="N603" s="14" t="inlineStr">
        <is>
          <t>read ↗</t>
        </is>
      </c>
      <c r="O603" s="11" t="inlineStr">
        <is>
          <t>names GEMS</t>
        </is>
      </c>
      <c r="P603" s="10" t="inlineStr"/>
    </row>
    <row r="604">
      <c r="A604" s="15" t="n">
        <v>603</v>
      </c>
      <c r="B604" s="15" t="inlineStr">
        <is>
          <t>Part II - The Method Atlas</t>
        </is>
      </c>
      <c r="C604" s="16" t="inlineStr">
        <is>
          <t>G.5 Condensates and phase separation</t>
        </is>
      </c>
      <c r="D604" s="10" t="inlineStr">
        <is>
          <t>Pappu, Part 1 - polymer-physics foundations</t>
        </is>
      </c>
      <c r="E604" s="10" t="inlineStr">
        <is>
          <t>Rohit Pappu (WashU/JHU</t>
        </is>
      </c>
      <c r="F604" s="11" t="inlineStr">
        <is>
          <t>1:07:09</t>
        </is>
      </c>
      <c r="G604" s="11" t="n">
        <v>1.12</v>
      </c>
      <c r="H604" s="12" t="inlineStr">
        <is>
          <t>★</t>
        </is>
      </c>
      <c r="I604" s="11" t="inlineStr">
        <is>
          <t>Not started</t>
        </is>
      </c>
      <c r="J604" s="13" t="n"/>
      <c r="K604" s="10" t="inlineStr"/>
      <c r="L604" s="14" t="inlineStr">
        <is>
          <t>▶ watch</t>
        </is>
      </c>
      <c r="M604" s="10" t="inlineStr">
        <is>
          <t>Banani et al. 2017, Nat Rev Mol Cell Biol 18:285 · Dignon, Zheng, Kim, Best &amp; Mittal 2018, PLoS Comput Biol 14:e1005941 (the HPS coarse-grained model most LLPS simulation rests on)</t>
        </is>
      </c>
      <c r="N604" s="14" t="inlineStr">
        <is>
          <t>read ↗</t>
        </is>
      </c>
      <c r="O604" s="11" t="inlineStr">
        <is>
          <t>section reading (2 of 8)</t>
        </is>
      </c>
      <c r="P604" s="10" t="inlineStr">
        <is>
          <t>I.5 Intrinsically disordered proteins</t>
        </is>
      </c>
    </row>
    <row r="605">
      <c r="A605" s="15" t="n">
        <v>604</v>
      </c>
      <c r="B605" s="15" t="inlineStr">
        <is>
          <t>Part II - The Method Atlas</t>
        </is>
      </c>
      <c r="C605" s="16" t="inlineStr">
        <is>
          <t>G.5 Condensates and phase separation</t>
        </is>
      </c>
      <c r="D605" s="10" t="inlineStr">
        <is>
          <t>Pappu, Part 2 - stickers and spacers</t>
        </is>
      </c>
      <c r="E605" s="10" t="inlineStr">
        <is>
          <t>Rohit Pappu</t>
        </is>
      </c>
      <c r="F605" s="11" t="inlineStr">
        <is>
          <t>1:09:48</t>
        </is>
      </c>
      <c r="G605" s="11" t="n">
        <v>1.16</v>
      </c>
      <c r="H605" s="12" t="inlineStr">
        <is>
          <t>★</t>
        </is>
      </c>
      <c r="I605" s="11" t="inlineStr">
        <is>
          <t>Not started</t>
        </is>
      </c>
      <c r="J605" s="13" t="n"/>
      <c r="K605" s="10" t="inlineStr"/>
      <c r="L605" s="14" t="inlineStr">
        <is>
          <t>▶ watch</t>
        </is>
      </c>
      <c r="M605" s="10" t="inlineStr">
        <is>
          <t>Banani et al. 2017, Nat Rev Mol Cell Biol 18:285 · Dignon, Zheng, Kim, Best &amp; Mittal 2018, PLoS Comput Biol 14:e1005941 (the HPS coarse-grained model most LLPS simulation rests on)</t>
        </is>
      </c>
      <c r="N605" s="14" t="inlineStr">
        <is>
          <t>read ↗</t>
        </is>
      </c>
      <c r="O605" s="11" t="inlineStr">
        <is>
          <t>section reading (2 of 8)</t>
        </is>
      </c>
      <c r="P605" s="10" t="inlineStr">
        <is>
          <t>I.5 Intrinsically disordered proteins</t>
        </is>
      </c>
    </row>
    <row r="606">
      <c r="A606" s="15" t="n">
        <v>605</v>
      </c>
      <c r="B606" s="15" t="inlineStr">
        <is>
          <t>Part II - The Method Atlas</t>
        </is>
      </c>
      <c r="C606" s="16" t="inlineStr">
        <is>
          <t>G.5 Condensates and phase separation</t>
        </is>
      </c>
      <c r="D606" s="10" t="inlineStr">
        <is>
          <t>Pappu, Part 3 - material properties, aging, and what simulation cannot predict</t>
        </is>
      </c>
      <c r="E606" s="10" t="inlineStr">
        <is>
          <t>Rohit Pappu</t>
        </is>
      </c>
      <c r="F606" s="11" t="inlineStr">
        <is>
          <t>1:07:05</t>
        </is>
      </c>
      <c r="G606" s="11" t="n">
        <v>1.12</v>
      </c>
      <c r="H606" s="12" t="inlineStr">
        <is>
          <t>★</t>
        </is>
      </c>
      <c r="I606" s="11" t="inlineStr">
        <is>
          <t>Not started</t>
        </is>
      </c>
      <c r="J606" s="13" t="n"/>
      <c r="K606" s="10" t="inlineStr"/>
      <c r="L606" s="14" t="inlineStr">
        <is>
          <t>▶ watch</t>
        </is>
      </c>
      <c r="M606" s="10" t="inlineStr">
        <is>
          <t>Banani et al. 2017, Nat Rev Mol Cell Biol 18:285 · Dignon, Zheng, Kim, Best &amp; Mittal 2018, PLoS Comput Biol 14:e1005941 (the HPS coarse-grained model most LLPS simulation rests on)</t>
        </is>
      </c>
      <c r="N606" s="14" t="inlineStr">
        <is>
          <t>read ↗</t>
        </is>
      </c>
      <c r="O606" s="11" t="inlineStr">
        <is>
          <t>section reading (2 of 8)</t>
        </is>
      </c>
      <c r="P606" s="10" t="inlineStr">
        <is>
          <t>I.5 Intrinsically disordered proteins</t>
        </is>
      </c>
    </row>
    <row r="607">
      <c r="A607" s="15" t="n">
        <v>606</v>
      </c>
      <c r="B607" s="15" t="inlineStr">
        <is>
          <t>Part II - The Method Atlas</t>
        </is>
      </c>
      <c r="C607" s="16" t="inlineStr">
        <is>
          <t>G.5 Condensates and phase separation</t>
        </is>
      </c>
      <c r="D607" s="10" t="inlineStr">
        <is>
          <t>Compact 20-minute version</t>
        </is>
      </c>
      <c r="E607" s="10" t="inlineStr">
        <is>
          <t>Rohit Pappu</t>
        </is>
      </c>
      <c r="F607" s="11" t="inlineStr">
        <is>
          <t>20:11</t>
        </is>
      </c>
      <c r="G607" s="11" t="n">
        <v>0.34</v>
      </c>
      <c r="H607" s="12" t="inlineStr"/>
      <c r="I607" s="11" t="inlineStr">
        <is>
          <t>Not started</t>
        </is>
      </c>
      <c r="J607" s="13" t="n"/>
      <c r="K607" s="10" t="inlineStr"/>
      <c r="L607" s="14" t="inlineStr">
        <is>
          <t>▶ watch</t>
        </is>
      </c>
      <c r="M607" s="10" t="inlineStr">
        <is>
          <t>Banani et al. 2017, Nat Rev Mol Cell Biol 18:285 · Dignon, Zheng, Kim, Best &amp; Mittal 2018, PLoS Comput Biol 14:e1005941 (the HPS coarse-grained model most LLPS simulation rests on)</t>
        </is>
      </c>
      <c r="N607" s="14" t="inlineStr">
        <is>
          <t>read ↗</t>
        </is>
      </c>
      <c r="O607" s="11" t="inlineStr">
        <is>
          <t>section reading (2 of 8)</t>
        </is>
      </c>
      <c r="P607" s="10" t="inlineStr"/>
    </row>
    <row r="608">
      <c r="A608" s="15" t="n">
        <v>607</v>
      </c>
      <c r="B608" s="15" t="inlineStr">
        <is>
          <t>Part II - The Method Atlas</t>
        </is>
      </c>
      <c r="C608" s="16" t="inlineStr">
        <is>
          <t>G.5 Condensates and phase separation</t>
        </is>
      </c>
      <c r="D608" s="10" t="inlineStr">
        <is>
          <t>Emergent properties of condensates</t>
        </is>
      </c>
      <c r="E608" s="10" t="inlineStr">
        <is>
          <t>Tanja Mittag (St. Jude</t>
        </is>
      </c>
      <c r="F608" s="11" t="inlineStr">
        <is>
          <t>44:58</t>
        </is>
      </c>
      <c r="G608" s="11" t="n">
        <v>0.75</v>
      </c>
      <c r="H608" s="12" t="inlineStr">
        <is>
          <t>★</t>
        </is>
      </c>
      <c r="I608" s="11" t="inlineStr">
        <is>
          <t>Not started</t>
        </is>
      </c>
      <c r="J608" s="13" t="n"/>
      <c r="K608" s="10" t="inlineStr"/>
      <c r="L608" s="14" t="inlineStr">
        <is>
          <t>▶ watch</t>
        </is>
      </c>
      <c r="M608" s="10" t="inlineStr">
        <is>
          <t>Banani et al. 2017, Nat Rev Mol Cell Biol 18:285 · Dignon, Zheng, Kim, Best &amp; Mittal 2018, PLoS Comput Biol 14:e1005941 (the HPS coarse-grained model most LLPS simulation rests on)</t>
        </is>
      </c>
      <c r="N608" s="14" t="inlineStr">
        <is>
          <t>read ↗</t>
        </is>
      </c>
      <c r="O608" s="11" t="inlineStr">
        <is>
          <t>section reading (2 of 8)</t>
        </is>
      </c>
      <c r="P608" s="10" t="inlineStr">
        <is>
          <t>I.6 Condensates and phase separation</t>
        </is>
      </c>
    </row>
    <row r="609">
      <c r="A609" s="15" t="n">
        <v>608</v>
      </c>
      <c r="B609" s="15" t="inlineStr">
        <is>
          <t>Part II - The Method Atlas</t>
        </is>
      </c>
      <c r="C609" s="16" t="inlineStr">
        <is>
          <t>G.5 Condensates and phase separation</t>
        </is>
      </c>
      <c r="D609" s="10" t="inlineStr">
        <is>
          <t>Liquid Phase Separation in Living Cells</t>
        </is>
      </c>
      <c r="E609" s="10" t="inlineStr">
        <is>
          <t>Clifford Brangwynne (Princeton</t>
        </is>
      </c>
      <c r="F609" s="11" t="inlineStr">
        <is>
          <t>46:04</t>
        </is>
      </c>
      <c r="G609" s="11" t="n">
        <v>0.77</v>
      </c>
      <c r="H609" s="12" t="inlineStr">
        <is>
          <t>★</t>
        </is>
      </c>
      <c r="I609" s="11" t="inlineStr">
        <is>
          <t>Not started</t>
        </is>
      </c>
      <c r="J609" s="13" t="n"/>
      <c r="K609" s="10" t="inlineStr"/>
      <c r="L609" s="14" t="inlineStr">
        <is>
          <t>▶ watch</t>
        </is>
      </c>
      <c r="M609" s="10" t="inlineStr">
        <is>
          <t>Banani et al. 2017, Nat Rev Mol Cell Biol 18:285 · Dignon, Zheng, Kim, Best &amp; Mittal 2018, PLoS Comput Biol 14:e1005941 (the HPS coarse-grained model most LLPS simulation rests on)</t>
        </is>
      </c>
      <c r="N609" s="14" t="inlineStr">
        <is>
          <t>read ↗</t>
        </is>
      </c>
      <c r="O609" s="11" t="inlineStr">
        <is>
          <t>section reading (2 of 8)</t>
        </is>
      </c>
      <c r="P609" s="10" t="inlineStr">
        <is>
          <t>I.6 Condensates and phase separation</t>
        </is>
      </c>
    </row>
    <row r="610">
      <c r="A610" s="15" t="n">
        <v>609</v>
      </c>
      <c r="B610" s="15" t="inlineStr">
        <is>
          <t>Part II - The Method Atlas</t>
        </is>
      </c>
      <c r="C610" s="16" t="inlineStr">
        <is>
          <t>G.5 Condensates and phase separation</t>
        </is>
      </c>
      <c r="D610" s="10" t="inlineStr">
        <is>
          <t>Multiphase Liquid Behavior of the Nucleus</t>
        </is>
      </c>
      <c r="E610" s="10" t="inlineStr">
        <is>
          <t>Clifford Brangwynne</t>
        </is>
      </c>
      <c r="F610" s="11" t="inlineStr">
        <is>
          <t>38:08</t>
        </is>
      </c>
      <c r="G610" s="11" t="n">
        <v>0.64</v>
      </c>
      <c r="H610" s="12" t="inlineStr"/>
      <c r="I610" s="11" t="inlineStr">
        <is>
          <t>Not started</t>
        </is>
      </c>
      <c r="J610" s="13" t="n"/>
      <c r="K610" s="10" t="inlineStr"/>
      <c r="L610" s="14" t="inlineStr">
        <is>
          <t>▶ watch</t>
        </is>
      </c>
      <c r="M610" s="10" t="inlineStr">
        <is>
          <t>Banani et al. 2017, Nat Rev Mol Cell Biol 18:285 · Dignon, Zheng, Kim, Best &amp; Mittal 2018, PLoS Comput Biol 14:e1005941 (the HPS coarse-grained model most LLPS simulation rests on)</t>
        </is>
      </c>
      <c r="N610" s="14" t="inlineStr">
        <is>
          <t>read ↗</t>
        </is>
      </c>
      <c r="O610" s="11" t="inlineStr">
        <is>
          <t>section reading (2 of 8)</t>
        </is>
      </c>
      <c r="P610" s="10" t="inlineStr"/>
    </row>
    <row r="611">
      <c r="A611" s="15" t="n">
        <v>610</v>
      </c>
      <c r="B611" s="15" t="inlineStr">
        <is>
          <t>Part II - The Method Atlas</t>
        </is>
      </c>
      <c r="C611" s="16" t="inlineStr">
        <is>
          <t>G.5 Condensates and phase separation</t>
        </is>
      </c>
      <c r="D611" s="10" t="inlineStr">
        <is>
          <t>Using Light to Study and Control Phase Behavior (optoDroplets</t>
        </is>
      </c>
      <c r="E611" s="10" t="inlineStr">
        <is>
          <t>Clifford Brangwynne</t>
        </is>
      </c>
      <c r="F611" s="11" t="inlineStr">
        <is>
          <t>34:40</t>
        </is>
      </c>
      <c r="G611" s="11" t="n">
        <v>0.58</v>
      </c>
      <c r="H611" s="12" t="inlineStr"/>
      <c r="I611" s="11" t="inlineStr">
        <is>
          <t>Not started</t>
        </is>
      </c>
      <c r="J611" s="13" t="n"/>
      <c r="K611" s="10" t="inlineStr"/>
      <c r="L611" s="14" t="inlineStr">
        <is>
          <t>▶ watch</t>
        </is>
      </c>
      <c r="M611" s="10" t="inlineStr">
        <is>
          <t>Banani et al. 2017, Nat Rev Mol Cell Biol 18:285 · Dignon, Zheng, Kim, Best &amp; Mittal 2018, PLoS Comput Biol 14:e1005941 (the HPS coarse-grained model most LLPS simulation rests on)</t>
        </is>
      </c>
      <c r="N611" s="14" t="inlineStr">
        <is>
          <t>read ↗</t>
        </is>
      </c>
      <c r="O611" s="11" t="inlineStr">
        <is>
          <t>section reading (2 of 8)</t>
        </is>
      </c>
      <c r="P611" s="10" t="inlineStr"/>
    </row>
    <row r="612">
      <c r="A612" s="15" t="n">
        <v>611</v>
      </c>
      <c r="B612" s="15" t="inlineStr">
        <is>
          <t>Part II - The Method Atlas</t>
        </is>
      </c>
      <c r="C612" s="16" t="inlineStr">
        <is>
          <t>G.5 Condensates and phase separation</t>
        </is>
      </c>
      <c r="D612" s="10" t="inlineStr">
        <is>
          <t>MBL Friday Evening Lecture (the most complete</t>
        </is>
      </c>
      <c r="E612" s="10" t="inlineStr">
        <is>
          <t>Clifford Brangwynne</t>
        </is>
      </c>
      <c r="F612" s="11" t="inlineStr">
        <is>
          <t>1:20:21</t>
        </is>
      </c>
      <c r="G612" s="11" t="n">
        <v>1.34</v>
      </c>
      <c r="H612" s="12" t="inlineStr"/>
      <c r="I612" s="11" t="inlineStr">
        <is>
          <t>Not started</t>
        </is>
      </c>
      <c r="J612" s="13" t="n"/>
      <c r="K612" s="10" t="inlineStr"/>
      <c r="L612" s="14" t="inlineStr">
        <is>
          <t>▶ watch</t>
        </is>
      </c>
      <c r="M612" s="10" t="inlineStr">
        <is>
          <t>Banani et al. 2017, Nat Rev Mol Cell Biol 18:285 · Dignon, Zheng, Kim, Best &amp; Mittal 2018, PLoS Comput Biol 14:e1005941 (the HPS coarse-grained model most LLPS simulation rests on)</t>
        </is>
      </c>
      <c r="N612" s="14" t="inlineStr">
        <is>
          <t>read ↗</t>
        </is>
      </c>
      <c r="O612" s="11" t="inlineStr">
        <is>
          <t>section reading (2 of 8)</t>
        </is>
      </c>
      <c r="P612" s="10" t="inlineStr"/>
    </row>
    <row r="613">
      <c r="A613" s="15" t="n">
        <v>612</v>
      </c>
      <c r="B613" s="15" t="inlineStr">
        <is>
          <t>Part II - The Method Atlas</t>
        </is>
      </c>
      <c r="C613" s="16" t="inlineStr">
        <is>
          <t>G.5 Condensates and phase separation</t>
        </is>
      </c>
      <c r="D613" s="10" t="inlineStr">
        <is>
          <t>Cell organization by LLPS</t>
        </is>
      </c>
      <c r="E613" s="10" t="inlineStr">
        <is>
          <t>Michael Rosen (UTSW</t>
        </is>
      </c>
      <c r="F613" s="11" t="inlineStr">
        <is>
          <t>1:00:13</t>
        </is>
      </c>
      <c r="G613" s="11" t="n">
        <v>1</v>
      </c>
      <c r="H613" s="12" t="inlineStr">
        <is>
          <t>★</t>
        </is>
      </c>
      <c r="I613" s="11" t="inlineStr">
        <is>
          <t>Not started</t>
        </is>
      </c>
      <c r="J613" s="13" t="n"/>
      <c r="K613" s="10" t="inlineStr"/>
      <c r="L613" s="14" t="inlineStr">
        <is>
          <t>▶ watch</t>
        </is>
      </c>
      <c r="M613" s="10" t="inlineStr">
        <is>
          <t>Dignon, Zheng, Kim, Best &amp; Mittal 2018, PLoS Comput Biol 14:e1005941 (the HPS coarse-grained model most LLPS simulation rests on)</t>
        </is>
      </c>
      <c r="N613" s="14" t="inlineStr">
        <is>
          <t>read ↗</t>
        </is>
      </c>
      <c r="O613" s="11" t="inlineStr">
        <is>
          <t>names LLPS</t>
        </is>
      </c>
      <c r="P613" s="10" t="inlineStr">
        <is>
          <t>I.6 Condensates and phase separation</t>
        </is>
      </c>
    </row>
    <row r="614">
      <c r="A614" s="15" t="n">
        <v>613</v>
      </c>
      <c r="B614" s="15" t="inlineStr">
        <is>
          <t>Part II - The Method Atlas</t>
        </is>
      </c>
      <c r="C614" s="16" t="inlineStr">
        <is>
          <t>G.5 Condensates and phase separation</t>
        </is>
      </c>
      <c r="D614" s="10" t="inlineStr">
        <is>
          <t>Multiscale Dynamics of Charged Protein Condensates</t>
        </is>
      </c>
      <c r="E614" s="10" t="inlineStr">
        <is>
          <t>Jeetain Mittal (Texas A&amp;M</t>
        </is>
      </c>
      <c r="F614" s="11" t="inlineStr">
        <is>
          <t>29:59</t>
        </is>
      </c>
      <c r="G614" s="11" t="n">
        <v>0.5</v>
      </c>
      <c r="H614" s="12" t="inlineStr">
        <is>
          <t>★</t>
        </is>
      </c>
      <c r="I614" s="11" t="inlineStr">
        <is>
          <t>Not started</t>
        </is>
      </c>
      <c r="J614" s="13" t="n"/>
      <c r="K614" s="10" t="inlineStr"/>
      <c r="L614" s="14" t="inlineStr">
        <is>
          <t>▶ watch</t>
        </is>
      </c>
      <c r="M614" s="10" t="inlineStr">
        <is>
          <t>Banani et al. 2017, Nat Rev Mol Cell Biol 18:285 · Dignon, Zheng, Kim, Best &amp; Mittal 2018, PLoS Comput Biol 14:e1005941 (the HPS coarse-grained model most LLPS simulation rests on)</t>
        </is>
      </c>
      <c r="N614" s="14" t="inlineStr">
        <is>
          <t>read ↗</t>
        </is>
      </c>
      <c r="O614" s="11" t="inlineStr">
        <is>
          <t>section reading (2 of 8)</t>
        </is>
      </c>
      <c r="P614" s="10" t="inlineStr">
        <is>
          <t>I.6 Condensates and phase separation</t>
        </is>
      </c>
    </row>
    <row r="615">
      <c r="A615" s="15" t="n">
        <v>614</v>
      </c>
      <c r="B615" s="15" t="inlineStr">
        <is>
          <t>Part II - The Method Atlas</t>
        </is>
      </c>
      <c r="C615" s="16" t="inlineStr">
        <is>
          <t>G.5 Condensates and phase separation</t>
        </is>
      </c>
      <c r="D615" s="10" t="inlineStr">
        <is>
          <t>Simulations of Intrinsically Disordered Proteins</t>
        </is>
      </c>
      <c r="E615" s="10" t="inlineStr">
        <is>
          <t>Robert Best (NIH</t>
        </is>
      </c>
      <c r="F615" s="11" t="inlineStr">
        <is>
          <t>1:01:07</t>
        </is>
      </c>
      <c r="G615" s="11" t="n">
        <v>1.02</v>
      </c>
      <c r="H615" s="12" t="inlineStr">
        <is>
          <t>★</t>
        </is>
      </c>
      <c r="I615" s="11" t="inlineStr">
        <is>
          <t>Not started</t>
        </is>
      </c>
      <c r="J615" s="13" t="n"/>
      <c r="K615" s="10" t="inlineStr"/>
      <c r="L615" s="14" t="inlineStr">
        <is>
          <t>▶ watch</t>
        </is>
      </c>
      <c r="M615" s="10" t="inlineStr">
        <is>
          <t>Banani et al. 2017, Nat Rev Mol Cell Biol 18:285 · Dignon, Zheng, Kim, Best &amp; Mittal 2018, PLoS Comput Biol 14:e1005941 (the HPS coarse-grained model most LLPS simulation rests on)</t>
        </is>
      </c>
      <c r="N615" s="14" t="inlineStr">
        <is>
          <t>read ↗</t>
        </is>
      </c>
      <c r="O615" s="11" t="inlineStr">
        <is>
          <t>section reading (2 of 8)</t>
        </is>
      </c>
      <c r="P615" s="10" t="inlineStr">
        <is>
          <t>I.5 Intrinsically disordered proteins</t>
        </is>
      </c>
    </row>
    <row r="616">
      <c r="A616" s="15" t="n">
        <v>615</v>
      </c>
      <c r="B616" s="15" t="inlineStr">
        <is>
          <t>Part II - The Method Atlas</t>
        </is>
      </c>
      <c r="C616" s="16" t="inlineStr">
        <is>
          <t>G.5 Condensates and phase separation</t>
        </is>
      </c>
      <c r="D616" s="10" t="inlineStr">
        <is>
          <t>From disordered proteins to complexes and assemblies</t>
        </is>
      </c>
      <c r="E616" s="10" t="inlineStr">
        <is>
          <t>Robert Best</t>
        </is>
      </c>
      <c r="F616" s="11" t="inlineStr">
        <is>
          <t>1:35:21</t>
        </is>
      </c>
      <c r="G616" s="11" t="n">
        <v>1.59</v>
      </c>
      <c r="H616" s="12" t="inlineStr"/>
      <c r="I616" s="11" t="inlineStr">
        <is>
          <t>Not started</t>
        </is>
      </c>
      <c r="J616" s="13" t="n"/>
      <c r="K616" s="10" t="inlineStr"/>
      <c r="L616" s="14" t="inlineStr">
        <is>
          <t>▶ watch</t>
        </is>
      </c>
      <c r="M616" s="10" t="inlineStr">
        <is>
          <t>Banani et al. 2017, Nat Rev Mol Cell Biol 18:285 · Dignon, Zheng, Kim, Best &amp; Mittal 2018, PLoS Comput Biol 14:e1005941 (the HPS coarse-grained model most LLPS simulation rests on)</t>
        </is>
      </c>
      <c r="N616" s="14" t="inlineStr">
        <is>
          <t>read ↗</t>
        </is>
      </c>
      <c r="O616" s="11" t="inlineStr">
        <is>
          <t>section reading (2 of 8)</t>
        </is>
      </c>
      <c r="P616" s="10" t="inlineStr">
        <is>
          <t>I.5 Intrinsically disordered proteins</t>
        </is>
      </c>
    </row>
    <row r="617">
      <c r="A617" s="15" t="n">
        <v>616</v>
      </c>
      <c r="B617" s="15" t="inlineStr">
        <is>
          <t>Part II - The Method Atlas</t>
        </is>
      </c>
      <c r="C617" s="16" t="inlineStr">
        <is>
          <t>G.5 Condensates and phase separation</t>
        </is>
      </c>
      <c r="D617" s="10" t="inlineStr">
        <is>
          <t>Conformational ensembles of IDRs (CALVADOS</t>
        </is>
      </c>
      <c r="E617" s="10" t="inlineStr">
        <is>
          <t>Kresten Lindorff-Larsen (Copenhagen</t>
        </is>
      </c>
      <c r="F617" s="11" t="inlineStr">
        <is>
          <t>1:02:59</t>
        </is>
      </c>
      <c r="G617" s="11" t="n">
        <v>1.05</v>
      </c>
      <c r="H617" s="12" t="inlineStr">
        <is>
          <t>★</t>
        </is>
      </c>
      <c r="I617" s="11" t="inlineStr">
        <is>
          <t>Not started</t>
        </is>
      </c>
      <c r="J617" s="13" t="n"/>
      <c r="K617" s="10" t="inlineStr"/>
      <c r="L617" s="14" t="inlineStr">
        <is>
          <t>▶ watch</t>
        </is>
      </c>
      <c r="M617" s="10" t="inlineStr">
        <is>
          <t>Tesei et al. 2021, PNAS 118:e2111696118 (CALVADOS)</t>
        </is>
      </c>
      <c r="N617" s="14" t="inlineStr">
        <is>
          <t>read ↗</t>
        </is>
      </c>
      <c r="O617" s="11" t="inlineStr">
        <is>
          <t>names CALVADOS</t>
        </is>
      </c>
      <c r="P617" s="10" t="inlineStr">
        <is>
          <t>I.5 Intrinsically disordered proteins</t>
        </is>
      </c>
    </row>
    <row r="618">
      <c r="A618" s="15" t="n">
        <v>617</v>
      </c>
      <c r="B618" s="15" t="inlineStr">
        <is>
          <t>Part II - The Method Atlas</t>
        </is>
      </c>
      <c r="C618" s="16" t="inlineStr">
        <is>
          <t>G.5 Condensates and phase separation</t>
        </is>
      </c>
      <c r="D618" s="10" t="inlineStr">
        <is>
          <t>Driving forces in condensates from atomistic simulations</t>
        </is>
      </c>
      <c r="E618" s="10" t="inlineStr">
        <is>
          <t>BioExcel #97</t>
        </is>
      </c>
      <c r="F618" s="11" t="inlineStr">
        <is>
          <t>1:01:35</t>
        </is>
      </c>
      <c r="G618" s="11" t="n">
        <v>1.03</v>
      </c>
      <c r="H618" s="12" t="inlineStr"/>
      <c r="I618" s="11" t="inlineStr">
        <is>
          <t>Not started</t>
        </is>
      </c>
      <c r="J618" s="13" t="n"/>
      <c r="K618" s="10" t="inlineStr"/>
      <c r="L618" s="14" t="inlineStr">
        <is>
          <t>▶ watch</t>
        </is>
      </c>
      <c r="M618" s="10" t="inlineStr">
        <is>
          <t>Banani et al. 2017, Nat Rev Mol Cell Biol 18:285 · Dignon, Zheng, Kim, Best &amp; Mittal 2018, PLoS Comput Biol 14:e1005941 (the HPS coarse-grained model most LLPS simulation rests on)</t>
        </is>
      </c>
      <c r="N618" s="14" t="inlineStr">
        <is>
          <t>read ↗</t>
        </is>
      </c>
      <c r="O618" s="11" t="inlineStr">
        <is>
          <t>section reading (2 of 8)</t>
        </is>
      </c>
      <c r="P618" s="10" t="inlineStr"/>
    </row>
    <row r="619">
      <c r="A619" s="15" t="n">
        <v>618</v>
      </c>
      <c r="B619" s="15" t="inlineStr">
        <is>
          <t>Part II - The Method Atlas</t>
        </is>
      </c>
      <c r="C619" s="16" t="inlineStr">
        <is>
          <t>G.5 Condensates and phase separation</t>
        </is>
      </c>
      <c r="D619" s="10" t="inlineStr">
        <is>
          <t>Sequence-to-ensemble prediction</t>
        </is>
      </c>
      <c r="E619" s="10" t="inlineStr">
        <is>
          <t>Alex Holehouse (WashU</t>
        </is>
      </c>
      <c r="F619" s="11" t="inlineStr">
        <is>
          <t>1:28:52</t>
        </is>
      </c>
      <c r="G619" s="11" t="n">
        <v>1.48</v>
      </c>
      <c r="H619" s="12" t="inlineStr"/>
      <c r="I619" s="11" t="inlineStr">
        <is>
          <t>Not started</t>
        </is>
      </c>
      <c r="J619" s="13" t="n"/>
      <c r="K619" s="10" t="inlineStr"/>
      <c r="L619" s="14" t="inlineStr">
        <is>
          <t>▶ watch</t>
        </is>
      </c>
      <c r="M619" s="10" t="inlineStr">
        <is>
          <t>Banani et al. 2017, Nat Rev Mol Cell Biol 18:285 · Dignon, Zheng, Kim, Best &amp; Mittal 2018, PLoS Comput Biol 14:e1005941 (the HPS coarse-grained model most LLPS simulation rests on)</t>
        </is>
      </c>
      <c r="N619" s="14" t="inlineStr">
        <is>
          <t>read ↗</t>
        </is>
      </c>
      <c r="O619" s="11" t="inlineStr">
        <is>
          <t>section reading (2 of 8)</t>
        </is>
      </c>
      <c r="P619" s="10" t="inlineStr"/>
    </row>
    <row r="620">
      <c r="A620" s="15" t="n">
        <v>619</v>
      </c>
      <c r="B620" s="15" t="inlineStr">
        <is>
          <t>Part II - The Method Atlas</t>
        </is>
      </c>
      <c r="C620" s="16" t="inlineStr">
        <is>
          <t>G.5 Condensates and phase separation</t>
        </is>
      </c>
      <c r="D620" s="10" t="inlineStr">
        <is>
          <t>Analytical statistical mechanics of condensates</t>
        </is>
      </c>
      <c r="E620" s="10" t="inlineStr">
        <is>
          <t>Jeremy Schmit (Kansas State</t>
        </is>
      </c>
      <c r="F620" s="11" t="inlineStr">
        <is>
          <t>1:10:35</t>
        </is>
      </c>
      <c r="G620" s="11" t="n">
        <v>1.18</v>
      </c>
      <c r="H620" s="12" t="inlineStr"/>
      <c r="I620" s="11" t="inlineStr">
        <is>
          <t>Not started</t>
        </is>
      </c>
      <c r="J620" s="13" t="n"/>
      <c r="K620" s="10" t="inlineStr"/>
      <c r="L620" s="14" t="inlineStr">
        <is>
          <t>▶ watch</t>
        </is>
      </c>
      <c r="M620" s="10" t="inlineStr">
        <is>
          <t>Banani et al. 2017, Nat Rev Mol Cell Biol 18:285 · Dignon, Zheng, Kim, Best &amp; Mittal 2018, PLoS Comput Biol 14:e1005941 (the HPS coarse-grained model most LLPS simulation rests on)</t>
        </is>
      </c>
      <c r="N620" s="14" t="inlineStr">
        <is>
          <t>read ↗</t>
        </is>
      </c>
      <c r="O620" s="11" t="inlineStr">
        <is>
          <t>section reading (2 of 8)</t>
        </is>
      </c>
      <c r="P620" s="10" t="inlineStr"/>
    </row>
    <row r="621">
      <c r="A621" s="15" t="n">
        <v>620</v>
      </c>
      <c r="B621" s="15" t="inlineStr">
        <is>
          <t>Part II - The Method Atlas</t>
        </is>
      </c>
      <c r="C621" s="16" t="inlineStr">
        <is>
          <t>G.5 Condensates and phase separation</t>
        </is>
      </c>
      <c r="D621" s="10" t="inlineStr">
        <is>
          <t>Prediction of small-molecule partitioning into condensates</t>
        </is>
      </c>
      <c r="E621" s="10" t="inlineStr">
        <is>
          <t>Jerelle Joseph (Princeton</t>
        </is>
      </c>
      <c r="F621" s="11" t="inlineStr">
        <is>
          <t>33:55</t>
        </is>
      </c>
      <c r="G621" s="11" t="n">
        <v>0.57</v>
      </c>
      <c r="H621" s="12" t="inlineStr">
        <is>
          <t>★</t>
        </is>
      </c>
      <c r="I621" s="11" t="inlineStr">
        <is>
          <t>Not started</t>
        </is>
      </c>
      <c r="J621" s="13" t="n"/>
      <c r="K621" s="10" t="inlineStr"/>
      <c r="L621" s="14" t="inlineStr">
        <is>
          <t>▶ watch</t>
        </is>
      </c>
      <c r="M621" s="10" t="inlineStr">
        <is>
          <t>Banani et al. 2017, Nat Rev Mol Cell Biol 18:285 · Dignon, Zheng, Kim, Best &amp; Mittal 2018, PLoS Comput Biol 14:e1005941 (the HPS coarse-grained model most LLPS simulation rests on)</t>
        </is>
      </c>
      <c r="N621" s="14" t="inlineStr">
        <is>
          <t>read ↗</t>
        </is>
      </c>
      <c r="O621" s="11" t="inlineStr">
        <is>
          <t>section reading (2 of 8)</t>
        </is>
      </c>
      <c r="P621" s="10" t="inlineStr"/>
    </row>
    <row r="622">
      <c r="A622" s="15" t="n">
        <v>621</v>
      </c>
      <c r="B622" s="15" t="inlineStr">
        <is>
          <t>Part II - The Method Atlas</t>
        </is>
      </c>
      <c r="C622" s="16" t="inlineStr">
        <is>
          <t>G.5 Condensates and phase separation</t>
        </is>
      </c>
      <c r="D622" s="10" t="inlineStr">
        <is>
          <t>Field-theoretic approaches to sequence-dependent phase separation</t>
        </is>
      </c>
      <c r="E622" s="10" t="inlineStr">
        <is>
          <t>Hue Sun Chan (Toronto</t>
        </is>
      </c>
      <c r="F622" s="11" t="inlineStr">
        <is>
          <t>29:08</t>
        </is>
      </c>
      <c r="G622" s="11" t="n">
        <v>0.49</v>
      </c>
      <c r="H622" s="12" t="inlineStr"/>
      <c r="I622" s="11" t="inlineStr">
        <is>
          <t>Not started</t>
        </is>
      </c>
      <c r="J622" s="13" t="n"/>
      <c r="K622" s="10" t="inlineStr"/>
      <c r="L622" s="14" t="inlineStr">
        <is>
          <t>▶ watch</t>
        </is>
      </c>
      <c r="M622" s="10" t="inlineStr">
        <is>
          <t>Banani et al. 2017, Nat Rev Mol Cell Biol 18:285 · Dignon, Zheng, Kim, Best &amp; Mittal 2018, PLoS Comput Biol 14:e1005941 (the HPS coarse-grained model most LLPS simulation rests on)</t>
        </is>
      </c>
      <c r="N622" s="14" t="inlineStr">
        <is>
          <t>read ↗</t>
        </is>
      </c>
      <c r="O622" s="11" t="inlineStr">
        <is>
          <t>section reading (2 of 8)</t>
        </is>
      </c>
      <c r="P622" s="10" t="inlineStr"/>
    </row>
    <row r="623">
      <c r="A623" s="15" t="n">
        <v>622</v>
      </c>
      <c r="B623" s="15" t="inlineStr">
        <is>
          <t>Part II - The Method Atlas</t>
        </is>
      </c>
      <c r="C623" s="16" t="inlineStr">
        <is>
          <t>G.5 Condensates and phase separation</t>
        </is>
      </c>
      <c r="D623" s="10" t="inlineStr">
        <is>
          <t>Conformational entropy of IDPs in condensates</t>
        </is>
      </c>
      <c r="E623" s="10" t="inlineStr">
        <is>
          <t>Ned Wingreen (Princeton</t>
        </is>
      </c>
      <c r="F623" s="11" t="inlineStr">
        <is>
          <t>32:26</t>
        </is>
      </c>
      <c r="G623" s="11" t="n">
        <v>0.54</v>
      </c>
      <c r="H623" s="12" t="inlineStr"/>
      <c r="I623" s="11" t="inlineStr">
        <is>
          <t>Not started</t>
        </is>
      </c>
      <c r="J623" s="13" t="n"/>
      <c r="K623" s="10" t="inlineStr"/>
      <c r="L623" s="14" t="inlineStr">
        <is>
          <t>▶ watch</t>
        </is>
      </c>
      <c r="M623" s="10" t="inlineStr">
        <is>
          <t>Banani et al. 2017, Nat Rev Mol Cell Biol 18:285 · Dignon, Zheng, Kim, Best &amp; Mittal 2018, PLoS Comput Biol 14:e1005941 (the HPS coarse-grained model most LLPS simulation rests on)</t>
        </is>
      </c>
      <c r="N623" s="14" t="inlineStr">
        <is>
          <t>read ↗</t>
        </is>
      </c>
      <c r="O623" s="11" t="inlineStr">
        <is>
          <t>section reading (2 of 8)</t>
        </is>
      </c>
      <c r="P623" s="10" t="inlineStr"/>
    </row>
    <row r="624">
      <c r="A624" s="15" t="n">
        <v>623</v>
      </c>
      <c r="B624" s="15" t="inlineStr">
        <is>
          <t>Part II - The Method Atlas</t>
        </is>
      </c>
      <c r="C624" s="16" t="inlineStr">
        <is>
          <t>G.5 Condensates and phase separation</t>
        </is>
      </c>
      <c r="D624" s="10" t="inlineStr">
        <is>
          <t>Role of condensates in protein aggregation</t>
        </is>
      </c>
      <c r="E624" s="10" t="inlineStr">
        <is>
          <t>Tuomas Knowles (Cambridge</t>
        </is>
      </c>
      <c r="F624" s="11" t="inlineStr">
        <is>
          <t>45:40</t>
        </is>
      </c>
      <c r="G624" s="11" t="n">
        <v>0.76</v>
      </c>
      <c r="H624" s="12" t="inlineStr"/>
      <c r="I624" s="11" t="inlineStr">
        <is>
          <t>Not started</t>
        </is>
      </c>
      <c r="J624" s="13" t="n"/>
      <c r="K624" s="10" t="inlineStr"/>
      <c r="L624" s="14" t="inlineStr">
        <is>
          <t>▶ watch</t>
        </is>
      </c>
      <c r="M624" s="10" t="inlineStr">
        <is>
          <t>Banani et al. 2017, Nat Rev Mol Cell Biol 18:285 · Dignon, Zheng, Kim, Best &amp; Mittal 2018, PLoS Comput Biol 14:e1005941 (the HPS coarse-grained model most LLPS simulation rests on)</t>
        </is>
      </c>
      <c r="N624" s="14" t="inlineStr">
        <is>
          <t>read ↗</t>
        </is>
      </c>
      <c r="O624" s="11" t="inlineStr">
        <is>
          <t>section reading (2 of 8)</t>
        </is>
      </c>
      <c r="P624" s="10" t="inlineStr"/>
    </row>
    <row r="625">
      <c r="A625" s="15" t="n">
        <v>624</v>
      </c>
      <c r="B625" s="15" t="inlineStr">
        <is>
          <t>Part II - The Method Atlas</t>
        </is>
      </c>
      <c r="C625" s="16" t="inlineStr">
        <is>
          <t>G.5 Condensates and phase separation</t>
        </is>
      </c>
      <c r="D625" s="10" t="inlineStr">
        <is>
          <t>Condensates in stress responses and disease</t>
        </is>
      </c>
      <c r="E625" s="10" t="inlineStr">
        <is>
          <t>Simon Alberti (TU Dresden</t>
        </is>
      </c>
      <c r="F625" s="11" t="inlineStr">
        <is>
          <t>45:47</t>
        </is>
      </c>
      <c r="G625" s="11" t="n">
        <v>0.76</v>
      </c>
      <c r="H625" s="12" t="inlineStr"/>
      <c r="I625" s="11" t="inlineStr">
        <is>
          <t>Not started</t>
        </is>
      </c>
      <c r="J625" s="13" t="n"/>
      <c r="K625" s="10" t="inlineStr"/>
      <c r="L625" s="14" t="inlineStr">
        <is>
          <t>▶ watch</t>
        </is>
      </c>
      <c r="M625" s="10" t="inlineStr">
        <is>
          <t>Banani et al. 2017, Nat Rev Mol Cell Biol 18:285 · Dignon, Zheng, Kim, Best &amp; Mittal 2018, PLoS Comput Biol 14:e1005941 (the HPS coarse-grained model most LLPS simulation rests on)</t>
        </is>
      </c>
      <c r="N625" s="14" t="inlineStr">
        <is>
          <t>read ↗</t>
        </is>
      </c>
      <c r="O625" s="11" t="inlineStr">
        <is>
          <t>section reading (2 of 8)</t>
        </is>
      </c>
      <c r="P625" s="10" t="inlineStr"/>
    </row>
    <row r="626">
      <c r="A626" s="15" t="n">
        <v>625</v>
      </c>
      <c r="B626" s="15" t="inlineStr">
        <is>
          <t>Part II - The Method Atlas</t>
        </is>
      </c>
      <c r="C626" s="16" t="inlineStr">
        <is>
          <t>G.5 Condensates and phase separation</t>
        </is>
      </c>
      <c r="D626" s="10" t="inlineStr">
        <is>
          <t>Active processes in condensates</t>
        </is>
      </c>
      <c r="E626" s="10" t="inlineStr">
        <is>
          <t>Frank Jülicher (MPI-PKS</t>
        </is>
      </c>
      <c r="F626" s="11" t="inlineStr">
        <is>
          <t>30:36</t>
        </is>
      </c>
      <c r="G626" s="11" t="n">
        <v>0.51</v>
      </c>
      <c r="H626" s="12" t="inlineStr">
        <is>
          <t>★</t>
        </is>
      </c>
      <c r="I626" s="11" t="inlineStr">
        <is>
          <t>Not started</t>
        </is>
      </c>
      <c r="J626" s="13" t="n"/>
      <c r="K626" s="10" t="inlineStr"/>
      <c r="L626" s="14" t="inlineStr">
        <is>
          <t>▶ watch</t>
        </is>
      </c>
      <c r="M626" s="10" t="inlineStr">
        <is>
          <t>Zwicker et al. 2017, Nat Phys 13:408</t>
        </is>
      </c>
      <c r="N626" s="14" t="inlineStr">
        <is>
          <t>read ↗</t>
        </is>
      </c>
      <c r="O626" s="11" t="inlineStr">
        <is>
          <t>paired reading</t>
        </is>
      </c>
      <c r="P626" s="10" t="inlineStr"/>
    </row>
    <row r="627">
      <c r="A627" s="15" t="n">
        <v>626</v>
      </c>
      <c r="B627" s="15" t="inlineStr">
        <is>
          <t>Part II - The Method Atlas</t>
        </is>
      </c>
      <c r="C627" s="16" t="inlineStr">
        <is>
          <t>G.5 Condensates and phase separation</t>
        </is>
      </c>
      <c r="D627" s="10" t="inlineStr">
        <is>
          <t>Continuum models for elastic phenomena around condensates</t>
        </is>
      </c>
      <c r="E627" s="10" t="inlineStr">
        <is>
          <t>David Zwicker (MPI-DS</t>
        </is>
      </c>
      <c r="F627" s="11" t="inlineStr">
        <is>
          <t>32:14</t>
        </is>
      </c>
      <c r="G627" s="11" t="n">
        <v>0.54</v>
      </c>
      <c r="H627" s="12" t="inlineStr"/>
      <c r="I627" s="11" t="inlineStr">
        <is>
          <t>Not started</t>
        </is>
      </c>
      <c r="J627" s="13" t="n"/>
      <c r="K627" s="10" t="inlineStr"/>
      <c r="L627" s="14" t="inlineStr">
        <is>
          <t>▶ watch</t>
        </is>
      </c>
      <c r="M627" s="10" t="inlineStr">
        <is>
          <t>Banani et al. 2017, Nat Rev Mol Cell Biol 18:285 · Dignon, Zheng, Kim, Best &amp; Mittal 2018, PLoS Comput Biol 14:e1005941 (the HPS coarse-grained model most LLPS simulation rests on)</t>
        </is>
      </c>
      <c r="N627" s="14" t="inlineStr">
        <is>
          <t>read ↗</t>
        </is>
      </c>
      <c r="O627" s="11" t="inlineStr">
        <is>
          <t>section reading (2 of 8)</t>
        </is>
      </c>
      <c r="P627" s="10" t="inlineStr"/>
    </row>
    <row r="628">
      <c r="A628" s="15" t="n">
        <v>627</v>
      </c>
      <c r="B628" s="15" t="inlineStr">
        <is>
          <t>Part II - The Method Atlas</t>
        </is>
      </c>
      <c r="C628" s="16" t="inlineStr">
        <is>
          <t>G.5 Condensates and phase separation</t>
        </is>
      </c>
      <c r="D628" s="10" t="inlineStr">
        <is>
          <t>LLPS in and out of equilibrium</t>
        </is>
      </c>
      <c r="E628" s="10" t="inlineStr">
        <is>
          <t>Alexander Grosberg (NYU</t>
        </is>
      </c>
      <c r="F628" s="11" t="inlineStr">
        <is>
          <t>1:03:01</t>
        </is>
      </c>
      <c r="G628" s="11" t="n">
        <v>1.05</v>
      </c>
      <c r="H628" s="12" t="inlineStr">
        <is>
          <t>★</t>
        </is>
      </c>
      <c r="I628" s="11" t="inlineStr">
        <is>
          <t>Not started</t>
        </is>
      </c>
      <c r="J628" s="13" t="n"/>
      <c r="K628" s="10" t="inlineStr"/>
      <c r="L628" s="14" t="inlineStr">
        <is>
          <t>▶ watch</t>
        </is>
      </c>
      <c r="M628" s="10" t="inlineStr">
        <is>
          <t>Dignon, Zheng, Kim, Best &amp; Mittal 2018, PLoS Comput Biol 14:e1005941 (the HPS coarse-grained model most LLPS simulation rests on)</t>
        </is>
      </c>
      <c r="N628" s="14" t="inlineStr">
        <is>
          <t>read ↗</t>
        </is>
      </c>
      <c r="O628" s="11" t="inlineStr">
        <is>
          <t>names LLPS</t>
        </is>
      </c>
      <c r="P628" s="10" t="inlineStr"/>
    </row>
    <row r="629">
      <c r="A629" s="15" t="n">
        <v>628</v>
      </c>
      <c r="B629" s="15" t="inlineStr">
        <is>
          <t>Part II - The Method Atlas</t>
        </is>
      </c>
      <c r="C629" s="16" t="inlineStr">
        <is>
          <t>G.5 Condensates and phase separation</t>
        </is>
      </c>
      <c r="D629" s="10" t="inlineStr">
        <is>
          <t>Single-molecule dynamics inside coacervates</t>
        </is>
      </c>
      <c r="E629" s="10" t="inlineStr">
        <is>
          <t>Ben Schuler (Zurich</t>
        </is>
      </c>
      <c r="F629" s="11" t="inlineStr">
        <is>
          <t>41:10</t>
        </is>
      </c>
      <c r="G629" s="11" t="n">
        <v>0.6899999999999999</v>
      </c>
      <c r="H629" s="12" t="inlineStr"/>
      <c r="I629" s="11" t="inlineStr">
        <is>
          <t>Not started</t>
        </is>
      </c>
      <c r="J629" s="13" t="n"/>
      <c r="K629" s="10" t="inlineStr"/>
      <c r="L629" s="14" t="inlineStr">
        <is>
          <t>▶ watch</t>
        </is>
      </c>
      <c r="M629" s="10" t="inlineStr">
        <is>
          <t>Banani et al. 2017, Nat Rev Mol Cell Biol 18:285 · Dignon, Zheng, Kim, Best &amp; Mittal 2018, PLoS Comput Biol 14:e1005941 (the HPS coarse-grained model most LLPS simulation rests on)</t>
        </is>
      </c>
      <c r="N629" s="14" t="inlineStr">
        <is>
          <t>read ↗</t>
        </is>
      </c>
      <c r="O629" s="11" t="inlineStr">
        <is>
          <t>section reading (2 of 8)</t>
        </is>
      </c>
      <c r="P629" s="10" t="inlineStr"/>
    </row>
    <row r="630">
      <c r="A630" s="15" t="n">
        <v>629</v>
      </c>
      <c r="B630" s="15" t="inlineStr">
        <is>
          <t>Part II - The Method Atlas</t>
        </is>
      </c>
      <c r="C630" s="16" t="inlineStr">
        <is>
          <t>G.5 Condensates and phase separation</t>
        </is>
      </c>
      <c r="D630" s="10" t="inlineStr">
        <is>
          <t>Stress-induced mRNP condensation</t>
        </is>
      </c>
      <c r="E630" s="10" t="inlineStr">
        <is>
          <t>Allan Drummond (Chicago</t>
        </is>
      </c>
      <c r="F630" s="11" t="inlineStr">
        <is>
          <t>46:35</t>
        </is>
      </c>
      <c r="G630" s="11" t="n">
        <v>0.78</v>
      </c>
      <c r="H630" s="12" t="inlineStr"/>
      <c r="I630" s="11" t="inlineStr">
        <is>
          <t>Not started</t>
        </is>
      </c>
      <c r="J630" s="13" t="n"/>
      <c r="K630" s="10" t="inlineStr"/>
      <c r="L630" s="14" t="inlineStr">
        <is>
          <t>▶ watch</t>
        </is>
      </c>
      <c r="M630" s="10" t="inlineStr">
        <is>
          <t>Banani et al. 2017, Nat Rev Mol Cell Biol 18:285 · Dignon, Zheng, Kim, Best &amp; Mittal 2018, PLoS Comput Biol 14:e1005941 (the HPS coarse-grained model most LLPS simulation rests on)</t>
        </is>
      </c>
      <c r="N630" s="14" t="inlineStr">
        <is>
          <t>read ↗</t>
        </is>
      </c>
      <c r="O630" s="11" t="inlineStr">
        <is>
          <t>section reading (2 of 8)</t>
        </is>
      </c>
      <c r="P630" s="10" t="inlineStr"/>
    </row>
    <row r="631">
      <c r="A631" s="15" t="n">
        <v>630</v>
      </c>
      <c r="B631" s="15" t="inlineStr">
        <is>
          <t>Part II - The Method Atlas</t>
        </is>
      </c>
      <c r="C631" s="16" t="inlineStr">
        <is>
          <t>G.5 Condensates and phase separation</t>
        </is>
      </c>
      <c r="D631" s="10" t="inlineStr">
        <is>
          <t>Condensates and Phase Separation in Biology, Session 1</t>
        </is>
      </c>
      <c r="E631" s="10" t="inlineStr">
        <is>
          <t>Sharp, Gladfelter, Kornberg</t>
        </is>
      </c>
      <c r="F631" s="11" t="inlineStr">
        <is>
          <t>1:40:01</t>
        </is>
      </c>
      <c r="G631" s="11" t="n">
        <v>1.67</v>
      </c>
      <c r="H631" s="12" t="inlineStr"/>
      <c r="I631" s="11" t="inlineStr">
        <is>
          <t>Not started</t>
        </is>
      </c>
      <c r="J631" s="13" t="n"/>
      <c r="K631" s="10" t="inlineStr"/>
      <c r="L631" s="14" t="inlineStr">
        <is>
          <t>▶ watch</t>
        </is>
      </c>
      <c r="M631" s="10" t="inlineStr">
        <is>
          <t>Banani et al. 2017, Nat Rev Mol Cell Biol 18:285 · Dignon, Zheng, Kim, Best &amp; Mittal 2018, PLoS Comput Biol 14:e1005941 (the HPS coarse-grained model most LLPS simulation rests on)</t>
        </is>
      </c>
      <c r="N631" s="14" t="inlineStr">
        <is>
          <t>read ↗</t>
        </is>
      </c>
      <c r="O631" s="11" t="inlineStr">
        <is>
          <t>section reading (2 of 8)</t>
        </is>
      </c>
      <c r="P631" s="10" t="inlineStr"/>
    </row>
    <row r="632">
      <c r="A632" s="15" t="n">
        <v>631</v>
      </c>
      <c r="B632" s="15" t="inlineStr">
        <is>
          <t>Part II - The Method Atlas</t>
        </is>
      </c>
      <c r="C632" s="16" t="inlineStr">
        <is>
          <t>G.6 Continuum electrostatics and mesoscale hydrodynamics</t>
        </is>
      </c>
      <c r="D632" s="10" t="inlineStr">
        <is>
          <t>Boundary-element PB (PyGBe</t>
        </is>
      </c>
      <c r="E632" s="10" t="inlineStr">
        <is>
          <t>Christopher Cooper (UTFSM</t>
        </is>
      </c>
      <c r="F632" s="11" t="inlineStr">
        <is>
          <t>32:05</t>
        </is>
      </c>
      <c r="G632" s="11" t="n">
        <v>0.53</v>
      </c>
      <c r="H632" s="12" t="inlineStr"/>
      <c r="I632" s="11" t="inlineStr">
        <is>
          <t>Not started</t>
        </is>
      </c>
      <c r="J632" s="13" t="n"/>
      <c r="K632" s="10" t="inlineStr"/>
      <c r="L632" s="14" t="inlineStr">
        <is>
          <t>▶ watch</t>
        </is>
      </c>
      <c r="M632" s="10" t="inlineStr">
        <is>
          <t>Baker et al. 2001, PNAS 98:10037 (APBS) · Jurrus et al. 2018, Protein Sci 27:112</t>
        </is>
      </c>
      <c r="N632" s="14" t="inlineStr">
        <is>
          <t>read ↗</t>
        </is>
      </c>
      <c r="O632" s="11" t="inlineStr">
        <is>
          <t>section reading (2 of 6)</t>
        </is>
      </c>
      <c r="P632" s="10" t="inlineStr"/>
    </row>
    <row r="633">
      <c r="A633" s="15" t="n">
        <v>632</v>
      </c>
      <c r="B633" s="15" t="inlineStr">
        <is>
          <t>Part II - The Method Atlas</t>
        </is>
      </c>
      <c r="C633" s="16" t="inlineStr">
        <is>
          <t>G.6 Continuum electrostatics and mesoscale hydrodynamics</t>
        </is>
      </c>
      <c r="D633" s="10" t="inlineStr">
        <is>
          <t>Treecode-accelerated PB solvers</t>
        </is>
      </c>
      <c r="E633" s="10" t="inlineStr">
        <is>
          <t>Weihua Geng (SMU</t>
        </is>
      </c>
      <c r="F633" s="11" t="inlineStr">
        <is>
          <t>42:07</t>
        </is>
      </c>
      <c r="G633" s="11" t="n">
        <v>0.7</v>
      </c>
      <c r="H633" s="12" t="inlineStr"/>
      <c r="I633" s="11" t="inlineStr">
        <is>
          <t>Not started</t>
        </is>
      </c>
      <c r="J633" s="13" t="n"/>
      <c r="K633" s="10" t="inlineStr"/>
      <c r="L633" s="14" t="inlineStr">
        <is>
          <t>▶ watch</t>
        </is>
      </c>
      <c r="M633" s="10" t="inlineStr">
        <is>
          <t>Baker et al. 2001, PNAS 98:10037 (APBS) · Jurrus et al. 2018, Protein Sci 27:112</t>
        </is>
      </c>
      <c r="N633" s="14" t="inlineStr">
        <is>
          <t>read ↗</t>
        </is>
      </c>
      <c r="O633" s="11" t="inlineStr">
        <is>
          <t>section reading (2 of 6)</t>
        </is>
      </c>
      <c r="P633" s="10" t="inlineStr"/>
    </row>
    <row r="634">
      <c r="A634" s="15" t="n">
        <v>633</v>
      </c>
      <c r="B634" s="15" t="inlineStr">
        <is>
          <t>Part II - The Method Atlas</t>
        </is>
      </c>
      <c r="C634" s="16" t="inlineStr">
        <is>
          <t>G.6 Continuum electrostatics and mesoscale hydrodynamics</t>
        </is>
      </c>
      <c r="D634" s="10" t="inlineStr">
        <is>
          <t>ddCOSMO / ddPCM domain decomposition</t>
        </is>
      </c>
      <c r="E634" s="10" t="inlineStr">
        <is>
          <t>Michele Nottoli (Stuttgart</t>
        </is>
      </c>
      <c r="F634" s="11" t="inlineStr">
        <is>
          <t>46:27</t>
        </is>
      </c>
      <c r="G634" s="11" t="n">
        <v>0.77</v>
      </c>
      <c r="H634" s="12" t="inlineStr"/>
      <c r="I634" s="11" t="inlineStr">
        <is>
          <t>Not started</t>
        </is>
      </c>
      <c r="J634" s="13" t="n"/>
      <c r="K634" s="10" t="inlineStr"/>
      <c r="L634" s="14" t="inlineStr">
        <is>
          <t>▶ watch</t>
        </is>
      </c>
      <c r="M634" s="10" t="inlineStr">
        <is>
          <t>Baker et al. 2001, PNAS 98:10037 (APBS) · Jurrus et al. 2018, Protein Sci 27:112</t>
        </is>
      </c>
      <c r="N634" s="14" t="inlineStr">
        <is>
          <t>read ↗</t>
        </is>
      </c>
      <c r="O634" s="11" t="inlineStr">
        <is>
          <t>section reading (2 of 6)</t>
        </is>
      </c>
      <c r="P634" s="10" t="inlineStr"/>
    </row>
    <row r="635">
      <c r="A635" s="15" t="n">
        <v>634</v>
      </c>
      <c r="B635" s="15" t="inlineStr">
        <is>
          <t>Part II - The Method Atlas</t>
        </is>
      </c>
      <c r="C635" s="16" t="inlineStr">
        <is>
          <t>G.6 Continuum electrostatics and mesoscale hydrodynamics</t>
        </is>
      </c>
      <c r="D635" s="10" t="inlineStr">
        <is>
          <t>Lattice Boltzmann for biomedical flow</t>
        </is>
      </c>
      <c r="E635" s="10" t="inlineStr"/>
      <c r="F635" s="11" t="inlineStr"/>
      <c r="G635" s="11" t="n">
        <v>0</v>
      </c>
      <c r="H635" s="12" t="inlineStr"/>
      <c r="I635" s="11" t="inlineStr">
        <is>
          <t>Not started</t>
        </is>
      </c>
      <c r="J635" s="13" t="n"/>
      <c r="K635" s="10" t="inlineStr"/>
      <c r="L635" s="14" t="inlineStr">
        <is>
          <t>▶ watch</t>
        </is>
      </c>
      <c r="M635" s="10" t="inlineStr">
        <is>
          <t>Baker et al. 2001, PNAS 98:10037 (APBS) · Jurrus et al. 2018, Protein Sci 27:112</t>
        </is>
      </c>
      <c r="N635" s="14" t="inlineStr">
        <is>
          <t>read ↗</t>
        </is>
      </c>
      <c r="O635" s="11" t="inlineStr">
        <is>
          <t>section reading (2 of 6)</t>
        </is>
      </c>
      <c r="P635" s="10" t="inlineStr"/>
    </row>
    <row r="636">
      <c r="A636" s="15" t="n">
        <v>635</v>
      </c>
      <c r="B636" s="15" t="inlineStr">
        <is>
          <t>Part II - The Method Atlas</t>
        </is>
      </c>
      <c r="C636" s="16" t="inlineStr">
        <is>
          <t>G.6 Continuum electrostatics and mesoscale hydrodynamics</t>
        </is>
      </c>
      <c r="D636" s="10" t="inlineStr">
        <is>
          <t>Sauro Succi, Boltzmann and The Lattice</t>
        </is>
      </c>
      <c r="E636" s="10" t="inlineStr"/>
      <c r="F636" s="11" t="inlineStr"/>
      <c r="G636" s="11" t="n">
        <v>0</v>
      </c>
      <c r="H636" s="12" t="inlineStr">
        <is>
          <t>★</t>
        </is>
      </c>
      <c r="I636" s="11" t="inlineStr">
        <is>
          <t>Not started</t>
        </is>
      </c>
      <c r="J636" s="13" t="n"/>
      <c r="K636" s="10" t="inlineStr"/>
      <c r="L636" s="14" t="inlineStr">
        <is>
          <t>▶ watch</t>
        </is>
      </c>
      <c r="M636" s="10" t="inlineStr">
        <is>
          <t>Baker et al. 2001, PNAS 98:10037 (APBS) · Jurrus et al. 2018, Protein Sci 27:112</t>
        </is>
      </c>
      <c r="N636" s="14" t="inlineStr">
        <is>
          <t>read ↗</t>
        </is>
      </c>
      <c r="O636" s="11" t="inlineStr">
        <is>
          <t>section reading (2 of 6)</t>
        </is>
      </c>
      <c r="P636" s="10" t="inlineStr"/>
    </row>
    <row r="637">
      <c r="A637" s="15" t="n">
        <v>636</v>
      </c>
      <c r="B637" s="15" t="inlineStr">
        <is>
          <t>Part II - The Method Atlas</t>
        </is>
      </c>
      <c r="C637" s="16" t="inlineStr">
        <is>
          <t>G.6 Continuum electrostatics and mesoscale hydrodynamics</t>
        </is>
      </c>
      <c r="D637" s="10" t="inlineStr">
        <is>
          <t>Stokesian Dynamics</t>
        </is>
      </c>
      <c r="E637" s="10" t="inlineStr"/>
      <c r="F637" s="11" t="inlineStr"/>
      <c r="G637" s="11" t="n">
        <v>0</v>
      </c>
      <c r="H637" s="12" t="inlineStr">
        <is>
          <t>★</t>
        </is>
      </c>
      <c r="I637" s="11" t="inlineStr">
        <is>
          <t>Not started</t>
        </is>
      </c>
      <c r="J637" s="13" t="n"/>
      <c r="K637" s="10" t="inlineStr"/>
      <c r="L637" s="14" t="inlineStr">
        <is>
          <t>▶ watch</t>
        </is>
      </c>
      <c r="M637" s="10" t="inlineStr">
        <is>
          <t>Baker et al. 2001, PNAS 98:10037 (APBS) · Jurrus et al. 2018, Protein Sci 27:112</t>
        </is>
      </c>
      <c r="N637" s="14" t="inlineStr">
        <is>
          <t>read ↗</t>
        </is>
      </c>
      <c r="O637" s="11" t="inlineStr">
        <is>
          <t>section reading (2 of 6)</t>
        </is>
      </c>
      <c r="P637" s="10" t="inlineStr"/>
    </row>
    <row r="638">
      <c r="A638" s="15" t="n">
        <v>637</v>
      </c>
      <c r="B638" s="15" t="inlineStr">
        <is>
          <t>Part II - The Method Atlas</t>
        </is>
      </c>
      <c r="C638" s="16" t="inlineStr">
        <is>
          <t>G.6 Continuum electrostatics and mesoscale hydrodynamics</t>
        </is>
      </c>
      <c r="D638" s="10" t="inlineStr">
        <is>
          <t>Modeling Complex and Active Fluids</t>
        </is>
      </c>
      <c r="E638" s="10" t="inlineStr"/>
      <c r="F638" s="11" t="inlineStr">
        <is>
          <t>1:33:39</t>
        </is>
      </c>
      <c r="G638" s="11" t="n">
        <v>1.56</v>
      </c>
      <c r="H638" s="12" t="inlineStr">
        <is>
          <t>★</t>
        </is>
      </c>
      <c r="I638" s="11" t="inlineStr">
        <is>
          <t>Not started</t>
        </is>
      </c>
      <c r="J638" s="13" t="n"/>
      <c r="K638" s="10" t="inlineStr"/>
      <c r="L638" s="14" t="inlineStr">
        <is>
          <t>▶ watch</t>
        </is>
      </c>
      <c r="M638" s="10" t="inlineStr">
        <is>
          <t>Baker et al. 2001, PNAS 98:10037 (APBS) · Jurrus et al. 2018, Protein Sci 27:112</t>
        </is>
      </c>
      <c r="N638" s="14" t="inlineStr">
        <is>
          <t>read ↗</t>
        </is>
      </c>
      <c r="O638" s="11" t="inlineStr">
        <is>
          <t>section reading (2 of 6)</t>
        </is>
      </c>
      <c r="P638" s="10" t="inlineStr"/>
    </row>
    <row r="639">
      <c r="A639" s="15" t="n">
        <v>638</v>
      </c>
      <c r="B639" s="15" t="inlineStr">
        <is>
          <t>Part II - The Method Atlas</t>
        </is>
      </c>
      <c r="C639" s="16" t="inlineStr">
        <is>
          <t>H.1 The Grosberg-Rubinstein course</t>
        </is>
      </c>
      <c r="D639" s="10" t="inlineStr">
        <is>
          <t>Ideal chains, freely jointed chain, random walk statistics</t>
        </is>
      </c>
      <c r="E639" s="10" t="inlineStr"/>
      <c r="F639" s="11" t="inlineStr">
        <is>
          <t>1:35:37</t>
        </is>
      </c>
      <c r="G639" s="11" t="n">
        <v>1.59</v>
      </c>
      <c r="H639" s="12" t="inlineStr"/>
      <c r="I639" s="11" t="inlineStr">
        <is>
          <t>Not started</t>
        </is>
      </c>
      <c r="J639" s="13" t="n"/>
      <c r="K639" s="10" t="inlineStr"/>
      <c r="L639" s="14" t="inlineStr">
        <is>
          <t>▶ watch</t>
        </is>
      </c>
      <c r="M639" s="10" t="inlineStr">
        <is>
          <t>Baker et al. 2001, PNAS 98:10037 (APBS) · Jurrus et al. 2018, Protein Sci 27:112</t>
        </is>
      </c>
      <c r="N639" s="14" t="inlineStr">
        <is>
          <t>read ↗</t>
        </is>
      </c>
      <c r="O639" s="11" t="inlineStr">
        <is>
          <t>reading for G.6 Continuum electrostatics and mesosca</t>
        </is>
      </c>
      <c r="P639" s="10" t="inlineStr"/>
    </row>
    <row r="640">
      <c r="A640" s="15" t="n">
        <v>639</v>
      </c>
      <c r="B640" s="15" t="inlineStr">
        <is>
          <t>Part II - The Method Atlas</t>
        </is>
      </c>
      <c r="C640" s="16" t="inlineStr">
        <is>
          <t>H.1 The Grosberg-Rubinstein course</t>
        </is>
      </c>
      <c r="D640" s="10" t="inlineStr">
        <is>
          <t>Real chains, excluded volume, Flory theory, scaling exponents</t>
        </is>
      </c>
      <c r="E640" s="10" t="inlineStr"/>
      <c r="F640" s="11" t="inlineStr">
        <is>
          <t>1:34:03</t>
        </is>
      </c>
      <c r="G640" s="11" t="n">
        <v>1.57</v>
      </c>
      <c r="H640" s="12" t="inlineStr"/>
      <c r="I640" s="11" t="inlineStr">
        <is>
          <t>Not started</t>
        </is>
      </c>
      <c r="J640" s="13" t="n"/>
      <c r="K640" s="10" t="inlineStr"/>
      <c r="L640" s="14" t="inlineStr">
        <is>
          <t>▶ watch</t>
        </is>
      </c>
      <c r="M640" s="10" t="inlineStr">
        <is>
          <t>Baker et al. 2001, PNAS 98:10037 (APBS) · Jurrus et al. 2018, Protein Sci 27:112</t>
        </is>
      </c>
      <c r="N640" s="14" t="inlineStr">
        <is>
          <t>read ↗</t>
        </is>
      </c>
      <c r="O640" s="11" t="inlineStr">
        <is>
          <t>reading for G.6 Continuum electrostatics and mesosca</t>
        </is>
      </c>
      <c r="P640" s="10" t="inlineStr"/>
    </row>
    <row r="641">
      <c r="A641" s="15" t="n">
        <v>640</v>
      </c>
      <c r="B641" s="15" t="inlineStr">
        <is>
          <t>Part II - The Method Atlas</t>
        </is>
      </c>
      <c r="C641" s="16" t="inlineStr">
        <is>
          <t>H.1 The Grosberg-Rubinstein course</t>
        </is>
      </c>
      <c r="D641" s="10" t="inlineStr">
        <is>
          <t>Semidilute solutions, blobs, correlation length</t>
        </is>
      </c>
      <c r="E641" s="10" t="inlineStr"/>
      <c r="F641" s="11" t="inlineStr">
        <is>
          <t>1:24:11</t>
        </is>
      </c>
      <c r="G641" s="11" t="n">
        <v>1.4</v>
      </c>
      <c r="H641" s="12" t="inlineStr"/>
      <c r="I641" s="11" t="inlineStr">
        <is>
          <t>Not started</t>
        </is>
      </c>
      <c r="J641" s="13" t="n"/>
      <c r="K641" s="10" t="inlineStr"/>
      <c r="L641" s="14" t="inlineStr">
        <is>
          <t>▶ watch</t>
        </is>
      </c>
      <c r="M641" s="10" t="inlineStr">
        <is>
          <t>Baker et al. 2001, PNAS 98:10037 (APBS) · Jurrus et al. 2018, Protein Sci 27:112</t>
        </is>
      </c>
      <c r="N641" s="14" t="inlineStr">
        <is>
          <t>read ↗</t>
        </is>
      </c>
      <c r="O641" s="11" t="inlineStr">
        <is>
          <t>reading for G.6 Continuum electrostatics and mesosca</t>
        </is>
      </c>
      <c r="P641" s="10" t="inlineStr"/>
    </row>
    <row r="642">
      <c r="A642" s="15" t="n">
        <v>641</v>
      </c>
      <c r="B642" s="15" t="inlineStr">
        <is>
          <t>Part II - The Method Atlas</t>
        </is>
      </c>
      <c r="C642" s="16" t="inlineStr">
        <is>
          <t>H.1 The Grosberg-Rubinstein course</t>
        </is>
      </c>
      <c r="D642" s="10" t="inlineStr">
        <is>
          <t>Dynamics: Rouse, Zimm, entanglement, reptation</t>
        </is>
      </c>
      <c r="E642" s="10" t="inlineStr"/>
      <c r="F642" s="11" t="inlineStr">
        <is>
          <t>1:33:28</t>
        </is>
      </c>
      <c r="G642" s="11" t="n">
        <v>1.56</v>
      </c>
      <c r="H642" s="12" t="inlineStr"/>
      <c r="I642" s="11" t="inlineStr">
        <is>
          <t>Not started</t>
        </is>
      </c>
      <c r="J642" s="13" t="n"/>
      <c r="K642" s="10" t="inlineStr"/>
      <c r="L642" s="14" t="inlineStr">
        <is>
          <t>▶ watch</t>
        </is>
      </c>
      <c r="M642" s="10" t="inlineStr">
        <is>
          <t>Baker et al. 2001, PNAS 98:10037 (APBS) · Jurrus et al. 2018, Protein Sci 27:112</t>
        </is>
      </c>
      <c r="N642" s="14" t="inlineStr">
        <is>
          <t>read ↗</t>
        </is>
      </c>
      <c r="O642" s="11" t="inlineStr">
        <is>
          <t>reading for G.6 Continuum electrostatics and mesosca</t>
        </is>
      </c>
      <c r="P642" s="10" t="inlineStr"/>
    </row>
    <row r="643">
      <c r="A643" s="15" t="n">
        <v>642</v>
      </c>
      <c r="B643" s="15" t="inlineStr">
        <is>
          <t>Part II - The Method Atlas</t>
        </is>
      </c>
      <c r="C643" s="16" t="inlineStr">
        <is>
          <t>H.1 The Grosberg-Rubinstein course</t>
        </is>
      </c>
      <c r="D643" s="10" t="inlineStr">
        <is>
          <t>Additional session, topological constraints</t>
        </is>
      </c>
      <c r="E643" s="10" t="inlineStr"/>
      <c r="F643" s="11" t="inlineStr">
        <is>
          <t>1:29:49</t>
        </is>
      </c>
      <c r="G643" s="11" t="n">
        <v>1.5</v>
      </c>
      <c r="H643" s="12" t="inlineStr"/>
      <c r="I643" s="11" t="inlineStr">
        <is>
          <t>Not started</t>
        </is>
      </c>
      <c r="J643" s="13" t="n"/>
      <c r="K643" s="10" t="inlineStr"/>
      <c r="L643" s="14" t="inlineStr">
        <is>
          <t>▶ watch</t>
        </is>
      </c>
      <c r="M643" s="10" t="inlineStr">
        <is>
          <t>Baker et al. 2001, PNAS 98:10037 (APBS) · Jurrus et al. 2018, Protein Sci 27:112</t>
        </is>
      </c>
      <c r="N643" s="14" t="inlineStr">
        <is>
          <t>read ↗</t>
        </is>
      </c>
      <c r="O643" s="11" t="inlineStr">
        <is>
          <t>reading for G.6 Continuum electrostatics and mesosca</t>
        </is>
      </c>
      <c r="P643" s="10" t="inlineStr"/>
    </row>
    <row r="644">
      <c r="A644" s="15" t="n">
        <v>643</v>
      </c>
      <c r="B644" s="15" t="inlineStr">
        <is>
          <t>Part II - The Method Atlas</t>
        </is>
      </c>
      <c r="C644" s="16" t="inlineStr">
        <is>
          <t>H.1 The Grosberg-Rubinstein course</t>
        </is>
      </c>
      <c r="D644" s="10" t="inlineStr">
        <is>
          <t>Polymer Physics lecture 2: Real polymer chain</t>
        </is>
      </c>
      <c r="E644" s="10" t="inlineStr">
        <is>
          <t>Michael Rubinstein (Università di Corsica</t>
        </is>
      </c>
      <c r="F644" s="11" t="inlineStr">
        <is>
          <t>1:23:34</t>
        </is>
      </c>
      <c r="G644" s="11" t="n">
        <v>1.39</v>
      </c>
      <c r="H644" s="12" t="inlineStr"/>
      <c r="I644" s="11" t="inlineStr">
        <is>
          <t>Not started</t>
        </is>
      </c>
      <c r="J644" s="13" t="n"/>
      <c r="K644" s="10" t="inlineStr"/>
      <c r="L644" s="14" t="inlineStr">
        <is>
          <t>▶ watch</t>
        </is>
      </c>
      <c r="M644" s="10" t="inlineStr">
        <is>
          <t>Baker et al. 2001, PNAS 98:10037 (APBS) · Jurrus et al. 2018, Protein Sci 27:112</t>
        </is>
      </c>
      <c r="N644" s="14" t="inlineStr">
        <is>
          <t>read ↗</t>
        </is>
      </c>
      <c r="O644" s="11" t="inlineStr">
        <is>
          <t>reading for G.6 Continuum electrostatics and mesosca</t>
        </is>
      </c>
      <c r="P644" s="10" t="inlineStr"/>
    </row>
    <row r="645">
      <c r="A645" s="15" t="n">
        <v>644</v>
      </c>
      <c r="B645" s="15" t="inlineStr">
        <is>
          <t>Part II - The Method Atlas</t>
        </is>
      </c>
      <c r="C645" s="16" t="inlineStr">
        <is>
          <t>H.1 The Grosberg-Rubinstein course</t>
        </is>
      </c>
      <c r="D645" s="10" t="inlineStr">
        <is>
          <t>Polymer Entanglements: the Unsolved Problem of Polymer Physics</t>
        </is>
      </c>
      <c r="E645" s="10" t="inlineStr">
        <is>
          <t>Michael Rubinstein (NYU colloquium</t>
        </is>
      </c>
      <c r="F645" s="11" t="inlineStr">
        <is>
          <t>1:13:09</t>
        </is>
      </c>
      <c r="G645" s="11" t="n">
        <v>1.22</v>
      </c>
      <c r="H645" s="12" t="inlineStr"/>
      <c r="I645" s="11" t="inlineStr">
        <is>
          <t>Not started</t>
        </is>
      </c>
      <c r="J645" s="13" t="n"/>
      <c r="K645" s="10" t="inlineStr"/>
      <c r="L645" s="14" t="inlineStr">
        <is>
          <t>▶ watch</t>
        </is>
      </c>
      <c r="M645" s="10" t="inlineStr">
        <is>
          <t>Baker et al. 2001, PNAS 98:10037 (APBS) · Jurrus et al. 2018, Protein Sci 27:112</t>
        </is>
      </c>
      <c r="N645" s="14" t="inlineStr">
        <is>
          <t>read ↗</t>
        </is>
      </c>
      <c r="O645" s="11" t="inlineStr">
        <is>
          <t>reading for G.6 Continuum electrostatics and mesosca</t>
        </is>
      </c>
      <c r="P645" s="10" t="inlineStr"/>
    </row>
    <row r="646">
      <c r="A646" s="15" t="n">
        <v>645</v>
      </c>
      <c r="B646" s="15" t="inlineStr">
        <is>
          <t>Part II - The Method Atlas</t>
        </is>
      </c>
      <c r="C646" s="16" t="inlineStr">
        <is>
          <t>H.2 The LMU derivation course</t>
        </is>
      </c>
      <c r="D646" s="10" t="inlineStr">
        <is>
          <t>Fluctuating Manifolds and Polymer Physics: Continuous Limit of Random Walks</t>
        </is>
      </c>
      <c r="E646" s="10" t="inlineStr"/>
      <c r="F646" s="11" t="inlineStr">
        <is>
          <t>55:05</t>
        </is>
      </c>
      <c r="G646" s="11" t="n">
        <v>0.92</v>
      </c>
      <c r="H646" s="12" t="inlineStr"/>
      <c r="I646" s="11" t="inlineStr">
        <is>
          <t>Not started</t>
        </is>
      </c>
      <c r="J646" s="13" t="n"/>
      <c r="K646" s="10" t="inlineStr"/>
      <c r="L646" s="14" t="inlineStr">
        <is>
          <t>▶ watch</t>
        </is>
      </c>
      <c r="M646" s="10" t="inlineStr">
        <is>
          <t>Baker et al. 2001, PNAS 98:10037 (APBS) · Jurrus et al. 2018, Protein Sci 27:112</t>
        </is>
      </c>
      <c r="N646" s="14" t="inlineStr">
        <is>
          <t>read ↗</t>
        </is>
      </c>
      <c r="O646" s="11" t="inlineStr">
        <is>
          <t>reading for G.6 Continuum electrostatics and mesosca</t>
        </is>
      </c>
      <c r="P646" s="10" t="inlineStr"/>
    </row>
    <row r="647">
      <c r="A647" s="15" t="n">
        <v>646</v>
      </c>
      <c r="B647" s="15" t="inlineStr">
        <is>
          <t>Part II - The Method Atlas</t>
        </is>
      </c>
      <c r="C647" s="16" t="inlineStr">
        <is>
          <t>H.2 The LMU derivation course</t>
        </is>
      </c>
      <c r="D647" s="10" t="inlineStr">
        <is>
          <t>Conformational Entropy, Entropic Forces and the Blob Scaling Argument</t>
        </is>
      </c>
      <c r="E647" s="10" t="inlineStr"/>
      <c r="F647" s="11" t="inlineStr">
        <is>
          <t>39:33</t>
        </is>
      </c>
      <c r="G647" s="11" t="n">
        <v>0.66</v>
      </c>
      <c r="H647" s="12" t="inlineStr"/>
      <c r="I647" s="11" t="inlineStr">
        <is>
          <t>Not started</t>
        </is>
      </c>
      <c r="J647" s="13" t="n"/>
      <c r="K647" s="10" t="inlineStr"/>
      <c r="L647" s="14" t="inlineStr">
        <is>
          <t>▶ watch</t>
        </is>
      </c>
      <c r="M647" s="10" t="inlineStr">
        <is>
          <t>Baker et al. 2001, PNAS 98:10037 (APBS) · Jurrus et al. 2018, Protein Sci 27:112</t>
        </is>
      </c>
      <c r="N647" s="14" t="inlineStr">
        <is>
          <t>read ↗</t>
        </is>
      </c>
      <c r="O647" s="11" t="inlineStr">
        <is>
          <t>reading for G.6 Continuum electrostatics and mesosca</t>
        </is>
      </c>
      <c r="P647" s="10" t="inlineStr"/>
    </row>
    <row r="648">
      <c r="A648" s="15" t="n">
        <v>647</v>
      </c>
      <c r="B648" s="15" t="inlineStr">
        <is>
          <t>Part II - The Method Atlas</t>
        </is>
      </c>
      <c r="C648" s="16" t="inlineStr">
        <is>
          <t>H.2 The LMU derivation course</t>
        </is>
      </c>
      <c r="D648" s="10" t="inlineStr">
        <is>
          <t>From Discrete Polymers to Continuous Field Theory: Langevin Elasticity and Path Integrals</t>
        </is>
      </c>
      <c r="E648" s="10" t="inlineStr"/>
      <c r="F648" s="11" t="inlineStr">
        <is>
          <t>54:02</t>
        </is>
      </c>
      <c r="G648" s="11" t="n">
        <v>0.9</v>
      </c>
      <c r="H648" s="12" t="inlineStr"/>
      <c r="I648" s="11" t="inlineStr">
        <is>
          <t>Not started</t>
        </is>
      </c>
      <c r="J648" s="13" t="n"/>
      <c r="K648" s="10" t="inlineStr"/>
      <c r="L648" s="14" t="inlineStr">
        <is>
          <t>▶ watch</t>
        </is>
      </c>
      <c r="M648" s="10" t="inlineStr">
        <is>
          <t>Baker et al. 2001, PNAS 98:10037 (APBS) · Jurrus et al. 2018, Protein Sci 27:112</t>
        </is>
      </c>
      <c r="N648" s="14" t="inlineStr">
        <is>
          <t>read ↗</t>
        </is>
      </c>
      <c r="O648" s="11" t="inlineStr">
        <is>
          <t>reading for G.6 Continuum electrostatics and mesosca</t>
        </is>
      </c>
      <c r="P648" s="10" t="inlineStr"/>
    </row>
    <row r="649">
      <c r="A649" s="15" t="n">
        <v>648</v>
      </c>
      <c r="B649" s="15" t="inlineStr">
        <is>
          <t>Part II - The Method Atlas</t>
        </is>
      </c>
      <c r="C649" s="16" t="inlineStr">
        <is>
          <t>H.2 The LMU derivation course</t>
        </is>
      </c>
      <c r="D649" s="10" t="inlineStr">
        <is>
          <t>Continuous Wormlike Chains: Symmetry Arguments and Conformational Statistics</t>
        </is>
      </c>
      <c r="E649" s="10" t="inlineStr"/>
      <c r="F649" s="11" t="inlineStr">
        <is>
          <t>41:16</t>
        </is>
      </c>
      <c r="G649" s="11" t="n">
        <v>0.6899999999999999</v>
      </c>
      <c r="H649" s="12" t="inlineStr">
        <is>
          <t>★</t>
        </is>
      </c>
      <c r="I649" s="11" t="inlineStr">
        <is>
          <t>Not started</t>
        </is>
      </c>
      <c r="J649" s="13" t="n"/>
      <c r="K649" s="10" t="inlineStr"/>
      <c r="L649" s="14" t="inlineStr">
        <is>
          <t>▶ watch</t>
        </is>
      </c>
      <c r="M649" s="10" t="inlineStr">
        <is>
          <t>Baker et al. 2001, PNAS 98:10037 (APBS) · Jurrus et al. 2018, Protein Sci 27:112</t>
        </is>
      </c>
      <c r="N649" s="14" t="inlineStr">
        <is>
          <t>read ↗</t>
        </is>
      </c>
      <c r="O649" s="11" t="inlineStr">
        <is>
          <t>reading for G.6 Continuum electrostatics and mesosca</t>
        </is>
      </c>
      <c r="P649" s="10" t="inlineStr"/>
    </row>
    <row r="650">
      <c r="A650" s="15" t="n">
        <v>649</v>
      </c>
      <c r="B650" s="15" t="inlineStr">
        <is>
          <t>Part II - The Method Atlas</t>
        </is>
      </c>
      <c r="C650" s="16" t="inlineStr">
        <is>
          <t>H.2 The LMU derivation course</t>
        </is>
      </c>
      <c r="D650" s="10" t="inlineStr">
        <is>
          <t>Solving Polymer Path Integrals with Quantum Mechanics: Spherical Harmonics</t>
        </is>
      </c>
      <c r="E650" s="10" t="inlineStr"/>
      <c r="F650" s="11" t="inlineStr">
        <is>
          <t>47:56</t>
        </is>
      </c>
      <c r="G650" s="11" t="n">
        <v>0.8</v>
      </c>
      <c r="H650" s="12" t="inlineStr"/>
      <c r="I650" s="11" t="inlineStr">
        <is>
          <t>Not started</t>
        </is>
      </c>
      <c r="J650" s="13" t="n"/>
      <c r="K650" s="10" t="inlineStr"/>
      <c r="L650" s="14" t="inlineStr">
        <is>
          <t>▶ watch</t>
        </is>
      </c>
      <c r="M650" s="10" t="inlineStr">
        <is>
          <t>Baker et al. 2001, PNAS 98:10037 (APBS) · Jurrus et al. 2018, Protein Sci 27:112</t>
        </is>
      </c>
      <c r="N650" s="14" t="inlineStr">
        <is>
          <t>read ↗</t>
        </is>
      </c>
      <c r="O650" s="11" t="inlineStr">
        <is>
          <t>reading for G.6 Continuum electrostatics and mesosca</t>
        </is>
      </c>
      <c r="P650" s="10" t="inlineStr"/>
    </row>
    <row r="651">
      <c r="A651" s="15" t="n">
        <v>650</v>
      </c>
      <c r="B651" s="15" t="inlineStr">
        <is>
          <t>Part II - The Method Atlas</t>
        </is>
      </c>
      <c r="C651" s="16" t="inlineStr">
        <is>
          <t>H.2 The LMU derivation course</t>
        </is>
      </c>
      <c r="D651" s="10" t="inlineStr">
        <is>
          <t>The Quantum Mechanics of DNA Stretching: Stark Effect and Harmonic Oscillators</t>
        </is>
      </c>
      <c r="E651" s="10" t="inlineStr"/>
      <c r="F651" s="11" t="inlineStr">
        <is>
          <t>38:38</t>
        </is>
      </c>
      <c r="G651" s="11" t="n">
        <v>0.64</v>
      </c>
      <c r="H651" s="12" t="inlineStr"/>
      <c r="I651" s="11" t="inlineStr">
        <is>
          <t>Not started</t>
        </is>
      </c>
      <c r="J651" s="13" t="n"/>
      <c r="K651" s="10" t="inlineStr"/>
      <c r="L651" s="14" t="inlineStr">
        <is>
          <t>▶ watch</t>
        </is>
      </c>
      <c r="M651" s="10" t="inlineStr">
        <is>
          <t>Baker et al. 2001, PNAS 98:10037 (APBS) · Jurrus et al. 2018, Protein Sci 27:112</t>
        </is>
      </c>
      <c r="N651" s="14" t="inlineStr">
        <is>
          <t>read ↗</t>
        </is>
      </c>
      <c r="O651" s="11" t="inlineStr">
        <is>
          <t>reading for G.6 Continuum electrostatics and mesosca</t>
        </is>
      </c>
      <c r="P651" s="10" t="inlineStr"/>
    </row>
    <row r="652">
      <c r="A652" s="15" t="n">
        <v>651</v>
      </c>
      <c r="B652" s="15" t="inlineStr">
        <is>
          <t>Part II - The Method Atlas</t>
        </is>
      </c>
      <c r="C652" s="16" t="inlineStr">
        <is>
          <t>H.2 The LMU derivation course</t>
        </is>
      </c>
      <c r="D652" s="10" t="inlineStr">
        <is>
          <t>The Lattice Gas Model, Mean-Field Theory, Mixing Entropy, Flory-Huggins</t>
        </is>
      </c>
      <c r="E652" s="10" t="inlineStr"/>
      <c r="F652" s="11" t="inlineStr">
        <is>
          <t>44:08</t>
        </is>
      </c>
      <c r="G652" s="11" t="n">
        <v>0.74</v>
      </c>
      <c r="H652" s="12" t="inlineStr"/>
      <c r="I652" s="11" t="inlineStr">
        <is>
          <t>Not started</t>
        </is>
      </c>
      <c r="J652" s="13" t="n"/>
      <c r="K652" s="10" t="inlineStr"/>
      <c r="L652" s="14" t="inlineStr">
        <is>
          <t>▶ watch</t>
        </is>
      </c>
      <c r="M652" s="10" t="inlineStr">
        <is>
          <t>Baker et al. 2001, PNAS 98:10037 (APBS) · Jurrus et al. 2018, Protein Sci 27:112</t>
        </is>
      </c>
      <c r="N652" s="14" t="inlineStr">
        <is>
          <t>read ↗</t>
        </is>
      </c>
      <c r="O652" s="11" t="inlineStr">
        <is>
          <t>reading for G.6 Continuum electrostatics and mesosca</t>
        </is>
      </c>
      <c r="P652" s="10" t="inlineStr"/>
    </row>
    <row r="653">
      <c r="A653" s="15" t="n">
        <v>652</v>
      </c>
      <c r="B653" s="15" t="inlineStr">
        <is>
          <t>Part II - The Method Atlas</t>
        </is>
      </c>
      <c r="C653" s="16" t="inlineStr">
        <is>
          <t>H.3 Biology-facing treatments</t>
        </is>
      </c>
      <c r="D653" s="10" t="inlineStr">
        <is>
          <t>Rob Phillips (Caltech, PBoC</t>
        </is>
      </c>
      <c r="E653" s="10" t="inlineStr">
        <is>
          <t>Entropic elasticity of DNA</t>
        </is>
      </c>
      <c r="F653" s="11" t="inlineStr">
        <is>
          <t>44:53</t>
        </is>
      </c>
      <c r="G653" s="11" t="n">
        <v>0.75</v>
      </c>
      <c r="H653" s="12" t="inlineStr"/>
      <c r="I653" s="11" t="inlineStr">
        <is>
          <t>Not started</t>
        </is>
      </c>
      <c r="J653" s="13" t="n"/>
      <c r="K653" s="10" t="inlineStr"/>
      <c r="L653" s="14" t="inlineStr">
        <is>
          <t>▶ watch</t>
        </is>
      </c>
      <c r="M653" s="10" t="inlineStr">
        <is>
          <t>Bustamante et al. 1994, Science 265:1599</t>
        </is>
      </c>
      <c r="N653" s="14" t="inlineStr">
        <is>
          <t>read ↗</t>
        </is>
      </c>
      <c r="O653" s="11" t="inlineStr">
        <is>
          <t>paired reading</t>
        </is>
      </c>
      <c r="P653" s="10" t="inlineStr"/>
    </row>
    <row r="654">
      <c r="A654" s="15" t="n">
        <v>653</v>
      </c>
      <c r="B654" s="15" t="inlineStr">
        <is>
          <t>Part II - The Method Atlas</t>
        </is>
      </c>
      <c r="C654" s="16" t="inlineStr">
        <is>
          <t>H.3 Biology-facing treatments</t>
        </is>
      </c>
      <c r="D654" s="10" t="inlineStr">
        <is>
          <t>Rob Phillips (Caltech</t>
        </is>
      </c>
      <c r="E654" s="10" t="inlineStr">
        <is>
          <t>Flory-Huggins theory</t>
        </is>
      </c>
      <c r="F654" s="11" t="inlineStr">
        <is>
          <t>21:18</t>
        </is>
      </c>
      <c r="G654" s="11" t="n">
        <v>0.35</v>
      </c>
      <c r="H654" s="12" t="inlineStr"/>
      <c r="I654" s="11" t="inlineStr">
        <is>
          <t>Not started</t>
        </is>
      </c>
      <c r="J654" s="13" t="n"/>
      <c r="K654" s="10" t="inlineStr"/>
      <c r="L654" s="14" t="inlineStr">
        <is>
          <t>▶ watch</t>
        </is>
      </c>
      <c r="M654" s="10" t="inlineStr">
        <is>
          <t>Baker et al. 2001, PNAS 98:10037 (APBS) · Jurrus et al. 2018, Protein Sci 27:112</t>
        </is>
      </c>
      <c r="N654" s="14" t="inlineStr">
        <is>
          <t>read ↗</t>
        </is>
      </c>
      <c r="O654" s="11" t="inlineStr">
        <is>
          <t>reading for G.6 Continuum electrostatics and mesosca</t>
        </is>
      </c>
      <c r="P654" s="10" t="inlineStr"/>
    </row>
    <row r="655">
      <c r="A655" s="15" t="n">
        <v>654</v>
      </c>
      <c r="B655" s="15" t="inlineStr">
        <is>
          <t>Part II - The Method Atlas</t>
        </is>
      </c>
      <c r="C655" s="16" t="inlineStr">
        <is>
          <t>H.3 Biology-facing treatments</t>
        </is>
      </c>
      <c r="D655" s="10" t="inlineStr">
        <is>
          <t>Entropic springs and persistence length</t>
        </is>
      </c>
      <c r="E655" s="10" t="inlineStr">
        <is>
          <t>NPTEL / IIT Bombay</t>
        </is>
      </c>
      <c r="F655" s="11" t="inlineStr">
        <is>
          <t>27:54</t>
        </is>
      </c>
      <c r="G655" s="11" t="n">
        <v>0.47</v>
      </c>
      <c r="H655" s="12" t="inlineStr"/>
      <c r="I655" s="11" t="inlineStr">
        <is>
          <t>Not started</t>
        </is>
      </c>
      <c r="J655" s="13" t="n"/>
      <c r="K655" s="10" t="inlineStr"/>
      <c r="L655" s="14" t="inlineStr">
        <is>
          <t>▶ watch</t>
        </is>
      </c>
      <c r="M655" s="10" t="inlineStr">
        <is>
          <t>Baker et al. 2001, PNAS 98:10037 (APBS) · Jurrus et al. 2018, Protein Sci 27:112</t>
        </is>
      </c>
      <c r="N655" s="14" t="inlineStr">
        <is>
          <t>read ↗</t>
        </is>
      </c>
      <c r="O655" s="11" t="inlineStr">
        <is>
          <t>reading for G.6 Continuum electrostatics and mesosca</t>
        </is>
      </c>
      <c r="P655" s="10" t="inlineStr"/>
    </row>
    <row r="656">
      <c r="A656" s="15" t="n">
        <v>655</v>
      </c>
      <c r="B656" s="15" t="inlineStr">
        <is>
          <t>Part II - The Method Atlas</t>
        </is>
      </c>
      <c r="C656" s="16" t="inlineStr">
        <is>
          <t>H.3 Biology-facing treatments</t>
        </is>
      </c>
      <c r="D656" s="10" t="inlineStr">
        <is>
          <t>Energy of DNA/actin configurations: the worm-like chain, curvature energy</t>
        </is>
      </c>
      <c r="E656" s="10" t="inlineStr">
        <is>
          <t>Ranjith Padinhateeri (IIT Bombay</t>
        </is>
      </c>
      <c r="F656" s="11" t="inlineStr">
        <is>
          <t>31:08</t>
        </is>
      </c>
      <c r="G656" s="11" t="n">
        <v>0.52</v>
      </c>
      <c r="H656" s="12" t="inlineStr"/>
      <c r="I656" s="11" t="inlineStr">
        <is>
          <t>Not started</t>
        </is>
      </c>
      <c r="J656" s="13" t="n"/>
      <c r="K656" s="10" t="inlineStr"/>
      <c r="L656" s="14" t="inlineStr">
        <is>
          <t>▶ watch</t>
        </is>
      </c>
      <c r="M656" s="10" t="inlineStr">
        <is>
          <t>Baker et al. 2001, PNAS 98:10037 (APBS) · Jurrus et al. 2018, Protein Sci 27:112</t>
        </is>
      </c>
      <c r="N656" s="14" t="inlineStr">
        <is>
          <t>read ↗</t>
        </is>
      </c>
      <c r="O656" s="11" t="inlineStr">
        <is>
          <t>reading for G.6 Continuum electrostatics and mesosca</t>
        </is>
      </c>
      <c r="P656" s="10" t="inlineStr"/>
    </row>
    <row r="657">
      <c r="A657" s="15" t="n">
        <v>656</v>
      </c>
      <c r="B657" s="15" t="inlineStr">
        <is>
          <t>Part II - The Method Atlas</t>
        </is>
      </c>
      <c r="C657" s="16" t="inlineStr">
        <is>
          <t>H.3 Biology-facing treatments</t>
        </is>
      </c>
      <c r="D657" s="10" t="inlineStr">
        <is>
          <t>Single-molecule dynamics and interactions of disordered proteins</t>
        </is>
      </c>
      <c r="E657" s="10" t="inlineStr">
        <is>
          <t>Ben Schuler (Zurich</t>
        </is>
      </c>
      <c r="F657" s="11" t="inlineStr">
        <is>
          <t>38:03</t>
        </is>
      </c>
      <c r="G657" s="11" t="n">
        <v>0.63</v>
      </c>
      <c r="H657" s="12" t="inlineStr">
        <is>
          <t>★</t>
        </is>
      </c>
      <c r="I657" s="11" t="inlineStr">
        <is>
          <t>Not started</t>
        </is>
      </c>
      <c r="J657" s="13" t="n"/>
      <c r="K657" s="10" t="inlineStr"/>
      <c r="L657" s="14" t="inlineStr">
        <is>
          <t>▶ watch</t>
        </is>
      </c>
      <c r="M657" s="10" t="inlineStr">
        <is>
          <t>Baker et al. 2001, PNAS 98:10037 (APBS) · Jurrus et al. 2018, Protein Sci 27:112</t>
        </is>
      </c>
      <c r="N657" s="14" t="inlineStr">
        <is>
          <t>read ↗</t>
        </is>
      </c>
      <c r="O657" s="11" t="inlineStr">
        <is>
          <t>reading for G.6 Continuum electrostatics and mesosca</t>
        </is>
      </c>
      <c r="P657" s="10" t="inlineStr">
        <is>
          <t>I.5 Intrinsically disordered proteins</t>
        </is>
      </c>
    </row>
    <row r="658">
      <c r="A658" s="15" t="n">
        <v>657</v>
      </c>
      <c r="B658" s="15" t="inlineStr">
        <is>
          <t>Part II - The Method Atlas</t>
        </is>
      </c>
      <c r="C658" s="16" t="inlineStr">
        <is>
          <t>The NPTEL polymer physics course</t>
        </is>
      </c>
      <c r="D658" s="10" t="inlineStr">
        <is>
          <t>Random Walk Models of Single Chain I: end-to-end distance</t>
        </is>
      </c>
      <c r="E658" s="10" t="inlineStr"/>
      <c r="F658" s="11" t="inlineStr">
        <is>
          <t>30:52</t>
        </is>
      </c>
      <c r="G658" s="11" t="n">
        <v>0.51</v>
      </c>
      <c r="H658" s="12" t="inlineStr"/>
      <c r="I658" s="11" t="inlineStr">
        <is>
          <t>Not started</t>
        </is>
      </c>
      <c r="J658" s="13" t="n"/>
      <c r="K658" s="10" t="inlineStr"/>
      <c r="L658" s="14" t="inlineStr">
        <is>
          <t>▶ watch</t>
        </is>
      </c>
      <c r="M658" s="10" t="inlineStr">
        <is>
          <t>Baker et al. 2001, PNAS 98:10037 (APBS) · Jurrus et al. 2018, Protein Sci 27:112</t>
        </is>
      </c>
      <c r="N658" s="14" t="inlineStr">
        <is>
          <t>read ↗</t>
        </is>
      </c>
      <c r="O658" s="11" t="inlineStr">
        <is>
          <t>reading for G.6 Continuum electrostatics and mesosca</t>
        </is>
      </c>
      <c r="P658" s="10" t="inlineStr"/>
    </row>
    <row r="659">
      <c r="A659" s="15" t="n">
        <v>658</v>
      </c>
      <c r="B659" s="15" t="inlineStr">
        <is>
          <t>Part II - The Method Atlas</t>
        </is>
      </c>
      <c r="C659" s="16" t="inlineStr">
        <is>
          <t>The NPTEL polymer physics course</t>
        </is>
      </c>
      <c r="D659" s="10" t="inlineStr">
        <is>
          <t>Models of semiflexible chains (Kratky-Porod), Part I</t>
        </is>
      </c>
      <c r="E659" s="10" t="inlineStr"/>
      <c r="F659" s="11" t="inlineStr">
        <is>
          <t>33:57</t>
        </is>
      </c>
      <c r="G659" s="11" t="n">
        <v>0.57</v>
      </c>
      <c r="H659" s="12" t="inlineStr"/>
      <c r="I659" s="11" t="inlineStr">
        <is>
          <t>Not started</t>
        </is>
      </c>
      <c r="J659" s="13" t="n"/>
      <c r="K659" s="10" t="inlineStr"/>
      <c r="L659" s="14" t="inlineStr">
        <is>
          <t>▶ watch</t>
        </is>
      </c>
      <c r="M659" s="10" t="inlineStr">
        <is>
          <t>Baker et al. 2001, PNAS 98:10037 (APBS) · Jurrus et al. 2018, Protein Sci 27:112</t>
        </is>
      </c>
      <c r="N659" s="14" t="inlineStr">
        <is>
          <t>read ↗</t>
        </is>
      </c>
      <c r="O659" s="11" t="inlineStr">
        <is>
          <t>reading for G.6 Continuum electrostatics and mesosca</t>
        </is>
      </c>
      <c r="P659" s="10" t="inlineStr"/>
    </row>
    <row r="660">
      <c r="A660" s="15" t="n">
        <v>659</v>
      </c>
      <c r="B660" s="15" t="inlineStr">
        <is>
          <t>Part II - The Method Atlas</t>
        </is>
      </c>
      <c r="C660" s="16" t="inlineStr">
        <is>
          <t>The NPTEL polymer physics course</t>
        </is>
      </c>
      <c r="D660" s="10" t="inlineStr">
        <is>
          <t>Entropic Elasticity, Bead-Spring Model, simulations of random walks</t>
        </is>
      </c>
      <c r="E660" s="10" t="inlineStr"/>
      <c r="F660" s="11" t="inlineStr">
        <is>
          <t>36:15</t>
        </is>
      </c>
      <c r="G660" s="11" t="n">
        <v>0.6</v>
      </c>
      <c r="H660" s="12" t="inlineStr"/>
      <c r="I660" s="11" t="inlineStr">
        <is>
          <t>Not started</t>
        </is>
      </c>
      <c r="J660" s="13" t="n"/>
      <c r="K660" s="10" t="inlineStr"/>
      <c r="L660" s="14" t="inlineStr">
        <is>
          <t>▶ watch</t>
        </is>
      </c>
      <c r="M660" s="10" t="inlineStr">
        <is>
          <t>Baker et al. 2001, PNAS 98:10037 (APBS) · Jurrus et al. 2018, Protein Sci 27:112</t>
        </is>
      </c>
      <c r="N660" s="14" t="inlineStr">
        <is>
          <t>read ↗</t>
        </is>
      </c>
      <c r="O660" s="11" t="inlineStr">
        <is>
          <t>reading for G.6 Continuum electrostatics and mesosca</t>
        </is>
      </c>
      <c r="P660" s="10" t="inlineStr"/>
    </row>
    <row r="661">
      <c r="A661" s="15" t="n">
        <v>660</v>
      </c>
      <c r="B661" s="15" t="inlineStr">
        <is>
          <t>Part II - The Method Atlas</t>
        </is>
      </c>
      <c r="C661" s="16" t="inlineStr">
        <is>
          <t>The NPTEL polymer physics course</t>
        </is>
      </c>
      <c r="D661" s="10" t="inlineStr">
        <is>
          <t>Virial expansion, Flory theory for good solvent</t>
        </is>
      </c>
      <c r="E661" s="10" t="inlineStr"/>
      <c r="F661" s="11" t="inlineStr">
        <is>
          <t>33:16</t>
        </is>
      </c>
      <c r="G661" s="11" t="n">
        <v>0.55</v>
      </c>
      <c r="H661" s="12" t="inlineStr"/>
      <c r="I661" s="11" t="inlineStr">
        <is>
          <t>Not started</t>
        </is>
      </c>
      <c r="J661" s="13" t="n"/>
      <c r="K661" s="10" t="inlineStr"/>
      <c r="L661" s="14" t="inlineStr">
        <is>
          <t>▶ watch</t>
        </is>
      </c>
      <c r="M661" s="10" t="inlineStr">
        <is>
          <t>Baker et al. 2001, PNAS 98:10037 (APBS) · Jurrus et al. 2018, Protein Sci 27:112</t>
        </is>
      </c>
      <c r="N661" s="14" t="inlineStr">
        <is>
          <t>read ↗</t>
        </is>
      </c>
      <c r="O661" s="11" t="inlineStr">
        <is>
          <t>reading for G.6 Continuum electrostatics and mesosca</t>
        </is>
      </c>
      <c r="P661" s="10" t="inlineStr"/>
    </row>
    <row r="662">
      <c r="A662" s="15" t="n">
        <v>661</v>
      </c>
      <c r="B662" s="15" t="inlineStr">
        <is>
          <t>Part II - The Method Atlas</t>
        </is>
      </c>
      <c r="C662" s="16" t="inlineStr">
        <is>
          <t>The NPTEL polymer physics course</t>
        </is>
      </c>
      <c r="D662" s="10" t="inlineStr">
        <is>
          <t>Flory theory for bad solvent, self-similarity and fractals</t>
        </is>
      </c>
      <c r="E662" s="10" t="inlineStr"/>
      <c r="F662" s="11" t="inlineStr">
        <is>
          <t>27:24</t>
        </is>
      </c>
      <c r="G662" s="11" t="n">
        <v>0.46</v>
      </c>
      <c r="H662" s="12" t="inlineStr"/>
      <c r="I662" s="11" t="inlineStr">
        <is>
          <t>Not started</t>
        </is>
      </c>
      <c r="J662" s="13" t="n"/>
      <c r="K662" s="10" t="inlineStr"/>
      <c r="L662" s="14" t="inlineStr">
        <is>
          <t>▶ watch</t>
        </is>
      </c>
      <c r="M662" s="10" t="inlineStr">
        <is>
          <t>Baker et al. 2001, PNAS 98:10037 (APBS) · Jurrus et al. 2018, Protein Sci 27:112</t>
        </is>
      </c>
      <c r="N662" s="14" t="inlineStr">
        <is>
          <t>read ↗</t>
        </is>
      </c>
      <c r="O662" s="11" t="inlineStr">
        <is>
          <t>reading for G.6 Continuum electrostatics and mesosca</t>
        </is>
      </c>
      <c r="P662" s="10" t="inlineStr"/>
    </row>
    <row r="663">
      <c r="A663" s="15" t="n">
        <v>662</v>
      </c>
      <c r="B663" s="15" t="inlineStr">
        <is>
          <t>Part II - The Method Atlas</t>
        </is>
      </c>
      <c r="C663" s="16" t="inlineStr">
        <is>
          <t>The NPTEL polymer physics course</t>
        </is>
      </c>
      <c r="D663" s="10" t="inlineStr">
        <is>
          <t>Lattice models of polymeric systems</t>
        </is>
      </c>
      <c r="E663" s="10" t="inlineStr"/>
      <c r="F663" s="11" t="inlineStr">
        <is>
          <t>21:58</t>
        </is>
      </c>
      <c r="G663" s="11" t="n">
        <v>0.37</v>
      </c>
      <c r="H663" s="12" t="inlineStr"/>
      <c r="I663" s="11" t="inlineStr">
        <is>
          <t>Not started</t>
        </is>
      </c>
      <c r="J663" s="13" t="n"/>
      <c r="K663" s="10" t="inlineStr"/>
      <c r="L663" s="14" t="inlineStr">
        <is>
          <t>▶ watch</t>
        </is>
      </c>
      <c r="M663" s="10" t="inlineStr">
        <is>
          <t>Baker et al. 2001, PNAS 98:10037 (APBS) · Jurrus et al. 2018, Protein Sci 27:112</t>
        </is>
      </c>
      <c r="N663" s="14" t="inlineStr">
        <is>
          <t>read ↗</t>
        </is>
      </c>
      <c r="O663" s="11" t="inlineStr">
        <is>
          <t>reading for G.6 Continuum electrostatics and mesosca</t>
        </is>
      </c>
      <c r="P663" s="10" t="inlineStr"/>
    </row>
    <row r="664">
      <c r="A664" s="15" t="n">
        <v>663</v>
      </c>
      <c r="B664" s="15" t="inlineStr">
        <is>
          <t>Part II - The Method Atlas</t>
        </is>
      </c>
      <c r="C664" s="16" t="inlineStr">
        <is>
          <t>The NPTEL polymer physics course</t>
        </is>
      </c>
      <c r="D664" s="10" t="inlineStr">
        <is>
          <t>Rouse Model I</t>
        </is>
      </c>
      <c r="E664" s="10" t="inlineStr"/>
      <c r="F664" s="11" t="inlineStr">
        <is>
          <t>22:48</t>
        </is>
      </c>
      <c r="G664" s="11" t="n">
        <v>0.38</v>
      </c>
      <c r="H664" s="12" t="inlineStr"/>
      <c r="I664" s="11" t="inlineStr">
        <is>
          <t>Not started</t>
        </is>
      </c>
      <c r="J664" s="13" t="n"/>
      <c r="K664" s="10" t="inlineStr"/>
      <c r="L664" s="14" t="inlineStr">
        <is>
          <t>▶ watch</t>
        </is>
      </c>
      <c r="M664" s="10" t="inlineStr">
        <is>
          <t>Baker et al. 2001, PNAS 98:10037 (APBS) · Jurrus et al. 2018, Protein Sci 27:112</t>
        </is>
      </c>
      <c r="N664" s="14" t="inlineStr">
        <is>
          <t>read ↗</t>
        </is>
      </c>
      <c r="O664" s="11" t="inlineStr">
        <is>
          <t>reading for G.6 Continuum electrostatics and mesosca</t>
        </is>
      </c>
      <c r="P664" s="10" t="inlineStr"/>
    </row>
    <row r="665">
      <c r="A665" s="15" t="n">
        <v>664</v>
      </c>
      <c r="B665" s="15" t="inlineStr">
        <is>
          <t>Part II - The Method Atlas</t>
        </is>
      </c>
      <c r="C665" s="16" t="inlineStr">
        <is>
          <t>The NPTEL polymer physics course</t>
        </is>
      </c>
      <c r="D665" s="10" t="inlineStr">
        <is>
          <t>Problems in Rouse Model, Hydrodynamic Interactions</t>
        </is>
      </c>
      <c r="E665" s="10" t="inlineStr"/>
      <c r="F665" s="11" t="inlineStr">
        <is>
          <t>30:31</t>
        </is>
      </c>
      <c r="G665" s="11" t="n">
        <v>0.51</v>
      </c>
      <c r="H665" s="12" t="inlineStr"/>
      <c r="I665" s="11" t="inlineStr">
        <is>
          <t>Not started</t>
        </is>
      </c>
      <c r="J665" s="13" t="n"/>
      <c r="K665" s="10" t="inlineStr"/>
      <c r="L665" s="14" t="inlineStr">
        <is>
          <t>▶ watch</t>
        </is>
      </c>
      <c r="M665" s="10" t="inlineStr">
        <is>
          <t>Baker et al. 2001, PNAS 98:10037 (APBS) · Jurrus et al. 2018, Protein Sci 27:112</t>
        </is>
      </c>
      <c r="N665" s="14" t="inlineStr">
        <is>
          <t>read ↗</t>
        </is>
      </c>
      <c r="O665" s="11" t="inlineStr">
        <is>
          <t>reading for G.6 Continuum electrostatics and mesosca</t>
        </is>
      </c>
      <c r="P665" s="10" t="inlineStr"/>
    </row>
    <row r="666">
      <c r="A666" s="15" t="n">
        <v>665</v>
      </c>
      <c r="B666" s="15" t="inlineStr">
        <is>
          <t>Part II - The Method Atlas</t>
        </is>
      </c>
      <c r="C666" s="16" t="inlineStr">
        <is>
          <t>The NPTEL polymer physics course</t>
        </is>
      </c>
      <c r="D666" s="10" t="inlineStr">
        <is>
          <t>Zimm Model I</t>
        </is>
      </c>
      <c r="E666" s="10" t="inlineStr"/>
      <c r="F666" s="11" t="inlineStr">
        <is>
          <t>30:47</t>
        </is>
      </c>
      <c r="G666" s="11" t="n">
        <v>0.51</v>
      </c>
      <c r="H666" s="12" t="inlineStr"/>
      <c r="I666" s="11" t="inlineStr">
        <is>
          <t>Not started</t>
        </is>
      </c>
      <c r="J666" s="13" t="n"/>
      <c r="K666" s="10" t="inlineStr"/>
      <c r="L666" s="14" t="inlineStr">
        <is>
          <t>▶ watch</t>
        </is>
      </c>
      <c r="M666" s="10" t="inlineStr">
        <is>
          <t>Baker et al. 2001, PNAS 98:10037 (APBS) · Jurrus et al. 2018, Protein Sci 27:112</t>
        </is>
      </c>
      <c r="N666" s="14" t="inlineStr">
        <is>
          <t>read ↗</t>
        </is>
      </c>
      <c r="O666" s="11" t="inlineStr">
        <is>
          <t>reading for G.6 Continuum electrostatics and mesosca</t>
        </is>
      </c>
      <c r="P666" s="10" t="inlineStr"/>
    </row>
    <row r="667">
      <c r="A667" s="15" t="n">
        <v>666</v>
      </c>
      <c r="B667" s="15" t="inlineStr">
        <is>
          <t>Part II - The Method Atlas</t>
        </is>
      </c>
      <c r="C667" s="16" t="inlineStr">
        <is>
          <t>The NPTEL polymer physics course</t>
        </is>
      </c>
      <c r="D667" s="10" t="inlineStr">
        <is>
          <t>Kuhn's Theory of Rubber Elasticity</t>
        </is>
      </c>
      <c r="E667" s="10" t="inlineStr"/>
      <c r="F667" s="11" t="inlineStr">
        <is>
          <t>32:24</t>
        </is>
      </c>
      <c r="G667" s="11" t="n">
        <v>0.54</v>
      </c>
      <c r="H667" s="12" t="inlineStr"/>
      <c r="I667" s="11" t="inlineStr">
        <is>
          <t>Not started</t>
        </is>
      </c>
      <c r="J667" s="13" t="n"/>
      <c r="K667" s="10" t="inlineStr"/>
      <c r="L667" s="14" t="inlineStr">
        <is>
          <t>▶ watch</t>
        </is>
      </c>
      <c r="M667" s="10" t="inlineStr">
        <is>
          <t>Baker et al. 2001, PNAS 98:10037 (APBS) · Jurrus et al. 2018, Protein Sci 27:112</t>
        </is>
      </c>
      <c r="N667" s="14" t="inlineStr">
        <is>
          <t>read ↗</t>
        </is>
      </c>
      <c r="O667" s="11" t="inlineStr">
        <is>
          <t>reading for G.6 Continuum electrostatics and mesosca</t>
        </is>
      </c>
      <c r="P667" s="10" t="inlineStr"/>
    </row>
    <row r="668">
      <c r="A668" s="15" t="n">
        <v>667</v>
      </c>
      <c r="B668" s="15" t="inlineStr">
        <is>
          <t>Part II - The Method Atlas</t>
        </is>
      </c>
      <c r="C668" s="16" t="inlineStr">
        <is>
          <t>The NPTEL polymer physics course</t>
        </is>
      </c>
      <c r="D668" s="10" t="inlineStr">
        <is>
          <t>Models for entangled polymeric systems I (reptation</t>
        </is>
      </c>
      <c r="E668" s="10" t="inlineStr"/>
      <c r="F668" s="11" t="inlineStr">
        <is>
          <t>33:29</t>
        </is>
      </c>
      <c r="G668" s="11" t="n">
        <v>0.5600000000000001</v>
      </c>
      <c r="H668" s="12" t="inlineStr"/>
      <c r="I668" s="11" t="inlineStr">
        <is>
          <t>Not started</t>
        </is>
      </c>
      <c r="J668" s="13" t="n"/>
      <c r="K668" s="10" t="inlineStr"/>
      <c r="L668" s="14" t="inlineStr">
        <is>
          <t>▶ watch</t>
        </is>
      </c>
      <c r="M668" s="10" t="inlineStr">
        <is>
          <t>Baker et al. 2001, PNAS 98:10037 (APBS) · Jurrus et al. 2018, Protein Sci 27:112</t>
        </is>
      </c>
      <c r="N668" s="14" t="inlineStr">
        <is>
          <t>read ↗</t>
        </is>
      </c>
      <c r="O668" s="11" t="inlineStr">
        <is>
          <t>reading for G.6 Continuum electrostatics and mesosca</t>
        </is>
      </c>
      <c r="P668" s="10" t="inlineStr"/>
    </row>
    <row r="669">
      <c r="A669" s="15" t="n">
        <v>668</v>
      </c>
      <c r="B669" s="15" t="inlineStr">
        <is>
          <t>Part II - The Method Atlas</t>
        </is>
      </c>
      <c r="C669" s="16" t="inlineStr">
        <is>
          <t>H.4 Polymer models of chromatin - the ICTP school</t>
        </is>
      </c>
      <c r="D669" s="10" t="inlineStr">
        <is>
          <t>Polymer Physics of Chromosome Folding</t>
        </is>
      </c>
      <c r="E669" s="10" t="inlineStr"/>
      <c r="F669" s="11" t="inlineStr">
        <is>
          <t>1:57:41</t>
        </is>
      </c>
      <c r="G669" s="11" t="n">
        <v>1.96</v>
      </c>
      <c r="H669" s="12" t="inlineStr"/>
      <c r="I669" s="11" t="inlineStr">
        <is>
          <t>Not started</t>
        </is>
      </c>
      <c r="J669" s="13" t="n"/>
      <c r="K669" s="10" t="inlineStr"/>
      <c r="L669" s="14" t="inlineStr">
        <is>
          <t>▶ watch</t>
        </is>
      </c>
      <c r="M669" s="10" t="inlineStr">
        <is>
          <t>Baker et al. 2001, PNAS 98:10037 (APBS) · Jurrus et al. 2018, Protein Sci 27:112</t>
        </is>
      </c>
      <c r="N669" s="14" t="inlineStr">
        <is>
          <t>read ↗</t>
        </is>
      </c>
      <c r="O669" s="11" t="inlineStr">
        <is>
          <t>reading for G.6 Continuum electrostatics and mesosca</t>
        </is>
      </c>
      <c r="P669" s="10" t="inlineStr"/>
    </row>
    <row r="670">
      <c r="A670" s="15" t="n">
        <v>669</v>
      </c>
      <c r="B670" s="15" t="inlineStr">
        <is>
          <t>Part II - The Method Atlas</t>
        </is>
      </c>
      <c r="C670" s="16" t="inlineStr">
        <is>
          <t>H.4 Polymer models of chromatin - the ICTP school</t>
        </is>
      </c>
      <c r="D670" s="10" t="inlineStr">
        <is>
          <t>Equilibrium vs non-equilibrium chromosome states</t>
        </is>
      </c>
      <c r="E670" s="10" t="inlineStr"/>
      <c r="F670" s="11" t="inlineStr">
        <is>
          <t>1:21:59</t>
        </is>
      </c>
      <c r="G670" s="11" t="n">
        <v>1.37</v>
      </c>
      <c r="H670" s="12" t="inlineStr"/>
      <c r="I670" s="11" t="inlineStr">
        <is>
          <t>Not started</t>
        </is>
      </c>
      <c r="J670" s="13" t="n"/>
      <c r="K670" s="10" t="inlineStr"/>
      <c r="L670" s="14" t="inlineStr">
        <is>
          <t>▶ watch</t>
        </is>
      </c>
      <c r="M670" s="10" t="inlineStr">
        <is>
          <t>Baker et al. 2001, PNAS 98:10037 (APBS) · Jurrus et al. 2018, Protein Sci 27:112</t>
        </is>
      </c>
      <c r="N670" s="14" t="inlineStr">
        <is>
          <t>read ↗</t>
        </is>
      </c>
      <c r="O670" s="11" t="inlineStr">
        <is>
          <t>reading for G.6 Continuum electrostatics and mesosca</t>
        </is>
      </c>
      <c r="P670" s="10" t="inlineStr"/>
    </row>
    <row r="671">
      <c r="A671" s="15" t="n">
        <v>670</v>
      </c>
      <c r="B671" s="15" t="inlineStr">
        <is>
          <t>Part II - The Method Atlas</t>
        </is>
      </c>
      <c r="C671" s="16" t="inlineStr">
        <is>
          <t>H.4 Polymer models of chromatin - the ICTP school</t>
        </is>
      </c>
      <c r="D671" s="10" t="inlineStr">
        <is>
          <t>Topological constraints and the crumpled globule</t>
        </is>
      </c>
      <c r="E671" s="10" t="inlineStr"/>
      <c r="F671" s="11" t="inlineStr">
        <is>
          <t>1:35:41</t>
        </is>
      </c>
      <c r="G671" s="11" t="n">
        <v>1.59</v>
      </c>
      <c r="H671" s="12" t="inlineStr"/>
      <c r="I671" s="11" t="inlineStr">
        <is>
          <t>Not started</t>
        </is>
      </c>
      <c r="J671" s="13" t="n"/>
      <c r="K671" s="10" t="inlineStr"/>
      <c r="L671" s="14" t="inlineStr">
        <is>
          <t>▶ watch</t>
        </is>
      </c>
      <c r="M671" s="10" t="inlineStr">
        <is>
          <t>Baker et al. 2001, PNAS 98:10037 (APBS) · Jurrus et al. 2018, Protein Sci 27:112</t>
        </is>
      </c>
      <c r="N671" s="14" t="inlineStr">
        <is>
          <t>read ↗</t>
        </is>
      </c>
      <c r="O671" s="11" t="inlineStr">
        <is>
          <t>reading for G.6 Continuum electrostatics and mesosca</t>
        </is>
      </c>
      <c r="P671" s="10" t="inlineStr"/>
    </row>
    <row r="672">
      <c r="A672" s="15" t="n">
        <v>671</v>
      </c>
      <c r="B672" s="15" t="inlineStr">
        <is>
          <t>Part II - The Method Atlas</t>
        </is>
      </c>
      <c r="C672" s="16" t="inlineStr">
        <is>
          <t>H.4 Polymer models of chromatin - the ICTP school</t>
        </is>
      </c>
      <c r="D672" s="10" t="inlineStr">
        <is>
          <t>Hi-C contact maps as polymer observables</t>
        </is>
      </c>
      <c r="E672" s="10" t="inlineStr"/>
      <c r="F672" s="11" t="inlineStr">
        <is>
          <t>1:35:50</t>
        </is>
      </c>
      <c r="G672" s="11" t="n">
        <v>1.6</v>
      </c>
      <c r="H672" s="12" t="inlineStr"/>
      <c r="I672" s="11" t="inlineStr">
        <is>
          <t>Not started</t>
        </is>
      </c>
      <c r="J672" s="13" t="n"/>
      <c r="K672" s="10" t="inlineStr"/>
      <c r="L672" s="14" t="inlineStr">
        <is>
          <t>▶ watch</t>
        </is>
      </c>
      <c r="M672" s="10" t="inlineStr">
        <is>
          <t>Baker et al. 2001, PNAS 98:10037 (APBS) · Jurrus et al. 2018, Protein Sci 27:112</t>
        </is>
      </c>
      <c r="N672" s="14" t="inlineStr">
        <is>
          <t>read ↗</t>
        </is>
      </c>
      <c r="O672" s="11" t="inlineStr">
        <is>
          <t>reading for G.6 Continuum electrostatics and mesosca</t>
        </is>
      </c>
      <c r="P672" s="10" t="inlineStr"/>
    </row>
    <row r="673">
      <c r="A673" s="15" t="n">
        <v>672</v>
      </c>
      <c r="B673" s="15" t="inlineStr">
        <is>
          <t>Part II - The Method Atlas</t>
        </is>
      </c>
      <c r="C673" s="16" t="inlineStr">
        <is>
          <t>H.4 Polymer models of chromatin - the ICTP school</t>
        </is>
      </c>
      <c r="D673" s="10" t="inlineStr">
        <is>
          <t>Loop extrusion and TAD formation</t>
        </is>
      </c>
      <c r="E673" s="10" t="inlineStr"/>
      <c r="F673" s="11" t="inlineStr">
        <is>
          <t>1:34:01</t>
        </is>
      </c>
      <c r="G673" s="11" t="n">
        <v>1.57</v>
      </c>
      <c r="H673" s="12" t="inlineStr"/>
      <c r="I673" s="11" t="inlineStr">
        <is>
          <t>Not started</t>
        </is>
      </c>
      <c r="J673" s="13" t="n"/>
      <c r="K673" s="10" t="inlineStr"/>
      <c r="L673" s="14" t="inlineStr">
        <is>
          <t>▶ watch</t>
        </is>
      </c>
      <c r="M673" s="10" t="inlineStr">
        <is>
          <t>Baker et al. 2001, PNAS 98:10037 (APBS) · Jurrus et al. 2018, Protein Sci 27:112</t>
        </is>
      </c>
      <c r="N673" s="14" t="inlineStr">
        <is>
          <t>read ↗</t>
        </is>
      </c>
      <c r="O673" s="11" t="inlineStr">
        <is>
          <t>reading for G.6 Continuum electrostatics and mesosca</t>
        </is>
      </c>
      <c r="P673" s="10" t="inlineStr"/>
    </row>
    <row r="674">
      <c r="A674" s="15" t="n">
        <v>673</v>
      </c>
      <c r="B674" s="15" t="inlineStr">
        <is>
          <t>Part II - The Method Atlas</t>
        </is>
      </c>
      <c r="C674" s="16" t="inlineStr">
        <is>
          <t>H.4 Polymer models of chromatin - the ICTP school</t>
        </is>
      </c>
      <c r="D674" s="10" t="inlineStr">
        <is>
          <t>Loop extrusion continued, part 1</t>
        </is>
      </c>
      <c r="E674" s="10" t="inlineStr"/>
      <c r="F674" s="11" t="inlineStr">
        <is>
          <t>48:00</t>
        </is>
      </c>
      <c r="G674" s="11" t="n">
        <v>0.8</v>
      </c>
      <c r="H674" s="12" t="inlineStr"/>
      <c r="I674" s="11" t="inlineStr">
        <is>
          <t>Not started</t>
        </is>
      </c>
      <c r="J674" s="13" t="n"/>
      <c r="K674" s="10" t="inlineStr"/>
      <c r="L674" s="14" t="inlineStr">
        <is>
          <t>▶ watch</t>
        </is>
      </c>
      <c r="M674" s="10" t="inlineStr">
        <is>
          <t>Baker et al. 2001, PNAS 98:10037 (APBS) · Jurrus et al. 2018, Protein Sci 27:112</t>
        </is>
      </c>
      <c r="N674" s="14" t="inlineStr">
        <is>
          <t>read ↗</t>
        </is>
      </c>
      <c r="O674" s="11" t="inlineStr">
        <is>
          <t>reading for G.6 Continuum electrostatics and mesosca</t>
        </is>
      </c>
      <c r="P674" s="10" t="inlineStr"/>
    </row>
    <row r="675">
      <c r="A675" s="15" t="n">
        <v>674</v>
      </c>
      <c r="B675" s="15" t="inlineStr">
        <is>
          <t>Part II - The Method Atlas</t>
        </is>
      </c>
      <c r="C675" s="16" t="inlineStr">
        <is>
          <t>H.4 Polymer models of chromatin - the ICTP school</t>
        </is>
      </c>
      <c r="D675" s="10" t="inlineStr">
        <is>
          <t>Loop extrusion continued, part 2</t>
        </is>
      </c>
      <c r="E675" s="10" t="inlineStr"/>
      <c r="F675" s="11" t="inlineStr">
        <is>
          <t>34:11</t>
        </is>
      </c>
      <c r="G675" s="11" t="n">
        <v>0.57</v>
      </c>
      <c r="H675" s="12" t="inlineStr"/>
      <c r="I675" s="11" t="inlineStr">
        <is>
          <t>Not started</t>
        </is>
      </c>
      <c r="J675" s="13" t="n"/>
      <c r="K675" s="10" t="inlineStr"/>
      <c r="L675" s="14" t="inlineStr">
        <is>
          <t>▶ watch</t>
        </is>
      </c>
      <c r="M675" s="10" t="inlineStr">
        <is>
          <t>Baker et al. 2001, PNAS 98:10037 (APBS) · Jurrus et al. 2018, Protein Sci 27:112</t>
        </is>
      </c>
      <c r="N675" s="14" t="inlineStr">
        <is>
          <t>read ↗</t>
        </is>
      </c>
      <c r="O675" s="11" t="inlineStr">
        <is>
          <t>reading for G.6 Continuum electrostatics and mesosca</t>
        </is>
      </c>
      <c r="P675" s="10" t="inlineStr"/>
    </row>
    <row r="676">
      <c r="A676" s="15" t="n">
        <v>675</v>
      </c>
      <c r="B676" s="15" t="inlineStr">
        <is>
          <t>Part II - The Method Atlas</t>
        </is>
      </c>
      <c r="C676" s="16" t="inlineStr">
        <is>
          <t>H.4 Polymer models of chromatin - the ICTP school</t>
        </is>
      </c>
      <c r="D676" s="10" t="inlineStr">
        <is>
          <t>Phase separation and compartmentalization</t>
        </is>
      </c>
      <c r="E676" s="10" t="inlineStr"/>
      <c r="F676" s="11" t="inlineStr">
        <is>
          <t>1:27:08</t>
        </is>
      </c>
      <c r="G676" s="11" t="n">
        <v>1.45</v>
      </c>
      <c r="H676" s="12" t="inlineStr"/>
      <c r="I676" s="11" t="inlineStr">
        <is>
          <t>Not started</t>
        </is>
      </c>
      <c r="J676" s="13" t="n"/>
      <c r="K676" s="10" t="inlineStr"/>
      <c r="L676" s="14" t="inlineStr">
        <is>
          <t>▶ watch</t>
        </is>
      </c>
      <c r="M676" s="10" t="inlineStr">
        <is>
          <t>Baker et al. 2001, PNAS 98:10037 (APBS) · Jurrus et al. 2018, Protein Sci 27:112</t>
        </is>
      </c>
      <c r="N676" s="14" t="inlineStr">
        <is>
          <t>read ↗</t>
        </is>
      </c>
      <c r="O676" s="11" t="inlineStr">
        <is>
          <t>reading for G.6 Continuum electrostatics and mesosca</t>
        </is>
      </c>
      <c r="P676" s="10" t="inlineStr"/>
    </row>
    <row r="677">
      <c r="A677" s="15" t="n">
        <v>676</v>
      </c>
      <c r="B677" s="15" t="inlineStr">
        <is>
          <t>Part II - The Method Atlas</t>
        </is>
      </c>
      <c r="C677" s="16" t="inlineStr">
        <is>
          <t>H.4 Polymer models of chromatin - the ICTP school</t>
        </is>
      </c>
      <c r="D677" s="10" t="inlineStr">
        <is>
          <t>Closing session</t>
        </is>
      </c>
      <c r="E677" s="10" t="inlineStr"/>
      <c r="F677" s="11" t="inlineStr">
        <is>
          <t>1:00:38</t>
        </is>
      </c>
      <c r="G677" s="11" t="n">
        <v>1.01</v>
      </c>
      <c r="H677" s="12" t="inlineStr"/>
      <c r="I677" s="11" t="inlineStr">
        <is>
          <t>Not started</t>
        </is>
      </c>
      <c r="J677" s="13" t="n"/>
      <c r="K677" s="10" t="inlineStr"/>
      <c r="L677" s="14" t="inlineStr">
        <is>
          <t>▶ watch</t>
        </is>
      </c>
      <c r="M677" s="10" t="inlineStr">
        <is>
          <t>Baker et al. 2001, PNAS 98:10037 (APBS) · Jurrus et al. 2018, Protein Sci 27:112</t>
        </is>
      </c>
      <c r="N677" s="14" t="inlineStr">
        <is>
          <t>read ↗</t>
        </is>
      </c>
      <c r="O677" s="11" t="inlineStr">
        <is>
          <t>reading for G.6 Continuum electrostatics and mesosca</t>
        </is>
      </c>
      <c r="P677" s="10" t="inlineStr"/>
    </row>
    <row r="678">
      <c r="A678" s="15" t="n">
        <v>677</v>
      </c>
      <c r="B678" s="15" t="inlineStr">
        <is>
          <t>Part II - The Method Atlas</t>
        </is>
      </c>
      <c r="C678" s="16" t="inlineStr">
        <is>
          <t>H.4 Polymer models of chromatin - the ICTP school</t>
        </is>
      </c>
      <c r="D678" s="10" t="inlineStr">
        <is>
          <t>Strings-and-Binders-Switch model of chromatin</t>
        </is>
      </c>
      <c r="E678" s="10" t="inlineStr">
        <is>
          <t>Mattia Conte / Nicodemi group</t>
        </is>
      </c>
      <c r="F678" s="11" t="inlineStr">
        <is>
          <t>30:23</t>
        </is>
      </c>
      <c r="G678" s="11" t="n">
        <v>0.51</v>
      </c>
      <c r="H678" s="12" t="inlineStr"/>
      <c r="I678" s="11" t="inlineStr">
        <is>
          <t>Not started</t>
        </is>
      </c>
      <c r="J678" s="13" t="n"/>
      <c r="K678" s="10" t="inlineStr"/>
      <c r="L678" s="14" t="inlineStr">
        <is>
          <t>▶ watch</t>
        </is>
      </c>
      <c r="M678" s="10" t="inlineStr">
        <is>
          <t>Baker et al. 2001, PNAS 98:10037 (APBS) · Jurrus et al. 2018, Protein Sci 27:112</t>
        </is>
      </c>
      <c r="N678" s="14" t="inlineStr">
        <is>
          <t>read ↗</t>
        </is>
      </c>
      <c r="O678" s="11" t="inlineStr">
        <is>
          <t>reading for G.6 Continuum electrostatics and mesosca</t>
        </is>
      </c>
      <c r="P678" s="10" t="inlineStr"/>
    </row>
    <row r="679">
      <c r="A679" s="15" t="n">
        <v>678</v>
      </c>
      <c r="B679" s="15" t="inlineStr">
        <is>
          <t>Part II - The Method Atlas</t>
        </is>
      </c>
      <c r="C679" s="16" t="inlineStr">
        <is>
          <t>H.4 Polymer models of chromatin - the ICTP school</t>
        </is>
      </c>
      <c r="D679" s="10" t="inlineStr">
        <is>
          <t>Chromatin dynamics from single-locus trajectories and polymer models</t>
        </is>
      </c>
      <c r="E679" s="10" t="inlineStr">
        <is>
          <t>David Holcman (ENS</t>
        </is>
      </c>
      <c r="F679" s="11" t="inlineStr">
        <is>
          <t>21:52</t>
        </is>
      </c>
      <c r="G679" s="11" t="n">
        <v>0.36</v>
      </c>
      <c r="H679" s="12" t="inlineStr"/>
      <c r="I679" s="11" t="inlineStr">
        <is>
          <t>Not started</t>
        </is>
      </c>
      <c r="J679" s="13" t="n"/>
      <c r="K679" s="10" t="inlineStr"/>
      <c r="L679" s="14" t="inlineStr">
        <is>
          <t>▶ watch</t>
        </is>
      </c>
      <c r="M679" s="10" t="inlineStr">
        <is>
          <t>Baker et al. 2001, PNAS 98:10037 (APBS) · Jurrus et al. 2018, Protein Sci 27:112</t>
        </is>
      </c>
      <c r="N679" s="14" t="inlineStr">
        <is>
          <t>read ↗</t>
        </is>
      </c>
      <c r="O679" s="11" t="inlineStr">
        <is>
          <t>reading for G.6 Continuum electrostatics and mesosca</t>
        </is>
      </c>
      <c r="P679" s="10" t="inlineStr"/>
    </row>
    <row r="680">
      <c r="A680" s="15" t="n">
        <v>679</v>
      </c>
      <c r="B680" s="15" t="inlineStr">
        <is>
          <t>Part II - The Method Atlas</t>
        </is>
      </c>
      <c r="C680" s="16" t="inlineStr">
        <is>
          <t>H.4 Polymer models of chromatin - the ICTP school</t>
        </is>
      </c>
      <c r="D680" s="10" t="inlineStr">
        <is>
          <t>Knots and Coarse-grained Models for DNA, Polymers and Proteins</t>
        </is>
      </c>
      <c r="E680" s="10" t="inlineStr">
        <is>
          <t>ICTP QLS</t>
        </is>
      </c>
      <c r="F680" s="11" t="inlineStr">
        <is>
          <t>46:14</t>
        </is>
      </c>
      <c r="G680" s="11" t="n">
        <v>0.77</v>
      </c>
      <c r="H680" s="12" t="inlineStr"/>
      <c r="I680" s="11" t="inlineStr">
        <is>
          <t>Not started</t>
        </is>
      </c>
      <c r="J680" s="13" t="n"/>
      <c r="K680" s="10" t="inlineStr"/>
      <c r="L680" s="14" t="inlineStr">
        <is>
          <t>▶ watch</t>
        </is>
      </c>
      <c r="M680" s="10" t="inlineStr">
        <is>
          <t>Baker et al. 2001, PNAS 98:10037 (APBS) · Jurrus et al. 2018, Protein Sci 27:112</t>
        </is>
      </c>
      <c r="N680" s="14" t="inlineStr">
        <is>
          <t>read ↗</t>
        </is>
      </c>
      <c r="O680" s="11" t="inlineStr">
        <is>
          <t>reading for G.6 Continuum electrostatics and mesosca</t>
        </is>
      </c>
      <c r="P680" s="10" t="inlineStr"/>
    </row>
    <row r="681">
      <c r="A681" s="15" t="n">
        <v>680</v>
      </c>
      <c r="B681" s="15" t="inlineStr">
        <is>
          <t>Part II - The Method Atlas</t>
        </is>
      </c>
      <c r="C681" s="16" t="inlineStr">
        <is>
          <t>H.5 Minimal models of folding - lattice proteins and the random energy model</t>
        </is>
      </c>
      <c r="D681" s="10" t="inlineStr">
        <is>
          <t>MIT 6.849 Lec 21: HP Model and Interlocked Chains</t>
        </is>
      </c>
      <c r="E681" s="10" t="inlineStr">
        <is>
          <t>Erik Demaine (MIT OCW</t>
        </is>
      </c>
      <c r="F681" s="11" t="inlineStr">
        <is>
          <t>1:09:46</t>
        </is>
      </c>
      <c r="G681" s="11" t="n">
        <v>1.16</v>
      </c>
      <c r="H681" s="12" t="inlineStr">
        <is>
          <t>★</t>
        </is>
      </c>
      <c r="I681" s="11" t="inlineStr">
        <is>
          <t>Not started</t>
        </is>
      </c>
      <c r="J681" s="13" t="n"/>
      <c r="K681" s="10" t="inlineStr"/>
      <c r="L681" s="14" t="inlineStr">
        <is>
          <t>▶ watch</t>
        </is>
      </c>
      <c r="M681" s="10" t="inlineStr">
        <is>
          <t>Baker et al. 2001, PNAS 98:10037 (APBS) · Jurrus et al. 2018, Protein Sci 27:112</t>
        </is>
      </c>
      <c r="N681" s="14" t="inlineStr">
        <is>
          <t>read ↗</t>
        </is>
      </c>
      <c r="O681" s="11" t="inlineStr">
        <is>
          <t>reading for G.6 Continuum electrostatics and mesosca</t>
        </is>
      </c>
      <c r="P681" s="10" t="inlineStr"/>
    </row>
    <row r="682">
      <c r="A682" s="15" t="n">
        <v>681</v>
      </c>
      <c r="B682" s="15" t="inlineStr">
        <is>
          <t>Part II - The Method Atlas</t>
        </is>
      </c>
      <c r="C682" s="16" t="inlineStr">
        <is>
          <t>H.5 Minimal models of folding - lattice proteins and the random energy model</t>
        </is>
      </c>
      <c r="D682" s="10" t="inlineStr">
        <is>
          <t>MLCB24 Lec 09: Protein Folding Algorithms</t>
        </is>
      </c>
      <c r="E682" s="10" t="inlineStr">
        <is>
          <t>Manolis Kellis (MIT</t>
        </is>
      </c>
      <c r="F682" s="11" t="inlineStr">
        <is>
          <t>1:20:21</t>
        </is>
      </c>
      <c r="G682" s="11" t="n">
        <v>1.34</v>
      </c>
      <c r="H682" s="12" t="inlineStr"/>
      <c r="I682" s="11" t="inlineStr">
        <is>
          <t>Not started</t>
        </is>
      </c>
      <c r="J682" s="13" t="n"/>
      <c r="K682" s="10" t="inlineStr"/>
      <c r="L682" s="14" t="inlineStr">
        <is>
          <t>▶ watch</t>
        </is>
      </c>
      <c r="M682" s="10" t="inlineStr">
        <is>
          <t>Baker et al. 2001, PNAS 98:10037 (APBS) · Jurrus et al. 2018, Protein Sci 27:112</t>
        </is>
      </c>
      <c r="N682" s="14" t="inlineStr">
        <is>
          <t>read ↗</t>
        </is>
      </c>
      <c r="O682" s="11" t="inlineStr">
        <is>
          <t>reading for G.6 Continuum electrostatics and mesosca</t>
        </is>
      </c>
      <c r="P682" s="10" t="inlineStr"/>
    </row>
    <row r="683">
      <c r="A683" s="15" t="n">
        <v>682</v>
      </c>
      <c r="B683" s="15" t="inlineStr">
        <is>
          <t>Part II - The Method Atlas</t>
        </is>
      </c>
      <c r="C683" s="16" t="inlineStr">
        <is>
          <t>H.5 Minimal models of folding - lattice proteins and the random energy model</t>
        </is>
      </c>
      <c r="D683" s="10" t="inlineStr">
        <is>
          <t>Provost Lecture: Pathways</t>
        </is>
      </c>
      <c r="E683" s="10" t="inlineStr">
        <is>
          <t>Ken Dill (Stony Brook</t>
        </is>
      </c>
      <c r="F683" s="11" t="inlineStr">
        <is>
          <t>51:20</t>
        </is>
      </c>
      <c r="G683" s="11" t="n">
        <v>0.86</v>
      </c>
      <c r="H683" s="12" t="inlineStr"/>
      <c r="I683" s="11" t="inlineStr">
        <is>
          <t>Not started</t>
        </is>
      </c>
      <c r="J683" s="13" t="n"/>
      <c r="K683" s="10" t="inlineStr"/>
      <c r="L683" s="14" t="inlineStr">
        <is>
          <t>▶ watch</t>
        </is>
      </c>
      <c r="M683" s="10" t="inlineStr">
        <is>
          <t>Baker et al. 2001, PNAS 98:10037 (APBS) · Jurrus et al. 2018, Protein Sci 27:112</t>
        </is>
      </c>
      <c r="N683" s="14" t="inlineStr">
        <is>
          <t>read ↗</t>
        </is>
      </c>
      <c r="O683" s="11" t="inlineStr">
        <is>
          <t>reading for G.6 Continuum electrostatics and mesosca</t>
        </is>
      </c>
      <c r="P683" s="10" t="inlineStr"/>
    </row>
    <row r="684">
      <c r="A684" s="15" t="n">
        <v>683</v>
      </c>
      <c r="B684" s="15" t="inlineStr">
        <is>
          <t>Part II - The Method Atlas</t>
        </is>
      </c>
      <c r="C684" s="16" t="inlineStr">
        <is>
          <t>H.5 Minimal models of folding - lattice proteins and the random energy model</t>
        </is>
      </c>
      <c r="D684" s="10" t="inlineStr">
        <is>
          <t>Ken Dill, TCBG seminar</t>
        </is>
      </c>
      <c r="E684" s="10" t="inlineStr">
        <is>
          <t>Ken Dill</t>
        </is>
      </c>
      <c r="F684" s="11" t="inlineStr">
        <is>
          <t>1:17:00</t>
        </is>
      </c>
      <c r="G684" s="11" t="n">
        <v>1.28</v>
      </c>
      <c r="H684" s="12" t="inlineStr"/>
      <c r="I684" s="11" t="inlineStr">
        <is>
          <t>Not started</t>
        </is>
      </c>
      <c r="J684" s="13" t="n"/>
      <c r="K684" s="10" t="inlineStr"/>
      <c r="L684" s="14" t="inlineStr">
        <is>
          <t>▶ watch</t>
        </is>
      </c>
      <c r="M684" s="10" t="inlineStr">
        <is>
          <t>Baker et al. 2001, PNAS 98:10037 (APBS) · Jurrus et al. 2018, Protein Sci 27:112</t>
        </is>
      </c>
      <c r="N684" s="14" t="inlineStr">
        <is>
          <t>read ↗</t>
        </is>
      </c>
      <c r="O684" s="11" t="inlineStr">
        <is>
          <t>reading for G.6 Continuum electrostatics and mesosca</t>
        </is>
      </c>
      <c r="P684" s="10" t="inlineStr"/>
    </row>
    <row r="685">
      <c r="A685" s="15" t="n">
        <v>684</v>
      </c>
      <c r="B685" s="15" t="inlineStr">
        <is>
          <t>Part II - The Method Atlas</t>
        </is>
      </c>
      <c r="C685" s="16" t="inlineStr">
        <is>
          <t>H.5 Minimal models of folding - lattice proteins and the random energy model</t>
        </is>
      </c>
      <c r="D685" s="10" t="inlineStr">
        <is>
          <t>Protein Biophysics in the Cellular Context</t>
        </is>
      </c>
      <c r="E685" s="10" t="inlineStr">
        <is>
          <t>Eugene Shakhnovich (Harvard</t>
        </is>
      </c>
      <c r="F685" s="11" t="inlineStr">
        <is>
          <t>1:35:22</t>
        </is>
      </c>
      <c r="G685" s="11" t="n">
        <v>1.59</v>
      </c>
      <c r="H685" s="12" t="inlineStr">
        <is>
          <t>★</t>
        </is>
      </c>
      <c r="I685" s="11" t="inlineStr">
        <is>
          <t>Not started</t>
        </is>
      </c>
      <c r="J685" s="13" t="n"/>
      <c r="K685" s="10" t="inlineStr"/>
      <c r="L685" s="14" t="inlineStr">
        <is>
          <t>▶ watch</t>
        </is>
      </c>
      <c r="M685" s="10" t="inlineStr">
        <is>
          <t>Shakhnovich &amp; Gutin 1993, PNAS 90:7195</t>
        </is>
      </c>
      <c r="N685" s="14" t="inlineStr">
        <is>
          <t>read ↗</t>
        </is>
      </c>
      <c r="O685" s="11" t="inlineStr">
        <is>
          <t>paired reading</t>
        </is>
      </c>
      <c r="P685" s="10" t="inlineStr"/>
    </row>
    <row r="686">
      <c r="A686" s="15" t="n">
        <v>685</v>
      </c>
      <c r="B686" s="15" t="inlineStr">
        <is>
          <t>Part II - The Method Atlas</t>
        </is>
      </c>
      <c r="C686" s="16" t="inlineStr">
        <is>
          <t>H.5 Minimal models of folding - lattice proteins and the random energy model</t>
        </is>
      </c>
      <c r="D686" s="10" t="inlineStr">
        <is>
          <t>Statistical mechanics of protein evolution</t>
        </is>
      </c>
      <c r="E686" s="10" t="inlineStr">
        <is>
          <t>Eugene Shakhnovich</t>
        </is>
      </c>
      <c r="F686" s="11" t="inlineStr">
        <is>
          <t>36:09</t>
        </is>
      </c>
      <c r="G686" s="11" t="n">
        <v>0.6</v>
      </c>
      <c r="H686" s="12" t="inlineStr"/>
      <c r="I686" s="11" t="inlineStr">
        <is>
          <t>Not started</t>
        </is>
      </c>
      <c r="J686" s="13" t="n"/>
      <c r="K686" s="10" t="inlineStr"/>
      <c r="L686" s="14" t="inlineStr">
        <is>
          <t>▶ watch</t>
        </is>
      </c>
      <c r="M686" s="10" t="inlineStr">
        <is>
          <t>Baker et al. 2001, PNAS 98:10037 (APBS) · Jurrus et al. 2018, Protein Sci 27:112</t>
        </is>
      </c>
      <c r="N686" s="14" t="inlineStr">
        <is>
          <t>read ↗</t>
        </is>
      </c>
      <c r="O686" s="11" t="inlineStr">
        <is>
          <t>reading for G.6 Continuum electrostatics and mesosca</t>
        </is>
      </c>
      <c r="P686" s="10" t="inlineStr"/>
    </row>
    <row r="687">
      <c r="A687" s="15" t="n">
        <v>686</v>
      </c>
      <c r="B687" s="15" t="inlineStr">
        <is>
          <t>Part II - The Method Atlas</t>
        </is>
      </c>
      <c r="C687" s="16" t="inlineStr">
        <is>
          <t>H.5 Minimal models of folding - lattice proteins and the random energy model</t>
        </is>
      </c>
      <c r="D687" s="10" t="inlineStr">
        <is>
          <t>Exploring the Protein Folding Funnel Landscape I</t>
        </is>
      </c>
      <c r="E687" s="10" t="inlineStr">
        <is>
          <t>ICAM-I2CAM</t>
        </is>
      </c>
      <c r="F687" s="11" t="inlineStr">
        <is>
          <t>1:02:33</t>
        </is>
      </c>
      <c r="G687" s="11" t="n">
        <v>1.04</v>
      </c>
      <c r="H687" s="12" t="inlineStr"/>
      <c r="I687" s="11" t="inlineStr">
        <is>
          <t>Not started</t>
        </is>
      </c>
      <c r="J687" s="13" t="n"/>
      <c r="K687" s="10" t="inlineStr"/>
      <c r="L687" s="14" t="inlineStr">
        <is>
          <t>▶ watch</t>
        </is>
      </c>
      <c r="M687" s="10" t="inlineStr">
        <is>
          <t>Baker et al. 2001, PNAS 98:10037 (APBS) · Jurrus et al. 2018, Protein Sci 27:112</t>
        </is>
      </c>
      <c r="N687" s="14" t="inlineStr">
        <is>
          <t>read ↗</t>
        </is>
      </c>
      <c r="O687" s="11" t="inlineStr">
        <is>
          <t>reading for G.6 Continuum electrostatics and mesosca</t>
        </is>
      </c>
      <c r="P687" s="10" t="inlineStr"/>
    </row>
    <row r="688">
      <c r="A688" s="15" t="n">
        <v>687</v>
      </c>
      <c r="B688" s="15" t="inlineStr">
        <is>
          <t>Part II - The Method Atlas</t>
        </is>
      </c>
      <c r="C688" s="16" t="inlineStr">
        <is>
          <t>H.5 Minimal models of folding - lattice proteins and the random energy model</t>
        </is>
      </c>
      <c r="D688" s="10" t="inlineStr">
        <is>
          <t>Exploring the Protein Folding Funnel Landscape II</t>
        </is>
      </c>
      <c r="E688" s="10" t="inlineStr">
        <is>
          <t>ICAM-I2CAM</t>
        </is>
      </c>
      <c r="F688" s="11" t="inlineStr">
        <is>
          <t>1:02:13</t>
        </is>
      </c>
      <c r="G688" s="11" t="n">
        <v>1.04</v>
      </c>
      <c r="H688" s="12" t="inlineStr"/>
      <c r="I688" s="11" t="inlineStr">
        <is>
          <t>Not started</t>
        </is>
      </c>
      <c r="J688" s="13" t="n"/>
      <c r="K688" s="10" t="inlineStr"/>
      <c r="L688" s="14" t="inlineStr">
        <is>
          <t>▶ watch</t>
        </is>
      </c>
      <c r="M688" s="10" t="inlineStr">
        <is>
          <t>Baker et al. 2001, PNAS 98:10037 (APBS) · Jurrus et al. 2018, Protein Sci 27:112</t>
        </is>
      </c>
      <c r="N688" s="14" t="inlineStr">
        <is>
          <t>read ↗</t>
        </is>
      </c>
      <c r="O688" s="11" t="inlineStr">
        <is>
          <t>reading for G.6 Continuum electrostatics and mesosca</t>
        </is>
      </c>
      <c r="P688" s="10" t="inlineStr"/>
    </row>
    <row r="689">
      <c r="A689" s="15" t="n">
        <v>688</v>
      </c>
      <c r="B689" s="15" t="inlineStr">
        <is>
          <t>Part II - The Method Atlas</t>
        </is>
      </c>
      <c r="C689" s="16" t="inlineStr">
        <is>
          <t>H.5 Minimal models of folding - lattice proteins and the random energy model</t>
        </is>
      </c>
      <c r="D689" s="10" t="inlineStr">
        <is>
          <t>Protein Folding and Functions, Electron Transfer, Molecular Motors I</t>
        </is>
      </c>
      <c r="E689" s="10" t="inlineStr">
        <is>
          <t>José Onuchic (Rice</t>
        </is>
      </c>
      <c r="F689" s="11" t="inlineStr">
        <is>
          <t>1:24:50</t>
        </is>
      </c>
      <c r="G689" s="11" t="n">
        <v>1.41</v>
      </c>
      <c r="H689" s="12" t="inlineStr"/>
      <c r="I689" s="11" t="inlineStr">
        <is>
          <t>Not started</t>
        </is>
      </c>
      <c r="J689" s="13" t="n"/>
      <c r="K689" s="10" t="inlineStr"/>
      <c r="L689" s="14" t="inlineStr">
        <is>
          <t>▶ watch</t>
        </is>
      </c>
      <c r="M689" s="10" t="inlineStr">
        <is>
          <t>Baker et al. 2001, PNAS 98:10037 (APBS) · Jurrus et al. 2018, Protein Sci 27:112</t>
        </is>
      </c>
      <c r="N689" s="14" t="inlineStr">
        <is>
          <t>read ↗</t>
        </is>
      </c>
      <c r="O689" s="11" t="inlineStr">
        <is>
          <t>reading for G.6 Continuum electrostatics and mesosca</t>
        </is>
      </c>
      <c r="P689" s="10" t="inlineStr"/>
    </row>
    <row r="690">
      <c r="A690" s="15" t="n">
        <v>689</v>
      </c>
      <c r="B690" s="15" t="inlineStr">
        <is>
          <t>Part II - The Method Atlas</t>
        </is>
      </c>
      <c r="C690" s="16" t="inlineStr">
        <is>
          <t>H.5 Minimal models of folding - lattice proteins and the random energy model</t>
        </is>
      </c>
      <c r="D690" s="10" t="inlineStr">
        <is>
          <t>Protein Sequence Evolution</t>
        </is>
      </c>
      <c r="E690" s="10" t="inlineStr">
        <is>
          <t>José Onuchic</t>
        </is>
      </c>
      <c r="F690" s="11" t="inlineStr">
        <is>
          <t>1:31:41</t>
        </is>
      </c>
      <c r="G690" s="11" t="n">
        <v>1.53</v>
      </c>
      <c r="H690" s="12" t="inlineStr"/>
      <c r="I690" s="11" t="inlineStr">
        <is>
          <t>Not started</t>
        </is>
      </c>
      <c r="J690" s="13" t="n"/>
      <c r="K690" s="10" t="inlineStr"/>
      <c r="L690" s="14" t="inlineStr">
        <is>
          <t>▶ watch</t>
        </is>
      </c>
      <c r="M690" s="10" t="inlineStr">
        <is>
          <t>Baker et al. 2001, PNAS 98:10037 (APBS) · Jurrus et al. 2018, Protein Sci 27:112</t>
        </is>
      </c>
      <c r="N690" s="14" t="inlineStr">
        <is>
          <t>read ↗</t>
        </is>
      </c>
      <c r="O690" s="11" t="inlineStr">
        <is>
          <t>reading for G.6 Continuum electrostatics and mesosca</t>
        </is>
      </c>
      <c r="P690" s="10" t="inlineStr"/>
    </row>
    <row r="691">
      <c r="A691" s="15" t="n">
        <v>690</v>
      </c>
      <c r="B691" s="15" t="inlineStr">
        <is>
          <t>Part II - The Method Atlas</t>
        </is>
      </c>
      <c r="C691" s="16" t="inlineStr">
        <is>
          <t>H.5 Minimal models of folding - lattice proteins and the random energy model</t>
        </is>
      </c>
      <c r="D691" s="10" t="inlineStr">
        <is>
          <t>Energy landscapes, order and disorder, and coevolution</t>
        </is>
      </c>
      <c r="E691" s="10" t="inlineStr">
        <is>
          <t>José Onuchic</t>
        </is>
      </c>
      <c r="F691" s="11" t="inlineStr">
        <is>
          <t>1:05:59</t>
        </is>
      </c>
      <c r="G691" s="11" t="n">
        <v>1.1</v>
      </c>
      <c r="H691" s="12" t="inlineStr"/>
      <c r="I691" s="11" t="inlineStr">
        <is>
          <t>Not started</t>
        </is>
      </c>
      <c r="J691" s="13" t="n"/>
      <c r="K691" s="10" t="inlineStr"/>
      <c r="L691" s="14" t="inlineStr">
        <is>
          <t>▶ watch</t>
        </is>
      </c>
      <c r="M691" s="10" t="inlineStr">
        <is>
          <t>Baker et al. 2001, PNAS 98:10037 (APBS) · Jurrus et al. 2018, Protein Sci 27:112</t>
        </is>
      </c>
      <c r="N691" s="14" t="inlineStr">
        <is>
          <t>read ↗</t>
        </is>
      </c>
      <c r="O691" s="11" t="inlineStr">
        <is>
          <t>reading for G.6 Continuum electrostatics and mesosca</t>
        </is>
      </c>
      <c r="P691" s="10" t="inlineStr"/>
    </row>
    <row r="692">
      <c r="A692" s="15" t="n">
        <v>691</v>
      </c>
      <c r="B692" s="15" t="inlineStr">
        <is>
          <t>Part II - The Method Atlas</t>
        </is>
      </c>
      <c r="C692" s="16" t="inlineStr">
        <is>
          <t>H.5 Minimal models of folding - lattice proteins and the random energy model</t>
        </is>
      </c>
      <c r="D692" s="10" t="inlineStr">
        <is>
          <t>Frustration in proteins (minicourse</t>
        </is>
      </c>
      <c r="E692" s="10" t="inlineStr">
        <is>
          <t>Diego Ferreiro (Buenos Aires</t>
        </is>
      </c>
      <c r="F692" s="11" t="inlineStr">
        <is>
          <t>1:02:40</t>
        </is>
      </c>
      <c r="G692" s="11" t="n">
        <v>1.04</v>
      </c>
      <c r="H692" s="12" t="inlineStr"/>
      <c r="I692" s="11" t="inlineStr">
        <is>
          <t>Not started</t>
        </is>
      </c>
      <c r="J692" s="13" t="n"/>
      <c r="K692" s="10" t="inlineStr"/>
      <c r="L692" s="14" t="inlineStr">
        <is>
          <t>▶ watch</t>
        </is>
      </c>
      <c r="M692" s="10" t="inlineStr">
        <is>
          <t>Baker et al. 2001, PNAS 98:10037 (APBS) · Jurrus et al. 2018, Protein Sci 27:112</t>
        </is>
      </c>
      <c r="N692" s="14" t="inlineStr">
        <is>
          <t>read ↗</t>
        </is>
      </c>
      <c r="O692" s="11" t="inlineStr">
        <is>
          <t>reading for G.6 Continuum electrostatics and mesosca</t>
        </is>
      </c>
      <c r="P692" s="10" t="inlineStr"/>
    </row>
    <row r="693">
      <c r="A693" s="15" t="n">
        <v>692</v>
      </c>
      <c r="B693" s="15" t="inlineStr">
        <is>
          <t>Part II - The Method Atlas</t>
        </is>
      </c>
      <c r="C693" s="16" t="inlineStr">
        <is>
          <t>H.5 Minimal models of folding - lattice proteins and the random energy model</t>
        </is>
      </c>
      <c r="D693" s="10" t="inlineStr">
        <is>
          <t>Modeling selection on protein folding stability</t>
        </is>
      </c>
      <c r="E693" s="10" t="inlineStr">
        <is>
          <t>Ugo Bastolla (Madrid</t>
        </is>
      </c>
      <c r="F693" s="11" t="inlineStr">
        <is>
          <t>42:32</t>
        </is>
      </c>
      <c r="G693" s="11" t="n">
        <v>0.71</v>
      </c>
      <c r="H693" s="12" t="inlineStr"/>
      <c r="I693" s="11" t="inlineStr">
        <is>
          <t>Not started</t>
        </is>
      </c>
      <c r="J693" s="13" t="n"/>
      <c r="K693" s="10" t="inlineStr"/>
      <c r="L693" s="14" t="inlineStr">
        <is>
          <t>▶ watch</t>
        </is>
      </c>
      <c r="M693" s="10" t="inlineStr">
        <is>
          <t>Bastolla et al. 2005, Proteins 58:22</t>
        </is>
      </c>
      <c r="N693" s="14" t="inlineStr">
        <is>
          <t>read ↗</t>
        </is>
      </c>
      <c r="O693" s="11" t="inlineStr">
        <is>
          <t>paired reading</t>
        </is>
      </c>
      <c r="P693" s="10" t="inlineStr"/>
    </row>
    <row r="694">
      <c r="A694" s="15" t="n">
        <v>693</v>
      </c>
      <c r="B694" s="15" t="inlineStr">
        <is>
          <t>Part II - The Method Atlas</t>
        </is>
      </c>
      <c r="C694" s="16" t="inlineStr">
        <is>
          <t>H.5 Minimal models of folding - lattice proteins and the random energy model</t>
        </is>
      </c>
      <c r="D694" s="10" t="inlineStr">
        <is>
          <t>Semi-flexible Lattice Model for Crambin: a REWL study</t>
        </is>
      </c>
      <c r="E694" s="10" t="inlineStr">
        <is>
          <t>Alfred Farris</t>
        </is>
      </c>
      <c r="F694" s="11" t="inlineStr">
        <is>
          <t>40:55</t>
        </is>
      </c>
      <c r="G694" s="11" t="n">
        <v>0.68</v>
      </c>
      <c r="H694" s="12" t="inlineStr"/>
      <c r="I694" s="11" t="inlineStr">
        <is>
          <t>Not started</t>
        </is>
      </c>
      <c r="J694" s="13" t="n"/>
      <c r="K694" s="10" t="inlineStr"/>
      <c r="L694" s="14" t="inlineStr">
        <is>
          <t>▶ watch</t>
        </is>
      </c>
      <c r="M694" s="10" t="inlineStr">
        <is>
          <t>Baker et al. 2001, PNAS 98:10037 (APBS) · Jurrus et al. 2018, Protein Sci 27:112</t>
        </is>
      </c>
      <c r="N694" s="14" t="inlineStr">
        <is>
          <t>read ↗</t>
        </is>
      </c>
      <c r="O694" s="11" t="inlineStr">
        <is>
          <t>reading for G.6 Continuum electrostatics and mesosca</t>
        </is>
      </c>
      <c r="P694" s="10" t="inlineStr"/>
    </row>
    <row r="695">
      <c r="A695" s="15" t="n">
        <v>694</v>
      </c>
      <c r="B695" s="15" t="inlineStr">
        <is>
          <t>Part II - The Method Atlas</t>
        </is>
      </c>
      <c r="C695" s="16" t="inlineStr">
        <is>
          <t>I.1 Allostery: theory</t>
        </is>
      </c>
      <c r="D695" s="10" t="inlineStr">
        <is>
          <t>Rob Phillips (Caltech, BE/APh 161</t>
        </is>
      </c>
      <c r="E695" s="10" t="inlineStr">
        <is>
          <t>MWC model</t>
        </is>
      </c>
      <c r="F695" s="11" t="inlineStr">
        <is>
          <t>24:33</t>
        </is>
      </c>
      <c r="G695" s="11" t="n">
        <v>0.41</v>
      </c>
      <c r="H695" s="12" t="inlineStr"/>
      <c r="I695" s="11" t="inlineStr">
        <is>
          <t>Not started</t>
        </is>
      </c>
      <c r="J695" s="13" t="n"/>
      <c r="K695" s="10" t="inlineStr"/>
      <c r="L695" s="14" t="inlineStr">
        <is>
          <t>▶ watch</t>
        </is>
      </c>
      <c r="M695" s="10" t="inlineStr">
        <is>
          <t>Baker et al. 2001, PNAS 98:10037 (APBS) · Jurrus et al. 2018, Protein Sci 27:112</t>
        </is>
      </c>
      <c r="N695" s="14" t="inlineStr">
        <is>
          <t>read ↗</t>
        </is>
      </c>
      <c r="O695" s="11" t="inlineStr">
        <is>
          <t>reading for G.6 Continuum electrostatics and mesosca</t>
        </is>
      </c>
      <c r="P695" s="10" t="inlineStr"/>
    </row>
    <row r="696">
      <c r="A696" s="15" t="n">
        <v>695</v>
      </c>
      <c r="B696" s="15" t="inlineStr">
        <is>
          <t>Part II - The Method Atlas</t>
        </is>
      </c>
      <c r="C696" s="16" t="inlineStr">
        <is>
          <t>I.1 Allostery: theory</t>
        </is>
      </c>
      <c r="D696" s="10" t="inlineStr">
        <is>
          <t>MWC model of chemoreceptors</t>
        </is>
      </c>
      <c r="E696" s="10" t="inlineStr">
        <is>
          <t>Rob Phillips</t>
        </is>
      </c>
      <c r="F696" s="11" t="inlineStr">
        <is>
          <t>22:54</t>
        </is>
      </c>
      <c r="G696" s="11" t="n">
        <v>0.38</v>
      </c>
      <c r="H696" s="12" t="inlineStr"/>
      <c r="I696" s="11" t="inlineStr">
        <is>
          <t>Not started</t>
        </is>
      </c>
      <c r="J696" s="13" t="n"/>
      <c r="K696" s="10" t="inlineStr"/>
      <c r="L696" s="14" t="inlineStr">
        <is>
          <t>▶ watch</t>
        </is>
      </c>
      <c r="M696" s="10" t="inlineStr">
        <is>
          <t>Baker et al. 2001, PNAS 98:10037 (APBS) · Jurrus et al. 2018, Protein Sci 27:112</t>
        </is>
      </c>
      <c r="N696" s="14" t="inlineStr">
        <is>
          <t>read ↗</t>
        </is>
      </c>
      <c r="O696" s="11" t="inlineStr">
        <is>
          <t>reading for G.6 Continuum electrostatics and mesosca</t>
        </is>
      </c>
      <c r="P696" s="10" t="inlineStr"/>
    </row>
    <row r="697">
      <c r="A697" s="15" t="n">
        <v>696</v>
      </c>
      <c r="B697" s="15" t="inlineStr">
        <is>
          <t>Part II - The Method Atlas</t>
        </is>
      </c>
      <c r="C697" s="16" t="inlineStr">
        <is>
          <t>I.1 Allostery: theory</t>
        </is>
      </c>
      <c r="D697" s="10" t="inlineStr">
        <is>
          <t>Allostery, no physicists allowed</t>
        </is>
      </c>
      <c r="E697" s="10" t="inlineStr">
        <is>
          <t>Rob Phillips</t>
        </is>
      </c>
      <c r="F697" s="11" t="inlineStr">
        <is>
          <t>8:55</t>
        </is>
      </c>
      <c r="G697" s="11" t="n">
        <v>0.15</v>
      </c>
      <c r="H697" s="12" t="inlineStr"/>
      <c r="I697" s="11" t="inlineStr">
        <is>
          <t>Not started</t>
        </is>
      </c>
      <c r="J697" s="13" t="n"/>
      <c r="K697" s="10" t="inlineStr"/>
      <c r="L697" s="14" t="inlineStr">
        <is>
          <t>▶ watch</t>
        </is>
      </c>
      <c r="M697" s="10" t="inlineStr">
        <is>
          <t>Baker et al. 2001, PNAS 98:10037 (APBS) · Jurrus et al. 2018, Protein Sci 27:112</t>
        </is>
      </c>
      <c r="N697" s="14" t="inlineStr">
        <is>
          <t>read ↗</t>
        </is>
      </c>
      <c r="O697" s="11" t="inlineStr">
        <is>
          <t>reading for G.6 Continuum electrostatics and mesosca</t>
        </is>
      </c>
      <c r="P697" s="10" t="inlineStr"/>
    </row>
    <row r="698">
      <c r="A698" s="15" t="n">
        <v>697</v>
      </c>
      <c r="B698" s="15" t="inlineStr">
        <is>
          <t>Part II - The Method Atlas</t>
        </is>
      </c>
      <c r="C698" s="16" t="inlineStr">
        <is>
          <t>I.1 Allostery: theory</t>
        </is>
      </c>
      <c r="D698" s="10" t="inlineStr">
        <is>
          <t>Opening Lecture at the European Conference on ALLODD</t>
        </is>
      </c>
      <c r="E698" s="10" t="inlineStr">
        <is>
          <t>Jean-Pierre Changeux (Institut Pasteur</t>
        </is>
      </c>
      <c r="F698" s="11" t="inlineStr">
        <is>
          <t>1:10:23</t>
        </is>
      </c>
      <c r="G698" s="11" t="n">
        <v>1.17</v>
      </c>
      <c r="H698" s="12" t="inlineStr">
        <is>
          <t>★</t>
        </is>
      </c>
      <c r="I698" s="11" t="inlineStr">
        <is>
          <t>Not started</t>
        </is>
      </c>
      <c r="J698" s="13" t="n"/>
      <c r="K698" s="10" t="inlineStr"/>
      <c r="L698" s="14" t="inlineStr">
        <is>
          <t>▶ watch</t>
        </is>
      </c>
      <c r="M698" s="10" t="inlineStr">
        <is>
          <t>Baker et al. 2001, PNAS 98:10037 (APBS) · Jurrus et al. 2018, Protein Sci 27:112</t>
        </is>
      </c>
      <c r="N698" s="14" t="inlineStr">
        <is>
          <t>read ↗</t>
        </is>
      </c>
      <c r="O698" s="11" t="inlineStr">
        <is>
          <t>reading for G.6 Continuum electrostatics and mesosca</t>
        </is>
      </c>
      <c r="P698" s="10" t="inlineStr"/>
    </row>
    <row r="699">
      <c r="A699" s="15" t="n">
        <v>698</v>
      </c>
      <c r="B699" s="15" t="inlineStr">
        <is>
          <t>Part II - The Method Atlas</t>
        </is>
      </c>
      <c r="C699" s="16" t="inlineStr">
        <is>
          <t>Evolutionary coupling and sectors</t>
        </is>
      </c>
      <c r="D699" s="10" t="inlineStr">
        <is>
          <t>The Evolutionary "Design" of Protein Machines</t>
        </is>
      </c>
      <c r="E699" s="10" t="inlineStr">
        <is>
          <t>Rama Ranganathan (Chicago</t>
        </is>
      </c>
      <c r="F699" s="11" t="inlineStr">
        <is>
          <t>58:35</t>
        </is>
      </c>
      <c r="G699" s="11" t="n">
        <v>0.98</v>
      </c>
      <c r="H699" s="12" t="inlineStr"/>
      <c r="I699" s="11" t="inlineStr">
        <is>
          <t>Not started</t>
        </is>
      </c>
      <c r="J699" s="13" t="n"/>
      <c r="K699" s="10" t="inlineStr"/>
      <c r="L699" s="14" t="inlineStr">
        <is>
          <t>▶ watch</t>
        </is>
      </c>
      <c r="M699" s="10" t="inlineStr">
        <is>
          <t>Baker et al. 2001, PNAS 98:10037 (APBS) · Jurrus et al. 2018, Protein Sci 27:112</t>
        </is>
      </c>
      <c r="N699" s="14" t="inlineStr">
        <is>
          <t>read ↗</t>
        </is>
      </c>
      <c r="O699" s="11" t="inlineStr">
        <is>
          <t>reading for G.6 Continuum electrostatics and mesosca</t>
        </is>
      </c>
      <c r="P699" s="10" t="inlineStr"/>
    </row>
    <row r="700">
      <c r="A700" s="15" t="n">
        <v>699</v>
      </c>
      <c r="B700" s="15" t="inlineStr">
        <is>
          <t>Part II - The Method Atlas</t>
        </is>
      </c>
      <c r="C700" s="16" t="inlineStr">
        <is>
          <t>Evolutionary coupling and sectors</t>
        </is>
      </c>
      <c r="D700" s="10" t="inlineStr">
        <is>
          <t>The Evolutionary Design of Proteins (NITMB, 2025</t>
        </is>
      </c>
      <c r="E700" s="10" t="inlineStr">
        <is>
          <t>Rama Ranganathan</t>
        </is>
      </c>
      <c r="F700" s="11" t="inlineStr">
        <is>
          <t>1:10:57</t>
        </is>
      </c>
      <c r="G700" s="11" t="n">
        <v>1.18</v>
      </c>
      <c r="H700" s="12" t="inlineStr"/>
      <c r="I700" s="11" t="inlineStr">
        <is>
          <t>Not started</t>
        </is>
      </c>
      <c r="J700" s="13" t="n"/>
      <c r="K700" s="10" t="inlineStr"/>
      <c r="L700" s="14" t="inlineStr">
        <is>
          <t>▶ watch</t>
        </is>
      </c>
      <c r="M700" s="10" t="inlineStr">
        <is>
          <t>Baker et al. 2001, PNAS 98:10037 (APBS) · Jurrus et al. 2018, Protein Sci 27:112</t>
        </is>
      </c>
      <c r="N700" s="14" t="inlineStr">
        <is>
          <t>read ↗</t>
        </is>
      </c>
      <c r="O700" s="11" t="inlineStr">
        <is>
          <t>reading for G.6 Continuum electrostatics and mesosca</t>
        </is>
      </c>
      <c r="P700" s="10" t="inlineStr"/>
    </row>
    <row r="701">
      <c r="A701" s="15" t="n">
        <v>700</v>
      </c>
      <c r="B701" s="15" t="inlineStr">
        <is>
          <t>Part II - The Method Atlas</t>
        </is>
      </c>
      <c r="C701" s="16" t="inlineStr">
        <is>
          <t>Evolutionary coupling and sectors</t>
        </is>
      </c>
      <c r="D701" s="10" t="inlineStr">
        <is>
          <t>Evolutionary "Design" of Proteins (Aspen, 2019</t>
        </is>
      </c>
      <c r="E701" s="10" t="inlineStr">
        <is>
          <t>Rama Ranganathan</t>
        </is>
      </c>
      <c r="F701" s="11" t="inlineStr">
        <is>
          <t>48:52</t>
        </is>
      </c>
      <c r="G701" s="11" t="n">
        <v>0.8100000000000001</v>
      </c>
      <c r="H701" s="12" t="inlineStr"/>
      <c r="I701" s="11" t="inlineStr">
        <is>
          <t>Not started</t>
        </is>
      </c>
      <c r="J701" s="13" t="n"/>
      <c r="K701" s="10" t="inlineStr"/>
      <c r="L701" s="14" t="inlineStr">
        <is>
          <t>▶ watch</t>
        </is>
      </c>
      <c r="M701" s="10" t="inlineStr">
        <is>
          <t>Baker et al. 2001, PNAS 98:10037 (APBS) · Jurrus et al. 2018, Protein Sci 27:112</t>
        </is>
      </c>
      <c r="N701" s="14" t="inlineStr">
        <is>
          <t>read ↗</t>
        </is>
      </c>
      <c r="O701" s="11" t="inlineStr">
        <is>
          <t>reading for G.6 Continuum electrostatics and mesosca</t>
        </is>
      </c>
      <c r="P701" s="10" t="inlineStr"/>
    </row>
    <row r="702">
      <c r="A702" s="15" t="n">
        <v>701</v>
      </c>
      <c r="B702" s="15" t="inlineStr">
        <is>
          <t>Part II - The Method Atlas</t>
        </is>
      </c>
      <c r="C702" s="16" t="inlineStr">
        <is>
          <t>Evolutionary coupling and sectors</t>
        </is>
      </c>
      <c r="D702" s="10" t="inlineStr">
        <is>
          <t>Part 1: What is Protein Design?</t>
        </is>
      </c>
      <c r="E702" s="10" t="inlineStr">
        <is>
          <t>Rama Ranganathan (iBiology</t>
        </is>
      </c>
      <c r="F702" s="11" t="inlineStr">
        <is>
          <t>27:06</t>
        </is>
      </c>
      <c r="G702" s="11" t="n">
        <v>0.45</v>
      </c>
      <c r="H702" s="12" t="inlineStr"/>
      <c r="I702" s="11" t="inlineStr">
        <is>
          <t>Not started</t>
        </is>
      </c>
      <c r="J702" s="13" t="n"/>
      <c r="K702" s="10" t="inlineStr"/>
      <c r="L702" s="14" t="inlineStr">
        <is>
          <t>▶ watch</t>
        </is>
      </c>
      <c r="M702" s="10" t="inlineStr">
        <is>
          <t>Baker et al. 2001, PNAS 98:10037 (APBS) · Jurrus et al. 2018, Protein Sci 27:112</t>
        </is>
      </c>
      <c r="N702" s="14" t="inlineStr">
        <is>
          <t>read ↗</t>
        </is>
      </c>
      <c r="O702" s="11" t="inlineStr">
        <is>
          <t>reading for G.6 Continuum electrostatics and mesosca</t>
        </is>
      </c>
      <c r="P702" s="10" t="inlineStr"/>
    </row>
    <row r="703">
      <c r="A703" s="15" t="n">
        <v>702</v>
      </c>
      <c r="B703" s="15" t="inlineStr">
        <is>
          <t>Part II - The Method Atlas</t>
        </is>
      </c>
      <c r="C703" s="16" t="inlineStr">
        <is>
          <t>Evolutionary coupling and sectors</t>
        </is>
      </c>
      <c r="D703" s="10" t="inlineStr">
        <is>
          <t>Part 3: Protein Function and Adaptability</t>
        </is>
      </c>
      <c r="E703" s="10" t="inlineStr">
        <is>
          <t>Rama Ranganathan (iBiology</t>
        </is>
      </c>
      <c r="F703" s="11" t="inlineStr">
        <is>
          <t>45:15</t>
        </is>
      </c>
      <c r="G703" s="11" t="n">
        <v>0.75</v>
      </c>
      <c r="H703" s="12" t="inlineStr"/>
      <c r="I703" s="11" t="inlineStr">
        <is>
          <t>Not started</t>
        </is>
      </c>
      <c r="J703" s="13" t="n"/>
      <c r="K703" s="10" t="inlineStr"/>
      <c r="L703" s="14" t="inlineStr">
        <is>
          <t>▶ watch</t>
        </is>
      </c>
      <c r="M703" s="10" t="inlineStr">
        <is>
          <t>Baker et al. 2001, PNAS 98:10037 (APBS) · Jurrus et al. 2018, Protein Sci 27:112</t>
        </is>
      </c>
      <c r="N703" s="14" t="inlineStr">
        <is>
          <t>read ↗</t>
        </is>
      </c>
      <c r="O703" s="11" t="inlineStr">
        <is>
          <t>reading for G.6 Continuum electrostatics and mesosca</t>
        </is>
      </c>
      <c r="P703" s="10" t="inlineStr"/>
    </row>
    <row r="704">
      <c r="A704" s="15" t="n">
        <v>703</v>
      </c>
      <c r="B704" s="15" t="inlineStr">
        <is>
          <t>Part II - The Method Atlas</t>
        </is>
      </c>
      <c r="C704" s="16" t="inlineStr">
        <is>
          <t>Elastic network models and ANM-based allostery</t>
        </is>
      </c>
      <c r="D704" s="10" t="inlineStr">
        <is>
          <t>Ivet Bahar (Pitt / Stony Brook</t>
        </is>
      </c>
      <c r="E704" s="10" t="inlineStr">
        <is>
          <t>Network models in biology</t>
        </is>
      </c>
      <c r="F704" s="11" t="inlineStr">
        <is>
          <t>1:23:01</t>
        </is>
      </c>
      <c r="G704" s="11" t="n">
        <v>1.38</v>
      </c>
      <c r="H704" s="12" t="inlineStr">
        <is>
          <t>★</t>
        </is>
      </c>
      <c r="I704" s="11" t="inlineStr">
        <is>
          <t>Not started</t>
        </is>
      </c>
      <c r="J704" s="13" t="n"/>
      <c r="K704" s="10" t="inlineStr"/>
      <c r="L704" s="14" t="inlineStr">
        <is>
          <t>▶ watch</t>
        </is>
      </c>
      <c r="M704" s="10" t="inlineStr">
        <is>
          <t>Baker et al. 2001, PNAS 98:10037 (APBS) · Jurrus et al. 2018, Protein Sci 27:112</t>
        </is>
      </c>
      <c r="N704" s="14" t="inlineStr">
        <is>
          <t>read ↗</t>
        </is>
      </c>
      <c r="O704" s="11" t="inlineStr">
        <is>
          <t>reading for G.6 Continuum electrostatics and mesosca</t>
        </is>
      </c>
      <c r="P704" s="10" t="inlineStr"/>
    </row>
    <row r="705">
      <c r="A705" s="15" t="n">
        <v>704</v>
      </c>
      <c r="B705" s="15" t="inlineStr">
        <is>
          <t>Part II - The Method Atlas</t>
        </is>
      </c>
      <c r="C705" s="16" t="inlineStr">
        <is>
          <t>Elastic network models and ANM-based allostery</t>
        </is>
      </c>
      <c r="D705" s="10" t="inlineStr">
        <is>
          <t>EMBO Lecture: Confluence of structure-based models</t>
        </is>
      </c>
      <c r="E705" s="10" t="inlineStr">
        <is>
          <t>Ivet Bahar</t>
        </is>
      </c>
      <c r="F705" s="11" t="inlineStr">
        <is>
          <t>48:58</t>
        </is>
      </c>
      <c r="G705" s="11" t="n">
        <v>0.82</v>
      </c>
      <c r="H705" s="12" t="inlineStr"/>
      <c r="I705" s="11" t="inlineStr">
        <is>
          <t>Not started</t>
        </is>
      </c>
      <c r="J705" s="13" t="n"/>
      <c r="K705" s="10" t="inlineStr"/>
      <c r="L705" s="14" t="inlineStr">
        <is>
          <t>▶ watch</t>
        </is>
      </c>
      <c r="M705" s="10" t="inlineStr">
        <is>
          <t>Baker et al. 2001, PNAS 98:10037 (APBS) · Jurrus et al. 2018, Protein Sci 27:112</t>
        </is>
      </c>
      <c r="N705" s="14" t="inlineStr">
        <is>
          <t>read ↗</t>
        </is>
      </c>
      <c r="O705" s="11" t="inlineStr">
        <is>
          <t>reading for G.6 Continuum electrostatics and mesosca</t>
        </is>
      </c>
      <c r="P705" s="10" t="inlineStr"/>
    </row>
    <row r="706">
      <c r="A706" s="15" t="n">
        <v>705</v>
      </c>
      <c r="B706" s="15" t="inlineStr">
        <is>
          <t>Part II - The Method Atlas</t>
        </is>
      </c>
      <c r="C706" s="16" t="inlineStr">
        <is>
          <t>Elastic network models and ANM-based allostery</t>
        </is>
      </c>
      <c r="D706" s="10" t="inlineStr">
        <is>
          <t>Elastic network models, targeting hinges for drug discovery (interview</t>
        </is>
      </c>
      <c r="E706" s="10" t="inlineStr">
        <is>
          <t>Ivet Bahar</t>
        </is>
      </c>
      <c r="F706" s="11" t="inlineStr">
        <is>
          <t>39:33</t>
        </is>
      </c>
      <c r="G706" s="11" t="n">
        <v>0.66</v>
      </c>
      <c r="H706" s="12" t="inlineStr"/>
      <c r="I706" s="11" t="inlineStr">
        <is>
          <t>Not started</t>
        </is>
      </c>
      <c r="J706" s="13" t="n"/>
      <c r="K706" s="10" t="inlineStr"/>
      <c r="L706" s="14" t="inlineStr">
        <is>
          <t>▶ watch</t>
        </is>
      </c>
      <c r="M706" s="10" t="inlineStr">
        <is>
          <t>Baker et al. 2001, PNAS 98:10037 (APBS) · Jurrus et al. 2018, Protein Sci 27:112</t>
        </is>
      </c>
      <c r="N706" s="14" t="inlineStr">
        <is>
          <t>read ↗</t>
        </is>
      </c>
      <c r="O706" s="11" t="inlineStr">
        <is>
          <t>reading for G.6 Continuum electrostatics and mesosca</t>
        </is>
      </c>
      <c r="P706" s="10" t="inlineStr"/>
    </row>
    <row r="707">
      <c r="A707" s="15" t="n">
        <v>706</v>
      </c>
      <c r="B707" s="15" t="inlineStr">
        <is>
          <t>Part II - The Method Atlas</t>
        </is>
      </c>
      <c r="C707" s="16" t="inlineStr">
        <is>
          <t>Elastic network models and ANM-based allostery</t>
        </is>
      </c>
      <c r="D707" s="10" t="inlineStr">
        <is>
          <t>Network Models In Biology: From Molecular Machinery To Chromosomal Dynamics</t>
        </is>
      </c>
      <c r="E707" s="10" t="inlineStr">
        <is>
          <t>Ivet Bahar</t>
        </is>
      </c>
      <c r="F707" s="11" t="inlineStr">
        <is>
          <t>1:10:57</t>
        </is>
      </c>
      <c r="G707" s="11" t="n">
        <v>1.18</v>
      </c>
      <c r="H707" s="12" t="inlineStr"/>
      <c r="I707" s="11" t="inlineStr">
        <is>
          <t>Not started</t>
        </is>
      </c>
      <c r="J707" s="13" t="n"/>
      <c r="K707" s="10" t="inlineStr"/>
      <c r="L707" s="14" t="inlineStr">
        <is>
          <t>▶ watch</t>
        </is>
      </c>
      <c r="M707" s="10" t="inlineStr">
        <is>
          <t>Baker et al. 2001, PNAS 98:10037 (APBS) · Jurrus et al. 2018, Protein Sci 27:112</t>
        </is>
      </c>
      <c r="N707" s="14" t="inlineStr">
        <is>
          <t>read ↗</t>
        </is>
      </c>
      <c r="O707" s="11" t="inlineStr">
        <is>
          <t>reading for G.6 Continuum electrostatics and mesosca</t>
        </is>
      </c>
      <c r="P707" s="10" t="inlineStr"/>
    </row>
    <row r="708">
      <c r="A708" s="15" t="n">
        <v>707</v>
      </c>
      <c r="B708" s="15" t="inlineStr">
        <is>
          <t>Part II - The Method Atlas</t>
        </is>
      </c>
      <c r="C708" s="16" t="inlineStr">
        <is>
          <t>Elastic network models and ANM-based allostery</t>
        </is>
      </c>
      <c r="D708" s="10" t="inlineStr">
        <is>
          <t>Leveraging Hi-C with Elastic Network Models</t>
        </is>
      </c>
      <c r="E708" s="10" t="inlineStr">
        <is>
          <t>Ivet Bahar</t>
        </is>
      </c>
      <c r="F708" s="11" t="inlineStr">
        <is>
          <t>23:38</t>
        </is>
      </c>
      <c r="G708" s="11" t="n">
        <v>0.39</v>
      </c>
      <c r="H708" s="12" t="inlineStr"/>
      <c r="I708" s="11" t="inlineStr">
        <is>
          <t>Not started</t>
        </is>
      </c>
      <c r="J708" s="13" t="n"/>
      <c r="K708" s="10" t="inlineStr"/>
      <c r="L708" s="14" t="inlineStr">
        <is>
          <t>▶ watch</t>
        </is>
      </c>
      <c r="M708" s="10" t="inlineStr">
        <is>
          <t>Baker et al. 2001, PNAS 98:10037 (APBS) · Jurrus et al. 2018, Protein Sci 27:112</t>
        </is>
      </c>
      <c r="N708" s="14" t="inlineStr">
        <is>
          <t>read ↗</t>
        </is>
      </c>
      <c r="O708" s="11" t="inlineStr">
        <is>
          <t>reading for G.6 Continuum electrostatics and mesosca</t>
        </is>
      </c>
      <c r="P708" s="10" t="inlineStr"/>
    </row>
    <row r="709">
      <c r="A709" s="15" t="n">
        <v>708</v>
      </c>
      <c r="B709" s="15" t="inlineStr">
        <is>
          <t>Part II - The Method Atlas</t>
        </is>
      </c>
      <c r="C709" s="16" t="inlineStr">
        <is>
          <t>Elastic network models and ANM-based allostery</t>
        </is>
      </c>
      <c r="D709" s="10" t="inlineStr">
        <is>
          <t>ProDy (hands-on</t>
        </is>
      </c>
      <c r="E709" s="10" t="inlineStr">
        <is>
          <t>CCPBioSim</t>
        </is>
      </c>
      <c r="F709" s="11" t="inlineStr">
        <is>
          <t>54:34</t>
        </is>
      </c>
      <c r="G709" s="11" t="n">
        <v>0.91</v>
      </c>
      <c r="H709" s="12" t="inlineStr">
        <is>
          <t>★</t>
        </is>
      </c>
      <c r="I709" s="11" t="inlineStr">
        <is>
          <t>Not started</t>
        </is>
      </c>
      <c r="J709" s="13" t="n"/>
      <c r="K709" s="10" t="inlineStr"/>
      <c r="L709" s="14" t="inlineStr">
        <is>
          <t>▶ watch</t>
        </is>
      </c>
      <c r="M709" s="10" t="inlineStr">
        <is>
          <t>Baker et al. 2001, PNAS 98:10037 (APBS) · Jurrus et al. 2018, Protein Sci 27:112</t>
        </is>
      </c>
      <c r="N709" s="14" t="inlineStr">
        <is>
          <t>read ↗</t>
        </is>
      </c>
      <c r="O709" s="11" t="inlineStr">
        <is>
          <t>reading for G.6 Continuum electrostatics and mesosca</t>
        </is>
      </c>
      <c r="P709" s="10" t="inlineStr"/>
    </row>
    <row r="710">
      <c r="A710" s="15" t="n">
        <v>709</v>
      </c>
      <c r="B710" s="15" t="inlineStr">
        <is>
          <t>Part II - The Method Atlas</t>
        </is>
      </c>
      <c r="C710" s="16" t="inlineStr">
        <is>
          <t>Elastic network models and ANM-based allostery</t>
        </is>
      </c>
      <c r="D710" s="10" t="inlineStr">
        <is>
          <t>ProDy (second treatment</t>
        </is>
      </c>
      <c r="E710" s="10" t="inlineStr">
        <is>
          <t>SBGrid</t>
        </is>
      </c>
      <c r="F710" s="11" t="inlineStr">
        <is>
          <t>55:32</t>
        </is>
      </c>
      <c r="G710" s="11" t="n">
        <v>0.93</v>
      </c>
      <c r="H710" s="12" t="inlineStr"/>
      <c r="I710" s="11" t="inlineStr">
        <is>
          <t>Not started</t>
        </is>
      </c>
      <c r="J710" s="13" t="n"/>
      <c r="K710" s="10" t="inlineStr"/>
      <c r="L710" s="14" t="inlineStr">
        <is>
          <t>▶ watch</t>
        </is>
      </c>
      <c r="M710" s="10" t="inlineStr">
        <is>
          <t>Baker et al. 2001, PNAS 98:10037 (APBS) · Jurrus et al. 2018, Protein Sci 27:112</t>
        </is>
      </c>
      <c r="N710" s="14" t="inlineStr">
        <is>
          <t>read ↗</t>
        </is>
      </c>
      <c r="O710" s="11" t="inlineStr">
        <is>
          <t>reading for G.6 Continuum electrostatics and mesosca</t>
        </is>
      </c>
      <c r="P710" s="10" t="inlineStr"/>
    </row>
    <row r="711">
      <c r="A711" s="15" t="n">
        <v>710</v>
      </c>
      <c r="B711" s="15" t="inlineStr">
        <is>
          <t>Part II - The Method Atlas</t>
        </is>
      </c>
      <c r="C711" s="16" t="inlineStr">
        <is>
          <t>Elastic network models and ANM-based allostery</t>
        </is>
      </c>
      <c r="D711" s="10" t="inlineStr">
        <is>
          <t>Physical properties of folded peptide chains (domain decomposition NMA</t>
        </is>
      </c>
      <c r="E711" s="10" t="inlineStr">
        <is>
          <t>Konrad Hinsen (CNRS Orléans</t>
        </is>
      </c>
      <c r="F711" s="11" t="inlineStr">
        <is>
          <t>43:53</t>
        </is>
      </c>
      <c r="G711" s="11" t="n">
        <v>0.73</v>
      </c>
      <c r="H711" s="12" t="inlineStr"/>
      <c r="I711" s="11" t="inlineStr">
        <is>
          <t>Not started</t>
        </is>
      </c>
      <c r="J711" s="13" t="n"/>
      <c r="K711" s="10" t="inlineStr"/>
      <c r="L711" s="14" t="inlineStr">
        <is>
          <t>▶ watch</t>
        </is>
      </c>
      <c r="M711" s="10" t="inlineStr">
        <is>
          <t>Baker et al. 2001, PNAS 98:10037 (APBS) · Jurrus et al. 2018, Protein Sci 27:112</t>
        </is>
      </c>
      <c r="N711" s="14" t="inlineStr">
        <is>
          <t>read ↗</t>
        </is>
      </c>
      <c r="O711" s="11" t="inlineStr">
        <is>
          <t>reading for G.6 Continuum electrostatics and mesosca</t>
        </is>
      </c>
      <c r="P711" s="10" t="inlineStr"/>
    </row>
    <row r="712">
      <c r="A712" s="15" t="n">
        <v>711</v>
      </c>
      <c r="B712" s="15" t="inlineStr">
        <is>
          <t>Part II - The Method Atlas</t>
        </is>
      </c>
      <c r="C712" s="16" t="inlineStr">
        <is>
          <t>Elastic network models and ANM-based allostery</t>
        </is>
      </c>
      <c r="D712" s="10" t="inlineStr">
        <is>
          <t>Chromosomal dynamics predicted by an elastic network model</t>
        </is>
      </c>
      <c r="E712" s="10" t="inlineStr">
        <is>
          <t>She Zhang (ISMB 2018</t>
        </is>
      </c>
      <c r="F712" s="11" t="inlineStr">
        <is>
          <t>6:35</t>
        </is>
      </c>
      <c r="G712" s="11" t="n">
        <v>0.11</v>
      </c>
      <c r="H712" s="12" t="inlineStr"/>
      <c r="I712" s="11" t="inlineStr">
        <is>
          <t>Not started</t>
        </is>
      </c>
      <c r="J712" s="13" t="n"/>
      <c r="K712" s="10" t="inlineStr"/>
      <c r="L712" s="14" t="inlineStr">
        <is>
          <t>▶ watch</t>
        </is>
      </c>
      <c r="M712" s="10" t="inlineStr">
        <is>
          <t>Baker et al. 2001, PNAS 98:10037 (APBS) · Jurrus et al. 2018, Protein Sci 27:112</t>
        </is>
      </c>
      <c r="N712" s="14" t="inlineStr">
        <is>
          <t>read ↗</t>
        </is>
      </c>
      <c r="O712" s="11" t="inlineStr">
        <is>
          <t>reading for G.6 Continuum electrostatics and mesosca</t>
        </is>
      </c>
      <c r="P712" s="10" t="inlineStr"/>
    </row>
    <row r="713">
      <c r="A713" s="15" t="n">
        <v>712</v>
      </c>
      <c r="B713" s="15" t="inlineStr">
        <is>
          <t>Part II - The Method Atlas</t>
        </is>
      </c>
      <c r="C713" s="16" t="inlineStr">
        <is>
          <t>Elastic network models and ANM-based allostery</t>
        </is>
      </c>
      <c r="D713" s="10" t="inlineStr">
        <is>
          <t>Computational Biophysics Workshop Day 1, Part 2 (ENM theory</t>
        </is>
      </c>
      <c r="E713" s="10" t="inlineStr">
        <is>
          <t>MMBioS</t>
        </is>
      </c>
      <c r="F713" s="11" t="inlineStr">
        <is>
          <t>1:10:07</t>
        </is>
      </c>
      <c r="G713" s="11" t="n">
        <v>1.17</v>
      </c>
      <c r="H713" s="12" t="inlineStr"/>
      <c r="I713" s="11" t="inlineStr">
        <is>
          <t>Not started</t>
        </is>
      </c>
      <c r="J713" s="13" t="n"/>
      <c r="K713" s="10" t="inlineStr"/>
      <c r="L713" s="14" t="inlineStr">
        <is>
          <t>▶ watch</t>
        </is>
      </c>
      <c r="M713" s="10" t="inlineStr">
        <is>
          <t>Baker et al. 2001, PNAS 98:10037 (APBS) · Jurrus et al. 2018, Protein Sci 27:112</t>
        </is>
      </c>
      <c r="N713" s="14" t="inlineStr">
        <is>
          <t>read ↗</t>
        </is>
      </c>
      <c r="O713" s="11" t="inlineStr">
        <is>
          <t>reading for G.6 Continuum electrostatics and mesosca</t>
        </is>
      </c>
      <c r="P713" s="10" t="inlineStr"/>
    </row>
    <row r="714">
      <c r="A714" s="15" t="n">
        <v>713</v>
      </c>
      <c r="B714" s="15" t="inlineStr">
        <is>
          <t>Part II - The Method Atlas</t>
        </is>
      </c>
      <c r="C714" s="16" t="inlineStr">
        <is>
          <t>Dynamic allostery, networks, information-theoretic coupling</t>
        </is>
      </c>
      <c r="D714" s="10" t="inlineStr">
        <is>
          <t>Dissecting Allosteric Mechanisms and Protein Interactions</t>
        </is>
      </c>
      <c r="E714" s="10" t="inlineStr">
        <is>
          <t>Amnon Horovitz (Weizmann</t>
        </is>
      </c>
      <c r="F714" s="11" t="inlineStr">
        <is>
          <t>1:06:41</t>
        </is>
      </c>
      <c r="G714" s="11" t="n">
        <v>1.11</v>
      </c>
      <c r="H714" s="12" t="inlineStr"/>
      <c r="I714" s="11" t="inlineStr">
        <is>
          <t>Not started</t>
        </is>
      </c>
      <c r="J714" s="13" t="n"/>
      <c r="K714" s="10" t="inlineStr"/>
      <c r="L714" s="14" t="inlineStr">
        <is>
          <t>▶ watch</t>
        </is>
      </c>
      <c r="M714" s="10" t="inlineStr">
        <is>
          <t>Baker et al. 2001, PNAS 98:10037 (APBS) · Jurrus et al. 2018, Protein Sci 27:112</t>
        </is>
      </c>
      <c r="N714" s="14" t="inlineStr">
        <is>
          <t>read ↗</t>
        </is>
      </c>
      <c r="O714" s="11" t="inlineStr">
        <is>
          <t>reading for G.6 Continuum electrostatics and mesosca</t>
        </is>
      </c>
      <c r="P714" s="10" t="inlineStr"/>
    </row>
    <row r="715">
      <c r="A715" s="15" t="n">
        <v>714</v>
      </c>
      <c r="B715" s="15" t="inlineStr">
        <is>
          <t>Part II - The Method Atlas</t>
        </is>
      </c>
      <c r="C715" s="16" t="inlineStr">
        <is>
          <t>Dynamic allostery, networks, information-theoretic coupling</t>
        </is>
      </c>
      <c r="D715" s="10" t="inlineStr">
        <is>
          <t>A Nonequilibrium Approach to Allosteric Communication</t>
        </is>
      </c>
      <c r="E715" s="10" t="inlineStr">
        <is>
          <t>Peter Hamm (Zurich</t>
        </is>
      </c>
      <c r="F715" s="11" t="inlineStr">
        <is>
          <t>1:25:24</t>
        </is>
      </c>
      <c r="G715" s="11" t="n">
        <v>1.42</v>
      </c>
      <c r="H715" s="12" t="inlineStr"/>
      <c r="I715" s="11" t="inlineStr">
        <is>
          <t>Not started</t>
        </is>
      </c>
      <c r="J715" s="13" t="n"/>
      <c r="K715" s="10" t="inlineStr"/>
      <c r="L715" s="14" t="inlineStr">
        <is>
          <t>▶ watch</t>
        </is>
      </c>
      <c r="M715" s="10" t="inlineStr">
        <is>
          <t>Baker et al. 2001, PNAS 98:10037 (APBS) · Jurrus et al. 2018, Protein Sci 27:112</t>
        </is>
      </c>
      <c r="N715" s="14" t="inlineStr">
        <is>
          <t>read ↗</t>
        </is>
      </c>
      <c r="O715" s="11" t="inlineStr">
        <is>
          <t>reading for G.6 Continuum electrostatics and mesosca</t>
        </is>
      </c>
      <c r="P715" s="10" t="inlineStr"/>
    </row>
    <row r="716">
      <c r="A716" s="15" t="n">
        <v>715</v>
      </c>
      <c r="B716" s="15" t="inlineStr">
        <is>
          <t>Part II - The Method Atlas</t>
        </is>
      </c>
      <c r="C716" s="16" t="inlineStr">
        <is>
          <t>Dynamic allostery, networks, information-theoretic coupling</t>
        </is>
      </c>
      <c r="D716" s="10" t="inlineStr">
        <is>
          <t>Allostery under the lens of molecular dynamics simulations</t>
        </is>
      </c>
      <c r="E716" s="10" t="inlineStr">
        <is>
          <t>Julien Michel (Edinburgh</t>
        </is>
      </c>
      <c r="F716" s="11" t="inlineStr">
        <is>
          <t>58:15</t>
        </is>
      </c>
      <c r="G716" s="11" t="n">
        <v>0.97</v>
      </c>
      <c r="H716" s="12" t="inlineStr">
        <is>
          <t>★</t>
        </is>
      </c>
      <c r="I716" s="11" t="inlineStr">
        <is>
          <t>Not started</t>
        </is>
      </c>
      <c r="J716" s="13" t="n"/>
      <c r="K716" s="10" t="inlineStr"/>
      <c r="L716" s="14" t="inlineStr">
        <is>
          <t>▶ watch</t>
        </is>
      </c>
      <c r="M716" s="10" t="inlineStr">
        <is>
          <t>Baker et al. 2001, PNAS 98:10037 (APBS) · Jurrus et al. 2018, Protein Sci 27:112</t>
        </is>
      </c>
      <c r="N716" s="14" t="inlineStr">
        <is>
          <t>read ↗</t>
        </is>
      </c>
      <c r="O716" s="11" t="inlineStr">
        <is>
          <t>reading for G.6 Continuum electrostatics and mesosca</t>
        </is>
      </c>
      <c r="P716" s="10" t="inlineStr"/>
    </row>
    <row r="717">
      <c r="A717" s="15" t="n">
        <v>716</v>
      </c>
      <c r="B717" s="15" t="inlineStr">
        <is>
          <t>Part II - The Method Atlas</t>
        </is>
      </c>
      <c r="C717" s="16" t="inlineStr">
        <is>
          <t>Dynamic allostery, networks, information-theoretic coupling</t>
        </is>
      </c>
      <c r="D717" s="10" t="inlineStr">
        <is>
          <t>Insight into protein allostery from designed mechanical networks</t>
        </is>
      </c>
      <c r="E717" s="10" t="inlineStr">
        <is>
          <t>Andrea Liu (Penn</t>
        </is>
      </c>
      <c r="F717" s="11" t="inlineStr">
        <is>
          <t>29:36</t>
        </is>
      </c>
      <c r="G717" s="11" t="n">
        <v>0.49</v>
      </c>
      <c r="H717" s="12" t="inlineStr"/>
      <c r="I717" s="11" t="inlineStr">
        <is>
          <t>Not started</t>
        </is>
      </c>
      <c r="J717" s="13" t="n"/>
      <c r="K717" s="10" t="inlineStr"/>
      <c r="L717" s="14" t="inlineStr">
        <is>
          <t>▶ watch</t>
        </is>
      </c>
      <c r="M717" s="10" t="inlineStr">
        <is>
          <t>Baker et al. 2001, PNAS 98:10037 (APBS) · Jurrus et al. 2018, Protein Sci 27:112</t>
        </is>
      </c>
      <c r="N717" s="14" t="inlineStr">
        <is>
          <t>read ↗</t>
        </is>
      </c>
      <c r="O717" s="11" t="inlineStr">
        <is>
          <t>reading for G.6 Continuum electrostatics and mesosca</t>
        </is>
      </c>
      <c r="P717" s="10" t="inlineStr"/>
    </row>
    <row r="718">
      <c r="A718" s="15" t="n">
        <v>717</v>
      </c>
      <c r="B718" s="15" t="inlineStr">
        <is>
          <t>Part II - The Method Atlas</t>
        </is>
      </c>
      <c r="C718" s="16" t="inlineStr">
        <is>
          <t>Dynamic allostery, networks, information-theoretic coupling</t>
        </is>
      </c>
      <c r="D718" s="10" t="inlineStr">
        <is>
          <t>Predicting allosteric networks in protein complexes</t>
        </is>
      </c>
      <c r="E718" s="10" t="inlineStr">
        <is>
          <t>NIMBioS</t>
        </is>
      </c>
      <c r="F718" s="11" t="inlineStr">
        <is>
          <t>50:38</t>
        </is>
      </c>
      <c r="G718" s="11" t="n">
        <v>0.84</v>
      </c>
      <c r="H718" s="12" t="inlineStr"/>
      <c r="I718" s="11" t="inlineStr">
        <is>
          <t>Not started</t>
        </is>
      </c>
      <c r="J718" s="13" t="n"/>
      <c r="K718" s="10" t="inlineStr"/>
      <c r="L718" s="14" t="inlineStr">
        <is>
          <t>▶ watch</t>
        </is>
      </c>
      <c r="M718" s="10" t="inlineStr">
        <is>
          <t>Baker et al. 2001, PNAS 98:10037 (APBS) · Jurrus et al. 2018, Protein Sci 27:112</t>
        </is>
      </c>
      <c r="N718" s="14" t="inlineStr">
        <is>
          <t>read ↗</t>
        </is>
      </c>
      <c r="O718" s="11" t="inlineStr">
        <is>
          <t>reading for G.6 Continuum electrostatics and mesosca</t>
        </is>
      </c>
      <c r="P718" s="10" t="inlineStr"/>
    </row>
    <row r="719">
      <c r="A719" s="15" t="n">
        <v>718</v>
      </c>
      <c r="B719" s="15" t="inlineStr">
        <is>
          <t>Part II - The Method Atlas</t>
        </is>
      </c>
      <c r="C719" s="16" t="inlineStr">
        <is>
          <t>Dynamic allostery, networks, information-theoretic coupling</t>
        </is>
      </c>
      <c r="D719" s="10" t="inlineStr">
        <is>
          <t>Dynamic network analysis of protein structural change</t>
        </is>
      </c>
      <c r="E719" s="10" t="inlineStr">
        <is>
          <t>Aydin Wells (Notre Dame</t>
        </is>
      </c>
      <c r="F719" s="11" t="inlineStr">
        <is>
          <t>25:47</t>
        </is>
      </c>
      <c r="G719" s="11" t="n">
        <v>0.43</v>
      </c>
      <c r="H719" s="12" t="inlineStr"/>
      <c r="I719" s="11" t="inlineStr">
        <is>
          <t>Not started</t>
        </is>
      </c>
      <c r="J719" s="13" t="n"/>
      <c r="K719" s="10" t="inlineStr"/>
      <c r="L719" s="14" t="inlineStr">
        <is>
          <t>▶ watch</t>
        </is>
      </c>
      <c r="M719" s="10" t="inlineStr">
        <is>
          <t>Baker et al. 2001, PNAS 98:10037 (APBS) · Jurrus et al. 2018, Protein Sci 27:112</t>
        </is>
      </c>
      <c r="N719" s="14" t="inlineStr">
        <is>
          <t>read ↗</t>
        </is>
      </c>
      <c r="O719" s="11" t="inlineStr">
        <is>
          <t>reading for G.6 Continuum electrostatics and mesosca</t>
        </is>
      </c>
      <c r="P719" s="10" t="inlineStr"/>
    </row>
    <row r="720">
      <c r="A720" s="15" t="n">
        <v>719</v>
      </c>
      <c r="B720" s="15" t="inlineStr">
        <is>
          <t>Part II - The Method Atlas</t>
        </is>
      </c>
      <c r="C720" s="16" t="inlineStr">
        <is>
          <t>Dynamic allostery, networks, information-theoretic coupling</t>
        </is>
      </c>
      <c r="D720" s="10" t="inlineStr">
        <is>
          <t>Identifying Allosteric Sites Through Network Analysis</t>
        </is>
      </c>
      <c r="E720" s="10" t="inlineStr">
        <is>
          <t>RSG-Türkiye</t>
        </is>
      </c>
      <c r="F720" s="11" t="inlineStr">
        <is>
          <t>34:52</t>
        </is>
      </c>
      <c r="G720" s="11" t="n">
        <v>0.58</v>
      </c>
      <c r="H720" s="12" t="inlineStr"/>
      <c r="I720" s="11" t="inlineStr">
        <is>
          <t>Not started</t>
        </is>
      </c>
      <c r="J720" s="13" t="n"/>
      <c r="K720" s="10" t="inlineStr"/>
      <c r="L720" s="14" t="inlineStr">
        <is>
          <t>▶ watch</t>
        </is>
      </c>
      <c r="M720" s="10" t="inlineStr">
        <is>
          <t>Baker et al. 2001, PNAS 98:10037 (APBS) · Jurrus et al. 2018, Protein Sci 27:112</t>
        </is>
      </c>
      <c r="N720" s="14" t="inlineStr">
        <is>
          <t>read ↗</t>
        </is>
      </c>
      <c r="O720" s="11" t="inlineStr">
        <is>
          <t>reading for G.6 Continuum electrostatics and mesosca</t>
        </is>
      </c>
      <c r="P720" s="10" t="inlineStr"/>
    </row>
    <row r="721">
      <c r="A721" s="15" t="n">
        <v>720</v>
      </c>
      <c r="B721" s="15" t="inlineStr">
        <is>
          <t>Part II - The Method Atlas</t>
        </is>
      </c>
      <c r="C721" s="16" t="inlineStr">
        <is>
          <t>Dynamic allostery, networks, information-theoretic coupling</t>
        </is>
      </c>
      <c r="D721" s="10" t="inlineStr">
        <is>
          <t>Mapping the energetic and allosteric landscapes of protein binding domains</t>
        </is>
      </c>
      <c r="E721" s="10" t="inlineStr">
        <is>
          <t>André Faure (CRG Barcelona</t>
        </is>
      </c>
      <c r="F721" s="11" t="inlineStr">
        <is>
          <t>28:56</t>
        </is>
      </c>
      <c r="G721" s="11" t="n">
        <v>0.48</v>
      </c>
      <c r="H721" s="12" t="inlineStr">
        <is>
          <t>★</t>
        </is>
      </c>
      <c r="I721" s="11" t="inlineStr">
        <is>
          <t>Not started</t>
        </is>
      </c>
      <c r="J721" s="13" t="n"/>
      <c r="K721" s="10" t="inlineStr"/>
      <c r="L721" s="14" t="inlineStr">
        <is>
          <t>▶ watch</t>
        </is>
      </c>
      <c r="M721" s="10" t="inlineStr">
        <is>
          <t>Baker et al. 2001, PNAS 98:10037 (APBS) · Jurrus et al. 2018, Protein Sci 27:112</t>
        </is>
      </c>
      <c r="N721" s="14" t="inlineStr">
        <is>
          <t>read ↗</t>
        </is>
      </c>
      <c r="O721" s="11" t="inlineStr">
        <is>
          <t>reading for G.6 Continuum electrostatics and mesosca</t>
        </is>
      </c>
      <c r="P721" s="10" t="inlineStr"/>
    </row>
    <row r="722">
      <c r="A722" s="15" t="n">
        <v>721</v>
      </c>
      <c r="B722" s="15" t="inlineStr">
        <is>
          <t>Part II - The Method Atlas</t>
        </is>
      </c>
      <c r="C722" s="16" t="inlineStr">
        <is>
          <t>Dynamic allostery, networks, information-theoretic coupling</t>
        </is>
      </c>
      <c r="D722" s="10" t="inlineStr">
        <is>
          <t>Allostery in DNA drives phenotype switching</t>
        </is>
      </c>
      <c r="E722" s="10" t="inlineStr">
        <is>
          <t>Hagen Hofmann (Weizmann</t>
        </is>
      </c>
      <c r="F722" s="11" t="inlineStr">
        <is>
          <t>1:12:31</t>
        </is>
      </c>
      <c r="G722" s="11" t="n">
        <v>1.21</v>
      </c>
      <c r="H722" s="12" t="inlineStr"/>
      <c r="I722" s="11" t="inlineStr">
        <is>
          <t>Not started</t>
        </is>
      </c>
      <c r="J722" s="13" t="n"/>
      <c r="K722" s="10" t="inlineStr"/>
      <c r="L722" s="14" t="inlineStr">
        <is>
          <t>▶ watch</t>
        </is>
      </c>
      <c r="M722" s="10" t="inlineStr">
        <is>
          <t>Baker et al. 2001, PNAS 98:10037 (APBS) · Jurrus et al. 2018, Protein Sci 27:112</t>
        </is>
      </c>
      <c r="N722" s="14" t="inlineStr">
        <is>
          <t>read ↗</t>
        </is>
      </c>
      <c r="O722" s="11" t="inlineStr">
        <is>
          <t>reading for G.6 Continuum electrostatics and mesosca</t>
        </is>
      </c>
      <c r="P722" s="10" t="inlineStr"/>
    </row>
    <row r="723">
      <c r="A723" s="15" t="n">
        <v>722</v>
      </c>
      <c r="B723" s="15" t="inlineStr">
        <is>
          <t>Part II - The Method Atlas</t>
        </is>
      </c>
      <c r="C723" s="16" t="inlineStr">
        <is>
          <t>I.2 Pocket and site detection</t>
        </is>
      </c>
      <c r="D723" s="10" t="inlineStr">
        <is>
          <t>Greg Bowman, TCBG seminar</t>
        </is>
      </c>
      <c r="E723" s="10" t="inlineStr">
        <is>
          <t>Greg Bowman</t>
        </is>
      </c>
      <c r="F723" s="11" t="inlineStr">
        <is>
          <t>1:09:45</t>
        </is>
      </c>
      <c r="G723" s="11" t="n">
        <v>1.16</v>
      </c>
      <c r="H723" s="12" t="inlineStr"/>
      <c r="I723" s="11" t="inlineStr">
        <is>
          <t>Not started</t>
        </is>
      </c>
      <c r="J723" s="13" t="n"/>
      <c r="K723" s="10" t="inlineStr"/>
      <c r="L723" s="14" t="inlineStr">
        <is>
          <t>▶ watch</t>
        </is>
      </c>
      <c r="M723" s="10" t="inlineStr">
        <is>
          <t>Baker et al. 2001, PNAS 98:10037 (APBS) · Jurrus et al. 2018, Protein Sci 27:112</t>
        </is>
      </c>
      <c r="N723" s="14" t="inlineStr">
        <is>
          <t>read ↗</t>
        </is>
      </c>
      <c r="O723" s="11" t="inlineStr">
        <is>
          <t>reading for G.6 Continuum electrostatics and mesosca</t>
        </is>
      </c>
      <c r="P723" s="10" t="inlineStr"/>
    </row>
    <row r="724">
      <c r="A724" s="15" t="n">
        <v>723</v>
      </c>
      <c r="B724" s="15" t="inlineStr">
        <is>
          <t>Part II - The Method Atlas</t>
        </is>
      </c>
      <c r="C724" s="16" t="inlineStr">
        <is>
          <t>I.2 Pocket and site detection</t>
        </is>
      </c>
      <c r="D724" s="10" t="inlineStr">
        <is>
          <t>MSMs, excited states and cryptic pockets</t>
        </is>
      </c>
      <c r="E724" s="10" t="inlineStr">
        <is>
          <t>Greg Bowman</t>
        </is>
      </c>
      <c r="F724" s="11" t="inlineStr">
        <is>
          <t>33:23</t>
        </is>
      </c>
      <c r="G724" s="11" t="n">
        <v>0.5600000000000001</v>
      </c>
      <c r="H724" s="12" t="inlineStr">
        <is>
          <t>★</t>
        </is>
      </c>
      <c r="I724" s="11" t="inlineStr">
        <is>
          <t>Not started</t>
        </is>
      </c>
      <c r="J724" s="13" t="n"/>
      <c r="K724" s="10" t="inlineStr"/>
      <c r="L724" s="14" t="inlineStr">
        <is>
          <t>▶ watch</t>
        </is>
      </c>
      <c r="M724" s="10" t="inlineStr">
        <is>
          <t>Baker et al. 2001, PNAS 98:10037 (APBS) · Jurrus et al. 2018, Protein Sci 27:112</t>
        </is>
      </c>
      <c r="N724" s="14" t="inlineStr">
        <is>
          <t>read ↗</t>
        </is>
      </c>
      <c r="O724" s="11" t="inlineStr">
        <is>
          <t>reading for G.6 Continuum electrostatics and mesosca</t>
        </is>
      </c>
      <c r="P724" s="10" t="inlineStr">
        <is>
          <t>B.4 Workshop on Free Energy, Kinetics and MSM in Drug Design, 2018 - 43 videos</t>
        </is>
      </c>
    </row>
    <row r="725">
      <c r="A725" s="15" t="n">
        <v>724</v>
      </c>
      <c r="B725" s="15" t="inlineStr">
        <is>
          <t>Part II - The Method Atlas</t>
        </is>
      </c>
      <c r="C725" s="16" t="inlineStr">
        <is>
          <t>I.2 Pocket and site detection</t>
        </is>
      </c>
      <c r="D725" s="10" t="inlineStr">
        <is>
          <t>Translational Allostery: From Cryptic Binding Pockets to Latent Networks</t>
        </is>
      </c>
      <c r="E725" s="10" t="inlineStr">
        <is>
          <t>The Protein Society</t>
        </is>
      </c>
      <c r="F725" s="11" t="inlineStr">
        <is>
          <t>2:27:00</t>
        </is>
      </c>
      <c r="G725" s="11" t="n">
        <v>2.45</v>
      </c>
      <c r="H725" s="12" t="inlineStr"/>
      <c r="I725" s="11" t="inlineStr">
        <is>
          <t>Not started</t>
        </is>
      </c>
      <c r="J725" s="13" t="n"/>
      <c r="K725" s="10" t="inlineStr"/>
      <c r="L725" s="14" t="inlineStr">
        <is>
          <t>▶ watch</t>
        </is>
      </c>
      <c r="M725" s="10" t="inlineStr">
        <is>
          <t>Baker et al. 2001, PNAS 98:10037 (APBS) · Jurrus et al. 2018, Protein Sci 27:112</t>
        </is>
      </c>
      <c r="N725" s="14" t="inlineStr">
        <is>
          <t>read ↗</t>
        </is>
      </c>
      <c r="O725" s="11" t="inlineStr">
        <is>
          <t>reading for G.6 Continuum electrostatics and mesosca</t>
        </is>
      </c>
      <c r="P725" s="10" t="inlineStr"/>
    </row>
    <row r="726">
      <c r="A726" s="15" t="n">
        <v>725</v>
      </c>
      <c r="B726" s="15" t="inlineStr">
        <is>
          <t>Part II - The Method Atlas</t>
        </is>
      </c>
      <c r="C726" s="16" t="inlineStr">
        <is>
          <t>I.2 Pocket and site detection</t>
        </is>
      </c>
      <c r="D726" s="10" t="inlineStr">
        <is>
          <t>Drugging the Undruggable: Detecting and Ranking Cryptic Pockets</t>
        </is>
      </c>
      <c r="E726" s="10" t="inlineStr">
        <is>
          <t>OpenEye / Cadence</t>
        </is>
      </c>
      <c r="F726" s="11" t="inlineStr">
        <is>
          <t>46:46</t>
        </is>
      </c>
      <c r="G726" s="11" t="n">
        <v>0.78</v>
      </c>
      <c r="H726" s="12" t="inlineStr"/>
      <c r="I726" s="11" t="inlineStr">
        <is>
          <t>Not started</t>
        </is>
      </c>
      <c r="J726" s="13" t="n"/>
      <c r="K726" s="10" t="inlineStr"/>
      <c r="L726" s="14" t="inlineStr">
        <is>
          <t>▶ watch</t>
        </is>
      </c>
      <c r="M726" s="10" t="inlineStr">
        <is>
          <t>Baker et al. 2001, PNAS 98:10037 (APBS) · Jurrus et al. 2018, Protein Sci 27:112</t>
        </is>
      </c>
      <c r="N726" s="14" t="inlineStr">
        <is>
          <t>read ↗</t>
        </is>
      </c>
      <c r="O726" s="11" t="inlineStr">
        <is>
          <t>reading for G.6 Continuum electrostatics and mesosca</t>
        </is>
      </c>
      <c r="P726" s="10" t="inlineStr"/>
    </row>
    <row r="727">
      <c r="A727" s="15" t="n">
        <v>726</v>
      </c>
      <c r="B727" s="15" t="inlineStr">
        <is>
          <t>Part II - The Method Atlas</t>
        </is>
      </c>
      <c r="C727" s="16" t="inlineStr">
        <is>
          <t>I.2 Pocket and site detection</t>
        </is>
      </c>
      <c r="D727" s="10" t="inlineStr">
        <is>
          <t>Investigating cryptic binding sites and allostery</t>
        </is>
      </c>
      <c r="E727" s="10" t="inlineStr">
        <is>
          <t>ALLODD</t>
        </is>
      </c>
      <c r="F727" s="11" t="inlineStr">
        <is>
          <t>58:51</t>
        </is>
      </c>
      <c r="G727" s="11" t="n">
        <v>0.98</v>
      </c>
      <c r="H727" s="12" t="inlineStr"/>
      <c r="I727" s="11" t="inlineStr">
        <is>
          <t>Not started</t>
        </is>
      </c>
      <c r="J727" s="13" t="n"/>
      <c r="K727" s="10" t="inlineStr"/>
      <c r="L727" s="14" t="inlineStr">
        <is>
          <t>▶ watch</t>
        </is>
      </c>
      <c r="M727" s="10" t="inlineStr">
        <is>
          <t>Baker et al. 2001, PNAS 98:10037 (APBS) · Jurrus et al. 2018, Protein Sci 27:112</t>
        </is>
      </c>
      <c r="N727" s="14" t="inlineStr">
        <is>
          <t>read ↗</t>
        </is>
      </c>
      <c r="O727" s="11" t="inlineStr">
        <is>
          <t>reading for G.6 Continuum electrostatics and mesosca</t>
        </is>
      </c>
      <c r="P727" s="10" t="inlineStr"/>
    </row>
    <row r="728">
      <c r="A728" s="15" t="n">
        <v>727</v>
      </c>
      <c r="B728" s="15" t="inlineStr">
        <is>
          <t>Part II - The Method Atlas</t>
        </is>
      </c>
      <c r="C728" s="16" t="inlineStr">
        <is>
          <t>I.2 Pocket and site detection</t>
        </is>
      </c>
      <c r="D728" s="10" t="inlineStr">
        <is>
          <t>Characterization of allosteric pockets in a protein-membrane environment</t>
        </is>
      </c>
      <c r="E728" s="10" t="inlineStr">
        <is>
          <t>ALLODD</t>
        </is>
      </c>
      <c r="F728" s="11" t="inlineStr">
        <is>
          <t>1:05:13</t>
        </is>
      </c>
      <c r="G728" s="11" t="n">
        <v>1.09</v>
      </c>
      <c r="H728" s="12" t="inlineStr"/>
      <c r="I728" s="11" t="inlineStr">
        <is>
          <t>Not started</t>
        </is>
      </c>
      <c r="J728" s="13" t="n"/>
      <c r="K728" s="10" t="inlineStr"/>
      <c r="L728" s="14" t="inlineStr">
        <is>
          <t>▶ watch</t>
        </is>
      </c>
      <c r="M728" s="10" t="inlineStr">
        <is>
          <t>Baker et al. 2001, PNAS 98:10037 (APBS) · Jurrus et al. 2018, Protein Sci 27:112</t>
        </is>
      </c>
      <c r="N728" s="14" t="inlineStr">
        <is>
          <t>read ↗</t>
        </is>
      </c>
      <c r="O728" s="11" t="inlineStr">
        <is>
          <t>reading for G.6 Continuum electrostatics and mesosca</t>
        </is>
      </c>
      <c r="P728" s="10" t="inlineStr"/>
    </row>
    <row r="729">
      <c r="A729" s="15" t="n">
        <v>728</v>
      </c>
      <c r="B729" s="15" t="inlineStr">
        <is>
          <t>Part II - The Method Atlas</t>
        </is>
      </c>
      <c r="C729" s="16" t="inlineStr">
        <is>
          <t>I.2 Pocket and site detection</t>
        </is>
      </c>
      <c r="D729" s="10" t="inlineStr">
        <is>
          <t>Design and synthesis of covalent allosteric probes</t>
        </is>
      </c>
      <c r="E729" s="10" t="inlineStr">
        <is>
          <t>ALLODD</t>
        </is>
      </c>
      <c r="F729" s="11" t="inlineStr">
        <is>
          <t>1:09:17</t>
        </is>
      </c>
      <c r="G729" s="11" t="n">
        <v>1.15</v>
      </c>
      <c r="H729" s="12" t="inlineStr"/>
      <c r="I729" s="11" t="inlineStr">
        <is>
          <t>Not started</t>
        </is>
      </c>
      <c r="J729" s="13" t="n"/>
      <c r="K729" s="10" t="inlineStr"/>
      <c r="L729" s="14" t="inlineStr">
        <is>
          <t>▶ watch</t>
        </is>
      </c>
      <c r="M729" s="10" t="inlineStr">
        <is>
          <t>Baker et al. 2001, PNAS 98:10037 (APBS) · Jurrus et al. 2018, Protein Sci 27:112</t>
        </is>
      </c>
      <c r="N729" s="14" t="inlineStr">
        <is>
          <t>read ↗</t>
        </is>
      </c>
      <c r="O729" s="11" t="inlineStr">
        <is>
          <t>reading for G.6 Continuum electrostatics and mesosca</t>
        </is>
      </c>
      <c r="P729" s="10" t="inlineStr"/>
    </row>
    <row r="730">
      <c r="A730" s="15" t="n">
        <v>729</v>
      </c>
      <c r="B730" s="15" t="inlineStr">
        <is>
          <t>Part II - The Method Atlas</t>
        </is>
      </c>
      <c r="C730" s="16" t="inlineStr">
        <is>
          <t>I.2 Pocket and site detection</t>
        </is>
      </c>
      <c r="D730" s="10" t="inlineStr">
        <is>
          <t>CCPBioSim (MacKerell method</t>
        </is>
      </c>
      <c r="E730" s="10" t="inlineStr">
        <is>
          <t>SILCS</t>
        </is>
      </c>
      <c r="F730" s="11" t="inlineStr">
        <is>
          <t>1:14:34</t>
        </is>
      </c>
      <c r="G730" s="11" t="n">
        <v>1.24</v>
      </c>
      <c r="H730" s="12" t="inlineStr">
        <is>
          <t>★</t>
        </is>
      </c>
      <c r="I730" s="11" t="inlineStr">
        <is>
          <t>Not started</t>
        </is>
      </c>
      <c r="J730" s="13" t="n"/>
      <c r="K730" s="10" t="inlineStr"/>
      <c r="L730" s="14" t="inlineStr">
        <is>
          <t>▶ watch</t>
        </is>
      </c>
      <c r="M730" s="10" t="inlineStr">
        <is>
          <t>Baker et al. 2001, PNAS 98:10037 (APBS) · Jurrus et al. 2018, Protein Sci 27:112</t>
        </is>
      </c>
      <c r="N730" s="14" t="inlineStr">
        <is>
          <t>read ↗</t>
        </is>
      </c>
      <c r="O730" s="11" t="inlineStr">
        <is>
          <t>reading for G.6 Continuum electrostatics and mesosca</t>
        </is>
      </c>
      <c r="P730" s="10" t="inlineStr"/>
    </row>
    <row r="731">
      <c r="A731" s="15" t="n">
        <v>730</v>
      </c>
      <c r="B731" s="15" t="inlineStr">
        <is>
          <t>Part II - The Method Atlas</t>
        </is>
      </c>
      <c r="C731" s="16" t="inlineStr">
        <is>
          <t>I.2 Pocket and site detection</t>
        </is>
      </c>
      <c r="D731" s="10" t="inlineStr">
        <is>
          <t>SILCS-WATER: the role of water in protein-ligand binding</t>
        </is>
      </c>
      <c r="E731" s="10" t="inlineStr">
        <is>
          <t>SilcsBio</t>
        </is>
      </c>
      <c r="F731" s="11" t="inlineStr">
        <is>
          <t>56:17</t>
        </is>
      </c>
      <c r="G731" s="11" t="n">
        <v>0.9399999999999999</v>
      </c>
      <c r="H731" s="12" t="inlineStr"/>
      <c r="I731" s="11" t="inlineStr">
        <is>
          <t>Not started</t>
        </is>
      </c>
      <c r="J731" s="13" t="n"/>
      <c r="K731" s="10" t="inlineStr"/>
      <c r="L731" s="14" t="inlineStr">
        <is>
          <t>▶ watch</t>
        </is>
      </c>
      <c r="M731" s="10" t="inlineStr">
        <is>
          <t>Baker et al. 2001, PNAS 98:10037 (APBS) · Jurrus et al. 2018, Protein Sci 27:112</t>
        </is>
      </c>
      <c r="N731" s="14" t="inlineStr">
        <is>
          <t>read ↗</t>
        </is>
      </c>
      <c r="O731" s="11" t="inlineStr">
        <is>
          <t>reading for G.6 Continuum electrostatics and mesosca</t>
        </is>
      </c>
      <c r="P731" s="10" t="inlineStr"/>
    </row>
    <row r="732">
      <c r="A732" s="15" t="n">
        <v>731</v>
      </c>
      <c r="B732" s="15" t="inlineStr">
        <is>
          <t>Part II - The Method Atlas</t>
        </is>
      </c>
      <c r="C732" s="16" t="inlineStr">
        <is>
          <t>I.2 Pocket and site detection</t>
        </is>
      </c>
      <c r="D732" s="10" t="inlineStr">
        <is>
          <t>Automating Structure-Based Design Using Fragment Hotspot Maps</t>
        </is>
      </c>
      <c r="E732" s="10" t="inlineStr">
        <is>
          <t>Chris Radoux (CCDC</t>
        </is>
      </c>
      <c r="F732" s="11" t="inlineStr">
        <is>
          <t>34:56</t>
        </is>
      </c>
      <c r="G732" s="11" t="n">
        <v>0.58</v>
      </c>
      <c r="H732" s="12" t="inlineStr">
        <is>
          <t>★</t>
        </is>
      </c>
      <c r="I732" s="11" t="inlineStr">
        <is>
          <t>Not started</t>
        </is>
      </c>
      <c r="J732" s="13" t="n"/>
      <c r="K732" s="10" t="inlineStr"/>
      <c r="L732" s="14" t="inlineStr">
        <is>
          <t>▶ watch</t>
        </is>
      </c>
      <c r="M732" s="10" t="inlineStr">
        <is>
          <t>Baker et al. 2001, PNAS 98:10037 (APBS) · Jurrus et al. 2018, Protein Sci 27:112</t>
        </is>
      </c>
      <c r="N732" s="14" t="inlineStr">
        <is>
          <t>read ↗</t>
        </is>
      </c>
      <c r="O732" s="11" t="inlineStr">
        <is>
          <t>reading for G.6 Continuum electrostatics and mesosca</t>
        </is>
      </c>
      <c r="P732" s="10" t="inlineStr"/>
    </row>
    <row r="733">
      <c r="A733" s="15" t="n">
        <v>732</v>
      </c>
      <c r="B733" s="15" t="inlineStr">
        <is>
          <t>Part II - The Method Atlas</t>
        </is>
      </c>
      <c r="C733" s="16" t="inlineStr">
        <is>
          <t>I.2 Pocket and site detection</t>
        </is>
      </c>
      <c r="D733" s="10" t="inlineStr">
        <is>
          <t>Identifying Druggable Pockets for Protein Ensembles</t>
        </is>
      </c>
      <c r="E733" s="10" t="inlineStr">
        <is>
          <t>Lane Votapka (Amaro lab</t>
        </is>
      </c>
      <c r="F733" s="11" t="inlineStr">
        <is>
          <t>20:19</t>
        </is>
      </c>
      <c r="G733" s="11" t="n">
        <v>0.34</v>
      </c>
      <c r="H733" s="12" t="inlineStr"/>
      <c r="I733" s="11" t="inlineStr">
        <is>
          <t>Not started</t>
        </is>
      </c>
      <c r="J733" s="13" t="n"/>
      <c r="K733" s="10" t="inlineStr"/>
      <c r="L733" s="14" t="inlineStr">
        <is>
          <t>▶ watch</t>
        </is>
      </c>
      <c r="M733" s="10" t="inlineStr">
        <is>
          <t>Baker et al. 2001, PNAS 98:10037 (APBS) · Jurrus et al. 2018, Protein Sci 27:112</t>
        </is>
      </c>
      <c r="N733" s="14" t="inlineStr">
        <is>
          <t>read ↗</t>
        </is>
      </c>
      <c r="O733" s="11" t="inlineStr">
        <is>
          <t>reading for G.6 Continuum electrostatics and mesosca</t>
        </is>
      </c>
      <c r="P733" s="10" t="inlineStr"/>
    </row>
    <row r="734">
      <c r="A734" s="15" t="n">
        <v>733</v>
      </c>
      <c r="B734" s="15" t="inlineStr">
        <is>
          <t>Part II - The Method Atlas</t>
        </is>
      </c>
      <c r="C734" s="16" t="inlineStr">
        <is>
          <t>I.2 Pocket and site detection</t>
        </is>
      </c>
      <c r="D734" s="10" t="inlineStr">
        <is>
          <t>CASP-16 Predictor talk: ClusPro</t>
        </is>
      </c>
      <c r="E734" s="10" t="inlineStr">
        <is>
          <t>Dima Kozakov (Stony Brook</t>
        </is>
      </c>
      <c r="F734" s="11" t="inlineStr">
        <is>
          <t>20:02</t>
        </is>
      </c>
      <c r="G734" s="11" t="n">
        <v>0.33</v>
      </c>
      <c r="H734" s="12" t="inlineStr"/>
      <c r="I734" s="11" t="inlineStr">
        <is>
          <t>Not started</t>
        </is>
      </c>
      <c r="J734" s="13" t="n"/>
      <c r="K734" s="10" t="inlineStr"/>
      <c r="L734" s="14" t="inlineStr">
        <is>
          <t>▶ watch</t>
        </is>
      </c>
      <c r="M734" s="10" t="inlineStr">
        <is>
          <t>Baker et al. 2001, PNAS 98:10037 (APBS) · Jurrus et al. 2018, Protein Sci 27:112</t>
        </is>
      </c>
      <c r="N734" s="14" t="inlineStr">
        <is>
          <t>read ↗</t>
        </is>
      </c>
      <c r="O734" s="11" t="inlineStr">
        <is>
          <t>reading for G.6 Continuum electrostatics and mesosca</t>
        </is>
      </c>
      <c r="P734" s="10" t="inlineStr"/>
    </row>
    <row r="735">
      <c r="A735" s="15" t="n">
        <v>734</v>
      </c>
      <c r="B735" s="15" t="inlineStr">
        <is>
          <t>Part II - The Method Atlas</t>
        </is>
      </c>
      <c r="C735" s="16" t="inlineStr">
        <is>
          <t>I.3 Interfaces and hot spots</t>
        </is>
      </c>
      <c r="D735" s="10" t="inlineStr">
        <is>
          <t>I, biochemist: Automation and AI in the lab</t>
        </is>
      </c>
      <c r="E735" s="10" t="inlineStr">
        <is>
          <t>Tanja Kortemme (UCSF</t>
        </is>
      </c>
      <c r="F735" s="11" t="inlineStr">
        <is>
          <t>49:41</t>
        </is>
      </c>
      <c r="G735" s="11" t="n">
        <v>0.83</v>
      </c>
      <c r="H735" s="12" t="inlineStr"/>
      <c r="I735" s="11" t="inlineStr">
        <is>
          <t>Not started</t>
        </is>
      </c>
      <c r="J735" s="13" t="n"/>
      <c r="K735" s="10" t="inlineStr"/>
      <c r="L735" s="14" t="inlineStr">
        <is>
          <t>▶ watch</t>
        </is>
      </c>
      <c r="M735" s="10" t="inlineStr">
        <is>
          <t>Baker et al. 2001, PNAS 98:10037 (APBS) · Jurrus et al. 2018, Protein Sci 27:112</t>
        </is>
      </c>
      <c r="N735" s="14" t="inlineStr">
        <is>
          <t>read ↗</t>
        </is>
      </c>
      <c r="O735" s="11" t="inlineStr">
        <is>
          <t>reading for G.6 Continuum electrostatics and mesosca</t>
        </is>
      </c>
      <c r="P735" s="10" t="inlineStr"/>
    </row>
    <row r="736">
      <c r="A736" s="15" t="n">
        <v>735</v>
      </c>
      <c r="B736" s="15" t="inlineStr">
        <is>
          <t>Part II - The Method Atlas</t>
        </is>
      </c>
      <c r="C736" s="16" t="inlineStr">
        <is>
          <t>I.3 Interfaces and hot spots</t>
        </is>
      </c>
      <c r="D736" s="10" t="inlineStr">
        <is>
          <t>Protein-Protein Interfaces</t>
        </is>
      </c>
      <c r="E736" s="10" t="inlineStr">
        <is>
          <t>RosettaCommons</t>
        </is>
      </c>
      <c r="F736" s="11" t="inlineStr">
        <is>
          <t>7:49</t>
        </is>
      </c>
      <c r="G736" s="11" t="n">
        <v>0.13</v>
      </c>
      <c r="H736" s="12" t="inlineStr"/>
      <c r="I736" s="11" t="inlineStr">
        <is>
          <t>Not started</t>
        </is>
      </c>
      <c r="J736" s="13" t="n"/>
      <c r="K736" s="10" t="inlineStr"/>
      <c r="L736" s="14" t="inlineStr">
        <is>
          <t>▶ watch</t>
        </is>
      </c>
      <c r="M736" s="10" t="inlineStr">
        <is>
          <t>Baker et al. 2001, PNAS 98:10037 (APBS) · Jurrus et al. 2018, Protein Sci 27:112</t>
        </is>
      </c>
      <c r="N736" s="14" t="inlineStr">
        <is>
          <t>read ↗</t>
        </is>
      </c>
      <c r="O736" s="11" t="inlineStr">
        <is>
          <t>reading for G.6 Continuum electrostatics and mesosca</t>
        </is>
      </c>
      <c r="P736" s="10" t="inlineStr">
        <is>
          <t>Designing Protein-Protein Interactions (2025) - 8 videos</t>
        </is>
      </c>
    </row>
    <row r="737">
      <c r="A737" s="15" t="n">
        <v>736</v>
      </c>
      <c r="B737" s="15" t="inlineStr">
        <is>
          <t>Part II - The Method Atlas</t>
        </is>
      </c>
      <c r="C737" s="16" t="inlineStr">
        <is>
          <t>I.3 Interfaces and hot spots</t>
        </is>
      </c>
      <c r="D737" s="10" t="inlineStr">
        <is>
          <t>How FoldX works, with examples</t>
        </is>
      </c>
      <c r="E737" s="10" t="inlineStr">
        <is>
          <t>FoldX team</t>
        </is>
      </c>
      <c r="F737" s="11" t="inlineStr">
        <is>
          <t>16:26</t>
        </is>
      </c>
      <c r="G737" s="11" t="n">
        <v>0.27</v>
      </c>
      <c r="H737" s="12" t="inlineStr"/>
      <c r="I737" s="11" t="inlineStr">
        <is>
          <t>Not started</t>
        </is>
      </c>
      <c r="J737" s="13" t="n"/>
      <c r="K737" s="10" t="inlineStr"/>
      <c r="L737" s="14" t="inlineStr">
        <is>
          <t>▶ watch</t>
        </is>
      </c>
      <c r="M737" s="10" t="inlineStr">
        <is>
          <t>Baker et al. 2001, PNAS 98:10037 (APBS) · Jurrus et al. 2018, Protein Sci 27:112</t>
        </is>
      </c>
      <c r="N737" s="14" t="inlineStr">
        <is>
          <t>read ↗</t>
        </is>
      </c>
      <c r="O737" s="11" t="inlineStr">
        <is>
          <t>reading for G.6 Continuum electrostatics and mesosca</t>
        </is>
      </c>
      <c r="P737" s="10" t="inlineStr"/>
    </row>
    <row r="738">
      <c r="A738" s="15" t="n">
        <v>737</v>
      </c>
      <c r="B738" s="15" t="inlineStr">
        <is>
          <t>Part II - The Method Atlas</t>
        </is>
      </c>
      <c r="C738" s="16" t="inlineStr">
        <is>
          <t>I.3 Interfaces and hot spots</t>
        </is>
      </c>
      <c r="D738" s="10" t="inlineStr">
        <is>
          <t>Computational Protein Design: Design of Protein-Protein Interactions</t>
        </is>
      </c>
      <c r="E738" s="10" t="inlineStr">
        <is>
          <t>Julia Shifman (Hebrew University</t>
        </is>
      </c>
      <c r="F738" s="11" t="inlineStr">
        <is>
          <t>42:32</t>
        </is>
      </c>
      <c r="G738" s="11" t="n">
        <v>0.71</v>
      </c>
      <c r="H738" s="12" t="inlineStr"/>
      <c r="I738" s="11" t="inlineStr">
        <is>
          <t>Not started</t>
        </is>
      </c>
      <c r="J738" s="13" t="n"/>
      <c r="K738" s="10" t="inlineStr"/>
      <c r="L738" s="14" t="inlineStr">
        <is>
          <t>▶ watch</t>
        </is>
      </c>
      <c r="M738" s="10" t="inlineStr">
        <is>
          <t>Baker et al. 2001, PNAS 98:10037 (APBS) · Jurrus et al. 2018, Protein Sci 27:112</t>
        </is>
      </c>
      <c r="N738" s="14" t="inlineStr">
        <is>
          <t>read ↗</t>
        </is>
      </c>
      <c r="O738" s="11" t="inlineStr">
        <is>
          <t>reading for G.6 Continuum electrostatics and mesosca</t>
        </is>
      </c>
      <c r="P738" s="10" t="inlineStr"/>
    </row>
    <row r="739">
      <c r="A739" s="15" t="n">
        <v>738</v>
      </c>
      <c r="B739" s="15" t="inlineStr">
        <is>
          <t>Part II - The Method Atlas</t>
        </is>
      </c>
      <c r="C739" s="16" t="inlineStr">
        <is>
          <t>I.3 Interfaces and hot spots</t>
        </is>
      </c>
      <c r="D739" s="10" t="inlineStr">
        <is>
          <t>Deciphering interaction fingerprints from molecular surfaces (MaSIF</t>
        </is>
      </c>
      <c r="E739" s="10" t="inlineStr">
        <is>
          <t>Correia lab method, journal club</t>
        </is>
      </c>
      <c r="F739" s="11" t="inlineStr">
        <is>
          <t>1:12:13</t>
        </is>
      </c>
      <c r="G739" s="11" t="n">
        <v>1.2</v>
      </c>
      <c r="H739" s="12" t="inlineStr">
        <is>
          <t>★</t>
        </is>
      </c>
      <c r="I739" s="11" t="inlineStr">
        <is>
          <t>Not started</t>
        </is>
      </c>
      <c r="J739" s="13" t="n"/>
      <c r="K739" s="10" t="inlineStr"/>
      <c r="L739" s="14" t="inlineStr">
        <is>
          <t>▶ watch</t>
        </is>
      </c>
      <c r="M739" s="10" t="inlineStr">
        <is>
          <t>Baker et al. 2001, PNAS 98:10037 (APBS) · Jurrus et al. 2018, Protein Sci 27:112</t>
        </is>
      </c>
      <c r="N739" s="14" t="inlineStr">
        <is>
          <t>read ↗</t>
        </is>
      </c>
      <c r="O739" s="11" t="inlineStr">
        <is>
          <t>reading for G.6 Continuum electrostatics and mesosca</t>
        </is>
      </c>
      <c r="P739" s="10" t="inlineStr"/>
    </row>
    <row r="740">
      <c r="A740" s="15" t="n">
        <v>739</v>
      </c>
      <c r="B740" s="15" t="inlineStr">
        <is>
          <t>Part II - The Method Atlas</t>
        </is>
      </c>
      <c r="C740" s="16" t="inlineStr">
        <is>
          <t>I.3 Interfaces and hot spots</t>
        </is>
      </c>
      <c r="D740" s="10" t="inlineStr">
        <is>
          <t>Massively parallel discovery of peptides to inhibit protein interactions</t>
        </is>
      </c>
      <c r="E740" s="10" t="inlineStr">
        <is>
          <t>BPDMC</t>
        </is>
      </c>
      <c r="F740" s="11" t="inlineStr">
        <is>
          <t>1:12:44</t>
        </is>
      </c>
      <c r="G740" s="11" t="n">
        <v>1.21</v>
      </c>
      <c r="H740" s="12" t="inlineStr"/>
      <c r="I740" s="11" t="inlineStr">
        <is>
          <t>Not started</t>
        </is>
      </c>
      <c r="J740" s="13" t="n"/>
      <c r="K740" s="10" t="inlineStr"/>
      <c r="L740" s="14" t="inlineStr">
        <is>
          <t>▶ watch</t>
        </is>
      </c>
      <c r="M740" s="10" t="inlineStr">
        <is>
          <t>Baker et al. 2001, PNAS 98:10037 (APBS) · Jurrus et al. 2018, Protein Sci 27:112</t>
        </is>
      </c>
      <c r="N740" s="14" t="inlineStr">
        <is>
          <t>read ↗</t>
        </is>
      </c>
      <c r="O740" s="11" t="inlineStr">
        <is>
          <t>reading for G.6 Continuum electrostatics and mesosca</t>
        </is>
      </c>
      <c r="P740" s="10" t="inlineStr">
        <is>
          <t>2024; R.6 Peptides and macrocycles</t>
        </is>
      </c>
    </row>
    <row r="741">
      <c r="A741" s="15" t="n">
        <v>740</v>
      </c>
      <c r="B741" s="15" t="inlineStr">
        <is>
          <t>Part II - The Method Atlas</t>
        </is>
      </c>
      <c r="C741" s="16" t="inlineStr">
        <is>
          <t>I.3 Interfaces and hot spots</t>
        </is>
      </c>
      <c r="D741" s="10" t="inlineStr">
        <is>
          <t>Structural and functional determinants inferred from deep mutational scans</t>
        </is>
      </c>
      <c r="E741" s="10" t="inlineStr">
        <is>
          <t>Priyanka Bajaj</t>
        </is>
      </c>
      <c r="F741" s="11" t="inlineStr">
        <is>
          <t>32:57</t>
        </is>
      </c>
      <c r="G741" s="11" t="n">
        <v>0.55</v>
      </c>
      <c r="H741" s="12" t="inlineStr"/>
      <c r="I741" s="11" t="inlineStr">
        <is>
          <t>Not started</t>
        </is>
      </c>
      <c r="J741" s="13" t="n"/>
      <c r="K741" s="10" t="inlineStr"/>
      <c r="L741" s="14" t="inlineStr">
        <is>
          <t>▶ watch</t>
        </is>
      </c>
      <c r="M741" s="10" t="inlineStr">
        <is>
          <t>Baker et al. 2001, PNAS 98:10037 (APBS) · Jurrus et al. 2018, Protein Sci 27:112</t>
        </is>
      </c>
      <c r="N741" s="14" t="inlineStr">
        <is>
          <t>read ↗</t>
        </is>
      </c>
      <c r="O741" s="11" t="inlineStr">
        <is>
          <t>reading for G.6 Continuum electrostatics and mesosca</t>
        </is>
      </c>
      <c r="P741" s="10" t="inlineStr"/>
    </row>
    <row r="742">
      <c r="A742" s="15" t="n">
        <v>741</v>
      </c>
      <c r="B742" s="15" t="inlineStr">
        <is>
          <t>Part II - The Method Atlas</t>
        </is>
      </c>
      <c r="C742" s="16" t="inlineStr">
        <is>
          <t>I.3 Interfaces and hot spots</t>
        </is>
      </c>
      <c r="D742" s="10" t="inlineStr">
        <is>
          <t>Predicting folding stability and aggregation from large-scale experiments</t>
        </is>
      </c>
      <c r="E742" s="10" t="inlineStr">
        <is>
          <t>BPDMC</t>
        </is>
      </c>
      <c r="F742" s="11" t="inlineStr">
        <is>
          <t>1:00:30</t>
        </is>
      </c>
      <c r="G742" s="11" t="n">
        <v>1.01</v>
      </c>
      <c r="H742" s="12" t="inlineStr">
        <is>
          <t>★</t>
        </is>
      </c>
      <c r="I742" s="11" t="inlineStr">
        <is>
          <t>Not started</t>
        </is>
      </c>
      <c r="J742" s="13" t="n"/>
      <c r="K742" s="10" t="inlineStr"/>
      <c r="L742" s="14" t="inlineStr">
        <is>
          <t>▶ watch</t>
        </is>
      </c>
      <c r="M742" s="10" t="inlineStr">
        <is>
          <t>Baker et al. 2001, PNAS 98:10037 (APBS) · Jurrus et al. 2018, Protein Sci 27:112</t>
        </is>
      </c>
      <c r="N742" s="14" t="inlineStr">
        <is>
          <t>read ↗</t>
        </is>
      </c>
      <c r="O742" s="11" t="inlineStr">
        <is>
          <t>reading for G.6 Continuum electrostatics and mesosca</t>
        </is>
      </c>
      <c r="P742" s="10" t="inlineStr">
        <is>
          <t>2025; R.1 Inverse folding and sequence design</t>
        </is>
      </c>
    </row>
    <row r="743">
      <c r="A743" s="15" t="n">
        <v>742</v>
      </c>
      <c r="B743" s="15" t="inlineStr">
        <is>
          <t>Part II - The Method Atlas</t>
        </is>
      </c>
      <c r="C743" s="16" t="inlineStr">
        <is>
          <t>I.3 Interfaces and hot spots</t>
        </is>
      </c>
      <c r="D743" s="10" t="inlineStr">
        <is>
          <t>Affinity Maturation walkthrough (Rosetta Workshop 2021</t>
        </is>
      </c>
      <c r="E743" s="10" t="inlineStr">
        <is>
          <t>Meiler Lab</t>
        </is>
      </c>
      <c r="F743" s="11" t="inlineStr">
        <is>
          <t>33:40</t>
        </is>
      </c>
      <c r="G743" s="11" t="n">
        <v>0.5600000000000001</v>
      </c>
      <c r="H743" s="12" t="inlineStr"/>
      <c r="I743" s="11" t="inlineStr">
        <is>
          <t>Not started</t>
        </is>
      </c>
      <c r="J743" s="13" t="n"/>
      <c r="K743" s="10" t="inlineStr"/>
      <c r="L743" s="14" t="inlineStr">
        <is>
          <t>▶ watch</t>
        </is>
      </c>
      <c r="M743" s="10" t="inlineStr">
        <is>
          <t>Baker et al. 2001, PNAS 98:10037 (APBS) · Jurrus et al. 2018, Protein Sci 27:112</t>
        </is>
      </c>
      <c r="N743" s="14" t="inlineStr">
        <is>
          <t>read ↗</t>
        </is>
      </c>
      <c r="O743" s="11" t="inlineStr">
        <is>
          <t>reading for G.6 Continuum electrostatics and mesosca</t>
        </is>
      </c>
      <c r="P743" s="10" t="inlineStr"/>
    </row>
    <row r="744">
      <c r="A744" s="15" t="n">
        <v>743</v>
      </c>
      <c r="B744" s="15" t="inlineStr">
        <is>
          <t>Part II - The Method Atlas</t>
        </is>
      </c>
      <c r="C744" s="16" t="inlineStr">
        <is>
          <t>I.3 Interfaces and hot spots</t>
        </is>
      </c>
      <c r="D744" s="10" t="inlineStr">
        <is>
          <t>New Capabilities in Computational Protein Design</t>
        </is>
      </c>
      <c r="E744" s="10" t="inlineStr">
        <is>
          <t>The Protein Society</t>
        </is>
      </c>
      <c r="F744" s="11" t="inlineStr">
        <is>
          <t>2:44:17</t>
        </is>
      </c>
      <c r="G744" s="11" t="n">
        <v>2.74</v>
      </c>
      <c r="H744" s="12" t="inlineStr"/>
      <c r="I744" s="11" t="inlineStr">
        <is>
          <t>Not started</t>
        </is>
      </c>
      <c r="J744" s="13" t="n"/>
      <c r="K744" s="10" t="inlineStr"/>
      <c r="L744" s="14" t="inlineStr">
        <is>
          <t>▶ watch</t>
        </is>
      </c>
      <c r="M744" s="10" t="inlineStr">
        <is>
          <t>Baker et al. 2001, PNAS 98:10037 (APBS) · Jurrus et al. 2018, Protein Sci 27:112</t>
        </is>
      </c>
      <c r="N744" s="14" t="inlineStr">
        <is>
          <t>read ↗</t>
        </is>
      </c>
      <c r="O744" s="11" t="inlineStr">
        <is>
          <t>reading for G.6 Continuum electrostatics and mesosca</t>
        </is>
      </c>
      <c r="P744" s="10" t="inlineStr"/>
    </row>
    <row r="745">
      <c r="A745" s="15" t="n">
        <v>744</v>
      </c>
      <c r="B745" s="15" t="inlineStr">
        <is>
          <t>Part II - The Method Atlas</t>
        </is>
      </c>
      <c r="C745" s="16" t="inlineStr">
        <is>
          <t>I.4 Trajectory analysis - and its pitfalls</t>
        </is>
      </c>
      <c r="D745" s="10" t="inlineStr">
        <is>
          <t>Intro to MD Trajectory Analysis using MDAnalysis</t>
        </is>
      </c>
      <c r="E745" s="10" t="inlineStr">
        <is>
          <t>MDAnalysis project</t>
        </is>
      </c>
      <c r="F745" s="11" t="inlineStr">
        <is>
          <t>1:40:34</t>
        </is>
      </c>
      <c r="G745" s="11" t="n">
        <v>1.68</v>
      </c>
      <c r="H745" s="12" t="inlineStr"/>
      <c r="I745" s="11" t="inlineStr">
        <is>
          <t>Not started</t>
        </is>
      </c>
      <c r="J745" s="13" t="n"/>
      <c r="K745" s="10" t="inlineStr"/>
      <c r="L745" s="14" t="inlineStr">
        <is>
          <t>▶ watch</t>
        </is>
      </c>
      <c r="M745" s="10" t="inlineStr">
        <is>
          <t>Baker et al. 2001, PNAS 98:10037 (APBS) · Jurrus et al. 2018, Protein Sci 27:112</t>
        </is>
      </c>
      <c r="N745" s="14" t="inlineStr">
        <is>
          <t>read ↗</t>
        </is>
      </c>
      <c r="O745" s="11" t="inlineStr">
        <is>
          <t>reading for G.6 Continuum electrostatics and mesosca</t>
        </is>
      </c>
      <c r="P745" s="10" t="inlineStr"/>
    </row>
    <row r="746">
      <c r="A746" s="15" t="n">
        <v>745</v>
      </c>
      <c r="B746" s="15" t="inlineStr">
        <is>
          <t>Part II - The Method Atlas</t>
        </is>
      </c>
      <c r="C746" s="16" t="inlineStr">
        <is>
          <t>I.4 Trajectory analysis - and its pitfalls</t>
        </is>
      </c>
      <c r="D746" s="10" t="inlineStr">
        <is>
          <t>Intro to MDAnalysis Workshop</t>
        </is>
      </c>
      <c r="E746" s="10" t="inlineStr">
        <is>
          <t>MDAnalysis project</t>
        </is>
      </c>
      <c r="F746" s="11" t="inlineStr">
        <is>
          <t>2:09:37</t>
        </is>
      </c>
      <c r="G746" s="11" t="n">
        <v>2.16</v>
      </c>
      <c r="H746" s="12" t="inlineStr"/>
      <c r="I746" s="11" t="inlineStr">
        <is>
          <t>Not started</t>
        </is>
      </c>
      <c r="J746" s="13" t="n"/>
      <c r="K746" s="10" t="inlineStr"/>
      <c r="L746" s="14" t="inlineStr">
        <is>
          <t>▶ watch</t>
        </is>
      </c>
      <c r="M746" s="10" t="inlineStr">
        <is>
          <t>Baker et al. 2001, PNAS 98:10037 (APBS) · Jurrus et al. 2018, Protein Sci 27:112</t>
        </is>
      </c>
      <c r="N746" s="14" t="inlineStr">
        <is>
          <t>read ↗</t>
        </is>
      </c>
      <c r="O746" s="11" t="inlineStr">
        <is>
          <t>reading for G.6 Continuum electrostatics and mesosca</t>
        </is>
      </c>
      <c r="P746" s="10" t="inlineStr"/>
    </row>
    <row r="747">
      <c r="A747" s="15" t="n">
        <v>746</v>
      </c>
      <c r="B747" s="15" t="inlineStr">
        <is>
          <t>Part II - The Method Atlas</t>
        </is>
      </c>
      <c r="C747" s="16" t="inlineStr">
        <is>
          <t>I.4 Trajectory analysis - and its pitfalls</t>
        </is>
      </c>
      <c r="D747" s="10" t="inlineStr">
        <is>
          <t>MDAnalysis Streaming Online Workshop</t>
        </is>
      </c>
      <c r="E747" s="10" t="inlineStr">
        <is>
          <t>MDAnalysis project</t>
        </is>
      </c>
      <c r="F747" s="11" t="inlineStr">
        <is>
          <t>2:56:58</t>
        </is>
      </c>
      <c r="G747" s="11" t="n">
        <v>2.95</v>
      </c>
      <c r="H747" s="12" t="inlineStr"/>
      <c r="I747" s="11" t="inlineStr">
        <is>
          <t>Not started</t>
        </is>
      </c>
      <c r="J747" s="13" t="n"/>
      <c r="K747" s="10" t="inlineStr"/>
      <c r="L747" s="14" t="inlineStr">
        <is>
          <t>▶ watch</t>
        </is>
      </c>
      <c r="M747" s="10" t="inlineStr">
        <is>
          <t>Baker et al. 2001, PNAS 98:10037 (APBS) · Jurrus et al. 2018, Protein Sci 27:112</t>
        </is>
      </c>
      <c r="N747" s="14" t="inlineStr">
        <is>
          <t>read ↗</t>
        </is>
      </c>
      <c r="O747" s="11" t="inlineStr">
        <is>
          <t>reading for G.6 Continuum electrostatics and mesosca</t>
        </is>
      </c>
      <c r="P747" s="10" t="inlineStr"/>
    </row>
    <row r="748">
      <c r="A748" s="15" t="n">
        <v>747</v>
      </c>
      <c r="B748" s="15" t="inlineStr">
        <is>
          <t>Part II - The Method Atlas</t>
        </is>
      </c>
      <c r="C748" s="16" t="inlineStr">
        <is>
          <t>I.4 Trajectory analysis - and its pitfalls</t>
        </is>
      </c>
      <c r="D748" s="10" t="inlineStr">
        <is>
          <t>Intro to MDAnalysis and Molecular Nodes</t>
        </is>
      </c>
      <c r="E748" s="10" t="inlineStr">
        <is>
          <t>MDAnalysis project</t>
        </is>
      </c>
      <c r="F748" s="11" t="inlineStr">
        <is>
          <t>3:33:02</t>
        </is>
      </c>
      <c r="G748" s="11" t="n">
        <v>3.55</v>
      </c>
      <c r="H748" s="12" t="inlineStr"/>
      <c r="I748" s="11" t="inlineStr">
        <is>
          <t>Not started</t>
        </is>
      </c>
      <c r="J748" s="13" t="n"/>
      <c r="K748" s="10" t="inlineStr"/>
      <c r="L748" s="14" t="inlineStr">
        <is>
          <t>▶ watch</t>
        </is>
      </c>
      <c r="M748" s="10" t="inlineStr">
        <is>
          <t>Baker et al. 2001, PNAS 98:10037 (APBS) · Jurrus et al. 2018, Protein Sci 27:112</t>
        </is>
      </c>
      <c r="N748" s="14" t="inlineStr">
        <is>
          <t>read ↗</t>
        </is>
      </c>
      <c r="O748" s="11" t="inlineStr">
        <is>
          <t>reading for G.6 Continuum electrostatics and mesosca</t>
        </is>
      </c>
      <c r="P748" s="10" t="inlineStr"/>
    </row>
    <row r="749">
      <c r="A749" s="15" t="n">
        <v>748</v>
      </c>
      <c r="B749" s="15" t="inlineStr">
        <is>
          <t>Part II - The Method Atlas</t>
        </is>
      </c>
      <c r="C749" s="16" t="inlineStr">
        <is>
          <t>I.4 Trajectory analysis - and its pitfalls</t>
        </is>
      </c>
      <c r="D749" s="10" t="inlineStr">
        <is>
          <t>Amber (covers cpptraj</t>
        </is>
      </c>
      <c r="E749" s="10" t="inlineStr">
        <is>
          <t>SBGrid</t>
        </is>
      </c>
      <c r="F749" s="11" t="inlineStr">
        <is>
          <t>1:11:39</t>
        </is>
      </c>
      <c r="G749" s="11" t="n">
        <v>1.19</v>
      </c>
      <c r="H749" s="12" t="inlineStr"/>
      <c r="I749" s="11" t="inlineStr">
        <is>
          <t>Not started</t>
        </is>
      </c>
      <c r="J749" s="13" t="n"/>
      <c r="K749" s="10" t="inlineStr"/>
      <c r="L749" s="14" t="inlineStr">
        <is>
          <t>▶ watch</t>
        </is>
      </c>
      <c r="M749" s="10" t="inlineStr">
        <is>
          <t>Baker et al. 2001, PNAS 98:10037 (APBS) · Jurrus et al. 2018, Protein Sci 27:112</t>
        </is>
      </c>
      <c r="N749" s="14" t="inlineStr">
        <is>
          <t>read ↗</t>
        </is>
      </c>
      <c r="O749" s="11" t="inlineStr">
        <is>
          <t>reading for G.6 Continuum electrostatics and mesosca</t>
        </is>
      </c>
      <c r="P749" s="10" t="inlineStr"/>
    </row>
    <row r="750">
      <c r="A750" s="15" t="n">
        <v>749</v>
      </c>
      <c r="B750" s="15" t="inlineStr">
        <is>
          <t>Part II - The Method Atlas</t>
        </is>
      </c>
      <c r="C750" s="16" t="inlineStr">
        <is>
          <t>I.4 Trajectory analysis - and its pitfalls</t>
        </is>
      </c>
      <c r="D750" s="10" t="inlineStr">
        <is>
          <t>SBGrid</t>
        </is>
      </c>
      <c r="E750" s="10" t="inlineStr"/>
      <c r="F750" s="11" t="inlineStr">
        <is>
          <t>1:23:25</t>
        </is>
      </c>
      <c r="G750" s="11" t="n">
        <v>1.39</v>
      </c>
      <c r="H750" s="12" t="inlineStr"/>
      <c r="I750" s="11" t="inlineStr">
        <is>
          <t>Not started</t>
        </is>
      </c>
      <c r="J750" s="13" t="n"/>
      <c r="K750" s="10" t="inlineStr"/>
      <c r="L750" s="14" t="inlineStr">
        <is>
          <t>▶ watch</t>
        </is>
      </c>
      <c r="M750" s="10" t="inlineStr">
        <is>
          <t>Baker et al. 2001, PNAS 98:10037 (APBS) · Jurrus et al. 2018, Protein Sci 27:112</t>
        </is>
      </c>
      <c r="N750" s="14" t="inlineStr">
        <is>
          <t>read ↗</t>
        </is>
      </c>
      <c r="O750" s="11" t="inlineStr">
        <is>
          <t>reading for G.6 Continuum electrostatics and mesosca</t>
        </is>
      </c>
      <c r="P750" s="10" t="inlineStr"/>
    </row>
    <row r="751">
      <c r="A751" s="15" t="n">
        <v>750</v>
      </c>
      <c r="B751" s="15" t="inlineStr">
        <is>
          <t>Part II - The Method Atlas</t>
        </is>
      </c>
      <c r="C751" s="16" t="inlineStr">
        <is>
          <t>I.4 Trajectory analysis - and its pitfalls</t>
        </is>
      </c>
      <c r="D751" s="10" t="inlineStr">
        <is>
          <t>Visualization and analysis with VMD</t>
        </is>
      </c>
      <c r="E751" s="10" t="inlineStr">
        <is>
          <t>David Winogradoff (UIUC</t>
        </is>
      </c>
      <c r="F751" s="11" t="inlineStr">
        <is>
          <t>53:18</t>
        </is>
      </c>
      <c r="G751" s="11" t="n">
        <v>0.89</v>
      </c>
      <c r="H751" s="12" t="inlineStr"/>
      <c r="I751" s="11" t="inlineStr">
        <is>
          <t>Not started</t>
        </is>
      </c>
      <c r="J751" s="13" t="n"/>
      <c r="K751" s="10" t="inlineStr"/>
      <c r="L751" s="14" t="inlineStr">
        <is>
          <t>▶ watch</t>
        </is>
      </c>
      <c r="M751" s="10" t="inlineStr">
        <is>
          <t>Baker et al. 2001, PNAS 98:10037 (APBS) · Jurrus et al. 2018, Protein Sci 27:112</t>
        </is>
      </c>
      <c r="N751" s="14" t="inlineStr">
        <is>
          <t>read ↗</t>
        </is>
      </c>
      <c r="O751" s="11" t="inlineStr">
        <is>
          <t>reading for G.6 Continuum electrostatics and mesosca</t>
        </is>
      </c>
      <c r="P751" s="10" t="inlineStr"/>
    </row>
    <row r="752">
      <c r="A752" s="15" t="n">
        <v>751</v>
      </c>
      <c r="B752" s="15" t="inlineStr">
        <is>
          <t>Part II - The Method Atlas</t>
        </is>
      </c>
      <c r="C752" s="16" t="inlineStr">
        <is>
          <t>I.4 Trajectory analysis - and its pitfalls</t>
        </is>
      </c>
      <c r="D752" s="10" t="inlineStr">
        <is>
          <t>Quick setup and analysis of NAMD simulations with QwikMD</t>
        </is>
      </c>
      <c r="E752" s="10" t="inlineStr">
        <is>
          <t>Rafael Bernardi (Auburn</t>
        </is>
      </c>
      <c r="F752" s="11" t="inlineStr">
        <is>
          <t>55:15</t>
        </is>
      </c>
      <c r="G752" s="11" t="n">
        <v>0.92</v>
      </c>
      <c r="H752" s="12" t="inlineStr"/>
      <c r="I752" s="11" t="inlineStr">
        <is>
          <t>Not started</t>
        </is>
      </c>
      <c r="J752" s="13" t="n"/>
      <c r="K752" s="10" t="inlineStr"/>
      <c r="L752" s="14" t="inlineStr">
        <is>
          <t>▶ watch</t>
        </is>
      </c>
      <c r="M752" s="10" t="inlineStr">
        <is>
          <t>Baker et al. 2001, PNAS 98:10037 (APBS) · Jurrus et al. 2018, Protein Sci 27:112</t>
        </is>
      </c>
      <c r="N752" s="14" t="inlineStr">
        <is>
          <t>read ↗</t>
        </is>
      </c>
      <c r="O752" s="11" t="inlineStr">
        <is>
          <t>reading for G.6 Continuum electrostatics and mesosca</t>
        </is>
      </c>
      <c r="P752" s="10" t="inlineStr"/>
    </row>
    <row r="753">
      <c r="A753" s="15" t="n">
        <v>752</v>
      </c>
      <c r="B753" s="15" t="inlineStr">
        <is>
          <t>Part II - The Method Atlas</t>
        </is>
      </c>
      <c r="C753" s="16" t="inlineStr">
        <is>
          <t>Dimensionality reduction and Markov state models - the PyEMMA course</t>
        </is>
      </c>
      <c r="D753" s="10" t="inlineStr">
        <is>
          <t>Introduction to Markov state models</t>
        </is>
      </c>
      <c r="E753" s="10" t="inlineStr"/>
      <c r="F753" s="11" t="inlineStr">
        <is>
          <t>1:07:35</t>
        </is>
      </c>
      <c r="G753" s="11" t="n">
        <v>1.13</v>
      </c>
      <c r="H753" s="12" t="inlineStr"/>
      <c r="I753" s="11" t="inlineStr">
        <is>
          <t>Not started</t>
        </is>
      </c>
      <c r="J753" s="13" t="n"/>
      <c r="K753" s="10" t="inlineStr"/>
      <c r="L753" s="14" t="inlineStr">
        <is>
          <t>▶ watch</t>
        </is>
      </c>
      <c r="M753" s="10" t="inlineStr">
        <is>
          <t>Baker et al. 2001, PNAS 98:10037 (APBS) · Jurrus et al. 2018, Protein Sci 27:112</t>
        </is>
      </c>
      <c r="N753" s="14" t="inlineStr">
        <is>
          <t>read ↗</t>
        </is>
      </c>
      <c r="O753" s="11" t="inlineStr">
        <is>
          <t>reading for G.6 Continuum electrostatics and mesosca</t>
        </is>
      </c>
      <c r="P753" s="10" t="inlineStr">
        <is>
          <t>B.10 PyEMMA and Markov state models - 29 videos</t>
        </is>
      </c>
    </row>
    <row r="754">
      <c r="A754" s="15" t="n">
        <v>753</v>
      </c>
      <c r="B754" s="15" t="inlineStr">
        <is>
          <t>Part II - The Method Atlas</t>
        </is>
      </c>
      <c r="C754" s="16" t="inlineStr">
        <is>
          <t>Dimensionality reduction and Markov state models - the PyEMMA course</t>
        </is>
      </c>
      <c r="D754" s="10" t="inlineStr">
        <is>
          <t>Featurization and TICA</t>
        </is>
      </c>
      <c r="E754" s="10" t="inlineStr"/>
      <c r="F754" s="11" t="inlineStr">
        <is>
          <t>36:16</t>
        </is>
      </c>
      <c r="G754" s="11" t="n">
        <v>0.6</v>
      </c>
      <c r="H754" s="12" t="inlineStr">
        <is>
          <t>★</t>
        </is>
      </c>
      <c r="I754" s="11" t="inlineStr">
        <is>
          <t>Not started</t>
        </is>
      </c>
      <c r="J754" s="13" t="n"/>
      <c r="K754" s="10" t="inlineStr"/>
      <c r="L754" s="14" t="inlineStr">
        <is>
          <t>▶ watch</t>
        </is>
      </c>
      <c r="M754" s="10" t="inlineStr">
        <is>
          <t>Baker et al. 2001, PNAS 98:10037 (APBS) · Jurrus et al. 2018, Protein Sci 27:112</t>
        </is>
      </c>
      <c r="N754" s="14" t="inlineStr">
        <is>
          <t>read ↗</t>
        </is>
      </c>
      <c r="O754" s="11" t="inlineStr">
        <is>
          <t>reading for G.6 Continuum electrostatics and mesosca</t>
        </is>
      </c>
      <c r="P754" s="10" t="inlineStr">
        <is>
          <t>B.10 PyEMMA and Markov state models - 29 videos</t>
        </is>
      </c>
    </row>
    <row r="755">
      <c r="A755" s="15" t="n">
        <v>754</v>
      </c>
      <c r="B755" s="15" t="inlineStr">
        <is>
          <t>Part II - The Method Atlas</t>
        </is>
      </c>
      <c r="C755" s="16" t="inlineStr">
        <is>
          <t>Dimensionality reduction and Markov state models - the PyEMMA course</t>
        </is>
      </c>
      <c r="D755" s="10" t="inlineStr">
        <is>
          <t>The variational approach</t>
        </is>
      </c>
      <c r="E755" s="10" t="inlineStr"/>
      <c r="F755" s="11" t="inlineStr">
        <is>
          <t>32:25</t>
        </is>
      </c>
      <c r="G755" s="11" t="n">
        <v>0.54</v>
      </c>
      <c r="H755" s="12" t="inlineStr">
        <is>
          <t>★</t>
        </is>
      </c>
      <c r="I755" s="11" t="inlineStr">
        <is>
          <t>Not started</t>
        </is>
      </c>
      <c r="J755" s="13" t="n"/>
      <c r="K755" s="10" t="inlineStr"/>
      <c r="L755" s="14" t="inlineStr">
        <is>
          <t>▶ watch</t>
        </is>
      </c>
      <c r="M755" s="10" t="inlineStr">
        <is>
          <t>Baker et al. 2001, PNAS 98:10037 (APBS) · Jurrus et al. 2018, Protein Sci 27:112</t>
        </is>
      </c>
      <c r="N755" s="14" t="inlineStr">
        <is>
          <t>read ↗</t>
        </is>
      </c>
      <c r="O755" s="11" t="inlineStr">
        <is>
          <t>reading for G.6 Continuum electrostatics and mesosca</t>
        </is>
      </c>
      <c r="P755" s="10" t="inlineStr">
        <is>
          <t>B.10 PyEMMA and Markov state models - 29 videos</t>
        </is>
      </c>
    </row>
    <row r="756">
      <c r="A756" s="15" t="n">
        <v>755</v>
      </c>
      <c r="B756" s="15" t="inlineStr">
        <is>
          <t>Part II - The Method Atlas</t>
        </is>
      </c>
      <c r="C756" s="16" t="inlineStr">
        <is>
          <t>Dimensionality reduction and Markov state models - the PyEMMA course</t>
        </is>
      </c>
      <c r="D756" s="10" t="inlineStr">
        <is>
          <t>MSM estimation and validation</t>
        </is>
      </c>
      <c r="E756" s="10" t="inlineStr"/>
      <c r="F756" s="11" t="inlineStr">
        <is>
          <t>1:01:40</t>
        </is>
      </c>
      <c r="G756" s="11" t="n">
        <v>1.03</v>
      </c>
      <c r="H756" s="12" t="inlineStr">
        <is>
          <t>★</t>
        </is>
      </c>
      <c r="I756" s="11" t="inlineStr">
        <is>
          <t>Not started</t>
        </is>
      </c>
      <c r="J756" s="13" t="n"/>
      <c r="K756" s="10" t="inlineStr"/>
      <c r="L756" s="14" t="inlineStr">
        <is>
          <t>▶ watch</t>
        </is>
      </c>
      <c r="M756" s="10" t="inlineStr">
        <is>
          <t>Baker et al. 2001, PNAS 98:10037 (APBS) · Jurrus et al. 2018, Protein Sci 27:112</t>
        </is>
      </c>
      <c r="N756" s="14" t="inlineStr">
        <is>
          <t>read ↗</t>
        </is>
      </c>
      <c r="O756" s="11" t="inlineStr">
        <is>
          <t>reading for G.6 Continuum electrostatics and mesosca</t>
        </is>
      </c>
      <c r="P756" s="10" t="inlineStr">
        <is>
          <t>B.10 PyEMMA and Markov state models - 29 videos</t>
        </is>
      </c>
    </row>
    <row r="757">
      <c r="A757" s="15" t="n">
        <v>756</v>
      </c>
      <c r="B757" s="15" t="inlineStr">
        <is>
          <t>Part II - The Method Atlas</t>
        </is>
      </c>
      <c r="C757" s="16" t="inlineStr">
        <is>
          <t>Dimensionality reduction and Markov state models - the PyEMMA course</t>
        </is>
      </c>
      <c r="D757" s="10" t="inlineStr">
        <is>
          <t>How to select models with the VAMP score</t>
        </is>
      </c>
      <c r="E757" s="10" t="inlineStr"/>
      <c r="F757" s="11" t="inlineStr">
        <is>
          <t>21:18</t>
        </is>
      </c>
      <c r="G757" s="11" t="n">
        <v>0.35</v>
      </c>
      <c r="H757" s="12" t="inlineStr">
        <is>
          <t>★</t>
        </is>
      </c>
      <c r="I757" s="11" t="inlineStr">
        <is>
          <t>Not started</t>
        </is>
      </c>
      <c r="J757" s="13" t="n"/>
      <c r="K757" s="10" t="inlineStr"/>
      <c r="L757" s="14" t="inlineStr">
        <is>
          <t>▶ watch</t>
        </is>
      </c>
      <c r="M757" s="10" t="inlineStr">
        <is>
          <t>Baker et al. 2001, PNAS 98:10037 (APBS) · Jurrus et al. 2018, Protein Sci 27:112</t>
        </is>
      </c>
      <c r="N757" s="14" t="inlineStr">
        <is>
          <t>read ↗</t>
        </is>
      </c>
      <c r="O757" s="11" t="inlineStr">
        <is>
          <t>reading for G.6 Continuum electrostatics and mesosca</t>
        </is>
      </c>
      <c r="P757" s="10" t="inlineStr">
        <is>
          <t>B.10 PyEMMA and Markov state models - 29 videos</t>
        </is>
      </c>
    </row>
    <row r="758">
      <c r="A758" s="15" t="n">
        <v>757</v>
      </c>
      <c r="B758" s="15" t="inlineStr">
        <is>
          <t>Part II - The Method Atlas</t>
        </is>
      </c>
      <c r="C758" s="16" t="inlineStr">
        <is>
          <t>Dimensionality reduction and Markov state models - the PyEMMA course</t>
        </is>
      </c>
      <c r="D758" s="10" t="inlineStr">
        <is>
          <t>MSM theory</t>
        </is>
      </c>
      <c r="E758" s="10" t="inlineStr"/>
      <c r="F758" s="11" t="inlineStr">
        <is>
          <t>44:32</t>
        </is>
      </c>
      <c r="G758" s="11" t="n">
        <v>0.74</v>
      </c>
      <c r="H758" s="12" t="inlineStr"/>
      <c r="I758" s="11" t="inlineStr">
        <is>
          <t>Not started</t>
        </is>
      </c>
      <c r="J758" s="13" t="n"/>
      <c r="K758" s="10" t="inlineStr"/>
      <c r="L758" s="14" t="inlineStr">
        <is>
          <t>▶ watch</t>
        </is>
      </c>
      <c r="M758" s="10" t="inlineStr">
        <is>
          <t>Baker et al. 2001, PNAS 98:10037 (APBS) · Jurrus et al. 2018, Protein Sci 27:112</t>
        </is>
      </c>
      <c r="N758" s="14" t="inlineStr">
        <is>
          <t>read ↗</t>
        </is>
      </c>
      <c r="O758" s="11" t="inlineStr">
        <is>
          <t>reading for G.6 Continuum electrostatics and mesosca</t>
        </is>
      </c>
      <c r="P758" s="10" t="inlineStr">
        <is>
          <t>B.10 PyEMMA and Markov state models - 29 videos</t>
        </is>
      </c>
    </row>
    <row r="759">
      <c r="A759" s="15" t="n">
        <v>758</v>
      </c>
      <c r="B759" s="15" t="inlineStr">
        <is>
          <t>Part II - The Method Atlas</t>
        </is>
      </c>
      <c r="C759" s="16" t="inlineStr">
        <is>
          <t>Dimensionality reduction and Markov state models - the PyEMMA course</t>
        </is>
      </c>
      <c r="D759" s="10" t="inlineStr">
        <is>
          <t>Introduction to VAMPNets</t>
        </is>
      </c>
      <c r="E759" s="10" t="inlineStr"/>
      <c r="F759" s="11" t="inlineStr">
        <is>
          <t>36:45</t>
        </is>
      </c>
      <c r="G759" s="11" t="n">
        <v>0.61</v>
      </c>
      <c r="H759" s="12" t="inlineStr">
        <is>
          <t>★</t>
        </is>
      </c>
      <c r="I759" s="11" t="inlineStr">
        <is>
          <t>Not started</t>
        </is>
      </c>
      <c r="J759" s="13" t="n"/>
      <c r="K759" s="10" t="inlineStr"/>
      <c r="L759" s="14" t="inlineStr">
        <is>
          <t>▶ watch</t>
        </is>
      </c>
      <c r="M759" s="10" t="inlineStr">
        <is>
          <t>Baker et al. 2001, PNAS 98:10037 (APBS) · Jurrus et al. 2018, Protein Sci 27:112</t>
        </is>
      </c>
      <c r="N759" s="14" t="inlineStr">
        <is>
          <t>read ↗</t>
        </is>
      </c>
      <c r="O759" s="11" t="inlineStr">
        <is>
          <t>reading for G.6 Continuum electrostatics and mesosca</t>
        </is>
      </c>
      <c r="P759" s="10" t="inlineStr">
        <is>
          <t>B.10 PyEMMA and Markov state models - 29 videos</t>
        </is>
      </c>
    </row>
    <row r="760">
      <c r="A760" s="15" t="n">
        <v>759</v>
      </c>
      <c r="B760" s="15" t="inlineStr">
        <is>
          <t>Part II - The Method Atlas</t>
        </is>
      </c>
      <c r="C760" s="16" t="inlineStr">
        <is>
          <t>Dimensionality reduction and Markov state models - the PyEMMA course</t>
        </is>
      </c>
      <c r="D760" s="10" t="inlineStr">
        <is>
          <t>TICA, TCCA and time-autoencoders</t>
        </is>
      </c>
      <c r="E760" s="10" t="inlineStr"/>
      <c r="F760" s="11" t="inlineStr">
        <is>
          <t>32:38</t>
        </is>
      </c>
      <c r="G760" s="11" t="n">
        <v>0.54</v>
      </c>
      <c r="H760" s="12" t="inlineStr"/>
      <c r="I760" s="11" t="inlineStr">
        <is>
          <t>Not started</t>
        </is>
      </c>
      <c r="J760" s="13" t="n"/>
      <c r="K760" s="10" t="inlineStr"/>
      <c r="L760" s="14" t="inlineStr">
        <is>
          <t>▶ watch</t>
        </is>
      </c>
      <c r="M760" s="10" t="inlineStr">
        <is>
          <t>Baker et al. 2001, PNAS 98:10037 (APBS) · Jurrus et al. 2018, Protein Sci 27:112</t>
        </is>
      </c>
      <c r="N760" s="14" t="inlineStr">
        <is>
          <t>read ↗</t>
        </is>
      </c>
      <c r="O760" s="11" t="inlineStr">
        <is>
          <t>reading for G.6 Continuum electrostatics and mesosca</t>
        </is>
      </c>
      <c r="P760" s="10" t="inlineStr"/>
    </row>
    <row r="761">
      <c r="A761" s="15" t="n">
        <v>760</v>
      </c>
      <c r="B761" s="15" t="inlineStr">
        <is>
          <t>Part II - The Method Atlas</t>
        </is>
      </c>
      <c r="C761" s="16" t="inlineStr">
        <is>
          <t>Dimensionality reduction and Markov state models - the PyEMMA course</t>
        </is>
      </c>
      <c r="D761" s="10" t="inlineStr">
        <is>
          <t>Deep learning for molecular kinetics</t>
        </is>
      </c>
      <c r="E761" s="10" t="inlineStr">
        <is>
          <t>Frank Noé</t>
        </is>
      </c>
      <c r="F761" s="11" t="inlineStr">
        <is>
          <t>37:32</t>
        </is>
      </c>
      <c r="G761" s="11" t="n">
        <v>0.63</v>
      </c>
      <c r="H761" s="12" t="inlineStr">
        <is>
          <t>★</t>
        </is>
      </c>
      <c r="I761" s="11" t="inlineStr">
        <is>
          <t>Not started</t>
        </is>
      </c>
      <c r="J761" s="13" t="n"/>
      <c r="K761" s="10" t="inlineStr"/>
      <c r="L761" s="14" t="inlineStr">
        <is>
          <t>▶ watch</t>
        </is>
      </c>
      <c r="M761" s="10" t="inlineStr">
        <is>
          <t>Baker et al. 2001, PNAS 98:10037 (APBS) · Jurrus et al. 2018, Protein Sci 27:112</t>
        </is>
      </c>
      <c r="N761" s="14" t="inlineStr">
        <is>
          <t>read ↗</t>
        </is>
      </c>
      <c r="O761" s="11" t="inlineStr">
        <is>
          <t>reading for G.6 Continuum electrostatics and mesosca</t>
        </is>
      </c>
      <c r="P761" s="10" t="inlineStr">
        <is>
          <t>B.4 Workshop on Free Energy, Kinetics and MSM in Drug Design, 2018 - 43 videos</t>
        </is>
      </c>
    </row>
    <row r="762">
      <c r="A762" s="15" t="n">
        <v>761</v>
      </c>
      <c r="B762" s="15" t="inlineStr">
        <is>
          <t>Part II - The Method Atlas</t>
        </is>
      </c>
      <c r="C762" s="16" t="inlineStr">
        <is>
          <t>Dimensionality reduction and Markov state models - the PyEMMA course</t>
        </is>
      </c>
      <c r="D762" s="10" t="inlineStr">
        <is>
          <t>Intro to Trajectory Analysis and MSMs</t>
        </is>
      </c>
      <c r="E762" s="10" t="inlineStr"/>
      <c r="F762" s="11" t="inlineStr">
        <is>
          <t>32:58</t>
        </is>
      </c>
      <c r="G762" s="11" t="n">
        <v>0.55</v>
      </c>
      <c r="H762" s="12" t="inlineStr"/>
      <c r="I762" s="11" t="inlineStr">
        <is>
          <t>Not started</t>
        </is>
      </c>
      <c r="J762" s="13" t="n"/>
      <c r="K762" s="10" t="inlineStr"/>
      <c r="L762" s="14" t="inlineStr">
        <is>
          <t>▶ watch</t>
        </is>
      </c>
      <c r="M762" s="10" t="inlineStr">
        <is>
          <t>Baker et al. 2001, PNAS 98:10037 (APBS) · Jurrus et al. 2018, Protein Sci 27:112</t>
        </is>
      </c>
      <c r="N762" s="14" t="inlineStr">
        <is>
          <t>read ↗</t>
        </is>
      </c>
      <c r="O762" s="11" t="inlineStr">
        <is>
          <t>reading for G.6 Continuum electrostatics and mesosca</t>
        </is>
      </c>
      <c r="P762" s="10" t="inlineStr"/>
    </row>
    <row r="763">
      <c r="A763" s="15" t="n">
        <v>762</v>
      </c>
      <c r="B763" s="15" t="inlineStr">
        <is>
          <t>Part II - The Method Atlas</t>
        </is>
      </c>
      <c r="C763" s="16" t="inlineStr">
        <is>
          <t>Convergence - assign these FIRST</t>
        </is>
      </c>
      <c r="D763" s="10" t="inlineStr">
        <is>
          <t>Testing Molecular Simulation Results for Physical Validity</t>
        </is>
      </c>
      <c r="E763" s="10" t="inlineStr">
        <is>
          <t>Michael Shirts (Colorado</t>
        </is>
      </c>
      <c r="F763" s="11" t="inlineStr">
        <is>
          <t>28:10</t>
        </is>
      </c>
      <c r="G763" s="11" t="n">
        <v>0.47</v>
      </c>
      <c r="H763" s="12" t="inlineStr">
        <is>
          <t>★</t>
        </is>
      </c>
      <c r="I763" s="11" t="inlineStr">
        <is>
          <t>Not started</t>
        </is>
      </c>
      <c r="J763" s="13" t="n"/>
      <c r="K763" s="10" t="inlineStr"/>
      <c r="L763" s="14" t="inlineStr">
        <is>
          <t>▶ watch</t>
        </is>
      </c>
      <c r="M763" s="10" t="inlineStr">
        <is>
          <t>Grossfield et al. 2019, LiveCoMS 1:5067</t>
        </is>
      </c>
      <c r="N763" s="14" t="inlineStr">
        <is>
          <t>read ↗</t>
        </is>
      </c>
      <c r="O763" s="11" t="inlineStr">
        <is>
          <t>paired reading</t>
        </is>
      </c>
      <c r="P763" s="10" t="inlineStr"/>
    </row>
    <row r="764">
      <c r="A764" s="15" t="n">
        <v>763</v>
      </c>
      <c r="B764" s="15" t="inlineStr">
        <is>
          <t>Part II - The Method Atlas</t>
        </is>
      </c>
      <c r="C764" s="16" t="inlineStr">
        <is>
          <t>Convergence - assign these FIRST</t>
        </is>
      </c>
      <c r="D764" s="10" t="inlineStr">
        <is>
          <t>Reproducibility, Convergence and Accuracy in Biomolecular Simulation</t>
        </is>
      </c>
      <c r="E764" s="10" t="inlineStr">
        <is>
          <t>NCSA / Blue Waters</t>
        </is>
      </c>
      <c r="F764" s="11" t="inlineStr">
        <is>
          <t>17:29</t>
        </is>
      </c>
      <c r="G764" s="11" t="n">
        <v>0.29</v>
      </c>
      <c r="H764" s="12" t="inlineStr"/>
      <c r="I764" s="11" t="inlineStr">
        <is>
          <t>Not started</t>
        </is>
      </c>
      <c r="J764" s="13" t="n"/>
      <c r="K764" s="10" t="inlineStr"/>
      <c r="L764" s="14" t="inlineStr">
        <is>
          <t>▶ watch</t>
        </is>
      </c>
      <c r="M764" s="10" t="inlineStr">
        <is>
          <t>Baker et al. 2001, PNAS 98:10037 (APBS) · Jurrus et al. 2018, Protein Sci 27:112</t>
        </is>
      </c>
      <c r="N764" s="14" t="inlineStr">
        <is>
          <t>read ↗</t>
        </is>
      </c>
      <c r="O764" s="11" t="inlineStr">
        <is>
          <t>reading for G.6 Continuum electrostatics and mesosca</t>
        </is>
      </c>
      <c r="P764" s="10" t="inlineStr"/>
    </row>
    <row r="765">
      <c r="A765" s="15" t="n">
        <v>764</v>
      </c>
      <c r="B765" s="15" t="inlineStr">
        <is>
          <t>Part II - The Method Atlas</t>
        </is>
      </c>
      <c r="C765" s="16" t="inlineStr">
        <is>
          <t>Convergence - assign these FIRST</t>
        </is>
      </c>
      <c r="D765" s="10" t="inlineStr">
        <is>
          <t>Convergence and Reproducibility in MD Simulations of Nucleic Acids</t>
        </is>
      </c>
      <c r="E765" s="10" t="inlineStr">
        <is>
          <t>NCSA / Blue Waters</t>
        </is>
      </c>
      <c r="F765" s="11" t="inlineStr">
        <is>
          <t>20:03</t>
        </is>
      </c>
      <c r="G765" s="11" t="n">
        <v>0.33</v>
      </c>
      <c r="H765" s="12" t="inlineStr"/>
      <c r="I765" s="11" t="inlineStr">
        <is>
          <t>Not started</t>
        </is>
      </c>
      <c r="J765" s="13" t="n"/>
      <c r="K765" s="10" t="inlineStr"/>
      <c r="L765" s="14" t="inlineStr">
        <is>
          <t>▶ watch</t>
        </is>
      </c>
      <c r="M765" s="10" t="inlineStr">
        <is>
          <t>Baker et al. 2001, PNAS 98:10037 (APBS) · Jurrus et al. 2018, Protein Sci 27:112</t>
        </is>
      </c>
      <c r="N765" s="14" t="inlineStr">
        <is>
          <t>read ↗</t>
        </is>
      </c>
      <c r="O765" s="11" t="inlineStr">
        <is>
          <t>reading for G.6 Continuum electrostatics and mesosca</t>
        </is>
      </c>
      <c r="P765" s="10" t="inlineStr"/>
    </row>
    <row r="766">
      <c r="A766" s="15" t="n">
        <v>765</v>
      </c>
      <c r="B766" s="15" t="inlineStr">
        <is>
          <t>Part II - The Method Atlas</t>
        </is>
      </c>
      <c r="C766" s="16" t="inlineStr">
        <is>
          <t>Convergence - assign these FIRST</t>
        </is>
      </c>
      <c r="D766" s="10" t="inlineStr">
        <is>
          <t>Reproducible molecular simulations with Python</t>
        </is>
      </c>
      <c r="E766" s="10" t="inlineStr">
        <is>
          <t>Iván Pulido (Chodera lab</t>
        </is>
      </c>
      <c r="F766" s="11" t="inlineStr">
        <is>
          <t>30:37</t>
        </is>
      </c>
      <c r="G766" s="11" t="n">
        <v>0.51</v>
      </c>
      <c r="H766" s="12" t="inlineStr"/>
      <c r="I766" s="11" t="inlineStr">
        <is>
          <t>Not started</t>
        </is>
      </c>
      <c r="J766" s="13" t="n"/>
      <c r="K766" s="10" t="inlineStr"/>
      <c r="L766" s="14" t="inlineStr">
        <is>
          <t>▶ watch</t>
        </is>
      </c>
      <c r="M766" s="10" t="inlineStr">
        <is>
          <t>Baker et al. 2001, PNAS 98:10037 (APBS) · Jurrus et al. 2018, Protein Sci 27:112</t>
        </is>
      </c>
      <c r="N766" s="14" t="inlineStr">
        <is>
          <t>read ↗</t>
        </is>
      </c>
      <c r="O766" s="11" t="inlineStr">
        <is>
          <t>reading for G.6 Continuum electrostatics and mesosca</t>
        </is>
      </c>
      <c r="P766" s="10" t="inlineStr"/>
    </row>
    <row r="767">
      <c r="A767" s="15" t="n">
        <v>766</v>
      </c>
      <c r="B767" s="15" t="inlineStr">
        <is>
          <t>Part II - The Method Atlas</t>
        </is>
      </c>
      <c r="C767" s="16" t="inlineStr">
        <is>
          <t>I.5 Intrinsically disordered proteins</t>
        </is>
      </c>
      <c r="D767" s="10" t="inlineStr">
        <is>
          <t>Charge-rich disordered proteins</t>
        </is>
      </c>
      <c r="E767" s="10" t="inlineStr">
        <is>
          <t>Rohit Pappu (WashU/Hopkins</t>
        </is>
      </c>
      <c r="F767" s="11" t="inlineStr">
        <is>
          <t>1:16:31</t>
        </is>
      </c>
      <c r="G767" s="11" t="n">
        <v>1.28</v>
      </c>
      <c r="H767" s="12" t="inlineStr"/>
      <c r="I767" s="11" t="inlineStr">
        <is>
          <t>Not started</t>
        </is>
      </c>
      <c r="J767" s="13" t="n"/>
      <c r="K767" s="10" t="inlineStr"/>
      <c r="L767" s="14" t="inlineStr">
        <is>
          <t>▶ watch</t>
        </is>
      </c>
      <c r="M767" s="10" t="inlineStr">
        <is>
          <t>Baker et al. 2001, PNAS 98:10037 (APBS) · Jurrus et al. 2018, Protein Sci 27:112</t>
        </is>
      </c>
      <c r="N767" s="14" t="inlineStr">
        <is>
          <t>read ↗</t>
        </is>
      </c>
      <c r="O767" s="11" t="inlineStr">
        <is>
          <t>reading for G.6 Continuum electrostatics and mesosca</t>
        </is>
      </c>
      <c r="P767" s="10" t="inlineStr"/>
    </row>
    <row r="768">
      <c r="A768" s="15" t="n">
        <v>767</v>
      </c>
      <c r="B768" s="15" t="inlineStr">
        <is>
          <t>Part II - The Method Atlas</t>
        </is>
      </c>
      <c r="C768" s="16" t="inlineStr">
        <is>
          <t>I.5 Intrinsically disordered proteins</t>
        </is>
      </c>
      <c r="D768" s="10" t="inlineStr">
        <is>
          <t>Interpreting experiments using simulations</t>
        </is>
      </c>
      <c r="E768" s="10" t="inlineStr">
        <is>
          <t>Kresten Lindorff-Larsen (Copenhagen</t>
        </is>
      </c>
      <c r="F768" s="11" t="inlineStr">
        <is>
          <t>1:27:01</t>
        </is>
      </c>
      <c r="G768" s="11" t="n">
        <v>1.45</v>
      </c>
      <c r="H768" s="12" t="inlineStr"/>
      <c r="I768" s="11" t="inlineStr">
        <is>
          <t>Not started</t>
        </is>
      </c>
      <c r="J768" s="13" t="n"/>
      <c r="K768" s="10" t="inlineStr"/>
      <c r="L768" s="14" t="inlineStr">
        <is>
          <t>▶ watch</t>
        </is>
      </c>
      <c r="M768" s="10" t="inlineStr">
        <is>
          <t>Baker et al. 2001, PNAS 98:10037 (APBS) · Jurrus et al. 2018, Protein Sci 27:112</t>
        </is>
      </c>
      <c r="N768" s="14" t="inlineStr">
        <is>
          <t>read ↗</t>
        </is>
      </c>
      <c r="O768" s="11" t="inlineStr">
        <is>
          <t>reading for G.6 Continuum electrostatics and mesosca</t>
        </is>
      </c>
      <c r="P768" s="10" t="inlineStr"/>
    </row>
    <row r="769">
      <c r="A769" s="15" t="n">
        <v>768</v>
      </c>
      <c r="B769" s="15" t="inlineStr">
        <is>
          <t>Part II - The Method Atlas</t>
        </is>
      </c>
      <c r="C769" s="16" t="inlineStr">
        <is>
          <t>I.5 Intrinsically disordered proteins</t>
        </is>
      </c>
      <c r="D769" s="10" t="inlineStr">
        <is>
          <t>Lindorff-Larsen, TCBG seminar</t>
        </is>
      </c>
      <c r="E769" s="10" t="inlineStr">
        <is>
          <t>Kresten Lindorff-Larsen</t>
        </is>
      </c>
      <c r="F769" s="11" t="inlineStr">
        <is>
          <t>1:13:58</t>
        </is>
      </c>
      <c r="G769" s="11" t="n">
        <v>1.23</v>
      </c>
      <c r="H769" s="12" t="inlineStr"/>
      <c r="I769" s="11" t="inlineStr">
        <is>
          <t>Not started</t>
        </is>
      </c>
      <c r="J769" s="13" t="n"/>
      <c r="K769" s="10" t="inlineStr"/>
      <c r="L769" s="14" t="inlineStr">
        <is>
          <t>▶ watch</t>
        </is>
      </c>
      <c r="M769" s="10" t="inlineStr">
        <is>
          <t>Baker et al. 2001, PNAS 98:10037 (APBS) · Jurrus et al. 2018, Protein Sci 27:112</t>
        </is>
      </c>
      <c r="N769" s="14" t="inlineStr">
        <is>
          <t>read ↗</t>
        </is>
      </c>
      <c r="O769" s="11" t="inlineStr">
        <is>
          <t>reading for G.6 Continuum electrostatics and mesosca</t>
        </is>
      </c>
      <c r="P769" s="10" t="inlineStr"/>
    </row>
    <row r="770">
      <c r="A770" s="15" t="n">
        <v>769</v>
      </c>
      <c r="B770" s="15" t="inlineStr">
        <is>
          <t>Part II - The Method Atlas</t>
        </is>
      </c>
      <c r="C770" s="16" t="inlineStr">
        <is>
          <t>I.5 Intrinsically disordered proteins</t>
        </is>
      </c>
      <c r="D770" s="10" t="inlineStr">
        <is>
          <t>Current issues with MD force fields for IDPs</t>
        </is>
      </c>
      <c r="E770" s="10" t="inlineStr">
        <is>
          <t>Brigita Urbanc (Drexel</t>
        </is>
      </c>
      <c r="F770" s="11" t="inlineStr">
        <is>
          <t>29:46</t>
        </is>
      </c>
      <c r="G770" s="11" t="n">
        <v>0.5</v>
      </c>
      <c r="H770" s="12" t="inlineStr">
        <is>
          <t>★</t>
        </is>
      </c>
      <c r="I770" s="11" t="inlineStr">
        <is>
          <t>Not started</t>
        </is>
      </c>
      <c r="J770" s="13" t="n"/>
      <c r="K770" s="10" t="inlineStr"/>
      <c r="L770" s="14" t="inlineStr">
        <is>
          <t>▶ watch</t>
        </is>
      </c>
      <c r="M770" s="10" t="inlineStr">
        <is>
          <t>Baker et al. 2001, PNAS 98:10037 (APBS) · Jurrus et al. 2018, Protein Sci 27:112</t>
        </is>
      </c>
      <c r="N770" s="14" t="inlineStr">
        <is>
          <t>read ↗</t>
        </is>
      </c>
      <c r="O770" s="11" t="inlineStr">
        <is>
          <t>reading for G.6 Continuum electrostatics and mesosca</t>
        </is>
      </c>
      <c r="P770" s="10" t="inlineStr"/>
    </row>
    <row r="771">
      <c r="A771" s="15" t="n">
        <v>770</v>
      </c>
      <c r="B771" s="15" t="inlineStr">
        <is>
          <t>Part II - The Method Atlas</t>
        </is>
      </c>
      <c r="C771" s="16" t="inlineStr">
        <is>
          <t>I.5 Intrinsically disordered proteins</t>
        </is>
      </c>
      <c r="D771" s="10" t="inlineStr">
        <is>
          <t>The IDRome: Conformations of the Human Disordered Proteome</t>
        </is>
      </c>
      <c r="E771" s="10" t="inlineStr">
        <is>
          <t>Giulio Tesei (Copenhagen</t>
        </is>
      </c>
      <c r="F771" s="11" t="inlineStr">
        <is>
          <t>2:19</t>
        </is>
      </c>
      <c r="G771" s="11" t="n">
        <v>0.04</v>
      </c>
      <c r="H771" s="12" t="inlineStr"/>
      <c r="I771" s="11" t="inlineStr">
        <is>
          <t>Not started</t>
        </is>
      </c>
      <c r="J771" s="13" t="n"/>
      <c r="K771" s="10" t="inlineStr"/>
      <c r="L771" s="14" t="inlineStr">
        <is>
          <t>▶ watch</t>
        </is>
      </c>
      <c r="M771" s="10" t="inlineStr">
        <is>
          <t>Baker et al. 2001, PNAS 98:10037 (APBS) · Jurrus et al. 2018, Protein Sci 27:112</t>
        </is>
      </c>
      <c r="N771" s="14" t="inlineStr">
        <is>
          <t>read ↗</t>
        </is>
      </c>
      <c r="O771" s="11" t="inlineStr">
        <is>
          <t>reading for G.6 Continuum electrostatics and mesosca</t>
        </is>
      </c>
      <c r="P771" s="10" t="inlineStr"/>
    </row>
    <row r="772">
      <c r="A772" s="15" t="n">
        <v>771</v>
      </c>
      <c r="B772" s="15" t="inlineStr">
        <is>
          <t>Part II - The Method Atlas</t>
        </is>
      </c>
      <c r="C772" s="16" t="inlineStr">
        <is>
          <t>I.5 Intrinsically disordered proteins</t>
        </is>
      </c>
      <c r="D772" s="10" t="inlineStr">
        <is>
          <t>Probing the rapid chain dynamics of disordered proteins and nucleic acids</t>
        </is>
      </c>
      <c r="E772" s="10" t="inlineStr">
        <is>
          <t>Ben Schuler</t>
        </is>
      </c>
      <c r="F772" s="11" t="inlineStr">
        <is>
          <t>55:18</t>
        </is>
      </c>
      <c r="G772" s="11" t="n">
        <v>0.92</v>
      </c>
      <c r="H772" s="12" t="inlineStr"/>
      <c r="I772" s="11" t="inlineStr">
        <is>
          <t>Not started</t>
        </is>
      </c>
      <c r="J772" s="13" t="n"/>
      <c r="K772" s="10" t="inlineStr"/>
      <c r="L772" s="14" t="inlineStr">
        <is>
          <t>▶ watch</t>
        </is>
      </c>
      <c r="M772" s="10" t="inlineStr">
        <is>
          <t>Baker et al. 2001, PNAS 98:10037 (APBS) · Jurrus et al. 2018, Protein Sci 27:112</t>
        </is>
      </c>
      <c r="N772" s="14" t="inlineStr">
        <is>
          <t>read ↗</t>
        </is>
      </c>
      <c r="O772" s="11" t="inlineStr">
        <is>
          <t>reading for G.6 Continuum electrostatics and mesosca</t>
        </is>
      </c>
      <c r="P772" s="10" t="inlineStr"/>
    </row>
    <row r="773">
      <c r="A773" s="15" t="n">
        <v>772</v>
      </c>
      <c r="B773" s="15" t="inlineStr">
        <is>
          <t>Part II - The Method Atlas</t>
        </is>
      </c>
      <c r="C773" s="16" t="inlineStr">
        <is>
          <t>I.5 Intrinsically disordered proteins</t>
        </is>
      </c>
      <c r="D773" s="10" t="inlineStr">
        <is>
          <t>Elizabeth Rhoades (Penn</t>
        </is>
      </c>
      <c r="E773" s="10" t="inlineStr">
        <is>
          <t>It takes tau to tangle</t>
        </is>
      </c>
      <c r="F773" s="11" t="inlineStr">
        <is>
          <t>1:10:54</t>
        </is>
      </c>
      <c r="G773" s="11" t="n">
        <v>1.18</v>
      </c>
      <c r="H773" s="12" t="inlineStr"/>
      <c r="I773" s="11" t="inlineStr">
        <is>
          <t>Not started</t>
        </is>
      </c>
      <c r="J773" s="13" t="n"/>
      <c r="K773" s="10" t="inlineStr"/>
      <c r="L773" s="14" t="inlineStr">
        <is>
          <t>▶ watch</t>
        </is>
      </c>
      <c r="M773" s="10" t="inlineStr">
        <is>
          <t>Baker et al. 2001, PNAS 98:10037 (APBS) · Jurrus et al. 2018, Protein Sci 27:112</t>
        </is>
      </c>
      <c r="N773" s="14" t="inlineStr">
        <is>
          <t>read ↗</t>
        </is>
      </c>
      <c r="O773" s="11" t="inlineStr">
        <is>
          <t>reading for G.6 Continuum electrostatics and mesosca</t>
        </is>
      </c>
      <c r="P773" s="10" t="inlineStr"/>
    </row>
    <row r="774">
      <c r="A774" s="15" t="n">
        <v>773</v>
      </c>
      <c r="B774" s="15" t="inlineStr">
        <is>
          <t>Part II - The Method Atlas</t>
        </is>
      </c>
      <c r="C774" s="16" t="inlineStr">
        <is>
          <t>I.5 Intrinsically disordered proteins</t>
        </is>
      </c>
      <c r="D774" s="10" t="inlineStr">
        <is>
          <t>Small-molecule binding to intrinsically disordered proteins</t>
        </is>
      </c>
      <c r="E774" s="10" t="inlineStr">
        <is>
          <t>Cambridge CMD</t>
        </is>
      </c>
      <c r="F774" s="11" t="inlineStr">
        <is>
          <t>19:01</t>
        </is>
      </c>
      <c r="G774" s="11" t="n">
        <v>0.32</v>
      </c>
      <c r="H774" s="12" t="inlineStr"/>
      <c r="I774" s="11" t="inlineStr">
        <is>
          <t>Not started</t>
        </is>
      </c>
      <c r="J774" s="13" t="n"/>
      <c r="K774" s="10" t="inlineStr"/>
      <c r="L774" s="14" t="inlineStr">
        <is>
          <t>▶ watch</t>
        </is>
      </c>
      <c r="M774" s="10" t="inlineStr">
        <is>
          <t>Baker et al. 2001, PNAS 98:10037 (APBS) · Jurrus et al. 2018, Protein Sci 27:112</t>
        </is>
      </c>
      <c r="N774" s="14" t="inlineStr">
        <is>
          <t>read ↗</t>
        </is>
      </c>
      <c r="O774" s="11" t="inlineStr">
        <is>
          <t>reading for G.6 Continuum electrostatics and mesosca</t>
        </is>
      </c>
      <c r="P774" s="10" t="inlineStr"/>
    </row>
    <row r="775">
      <c r="A775" s="15" t="n">
        <v>774</v>
      </c>
      <c r="B775" s="15" t="inlineStr">
        <is>
          <t>Part II - The Method Atlas</t>
        </is>
      </c>
      <c r="C775" s="16" t="inlineStr">
        <is>
          <t>I.6 Condensates and phase separation</t>
        </is>
      </c>
      <c r="D775" s="10" t="inlineStr">
        <is>
          <t>Phase Separation of Multivalent Proteins</t>
        </is>
      </c>
      <c r="E775" s="10" t="inlineStr">
        <is>
          <t>Rohit Pappu</t>
        </is>
      </c>
      <c r="F775" s="11" t="inlineStr">
        <is>
          <t>56:49</t>
        </is>
      </c>
      <c r="G775" s="11" t="n">
        <v>0.95</v>
      </c>
      <c r="H775" s="12" t="inlineStr"/>
      <c r="I775" s="11" t="inlineStr">
        <is>
          <t>Not started</t>
        </is>
      </c>
      <c r="J775" s="13" t="n"/>
      <c r="K775" s="10" t="inlineStr"/>
      <c r="L775" s="14" t="inlineStr">
        <is>
          <t>▶ watch</t>
        </is>
      </c>
      <c r="M775" s="10" t="inlineStr">
        <is>
          <t>Baker et al. 2001, PNAS 98:10037 (APBS) · Jurrus et al. 2018, Protein Sci 27:112</t>
        </is>
      </c>
      <c r="N775" s="14" t="inlineStr">
        <is>
          <t>read ↗</t>
        </is>
      </c>
      <c r="O775" s="11" t="inlineStr">
        <is>
          <t>reading for G.6 Continuum electrostatics and mesosca</t>
        </is>
      </c>
      <c r="P775" s="10" t="inlineStr"/>
    </row>
    <row r="776">
      <c r="A776" s="15" t="n">
        <v>775</v>
      </c>
      <c r="B776" s="15" t="inlineStr">
        <is>
          <t>Part II - The Method Atlas</t>
        </is>
      </c>
      <c r="C776" s="16" t="inlineStr">
        <is>
          <t>I.6 Condensates and phase separation</t>
        </is>
      </c>
      <c r="D776" s="10" t="inlineStr">
        <is>
          <t>Computational Approaches to Protein Condensates</t>
        </is>
      </c>
      <c r="E776" s="10" t="inlineStr">
        <is>
          <t>The Protein Society</t>
        </is>
      </c>
      <c r="F776" s="11" t="inlineStr">
        <is>
          <t>1:46:03</t>
        </is>
      </c>
      <c r="G776" s="11" t="n">
        <v>1.77</v>
      </c>
      <c r="H776" s="12" t="inlineStr"/>
      <c r="I776" s="11" t="inlineStr">
        <is>
          <t>Not started</t>
        </is>
      </c>
      <c r="J776" s="13" t="n"/>
      <c r="K776" s="10" t="inlineStr"/>
      <c r="L776" s="14" t="inlineStr">
        <is>
          <t>▶ watch</t>
        </is>
      </c>
      <c r="M776" s="10" t="inlineStr">
        <is>
          <t>Baker et al. 2001, PNAS 98:10037 (APBS) · Jurrus et al. 2018, Protein Sci 27:112</t>
        </is>
      </c>
      <c r="N776" s="14" t="inlineStr">
        <is>
          <t>read ↗</t>
        </is>
      </c>
      <c r="O776" s="11" t="inlineStr">
        <is>
          <t>reading for G.6 Continuum electrostatics and mesosca</t>
        </is>
      </c>
      <c r="P776" s="10" t="inlineStr"/>
    </row>
    <row r="777">
      <c r="A777" s="15" t="n">
        <v>776</v>
      </c>
      <c r="B777" s="15" t="inlineStr">
        <is>
          <t>Part II - The Method Atlas</t>
        </is>
      </c>
      <c r="C777" s="16" t="inlineStr">
        <is>
          <t>I.6 Condensates and phase separation</t>
        </is>
      </c>
      <c r="D777" s="10" t="inlineStr">
        <is>
          <t>Instruct Biennial 2024</t>
        </is>
      </c>
      <c r="E777" s="10" t="inlineStr">
        <is>
          <t>Tanja Mittag</t>
        </is>
      </c>
      <c r="F777" s="11" t="inlineStr">
        <is>
          <t>34:54</t>
        </is>
      </c>
      <c r="G777" s="11" t="n">
        <v>0.58</v>
      </c>
      <c r="H777" s="12" t="inlineStr"/>
      <c r="I777" s="11" t="inlineStr">
        <is>
          <t>Not started</t>
        </is>
      </c>
      <c r="J777" s="13" t="n"/>
      <c r="K777" s="10" t="inlineStr"/>
      <c r="L777" s="14" t="inlineStr">
        <is>
          <t>▶ watch</t>
        </is>
      </c>
      <c r="M777" s="10" t="inlineStr">
        <is>
          <t>Baker et al. 2001, PNAS 98:10037 (APBS) · Jurrus et al. 2018, Protein Sci 27:112</t>
        </is>
      </c>
      <c r="N777" s="14" t="inlineStr">
        <is>
          <t>read ↗</t>
        </is>
      </c>
      <c r="O777" s="11" t="inlineStr">
        <is>
          <t>reading for G.6 Continuum electrostatics and mesosca</t>
        </is>
      </c>
      <c r="P777" s="10" t="inlineStr"/>
    </row>
    <row r="778">
      <c r="A778" s="15" t="n">
        <v>777</v>
      </c>
      <c r="B778" s="15" t="inlineStr">
        <is>
          <t>Part II - The Method Atlas</t>
        </is>
      </c>
      <c r="C778" s="16" t="inlineStr">
        <is>
          <t>I.6 Condensates and phase separation</t>
        </is>
      </c>
      <c r="D778" s="10" t="inlineStr">
        <is>
          <t>Biomolecular condensates across the Tree of Life</t>
        </is>
      </c>
      <c r="E778" s="10" t="inlineStr">
        <is>
          <t>Agnes Toth-Petroczy (MPI-CBG, KITP</t>
        </is>
      </c>
      <c r="F778" s="11" t="inlineStr">
        <is>
          <t>39:36</t>
        </is>
      </c>
      <c r="G778" s="11" t="n">
        <v>0.66</v>
      </c>
      <c r="H778" s="12" t="inlineStr"/>
      <c r="I778" s="11" t="inlineStr">
        <is>
          <t>Not started</t>
        </is>
      </c>
      <c r="J778" s="13" t="n"/>
      <c r="K778" s="10" t="inlineStr"/>
      <c r="L778" s="14" t="inlineStr">
        <is>
          <t>▶ watch</t>
        </is>
      </c>
      <c r="M778" s="10" t="inlineStr">
        <is>
          <t>Baker et al. 2001, PNAS 98:10037 (APBS) · Jurrus et al. 2018, Protein Sci 27:112</t>
        </is>
      </c>
      <c r="N778" s="14" t="inlineStr">
        <is>
          <t>read ↗</t>
        </is>
      </c>
      <c r="O778" s="11" t="inlineStr">
        <is>
          <t>reading for G.6 Continuum electrostatics and mesosca</t>
        </is>
      </c>
      <c r="P778" s="10" t="inlineStr"/>
    </row>
    <row r="779">
      <c r="A779" s="15" t="n">
        <v>778</v>
      </c>
      <c r="B779" s="15" t="inlineStr">
        <is>
          <t>Part II - The Method Atlas</t>
        </is>
      </c>
      <c r="C779" s="16" t="inlineStr">
        <is>
          <t>I.6 Condensates and phase separation</t>
        </is>
      </c>
      <c r="D779" s="10" t="inlineStr">
        <is>
          <t>Multiscale modelling of liquid-like chromatin organisation</t>
        </is>
      </c>
      <c r="E779" s="10" t="inlineStr">
        <is>
          <t>Rosana Collepardo-Guevara (Cambridge</t>
        </is>
      </c>
      <c r="F779" s="11" t="inlineStr">
        <is>
          <t>51:04</t>
        </is>
      </c>
      <c r="G779" s="11" t="n">
        <v>0.85</v>
      </c>
      <c r="H779" s="12" t="inlineStr"/>
      <c r="I779" s="11" t="inlineStr">
        <is>
          <t>Not started</t>
        </is>
      </c>
      <c r="J779" s="13" t="n"/>
      <c r="K779" s="10" t="inlineStr"/>
      <c r="L779" s="14" t="inlineStr">
        <is>
          <t>▶ watch</t>
        </is>
      </c>
      <c r="M779" s="10" t="inlineStr">
        <is>
          <t>Baker et al. 2001, PNAS 98:10037 (APBS) · Jurrus et al. 2018, Protein Sci 27:112</t>
        </is>
      </c>
      <c r="N779" s="14" t="inlineStr">
        <is>
          <t>read ↗</t>
        </is>
      </c>
      <c r="O779" s="11" t="inlineStr">
        <is>
          <t>reading for G.6 Continuum electrostatics and mesosca</t>
        </is>
      </c>
      <c r="P779" s="10" t="inlineStr"/>
    </row>
    <row r="780">
      <c r="A780" s="15" t="n">
        <v>779</v>
      </c>
      <c r="B780" s="15" t="inlineStr">
        <is>
          <t>Part II - The Method Atlas</t>
        </is>
      </c>
      <c r="C780" s="16" t="inlineStr">
        <is>
          <t>I.6 Condensates and phase separation</t>
        </is>
      </c>
      <c r="D780" s="10" t="inlineStr">
        <is>
          <t>Principles of structure/function in biomolecular condensates</t>
        </is>
      </c>
      <c r="E780" s="10" t="inlineStr">
        <is>
          <t>Jeremy Schmit (Kansas State</t>
        </is>
      </c>
      <c r="F780" s="11" t="inlineStr">
        <is>
          <t>28:51</t>
        </is>
      </c>
      <c r="G780" s="11" t="n">
        <v>0.48</v>
      </c>
      <c r="H780" s="12" t="inlineStr"/>
      <c r="I780" s="11" t="inlineStr">
        <is>
          <t>Not started</t>
        </is>
      </c>
      <c r="J780" s="13" t="n"/>
      <c r="K780" s="10" t="inlineStr"/>
      <c r="L780" s="14" t="inlineStr">
        <is>
          <t>▶ watch</t>
        </is>
      </c>
      <c r="M780" s="10" t="inlineStr">
        <is>
          <t>Baker et al. 2001, PNAS 98:10037 (APBS) · Jurrus et al. 2018, Protein Sci 27:112</t>
        </is>
      </c>
      <c r="N780" s="14" t="inlineStr">
        <is>
          <t>read ↗</t>
        </is>
      </c>
      <c r="O780" s="11" t="inlineStr">
        <is>
          <t>reading for G.6 Continuum electrostatics and mesosca</t>
        </is>
      </c>
      <c r="P780" s="10" t="inlineStr"/>
    </row>
    <row r="781">
      <c r="A781" s="15" t="n">
        <v>780</v>
      </c>
      <c r="B781" s="15" t="inlineStr">
        <is>
          <t>Part II - The Method Atlas</t>
        </is>
      </c>
      <c r="C781" s="16" t="inlineStr">
        <is>
          <t>I.6 Condensates and phase separation</t>
        </is>
      </c>
      <c r="D781" s="10" t="inlineStr">
        <is>
          <t>Condensates at the nexus of cellular stress, disease and aging</t>
        </is>
      </c>
      <c r="E781" s="10" t="inlineStr">
        <is>
          <t>Simon Alberti (TU Dresden</t>
        </is>
      </c>
      <c r="F781" s="11" t="inlineStr">
        <is>
          <t>1:08:29</t>
        </is>
      </c>
      <c r="G781" s="11" t="n">
        <v>1.14</v>
      </c>
      <c r="H781" s="12" t="inlineStr"/>
      <c r="I781" s="11" t="inlineStr">
        <is>
          <t>Not started</t>
        </is>
      </c>
      <c r="J781" s="13" t="n"/>
      <c r="K781" s="10" t="inlineStr"/>
      <c r="L781" s="14" t="inlineStr">
        <is>
          <t>▶ watch</t>
        </is>
      </c>
      <c r="M781" s="10" t="inlineStr">
        <is>
          <t>Baker et al. 2001, PNAS 98:10037 (APBS) · Jurrus et al. 2018, Protein Sci 27:112</t>
        </is>
      </c>
      <c r="N781" s="14" t="inlineStr">
        <is>
          <t>read ↗</t>
        </is>
      </c>
      <c r="O781" s="11" t="inlineStr">
        <is>
          <t>reading for G.6 Continuum electrostatics and mesosca</t>
        </is>
      </c>
      <c r="P781" s="10" t="inlineStr"/>
    </row>
    <row r="782">
      <c r="A782" s="15" t="n">
        <v>781</v>
      </c>
      <c r="B782" s="15" t="inlineStr">
        <is>
          <t>Part II - The Method Atlas</t>
        </is>
      </c>
      <c r="C782" s="16" t="inlineStr">
        <is>
          <t>I.6 Condensates and phase separation</t>
        </is>
      </c>
      <c r="D782" s="10" t="inlineStr">
        <is>
          <t>Measuring the liquid structure of condensates in live cells</t>
        </is>
      </c>
      <c r="E782" s="10" t="inlineStr">
        <is>
          <t>Josh Riback (Baylor</t>
        </is>
      </c>
      <c r="F782" s="11" t="inlineStr">
        <is>
          <t>37:43</t>
        </is>
      </c>
      <c r="G782" s="11" t="n">
        <v>0.63</v>
      </c>
      <c r="H782" s="12" t="inlineStr"/>
      <c r="I782" s="11" t="inlineStr">
        <is>
          <t>Not started</t>
        </is>
      </c>
      <c r="J782" s="13" t="n"/>
      <c r="K782" s="10" t="inlineStr"/>
      <c r="L782" s="14" t="inlineStr">
        <is>
          <t>▶ watch</t>
        </is>
      </c>
      <c r="M782" s="10" t="inlineStr">
        <is>
          <t>Baker et al. 2001, PNAS 98:10037 (APBS) · Jurrus et al. 2018, Protein Sci 27:112</t>
        </is>
      </c>
      <c r="N782" s="14" t="inlineStr">
        <is>
          <t>read ↗</t>
        </is>
      </c>
      <c r="O782" s="11" t="inlineStr">
        <is>
          <t>reading for G.6 Continuum electrostatics and mesosca</t>
        </is>
      </c>
      <c r="P782" s="10" t="inlineStr"/>
    </row>
    <row r="783">
      <c r="A783" s="15" t="n">
        <v>782</v>
      </c>
      <c r="B783" s="15" t="inlineStr">
        <is>
          <t>Part II - The Method Atlas</t>
        </is>
      </c>
      <c r="C783" s="16" t="inlineStr">
        <is>
          <t>I.6 Condensates and phase separation</t>
        </is>
      </c>
      <c r="D783" s="10" t="inlineStr">
        <is>
          <t>Predictive models of sequence determinants of nuclear condensates</t>
        </is>
      </c>
      <c r="E783" s="10" t="inlineStr">
        <is>
          <t>HHMI Janelia</t>
        </is>
      </c>
      <c r="F783" s="11" t="inlineStr">
        <is>
          <t>17:11</t>
        </is>
      </c>
      <c r="G783" s="11" t="n">
        <v>0.29</v>
      </c>
      <c r="H783" s="12" t="inlineStr"/>
      <c r="I783" s="11" t="inlineStr">
        <is>
          <t>Not started</t>
        </is>
      </c>
      <c r="J783" s="13" t="n"/>
      <c r="K783" s="10" t="inlineStr"/>
      <c r="L783" s="14" t="inlineStr">
        <is>
          <t>▶ watch</t>
        </is>
      </c>
      <c r="M783" s="10" t="inlineStr">
        <is>
          <t>Baker et al. 2001, PNAS 98:10037 (APBS) · Jurrus et al. 2018, Protein Sci 27:112</t>
        </is>
      </c>
      <c r="N783" s="14" t="inlineStr">
        <is>
          <t>read ↗</t>
        </is>
      </c>
      <c r="O783" s="11" t="inlineStr">
        <is>
          <t>reading for G.6 Continuum electrostatics and mesosca</t>
        </is>
      </c>
      <c r="P783" s="10" t="inlineStr"/>
    </row>
    <row r="784">
      <c r="A784" s="15" t="n">
        <v>783</v>
      </c>
      <c r="B784" s="15" t="inlineStr">
        <is>
          <t>Part II - The Method Atlas</t>
        </is>
      </c>
      <c r="C784" s="16" t="inlineStr">
        <is>
          <t>I.7 Membrane proteins and large assemblies</t>
        </is>
      </c>
      <c r="D784" s="10" t="inlineStr">
        <is>
          <t>Structure and Dynamics of Biological Membranes: Lipid-Protein Interactions</t>
        </is>
      </c>
      <c r="E784" s="10" t="inlineStr">
        <is>
          <t>Erik Lindahl (KTH</t>
        </is>
      </c>
      <c r="F784" s="11" t="inlineStr">
        <is>
          <t>2:07:23</t>
        </is>
      </c>
      <c r="G784" s="11" t="n">
        <v>2.12</v>
      </c>
      <c r="H784" s="12" t="inlineStr">
        <is>
          <t>★</t>
        </is>
      </c>
      <c r="I784" s="11" t="inlineStr">
        <is>
          <t>Not started</t>
        </is>
      </c>
      <c r="J784" s="13" t="n"/>
      <c r="K784" s="10" t="inlineStr"/>
      <c r="L784" s="14" t="inlineStr">
        <is>
          <t>▶ watch</t>
        </is>
      </c>
      <c r="M784" s="10" t="inlineStr">
        <is>
          <t>Baker et al. 2001, PNAS 98:10037 (APBS) · Jurrus et al. 2018, Protein Sci 27:112</t>
        </is>
      </c>
      <c r="N784" s="14" t="inlineStr">
        <is>
          <t>read ↗</t>
        </is>
      </c>
      <c r="O784" s="11" t="inlineStr">
        <is>
          <t>reading for G.6 Continuum electrostatics and mesosca</t>
        </is>
      </c>
      <c r="P784" s="10" t="inlineStr">
        <is>
          <t>B.2 Erik Lindahl - Biophysical Chemistry / Molecular Biophysics</t>
        </is>
      </c>
    </row>
    <row r="785">
      <c r="A785" s="15" t="n">
        <v>784</v>
      </c>
      <c r="B785" s="15" t="inlineStr">
        <is>
          <t>Part II - The Method Atlas</t>
        </is>
      </c>
      <c r="C785" s="16" t="inlineStr">
        <is>
          <t>I.7 Membrane proteins and large assemblies</t>
        </is>
      </c>
      <c r="D785" s="10" t="inlineStr">
        <is>
          <t>Application of molecular dynamics to biomolecular modeling</t>
        </is>
      </c>
      <c r="E785" s="10" t="inlineStr">
        <is>
          <t>Emad Tajkhorshid (UIUC</t>
        </is>
      </c>
      <c r="F785" s="11" t="inlineStr">
        <is>
          <t>1:37:29</t>
        </is>
      </c>
      <c r="G785" s="11" t="n">
        <v>1.62</v>
      </c>
      <c r="H785" s="12" t="inlineStr"/>
      <c r="I785" s="11" t="inlineStr">
        <is>
          <t>Not started</t>
        </is>
      </c>
      <c r="J785" s="13" t="n"/>
      <c r="K785" s="10" t="inlineStr"/>
      <c r="L785" s="14" t="inlineStr">
        <is>
          <t>▶ watch</t>
        </is>
      </c>
      <c r="M785" s="10" t="inlineStr">
        <is>
          <t>Baker et al. 2001, PNAS 98:10037 (APBS) · Jurrus et al. 2018, Protein Sci 27:112</t>
        </is>
      </c>
      <c r="N785" s="14" t="inlineStr">
        <is>
          <t>read ↗</t>
        </is>
      </c>
      <c r="O785" s="11" t="inlineStr">
        <is>
          <t>reading for G.6 Continuum electrostatics and mesosca</t>
        </is>
      </c>
      <c r="P785" s="10" t="inlineStr"/>
    </row>
    <row r="786">
      <c r="A786" s="15" t="n">
        <v>785</v>
      </c>
      <c r="B786" s="15" t="inlineStr">
        <is>
          <t>Part II - The Method Atlas</t>
        </is>
      </c>
      <c r="C786" s="16" t="inlineStr">
        <is>
          <t>I.7 Membrane proteins and large assemblies</t>
        </is>
      </c>
      <c r="D786" s="10" t="inlineStr">
        <is>
          <t>Revealing the Structural Basis of GPCR Signaling</t>
        </is>
      </c>
      <c r="E786" s="10" t="inlineStr">
        <is>
          <t>Ron Dror (Stanford</t>
        </is>
      </c>
      <c r="F786" s="11" t="inlineStr">
        <is>
          <t>1:08:43</t>
        </is>
      </c>
      <c r="G786" s="11" t="n">
        <v>1.15</v>
      </c>
      <c r="H786" s="12" t="inlineStr"/>
      <c r="I786" s="11" t="inlineStr">
        <is>
          <t>Not started</t>
        </is>
      </c>
      <c r="J786" s="13" t="n"/>
      <c r="K786" s="10" t="inlineStr"/>
      <c r="L786" s="14" t="inlineStr">
        <is>
          <t>▶ watch</t>
        </is>
      </c>
      <c r="M786" s="10" t="inlineStr">
        <is>
          <t>Baker et al. 2001, PNAS 98:10037 (APBS) · Jurrus et al. 2018, Protein Sci 27:112</t>
        </is>
      </c>
      <c r="N786" s="14" t="inlineStr">
        <is>
          <t>read ↗</t>
        </is>
      </c>
      <c r="O786" s="11" t="inlineStr">
        <is>
          <t>reading for G.6 Continuum electrostatics and mesosca</t>
        </is>
      </c>
      <c r="P786" s="10" t="inlineStr"/>
    </row>
    <row r="787">
      <c r="A787" s="15" t="n">
        <v>786</v>
      </c>
      <c r="B787" s="15" t="inlineStr">
        <is>
          <t>Part II - The Method Atlas</t>
        </is>
      </c>
      <c r="C787" s="16" t="inlineStr">
        <is>
          <t>I.7 Membrane proteins and large assemblies</t>
        </is>
      </c>
      <c r="D787" s="10" t="inlineStr">
        <is>
          <t>Unraveling C-type inactivation in potassium channels</t>
        </is>
      </c>
      <c r="E787" s="10" t="inlineStr">
        <is>
          <t>Benoît Roux (Chicago</t>
        </is>
      </c>
      <c r="F787" s="11" t="inlineStr">
        <is>
          <t>58:44</t>
        </is>
      </c>
      <c r="G787" s="11" t="n">
        <v>0.98</v>
      </c>
      <c r="H787" s="12" t="inlineStr">
        <is>
          <t>★</t>
        </is>
      </c>
      <c r="I787" s="11" t="inlineStr">
        <is>
          <t>Not started</t>
        </is>
      </c>
      <c r="J787" s="13" t="n"/>
      <c r="K787" s="10" t="inlineStr"/>
      <c r="L787" s="14" t="inlineStr">
        <is>
          <t>▶ watch</t>
        </is>
      </c>
      <c r="M787" s="10" t="inlineStr">
        <is>
          <t>Baker et al. 2001, PNAS 98:10037 (APBS) · Jurrus et al. 2018, Protein Sci 27:112</t>
        </is>
      </c>
      <c r="N787" s="14" t="inlineStr">
        <is>
          <t>read ↗</t>
        </is>
      </c>
      <c r="O787" s="11" t="inlineStr">
        <is>
          <t>reading for G.6 Continuum electrostatics and mesosca</t>
        </is>
      </c>
      <c r="P787" s="10" t="inlineStr"/>
    </row>
    <row r="788">
      <c r="A788" s="15" t="n">
        <v>787</v>
      </c>
      <c r="B788" s="15" t="inlineStr">
        <is>
          <t>Part II - The Method Atlas</t>
        </is>
      </c>
      <c r="C788" s="16" t="inlineStr">
        <is>
          <t>I.7 Membrane proteins and large assemblies</t>
        </is>
      </c>
      <c r="D788" s="10" t="inlineStr">
        <is>
          <t>TSRC Workshop on Protein Dynamics</t>
        </is>
      </c>
      <c r="E788" s="10" t="inlineStr">
        <is>
          <t>Benoît Roux</t>
        </is>
      </c>
      <c r="F788" s="11" t="inlineStr">
        <is>
          <t>49:47</t>
        </is>
      </c>
      <c r="G788" s="11" t="n">
        <v>0.83</v>
      </c>
      <c r="H788" s="12" t="inlineStr"/>
      <c r="I788" s="11" t="inlineStr">
        <is>
          <t>Not started</t>
        </is>
      </c>
      <c r="J788" s="13" t="n"/>
      <c r="K788" s="10" t="inlineStr"/>
      <c r="L788" s="14" t="inlineStr">
        <is>
          <t>▶ watch</t>
        </is>
      </c>
      <c r="M788" s="10" t="inlineStr">
        <is>
          <t>Keedy et al. 2015, eLife 4:e07574</t>
        </is>
      </c>
      <c r="N788" s="14" t="inlineStr">
        <is>
          <t>read ↗</t>
        </is>
      </c>
      <c r="O788" s="11" t="inlineStr">
        <is>
          <t>paired reading</t>
        </is>
      </c>
      <c r="P788" s="10" t="inlineStr"/>
    </row>
    <row r="789">
      <c r="A789" s="15" t="n">
        <v>788</v>
      </c>
      <c r="B789" s="15" t="inlineStr">
        <is>
          <t>Part II - The Method Atlas</t>
        </is>
      </c>
      <c r="C789" s="16" t="inlineStr">
        <is>
          <t>I.7 Membrane proteins and large assemblies</t>
        </is>
      </c>
      <c r="D789" s="10" t="inlineStr">
        <is>
          <t>On MD modeling, force fields, and membrane channels (interview</t>
        </is>
      </c>
      <c r="E789" s="10" t="inlineStr">
        <is>
          <t>Benoît Roux</t>
        </is>
      </c>
      <c r="F789" s="11" t="inlineStr">
        <is>
          <t>31:09</t>
        </is>
      </c>
      <c r="G789" s="11" t="n">
        <v>0.52</v>
      </c>
      <c r="H789" s="12" t="inlineStr"/>
      <c r="I789" s="11" t="inlineStr">
        <is>
          <t>Not started</t>
        </is>
      </c>
      <c r="J789" s="13" t="n"/>
      <c r="K789" s="10" t="inlineStr"/>
      <c r="L789" s="14" t="inlineStr">
        <is>
          <t>▶ watch</t>
        </is>
      </c>
      <c r="M789" s="10" t="inlineStr">
        <is>
          <t>Baker et al. 2001, PNAS 98:10037 (APBS) · Jurrus et al. 2018, Protein Sci 27:112</t>
        </is>
      </c>
      <c r="N789" s="14" t="inlineStr">
        <is>
          <t>read ↗</t>
        </is>
      </c>
      <c r="O789" s="11" t="inlineStr">
        <is>
          <t>reading for G.6 Continuum electrostatics and mesosca</t>
        </is>
      </c>
      <c r="P789" s="10" t="inlineStr"/>
    </row>
    <row r="790">
      <c r="A790" s="15" t="n">
        <v>789</v>
      </c>
      <c r="B790" s="15" t="inlineStr">
        <is>
          <t>Part II - The Method Atlas</t>
        </is>
      </c>
      <c r="C790" s="16" t="inlineStr">
        <is>
          <t>I.7 Membrane proteins and large assemblies</t>
        </is>
      </c>
      <c r="D790" s="10" t="inlineStr">
        <is>
          <t>Water and Ions in Membrane Nanopores and Channels</t>
        </is>
      </c>
      <c r="E790" s="10" t="inlineStr">
        <is>
          <t>Mark Sansom (Oxford</t>
        </is>
      </c>
      <c r="F790" s="11" t="inlineStr">
        <is>
          <t>48:14</t>
        </is>
      </c>
      <c r="G790" s="11" t="n">
        <v>0.8</v>
      </c>
      <c r="H790" s="12" t="inlineStr"/>
      <c r="I790" s="11" t="inlineStr">
        <is>
          <t>Not started</t>
        </is>
      </c>
      <c r="J790" s="13" t="n"/>
      <c r="K790" s="10" t="inlineStr"/>
      <c r="L790" s="14" t="inlineStr">
        <is>
          <t>▶ watch</t>
        </is>
      </c>
      <c r="M790" s="10" t="inlineStr">
        <is>
          <t>Baker et al. 2001, PNAS 98:10037 (APBS) · Jurrus et al. 2018, Protein Sci 27:112</t>
        </is>
      </c>
      <c r="N790" s="14" t="inlineStr">
        <is>
          <t>read ↗</t>
        </is>
      </c>
      <c r="O790" s="11" t="inlineStr">
        <is>
          <t>reading for G.6 Continuum electrostatics and mesosca</t>
        </is>
      </c>
      <c r="P790" s="10" t="inlineStr"/>
    </row>
    <row r="791">
      <c r="A791" s="15" t="n">
        <v>790</v>
      </c>
      <c r="B791" s="15" t="inlineStr">
        <is>
          <t>Part II - The Method Atlas</t>
        </is>
      </c>
      <c r="C791" s="16" t="inlineStr">
        <is>
          <t>I.7 Membrane proteins and large assemblies</t>
        </is>
      </c>
      <c r="D791" s="10" t="inlineStr">
        <is>
          <t>Origins of CHARMM-GUI (interview</t>
        </is>
      </c>
      <c r="E791" s="10" t="inlineStr">
        <is>
          <t>Wonpil Im (Lehigh</t>
        </is>
      </c>
      <c r="F791" s="11" t="inlineStr">
        <is>
          <t>44:00</t>
        </is>
      </c>
      <c r="G791" s="11" t="n">
        <v>0.73</v>
      </c>
      <c r="H791" s="12" t="inlineStr"/>
      <c r="I791" s="11" t="inlineStr">
        <is>
          <t>Not started</t>
        </is>
      </c>
      <c r="J791" s="13" t="n"/>
      <c r="K791" s="10" t="inlineStr"/>
      <c r="L791" s="14" t="inlineStr">
        <is>
          <t>▶ watch</t>
        </is>
      </c>
      <c r="M791" s="10" t="inlineStr">
        <is>
          <t>Baker et al. 2001, PNAS 98:10037 (APBS) · Jurrus et al. 2018, Protein Sci 27:112</t>
        </is>
      </c>
      <c r="N791" s="14" t="inlineStr">
        <is>
          <t>read ↗</t>
        </is>
      </c>
      <c r="O791" s="11" t="inlineStr">
        <is>
          <t>reading for G.6 Continuum electrostatics and mesosca</t>
        </is>
      </c>
      <c r="P791" s="10" t="inlineStr"/>
    </row>
    <row r="792">
      <c r="A792" s="15" t="n">
        <v>791</v>
      </c>
      <c r="B792" s="15" t="inlineStr">
        <is>
          <t>Part II - The Method Atlas</t>
        </is>
      </c>
      <c r="C792" s="16" t="inlineStr">
        <is>
          <t>I.7 Membrane proteins and large assemblies</t>
        </is>
      </c>
      <c r="D792" s="10" t="inlineStr">
        <is>
          <t>Freezing ribosomes, wet proteins, flying peptides</t>
        </is>
      </c>
      <c r="E792" s="10" t="inlineStr">
        <is>
          <t>Helmut Grubmüller (MPI Göttingen</t>
        </is>
      </c>
      <c r="F792" s="11" t="inlineStr">
        <is>
          <t>1:39:58</t>
        </is>
      </c>
      <c r="G792" s="11" t="n">
        <v>1.67</v>
      </c>
      <c r="H792" s="12" t="inlineStr"/>
      <c r="I792" s="11" t="inlineStr">
        <is>
          <t>Not started</t>
        </is>
      </c>
      <c r="J792" s="13" t="n"/>
      <c r="K792" s="10" t="inlineStr"/>
      <c r="L792" s="14" t="inlineStr">
        <is>
          <t>▶ watch</t>
        </is>
      </c>
      <c r="M792" s="10" t="inlineStr">
        <is>
          <t>Baker et al. 2001, PNAS 98:10037 (APBS) · Jurrus et al. 2018, Protein Sci 27:112</t>
        </is>
      </c>
      <c r="N792" s="14" t="inlineStr">
        <is>
          <t>read ↗</t>
        </is>
      </c>
      <c r="O792" s="11" t="inlineStr">
        <is>
          <t>reading for G.6 Continuum electrostatics and mesosca</t>
        </is>
      </c>
      <c r="P792" s="10" t="inlineStr"/>
    </row>
    <row r="793">
      <c r="A793" s="15" t="n">
        <v>792</v>
      </c>
      <c r="B793" s="15" t="inlineStr">
        <is>
          <t>Part II - The Method Atlas</t>
        </is>
      </c>
      <c r="C793" s="16" t="inlineStr">
        <is>
          <t>I.7 Membrane proteins and large assemblies</t>
        </is>
      </c>
      <c r="D793" s="10" t="inlineStr">
        <is>
          <t>Atomistic Simulation of Biomolecular Function: Ligand Binding Heterogeneity</t>
        </is>
      </c>
      <c r="E793" s="10" t="inlineStr">
        <is>
          <t>Helmut Grubmüller</t>
        </is>
      </c>
      <c r="F793" s="11" t="inlineStr">
        <is>
          <t>1:29:07</t>
        </is>
      </c>
      <c r="G793" s="11" t="n">
        <v>1.49</v>
      </c>
      <c r="H793" s="12" t="inlineStr"/>
      <c r="I793" s="11" t="inlineStr">
        <is>
          <t>Not started</t>
        </is>
      </c>
      <c r="J793" s="13" t="n"/>
      <c r="K793" s="10" t="inlineStr"/>
      <c r="L793" s="14" t="inlineStr">
        <is>
          <t>▶ watch</t>
        </is>
      </c>
      <c r="M793" s="10" t="inlineStr">
        <is>
          <t>Baker et al. 2001, PNAS 98:10037 (APBS) · Jurrus et al. 2018, Protein Sci 27:112</t>
        </is>
      </c>
      <c r="N793" s="14" t="inlineStr">
        <is>
          <t>read ↗</t>
        </is>
      </c>
      <c r="O793" s="11" t="inlineStr">
        <is>
          <t>reading for G.6 Continuum electrostatics and mesosca</t>
        </is>
      </c>
      <c r="P793" s="10" t="inlineStr"/>
    </row>
    <row r="794">
      <c r="A794" s="15" t="n">
        <v>793</v>
      </c>
      <c r="B794" s="15" t="inlineStr">
        <is>
          <t>Part II - The Method Atlas</t>
        </is>
      </c>
      <c r="C794" s="16" t="inlineStr">
        <is>
          <t>I.7 Membrane proteins and large assemblies</t>
        </is>
      </c>
      <c r="D794" s="10" t="inlineStr">
        <is>
          <t>Juan Perilla, TCBG seminar (HIV capsid</t>
        </is>
      </c>
      <c r="E794" s="10" t="inlineStr">
        <is>
          <t>Juan Perilla (Delaware</t>
        </is>
      </c>
      <c r="F794" s="11" t="inlineStr">
        <is>
          <t>1:00:53</t>
        </is>
      </c>
      <c r="G794" s="11" t="n">
        <v>1.01</v>
      </c>
      <c r="H794" s="12" t="inlineStr"/>
      <c r="I794" s="11" t="inlineStr">
        <is>
          <t>Not started</t>
        </is>
      </c>
      <c r="J794" s="13" t="n"/>
      <c r="K794" s="10" t="inlineStr"/>
      <c r="L794" s="14" t="inlineStr">
        <is>
          <t>▶ watch</t>
        </is>
      </c>
      <c r="M794" s="10" t="inlineStr">
        <is>
          <t>Baker et al. 2001, PNAS 98:10037 (APBS) · Jurrus et al. 2018, Protein Sci 27:112</t>
        </is>
      </c>
      <c r="N794" s="14" t="inlineStr">
        <is>
          <t>read ↗</t>
        </is>
      </c>
      <c r="O794" s="11" t="inlineStr">
        <is>
          <t>reading for G.6 Continuum electrostatics and mesosca</t>
        </is>
      </c>
      <c r="P794" s="10" t="inlineStr"/>
    </row>
    <row r="795">
      <c r="A795" s="15" t="n">
        <v>794</v>
      </c>
      <c r="B795" s="15" t="inlineStr">
        <is>
          <t>Part II - The Method Atlas</t>
        </is>
      </c>
      <c r="C795" s="16" t="inlineStr">
        <is>
          <t>I.7 Membrane proteins and large assemblies</t>
        </is>
      </c>
      <c r="D795" s="10" t="inlineStr">
        <is>
          <t>Nanotechnology with molecular simulation</t>
        </is>
      </c>
      <c r="E795" s="10" t="inlineStr">
        <is>
          <t>Aleksei Aksimentiev (UIUC</t>
        </is>
      </c>
      <c r="F795" s="11" t="inlineStr">
        <is>
          <t>47:25</t>
        </is>
      </c>
      <c r="G795" s="11" t="n">
        <v>0.79</v>
      </c>
      <c r="H795" s="12" t="inlineStr"/>
      <c r="I795" s="11" t="inlineStr">
        <is>
          <t>Not started</t>
        </is>
      </c>
      <c r="J795" s="13" t="n"/>
      <c r="K795" s="10" t="inlineStr"/>
      <c r="L795" s="14" t="inlineStr">
        <is>
          <t>▶ watch</t>
        </is>
      </c>
      <c r="M795" s="10" t="inlineStr">
        <is>
          <t>Baker et al. 2001, PNAS 98:10037 (APBS) · Jurrus et al. 2018, Protein Sci 27:112</t>
        </is>
      </c>
      <c r="N795" s="14" t="inlineStr">
        <is>
          <t>read ↗</t>
        </is>
      </c>
      <c r="O795" s="11" t="inlineStr">
        <is>
          <t>reading for G.6 Continuum electrostatics and mesosca</t>
        </is>
      </c>
      <c r="P795" s="10" t="inlineStr"/>
    </row>
    <row r="796">
      <c r="A796" s="15" t="n">
        <v>795</v>
      </c>
      <c r="B796" s="15" t="inlineStr">
        <is>
          <t>Part II - The Method Atlas</t>
        </is>
      </c>
      <c r="C796" s="16" t="inlineStr">
        <is>
          <t>I.7 Membrane proteins and large assemblies</t>
        </is>
      </c>
      <c r="D796" s="10" t="inlineStr">
        <is>
          <t>EMBL Keynote: In Situ Dynamics Reveal Unseen Vulnerabilities of Viral Glycoproteins</t>
        </is>
      </c>
      <c r="E796" s="10" t="inlineStr">
        <is>
          <t>Rommie Amaro</t>
        </is>
      </c>
      <c r="F796" s="11" t="inlineStr">
        <is>
          <t>47:58</t>
        </is>
      </c>
      <c r="G796" s="11" t="n">
        <v>0.8</v>
      </c>
      <c r="H796" s="12" t="inlineStr">
        <is>
          <t>★</t>
        </is>
      </c>
      <c r="I796" s="11" t="inlineStr">
        <is>
          <t>Not started</t>
        </is>
      </c>
      <c r="J796" s="13" t="n"/>
      <c r="K796" s="10" t="inlineStr"/>
      <c r="L796" s="14" t="inlineStr">
        <is>
          <t>▶ watch</t>
        </is>
      </c>
      <c r="M796" s="10" t="inlineStr">
        <is>
          <t>Baker et al. 2001, PNAS 98:10037 (APBS) · Jurrus et al. 2018, Protein Sci 27:112</t>
        </is>
      </c>
      <c r="N796" s="14" t="inlineStr">
        <is>
          <t>read ↗</t>
        </is>
      </c>
      <c r="O796" s="11" t="inlineStr">
        <is>
          <t>reading for G.6 Continuum electrostatics and mesosca</t>
        </is>
      </c>
      <c r="P796" s="10" t="inlineStr"/>
    </row>
    <row r="797">
      <c r="A797" s="15" t="n">
        <v>796</v>
      </c>
      <c r="B797" s="15" t="inlineStr">
        <is>
          <t>Part II - The Method Atlas</t>
        </is>
      </c>
      <c r="C797" s="16" t="inlineStr">
        <is>
          <t>I.7 Membrane proteins and large assemblies</t>
        </is>
      </c>
      <c r="D797" s="10" t="inlineStr">
        <is>
          <t>Computational Microscopy for In Situ Molecular Dynamics</t>
        </is>
      </c>
      <c r="E797" s="10" t="inlineStr">
        <is>
          <t>Rommie Amaro</t>
        </is>
      </c>
      <c r="F797" s="11" t="inlineStr">
        <is>
          <t>1:16:49</t>
        </is>
      </c>
      <c r="G797" s="11" t="n">
        <v>1.28</v>
      </c>
      <c r="H797" s="12" t="inlineStr"/>
      <c r="I797" s="11" t="inlineStr">
        <is>
          <t>Not started</t>
        </is>
      </c>
      <c r="J797" s="13" t="n"/>
      <c r="K797" s="10" t="inlineStr"/>
      <c r="L797" s="14" t="inlineStr">
        <is>
          <t>▶ watch</t>
        </is>
      </c>
      <c r="M797" s="10" t="inlineStr">
        <is>
          <t>Baker et al. 2001, PNAS 98:10037 (APBS) · Jurrus et al. 2018, Protein Sci 27:112</t>
        </is>
      </c>
      <c r="N797" s="14" t="inlineStr">
        <is>
          <t>read ↗</t>
        </is>
      </c>
      <c r="O797" s="11" t="inlineStr">
        <is>
          <t>reading for G.6 Continuum electrostatics and mesosca</t>
        </is>
      </c>
      <c r="P797" s="10" t="inlineStr"/>
    </row>
    <row r="798">
      <c r="A798" s="15" t="n">
        <v>797</v>
      </c>
      <c r="B798" s="15" t="inlineStr">
        <is>
          <t>Part II - The Method Atlas</t>
        </is>
      </c>
      <c r="C798" s="16" t="inlineStr">
        <is>
          <t>Maximum likelihood and the Bayesian framework</t>
        </is>
      </c>
      <c r="D798" s="10" t="inlineStr">
        <is>
          <t>Cryo-EM17 lecture 06: Image refinement in 2D and 3D</t>
        </is>
      </c>
      <c r="E798" s="10" t="inlineStr">
        <is>
          <t>Sjors Scheres (MRC-LMB</t>
        </is>
      </c>
      <c r="F798" s="11" t="inlineStr">
        <is>
          <t>53:46</t>
        </is>
      </c>
      <c r="G798" s="11" t="n">
        <v>0.9</v>
      </c>
      <c r="H798" s="12" t="inlineStr">
        <is>
          <t>★</t>
        </is>
      </c>
      <c r="I798" s="11" t="inlineStr">
        <is>
          <t>Not started</t>
        </is>
      </c>
      <c r="J798" s="13" t="n"/>
      <c r="K798" s="10" t="inlineStr"/>
      <c r="L798" s="14" t="inlineStr">
        <is>
          <t>▶ watch</t>
        </is>
      </c>
      <c r="M798" s="10" t="inlineStr">
        <is>
          <t>Baker et al. 2001, PNAS 98:10037 (APBS) · Jurrus et al. 2018, Protein Sci 27:112</t>
        </is>
      </c>
      <c r="N798" s="14" t="inlineStr">
        <is>
          <t>read ↗</t>
        </is>
      </c>
      <c r="O798" s="11" t="inlineStr">
        <is>
          <t>reading for G.6 Continuum electrostatics and mesosca</t>
        </is>
      </c>
      <c r="P798" s="10" t="inlineStr"/>
    </row>
    <row r="799">
      <c r="A799" s="15" t="n">
        <v>798</v>
      </c>
      <c r="B799" s="15" t="inlineStr">
        <is>
          <t>Part II - The Method Atlas</t>
        </is>
      </c>
      <c r="C799" s="16" t="inlineStr">
        <is>
          <t>Maximum likelihood and the Bayesian framework</t>
        </is>
      </c>
      <c r="D799" s="10" t="inlineStr">
        <is>
          <t>Cryo-EM Image Processing (2024</t>
        </is>
      </c>
      <c r="E799" s="10" t="inlineStr">
        <is>
          <t>Sjors Scheres</t>
        </is>
      </c>
      <c r="F799" s="11" t="inlineStr">
        <is>
          <t>52:16</t>
        </is>
      </c>
      <c r="G799" s="11" t="n">
        <v>0.87</v>
      </c>
      <c r="H799" s="12" t="inlineStr"/>
      <c r="I799" s="11" t="inlineStr">
        <is>
          <t>Not started</t>
        </is>
      </c>
      <c r="J799" s="13" t="n"/>
      <c r="K799" s="10" t="inlineStr"/>
      <c r="L799" s="14" t="inlineStr">
        <is>
          <t>▶ watch</t>
        </is>
      </c>
      <c r="M799" s="10" t="inlineStr">
        <is>
          <t>Baker et al. 2001, PNAS 98:10037 (APBS) · Jurrus et al. 2018, Protein Sci 27:112</t>
        </is>
      </c>
      <c r="N799" s="14" t="inlineStr">
        <is>
          <t>read ↗</t>
        </is>
      </c>
      <c r="O799" s="11" t="inlineStr">
        <is>
          <t>reading for G.6 Continuum electrostatics and mesosca</t>
        </is>
      </c>
      <c r="P799" s="10" t="inlineStr"/>
    </row>
    <row r="800">
      <c r="A800" s="15" t="n">
        <v>799</v>
      </c>
      <c r="B800" s="15" t="inlineStr">
        <is>
          <t>Part II - The Method Atlas</t>
        </is>
      </c>
      <c r="C800" s="16" t="inlineStr">
        <is>
          <t>Maximum likelihood and the Bayesian framework</t>
        </is>
      </c>
      <c r="D800" s="10" t="inlineStr">
        <is>
          <t>Reconstruction of Cryo-EM Images of Proteins to Atomic Resolution</t>
        </is>
      </c>
      <c r="E800" s="10" t="inlineStr">
        <is>
          <t>Sjors Scheres (EPFL Imaging</t>
        </is>
      </c>
      <c r="F800" s="11" t="inlineStr">
        <is>
          <t>47:18</t>
        </is>
      </c>
      <c r="G800" s="11" t="n">
        <v>0.79</v>
      </c>
      <c r="H800" s="12" t="inlineStr"/>
      <c r="I800" s="11" t="inlineStr">
        <is>
          <t>Not started</t>
        </is>
      </c>
      <c r="J800" s="13" t="n"/>
      <c r="K800" s="10" t="inlineStr"/>
      <c r="L800" s="14" t="inlineStr">
        <is>
          <t>▶ watch</t>
        </is>
      </c>
      <c r="M800" s="10" t="inlineStr">
        <is>
          <t>Baker et al. 2001, PNAS 98:10037 (APBS) · Jurrus et al. 2018, Protein Sci 27:112</t>
        </is>
      </c>
      <c r="N800" s="14" t="inlineStr">
        <is>
          <t>read ↗</t>
        </is>
      </c>
      <c r="O800" s="11" t="inlineStr">
        <is>
          <t>reading for G.6 Continuum electrostatics and mesosca</t>
        </is>
      </c>
      <c r="P800" s="10" t="inlineStr"/>
    </row>
    <row r="801">
      <c r="A801" s="15" t="n">
        <v>800</v>
      </c>
      <c r="B801" s="15" t="inlineStr">
        <is>
          <t>Part II - The Method Atlas</t>
        </is>
      </c>
      <c r="C801" s="16" t="inlineStr">
        <is>
          <t>Maximum likelihood and the Bayesian framework</t>
        </is>
      </c>
      <c r="D801" s="10" t="inlineStr">
        <is>
          <t>EM Image Formation and Single-particle Reconstruction</t>
        </is>
      </c>
      <c r="E801" s="10" t="inlineStr">
        <is>
          <t>Fred Sigworth (Yale</t>
        </is>
      </c>
      <c r="F801" s="11" t="inlineStr">
        <is>
          <t>1:31:22</t>
        </is>
      </c>
      <c r="G801" s="11" t="n">
        <v>1.52</v>
      </c>
      <c r="H801" s="12" t="inlineStr">
        <is>
          <t>★</t>
        </is>
      </c>
      <c r="I801" s="11" t="inlineStr">
        <is>
          <t>Not started</t>
        </is>
      </c>
      <c r="J801" s="13" t="n"/>
      <c r="K801" s="10" t="inlineStr"/>
      <c r="L801" s="14" t="inlineStr">
        <is>
          <t>▶ watch</t>
        </is>
      </c>
      <c r="M801" s="10" t="inlineStr">
        <is>
          <t>Baker et al. 2001, PNAS 98:10037 (APBS) · Jurrus et al. 2018, Protein Sci 27:112</t>
        </is>
      </c>
      <c r="N801" s="14" t="inlineStr">
        <is>
          <t>read ↗</t>
        </is>
      </c>
      <c r="O801" s="11" t="inlineStr">
        <is>
          <t>reading for G.6 Continuum electrostatics and mesosca</t>
        </is>
      </c>
      <c r="P801" s="10" t="inlineStr"/>
    </row>
    <row r="802">
      <c r="A802" s="15" t="n">
        <v>801</v>
      </c>
      <c r="B802" s="15" t="inlineStr">
        <is>
          <t>Part II - The Method Atlas</t>
        </is>
      </c>
      <c r="C802" s="16" t="inlineStr">
        <is>
          <t>Maximum likelihood and the Bayesian framework</t>
        </is>
      </c>
      <c r="D802" s="10" t="inlineStr">
        <is>
          <t>Algorithms and foundational math, Part II</t>
        </is>
      </c>
      <c r="E802" s="10" t="inlineStr">
        <is>
          <t>Fred Sigworth (NCCAT</t>
        </is>
      </c>
      <c r="F802" s="11" t="inlineStr">
        <is>
          <t>56:29</t>
        </is>
      </c>
      <c r="G802" s="11" t="n">
        <v>0.9399999999999999</v>
      </c>
      <c r="H802" s="12" t="inlineStr"/>
      <c r="I802" s="11" t="inlineStr">
        <is>
          <t>Not started</t>
        </is>
      </c>
      <c r="J802" s="13" t="n"/>
      <c r="K802" s="10" t="inlineStr"/>
      <c r="L802" s="14" t="inlineStr">
        <is>
          <t>▶ watch</t>
        </is>
      </c>
      <c r="M802" s="10" t="inlineStr">
        <is>
          <t>Baker et al. 2001, PNAS 98:10037 (APBS) · Jurrus et al. 2018, Protein Sci 27:112</t>
        </is>
      </c>
      <c r="N802" s="14" t="inlineStr">
        <is>
          <t>read ↗</t>
        </is>
      </c>
      <c r="O802" s="11" t="inlineStr">
        <is>
          <t>reading for G.6 Continuum electrostatics and mesosca</t>
        </is>
      </c>
      <c r="P802" s="10" t="inlineStr"/>
    </row>
    <row r="803">
      <c r="A803" s="15" t="n">
        <v>802</v>
      </c>
      <c r="B803" s="15" t="inlineStr">
        <is>
          <t>Part II - The Method Atlas</t>
        </is>
      </c>
      <c r="C803" s="16" t="inlineStr">
        <is>
          <t>Maximum likelihood and the Bayesian framework</t>
        </is>
      </c>
      <c r="D803" s="10" t="inlineStr">
        <is>
          <t>CryoEM 1.1: Two Astonishing Phenomena</t>
        </is>
      </c>
      <c r="E803" s="10" t="inlineStr">
        <is>
          <t>Fred Sigworth</t>
        </is>
      </c>
      <c r="F803" s="11" t="inlineStr">
        <is>
          <t>13:32</t>
        </is>
      </c>
      <c r="G803" s="11" t="n">
        <v>0.23</v>
      </c>
      <c r="H803" s="12" t="inlineStr"/>
      <c r="I803" s="11" t="inlineStr">
        <is>
          <t>Not started</t>
        </is>
      </c>
      <c r="J803" s="13" t="n"/>
      <c r="K803" s="10" t="inlineStr"/>
      <c r="L803" s="14" t="inlineStr">
        <is>
          <t>▶ watch</t>
        </is>
      </c>
      <c r="M803" s="10" t="inlineStr">
        <is>
          <t>Baker et al. 2001, PNAS 98:10037 (APBS) · Jurrus et al. 2018, Protein Sci 27:112</t>
        </is>
      </c>
      <c r="N803" s="14" t="inlineStr">
        <is>
          <t>read ↗</t>
        </is>
      </c>
      <c r="O803" s="11" t="inlineStr">
        <is>
          <t>reading for G.6 Continuum electrostatics and mesosca</t>
        </is>
      </c>
      <c r="P803" s="10" t="inlineStr"/>
    </row>
    <row r="804">
      <c r="A804" s="15" t="n">
        <v>803</v>
      </c>
      <c r="B804" s="15" t="inlineStr">
        <is>
          <t>Part II - The Method Atlas</t>
        </is>
      </c>
      <c r="C804" s="16" t="inlineStr">
        <is>
          <t>Maximum likelihood and the Bayesian framework</t>
        </is>
      </c>
      <c r="D804" s="10" t="inlineStr">
        <is>
          <t>Cryo-EM Workshop (the dissenting view</t>
        </is>
      </c>
      <c r="E804" s="10" t="inlineStr">
        <is>
          <t>Marin van Heel</t>
        </is>
      </c>
      <c r="F804" s="11" t="inlineStr">
        <is>
          <t>38:42</t>
        </is>
      </c>
      <c r="G804" s="11" t="n">
        <v>0.65</v>
      </c>
      <c r="H804" s="12" t="inlineStr"/>
      <c r="I804" s="11" t="inlineStr">
        <is>
          <t>Not started</t>
        </is>
      </c>
      <c r="J804" s="13" t="n"/>
      <c r="K804" s="10" t="inlineStr"/>
      <c r="L804" s="14" t="inlineStr">
        <is>
          <t>▶ watch</t>
        </is>
      </c>
      <c r="M804" s="10" t="inlineStr">
        <is>
          <t>Baker et al. 2001, PNAS 98:10037 (APBS) · Jurrus et al. 2018, Protein Sci 27:112</t>
        </is>
      </c>
      <c r="N804" s="14" t="inlineStr">
        <is>
          <t>read ↗</t>
        </is>
      </c>
      <c r="O804" s="11" t="inlineStr">
        <is>
          <t>reading for G.6 Continuum electrostatics and mesosca</t>
        </is>
      </c>
      <c r="P804" s="10" t="inlineStr"/>
    </row>
    <row r="805">
      <c r="A805" s="15" t="n">
        <v>804</v>
      </c>
      <c r="B805" s="15" t="inlineStr">
        <is>
          <t>Part II - The Method Atlas</t>
        </is>
      </c>
      <c r="C805" s="16" t="inlineStr">
        <is>
          <t>Image formation, CTF and Fourier theory</t>
        </is>
      </c>
      <c r="D805" s="10" t="inlineStr">
        <is>
          <t>Cryo-EM14 lecture 2: Image formation, Fourier analysis and CTF theory</t>
        </is>
      </c>
      <c r="E805" s="10" t="inlineStr">
        <is>
          <t>Sjors Scheres</t>
        </is>
      </c>
      <c r="F805" s="11" t="inlineStr">
        <is>
          <t>1:00:52</t>
        </is>
      </c>
      <c r="G805" s="11" t="n">
        <v>1.01</v>
      </c>
      <c r="H805" s="12" t="inlineStr"/>
      <c r="I805" s="11" t="inlineStr">
        <is>
          <t>Not started</t>
        </is>
      </c>
      <c r="J805" s="13" t="n"/>
      <c r="K805" s="10" t="inlineStr"/>
      <c r="L805" s="14" t="inlineStr">
        <is>
          <t>▶ watch</t>
        </is>
      </c>
      <c r="M805" s="10" t="inlineStr">
        <is>
          <t>Baker et al. 2001, PNAS 98:10037 (APBS) · Jurrus et al. 2018, Protein Sci 27:112</t>
        </is>
      </c>
      <c r="N805" s="14" t="inlineStr">
        <is>
          <t>read ↗</t>
        </is>
      </c>
      <c r="O805" s="11" t="inlineStr">
        <is>
          <t>reading for G.6 Continuum electrostatics and mesosca</t>
        </is>
      </c>
      <c r="P805" s="10" t="inlineStr"/>
    </row>
    <row r="806">
      <c r="A806" s="15" t="n">
        <v>805</v>
      </c>
      <c r="B806" s="15" t="inlineStr">
        <is>
          <t>Part II - The Method Atlas</t>
        </is>
      </c>
      <c r="C806" s="16" t="inlineStr">
        <is>
          <t>Image formation, CTF and Fourier theory</t>
        </is>
      </c>
      <c r="D806" s="10" t="inlineStr">
        <is>
          <t>Cryo-EM17 lecture 03: Image formation, Fourier analysis, CTF</t>
        </is>
      </c>
      <c r="E806" s="10" t="inlineStr">
        <is>
          <t>Paula da Fonseca</t>
        </is>
      </c>
      <c r="F806" s="11" t="inlineStr">
        <is>
          <t>45:15</t>
        </is>
      </c>
      <c r="G806" s="11" t="n">
        <v>0.75</v>
      </c>
      <c r="H806" s="12" t="inlineStr"/>
      <c r="I806" s="11" t="inlineStr">
        <is>
          <t>Not started</t>
        </is>
      </c>
      <c r="J806" s="13" t="n"/>
      <c r="K806" s="10" t="inlineStr"/>
      <c r="L806" s="14" t="inlineStr">
        <is>
          <t>▶ watch</t>
        </is>
      </c>
      <c r="M806" s="10" t="inlineStr">
        <is>
          <t>Baker et al. 2001, PNAS 98:10037 (APBS) · Jurrus et al. 2018, Protein Sci 27:112</t>
        </is>
      </c>
      <c r="N806" s="14" t="inlineStr">
        <is>
          <t>read ↗</t>
        </is>
      </c>
      <c r="O806" s="11" t="inlineStr">
        <is>
          <t>reading for G.6 Continuum electrostatics and mesosca</t>
        </is>
      </c>
      <c r="P806" s="10" t="inlineStr"/>
    </row>
    <row r="807">
      <c r="A807" s="15" t="n">
        <v>806</v>
      </c>
      <c r="B807" s="15" t="inlineStr">
        <is>
          <t>Part II - The Method Atlas</t>
        </is>
      </c>
      <c r="C807" s="16" t="inlineStr">
        <is>
          <t>Image formation, CTF and Fourier theory</t>
        </is>
      </c>
      <c r="D807" s="10" t="inlineStr">
        <is>
          <t>Part 3: CTF Correction</t>
        </is>
      </c>
      <c r="E807" s="10" t="inlineStr">
        <is>
          <t>Grant Jensen (Caltech</t>
        </is>
      </c>
      <c r="F807" s="11" t="inlineStr">
        <is>
          <t>31:44</t>
        </is>
      </c>
      <c r="G807" s="11" t="n">
        <v>0.53</v>
      </c>
      <c r="H807" s="12" t="inlineStr"/>
      <c r="I807" s="11" t="inlineStr">
        <is>
          <t>Not started</t>
        </is>
      </c>
      <c r="J807" s="13" t="n"/>
      <c r="K807" s="10" t="inlineStr"/>
      <c r="L807" s="14" t="inlineStr">
        <is>
          <t>▶ watch</t>
        </is>
      </c>
      <c r="M807" s="10" t="inlineStr">
        <is>
          <t>Baker et al. 2001, PNAS 98:10037 (APBS) · Jurrus et al. 2018, Protein Sci 27:112</t>
        </is>
      </c>
      <c r="N807" s="14" t="inlineStr">
        <is>
          <t>read ↗</t>
        </is>
      </c>
      <c r="O807" s="11" t="inlineStr">
        <is>
          <t>reading for G.6 Continuum electrostatics and mesosca</t>
        </is>
      </c>
      <c r="P807" s="10" t="inlineStr"/>
    </row>
    <row r="808">
      <c r="A808" s="15" t="n">
        <v>807</v>
      </c>
      <c r="B808" s="15" t="inlineStr">
        <is>
          <t>Part II - The Method Atlas</t>
        </is>
      </c>
      <c r="C808" s="16" t="inlineStr">
        <is>
          <t>Image formation, CTF and Fourier theory</t>
        </is>
      </c>
      <c r="D808" s="10" t="inlineStr">
        <is>
          <t>Fourier transforms in cryo-EM: convolution, Gaussians, FSC, FFT</t>
        </is>
      </c>
      <c r="E808" s="10" t="inlineStr">
        <is>
          <t>Pavel Afanasyev (ETH</t>
        </is>
      </c>
      <c r="F808" s="11" t="inlineStr">
        <is>
          <t>59:45</t>
        </is>
      </c>
      <c r="G808" s="11" t="n">
        <v>1</v>
      </c>
      <c r="H808" s="12" t="inlineStr"/>
      <c r="I808" s="11" t="inlineStr">
        <is>
          <t>Not started</t>
        </is>
      </c>
      <c r="J808" s="13" t="n"/>
      <c r="K808" s="10" t="inlineStr"/>
      <c r="L808" s="14" t="inlineStr">
        <is>
          <t>▶ watch</t>
        </is>
      </c>
      <c r="M808" s="10" t="inlineStr">
        <is>
          <t>Baker et al. 2001, PNAS 98:10037 (APBS) · Jurrus et al. 2018, Protein Sci 27:112</t>
        </is>
      </c>
      <c r="N808" s="14" t="inlineStr">
        <is>
          <t>read ↗</t>
        </is>
      </c>
      <c r="O808" s="11" t="inlineStr">
        <is>
          <t>reading for G.6 Continuum electrostatics and mesosca</t>
        </is>
      </c>
      <c r="P808" s="10" t="inlineStr"/>
    </row>
    <row r="809">
      <c r="A809" s="15" t="n">
        <v>808</v>
      </c>
      <c r="B809" s="15" t="inlineStr">
        <is>
          <t>Part II - The Method Atlas</t>
        </is>
      </c>
      <c r="C809" s="16" t="inlineStr">
        <is>
          <t>Image formation, CTF and Fourier theory</t>
        </is>
      </c>
      <c r="D809" s="10" t="inlineStr">
        <is>
          <t>Basics of single-particle cryo-EM image processing</t>
        </is>
      </c>
      <c r="E809" s="10" t="inlineStr">
        <is>
          <t>Pavel Afanasyev</t>
        </is>
      </c>
      <c r="F809" s="11" t="inlineStr">
        <is>
          <t>1:00:03</t>
        </is>
      </c>
      <c r="G809" s="11" t="n">
        <v>1</v>
      </c>
      <c r="H809" s="12" t="inlineStr"/>
      <c r="I809" s="11" t="inlineStr">
        <is>
          <t>Not started</t>
        </is>
      </c>
      <c r="J809" s="13" t="n"/>
      <c r="K809" s="10" t="inlineStr"/>
      <c r="L809" s="14" t="inlineStr">
        <is>
          <t>▶ watch</t>
        </is>
      </c>
      <c r="M809" s="10" t="inlineStr">
        <is>
          <t>Baker et al. 2001, PNAS 98:10037 (APBS) · Jurrus et al. 2018, Protein Sci 27:112</t>
        </is>
      </c>
      <c r="N809" s="14" t="inlineStr">
        <is>
          <t>read ↗</t>
        </is>
      </c>
      <c r="O809" s="11" t="inlineStr">
        <is>
          <t>reading for G.6 Continuum electrostatics and mesosca</t>
        </is>
      </c>
      <c r="P809" s="10" t="inlineStr"/>
    </row>
    <row r="810">
      <c r="A810" s="15" t="n">
        <v>809</v>
      </c>
      <c r="B810" s="15" t="inlineStr">
        <is>
          <t>Part II - The Method Atlas</t>
        </is>
      </c>
      <c r="C810" s="16" t="inlineStr">
        <is>
          <t>Image formation, CTF and Fourier theory</t>
        </is>
      </c>
      <c r="D810" s="10" t="inlineStr">
        <is>
          <t>Cryo-EM17 lecture 01: Cryo-EM past, present and future</t>
        </is>
      </c>
      <c r="E810" s="10" t="inlineStr">
        <is>
          <t>Richard Henderson</t>
        </is>
      </c>
      <c r="F810" s="11" t="inlineStr">
        <is>
          <t>59:38</t>
        </is>
      </c>
      <c r="G810" s="11" t="n">
        <v>0.99</v>
      </c>
      <c r="H810" s="12" t="inlineStr"/>
      <c r="I810" s="11" t="inlineStr">
        <is>
          <t>Not started</t>
        </is>
      </c>
      <c r="J810" s="13" t="n"/>
      <c r="K810" s="10" t="inlineStr"/>
      <c r="L810" s="14" t="inlineStr">
        <is>
          <t>▶ watch</t>
        </is>
      </c>
      <c r="M810" s="10" t="inlineStr">
        <is>
          <t>Rosenthal &amp; Henderson 2003</t>
        </is>
      </c>
      <c r="N810" s="14" t="inlineStr">
        <is>
          <t>read ↗</t>
        </is>
      </c>
      <c r="O810" s="11" t="inlineStr">
        <is>
          <t>paired reading</t>
        </is>
      </c>
      <c r="P810" s="10" t="inlineStr"/>
    </row>
    <row r="811">
      <c r="A811" s="15" t="n">
        <v>810</v>
      </c>
      <c r="B811" s="15" t="inlineStr">
        <is>
          <t>Part II - The Method Atlas</t>
        </is>
      </c>
      <c r="C811" s="16" t="inlineStr">
        <is>
          <t>Resolution and validation</t>
        </is>
      </c>
      <c r="D811" s="10" t="inlineStr">
        <is>
          <t>Theory of CryoEM SPA 9: Resolution</t>
        </is>
      </c>
      <c r="E811" s="10" t="inlineStr">
        <is>
          <t>Carlos Oscar Sorzano (CNB-CSIC</t>
        </is>
      </c>
      <c r="F811" s="11" t="inlineStr">
        <is>
          <t>33:39</t>
        </is>
      </c>
      <c r="G811" s="11" t="n">
        <v>0.5600000000000001</v>
      </c>
      <c r="H811" s="12" t="inlineStr"/>
      <c r="I811" s="11" t="inlineStr">
        <is>
          <t>Not started</t>
        </is>
      </c>
      <c r="J811" s="13" t="n"/>
      <c r="K811" s="10" t="inlineStr"/>
      <c r="L811" s="14" t="inlineStr">
        <is>
          <t>▶ watch</t>
        </is>
      </c>
      <c r="M811" s="10" t="inlineStr">
        <is>
          <t>Baker et al. 2001, PNAS 98:10037 (APBS) · Jurrus et al. 2018, Protein Sci 27:112</t>
        </is>
      </c>
      <c r="N811" s="14" t="inlineStr">
        <is>
          <t>read ↗</t>
        </is>
      </c>
      <c r="O811" s="11" t="inlineStr">
        <is>
          <t>reading for G.6 Continuum electrostatics and mesosca</t>
        </is>
      </c>
      <c r="P811" s="10" t="inlineStr"/>
    </row>
    <row r="812">
      <c r="A812" s="15" t="n">
        <v>811</v>
      </c>
      <c r="B812" s="15" t="inlineStr">
        <is>
          <t>Part II - The Method Atlas</t>
        </is>
      </c>
      <c r="C812" s="16" t="inlineStr">
        <is>
          <t>Resolution and validation</t>
        </is>
      </c>
      <c r="D812" s="10" t="inlineStr">
        <is>
          <t>Theory of CryoEM SPA 1: Basics of image processing operations</t>
        </is>
      </c>
      <c r="E812" s="10" t="inlineStr">
        <is>
          <t>Carlos Oscar Sorzano</t>
        </is>
      </c>
      <c r="F812" s="11" t="inlineStr">
        <is>
          <t>1:39:06</t>
        </is>
      </c>
      <c r="G812" s="11" t="n">
        <v>1.65</v>
      </c>
      <c r="H812" s="12" t="inlineStr"/>
      <c r="I812" s="11" t="inlineStr">
        <is>
          <t>Not started</t>
        </is>
      </c>
      <c r="J812" s="13" t="n"/>
      <c r="K812" s="10" t="inlineStr"/>
      <c r="L812" s="14" t="inlineStr">
        <is>
          <t>▶ watch</t>
        </is>
      </c>
      <c r="M812" s="10" t="inlineStr">
        <is>
          <t>Baker et al. 2001, PNAS 98:10037 (APBS) · Jurrus et al. 2018, Protein Sci 27:112</t>
        </is>
      </c>
      <c r="N812" s="14" t="inlineStr">
        <is>
          <t>read ↗</t>
        </is>
      </c>
      <c r="O812" s="11" t="inlineStr">
        <is>
          <t>reading for G.6 Continuum electrostatics and mesosca</t>
        </is>
      </c>
      <c r="P812" s="10" t="inlineStr"/>
    </row>
    <row r="813">
      <c r="A813" s="15" t="n">
        <v>812</v>
      </c>
      <c r="B813" s="15" t="inlineStr">
        <is>
          <t>Part II - The Method Atlas</t>
        </is>
      </c>
      <c r="C813" s="16" t="inlineStr">
        <is>
          <t>Resolution and validation</t>
        </is>
      </c>
      <c r="D813" s="10" t="inlineStr">
        <is>
          <t>Theory of CryoEM SPA 7: Validation</t>
        </is>
      </c>
      <c r="E813" s="10" t="inlineStr">
        <is>
          <t>Carlos Oscar Sorzano</t>
        </is>
      </c>
      <c r="F813" s="11" t="inlineStr">
        <is>
          <t>32:43</t>
        </is>
      </c>
      <c r="G813" s="11" t="n">
        <v>0.55</v>
      </c>
      <c r="H813" s="12" t="inlineStr"/>
      <c r="I813" s="11" t="inlineStr">
        <is>
          <t>Not started</t>
        </is>
      </c>
      <c r="J813" s="13" t="n"/>
      <c r="K813" s="10" t="inlineStr"/>
      <c r="L813" s="14" t="inlineStr">
        <is>
          <t>▶ watch</t>
        </is>
      </c>
      <c r="M813" s="10" t="inlineStr">
        <is>
          <t>Baker et al. 2001, PNAS 98:10037 (APBS) · Jurrus et al. 2018, Protein Sci 27:112</t>
        </is>
      </c>
      <c r="N813" s="14" t="inlineStr">
        <is>
          <t>read ↗</t>
        </is>
      </c>
      <c r="O813" s="11" t="inlineStr">
        <is>
          <t>reading for G.6 Continuum electrostatics and mesosca</t>
        </is>
      </c>
      <c r="P813" s="10" t="inlineStr"/>
    </row>
    <row r="814">
      <c r="A814" s="15" t="n">
        <v>813</v>
      </c>
      <c r="B814" s="15" t="inlineStr">
        <is>
          <t>Part II - The Method Atlas</t>
        </is>
      </c>
      <c r="C814" s="16" t="inlineStr">
        <is>
          <t>Resolution and validation</t>
        </is>
      </c>
      <c r="D814" s="10" t="inlineStr">
        <is>
          <t>3DEM map-model validation using Q-scores</t>
        </is>
      </c>
      <c r="E814" s="10" t="inlineStr">
        <is>
          <t>Greg Pintilie (Stanford</t>
        </is>
      </c>
      <c r="F814" s="11" t="inlineStr">
        <is>
          <t>1:00:28</t>
        </is>
      </c>
      <c r="G814" s="11" t="n">
        <v>1.01</v>
      </c>
      <c r="H814" s="12" t="inlineStr"/>
      <c r="I814" s="11" t="inlineStr">
        <is>
          <t>Not started</t>
        </is>
      </c>
      <c r="J814" s="13" t="n"/>
      <c r="K814" s="10" t="inlineStr"/>
      <c r="L814" s="14" t="inlineStr">
        <is>
          <t>▶ watch</t>
        </is>
      </c>
      <c r="M814" s="10" t="inlineStr">
        <is>
          <t>Baker et al. 2001, PNAS 98:10037 (APBS) · Jurrus et al. 2018, Protein Sci 27:112</t>
        </is>
      </c>
      <c r="N814" s="14" t="inlineStr">
        <is>
          <t>read ↗</t>
        </is>
      </c>
      <c r="O814" s="11" t="inlineStr">
        <is>
          <t>reading for G.6 Continuum electrostatics and mesosca</t>
        </is>
      </c>
      <c r="P814" s="10" t="inlineStr"/>
    </row>
    <row r="815">
      <c r="A815" s="15" t="n">
        <v>814</v>
      </c>
      <c r="B815" s="15" t="inlineStr">
        <is>
          <t>Part II - The Method Atlas</t>
        </is>
      </c>
      <c r="C815" s="16" t="inlineStr">
        <is>
          <t>Resolution and validation</t>
        </is>
      </c>
      <c r="D815" s="10" t="inlineStr">
        <is>
          <t>Practical validation in cryo-EM (and common pitfalls</t>
        </is>
      </c>
      <c r="E815" s="10" t="inlineStr">
        <is>
          <t>Oliver Clarke (Columbia</t>
        </is>
      </c>
      <c r="F815" s="11" t="inlineStr">
        <is>
          <t>1:15:31</t>
        </is>
      </c>
      <c r="G815" s="11" t="n">
        <v>1.26</v>
      </c>
      <c r="H815" s="12" t="inlineStr">
        <is>
          <t>★</t>
        </is>
      </c>
      <c r="I815" s="11" t="inlineStr">
        <is>
          <t>Not started</t>
        </is>
      </c>
      <c r="J815" s="13" t="n"/>
      <c r="K815" s="10" t="inlineStr"/>
      <c r="L815" s="14" t="inlineStr">
        <is>
          <t>▶ watch</t>
        </is>
      </c>
      <c r="M815" s="10" t="inlineStr">
        <is>
          <t>Baker et al. 2001, PNAS 98:10037 (APBS) · Jurrus et al. 2018, Protein Sci 27:112</t>
        </is>
      </c>
      <c r="N815" s="14" t="inlineStr">
        <is>
          <t>read ↗</t>
        </is>
      </c>
      <c r="O815" s="11" t="inlineStr">
        <is>
          <t>reading for G.6 Continuum electrostatics and mesosca</t>
        </is>
      </c>
      <c r="P815" s="10" t="inlineStr"/>
    </row>
    <row r="816">
      <c r="A816" s="15" t="n">
        <v>815</v>
      </c>
      <c r="B816" s="15" t="inlineStr">
        <is>
          <t>Part II - The Method Atlas</t>
        </is>
      </c>
      <c r="C816" s="16" t="inlineStr">
        <is>
          <t>Resolution and validation</t>
        </is>
      </c>
      <c r="D816" s="10" t="inlineStr">
        <is>
          <t>Kako Stapleton (Glasgow/eBIC</t>
        </is>
      </c>
      <c r="E816" s="10" t="inlineStr">
        <is>
          <t>Cryo-EM map validation</t>
        </is>
      </c>
      <c r="F816" s="11" t="inlineStr">
        <is>
          <t>41:26</t>
        </is>
      </c>
      <c r="G816" s="11" t="n">
        <v>0.6899999999999999</v>
      </c>
      <c r="H816" s="12" t="inlineStr"/>
      <c r="I816" s="11" t="inlineStr">
        <is>
          <t>Not started</t>
        </is>
      </c>
      <c r="J816" s="13" t="n"/>
      <c r="K816" s="10" t="inlineStr"/>
      <c r="L816" s="14" t="inlineStr">
        <is>
          <t>▶ watch</t>
        </is>
      </c>
      <c r="M816" s="10" t="inlineStr">
        <is>
          <t>Baker et al. 2001, PNAS 98:10037 (APBS) · Jurrus et al. 2018, Protein Sci 27:112</t>
        </is>
      </c>
      <c r="N816" s="14" t="inlineStr">
        <is>
          <t>read ↗</t>
        </is>
      </c>
      <c r="O816" s="11" t="inlineStr">
        <is>
          <t>reading for G.6 Continuum electrostatics and mesosca</t>
        </is>
      </c>
      <c r="P816" s="10" t="inlineStr"/>
    </row>
    <row r="817">
      <c r="A817" s="15" t="n">
        <v>816</v>
      </c>
      <c r="B817" s="15" t="inlineStr">
        <is>
          <t>Part II - The Method Atlas</t>
        </is>
      </c>
      <c r="C817" s="16" t="inlineStr">
        <is>
          <t>Particle picking with deep learning</t>
        </is>
      </c>
      <c r="D817" s="10" t="inlineStr">
        <is>
          <t>Detection of objects in cryo-EM micrographs using geometric deep learning</t>
        </is>
      </c>
      <c r="E817" s="10" t="inlineStr">
        <is>
          <t>Tristan Bepler (NYSBC</t>
        </is>
      </c>
      <c r="F817" s="11" t="inlineStr">
        <is>
          <t>42:58</t>
        </is>
      </c>
      <c r="G817" s="11" t="n">
        <v>0.72</v>
      </c>
      <c r="H817" s="12" t="inlineStr"/>
      <c r="I817" s="11" t="inlineStr">
        <is>
          <t>Not started</t>
        </is>
      </c>
      <c r="J817" s="13" t="n"/>
      <c r="K817" s="10" t="inlineStr"/>
      <c r="L817" s="14" t="inlineStr">
        <is>
          <t>▶ watch</t>
        </is>
      </c>
      <c r="M817" s="10" t="inlineStr">
        <is>
          <t>Baker et al. 2001, PNAS 98:10037 (APBS) · Jurrus et al. 2018, Protein Sci 27:112</t>
        </is>
      </c>
      <c r="N817" s="14" t="inlineStr">
        <is>
          <t>read ↗</t>
        </is>
      </c>
      <c r="O817" s="11" t="inlineStr">
        <is>
          <t>reading for G.6 Continuum electrostatics and mesosca</t>
        </is>
      </c>
      <c r="P817" s="10" t="inlineStr"/>
    </row>
    <row r="818">
      <c r="A818" s="15" t="n">
        <v>817</v>
      </c>
      <c r="B818" s="15" t="inlineStr">
        <is>
          <t>Part II - The Method Atlas</t>
        </is>
      </c>
      <c r="C818" s="16" t="inlineStr">
        <is>
          <t>Particle picking with deep learning</t>
        </is>
      </c>
      <c r="D818" s="10" t="inlineStr">
        <is>
          <t>Topaz (developer walkthrough</t>
        </is>
      </c>
      <c r="E818" s="10" t="inlineStr">
        <is>
          <t>SBGrid</t>
        </is>
      </c>
      <c r="F818" s="11" t="inlineStr">
        <is>
          <t>44:49</t>
        </is>
      </c>
      <c r="G818" s="11" t="n">
        <v>0.75</v>
      </c>
      <c r="H818" s="12" t="inlineStr"/>
      <c r="I818" s="11" t="inlineStr">
        <is>
          <t>Not started</t>
        </is>
      </c>
      <c r="J818" s="13" t="n"/>
      <c r="K818" s="10" t="inlineStr"/>
      <c r="L818" s="14" t="inlineStr">
        <is>
          <t>▶ watch</t>
        </is>
      </c>
      <c r="M818" s="10" t="inlineStr">
        <is>
          <t>Baker et al. 2001, PNAS 98:10037 (APBS) · Jurrus et al. 2018, Protein Sci 27:112</t>
        </is>
      </c>
      <c r="N818" s="14" t="inlineStr">
        <is>
          <t>read ↗</t>
        </is>
      </c>
      <c r="O818" s="11" t="inlineStr">
        <is>
          <t>reading for G.6 Continuum electrostatics and mesosca</t>
        </is>
      </c>
      <c r="P818" s="10" t="inlineStr"/>
    </row>
    <row r="819">
      <c r="A819" s="15" t="n">
        <v>818</v>
      </c>
      <c r="B819" s="15" t="inlineStr">
        <is>
          <t>Part II - The Method Atlas</t>
        </is>
      </c>
      <c r="C819" s="16" t="inlineStr">
        <is>
          <t>Particle picking with deep learning</t>
        </is>
      </c>
      <c r="D819" s="10" t="inlineStr">
        <is>
          <t>crYOLO</t>
        </is>
      </c>
      <c r="E819" s="10" t="inlineStr">
        <is>
          <t>SBGrid</t>
        </is>
      </c>
      <c r="F819" s="11" t="inlineStr">
        <is>
          <t>39:14</t>
        </is>
      </c>
      <c r="G819" s="11" t="n">
        <v>0.65</v>
      </c>
      <c r="H819" s="12" t="inlineStr"/>
      <c r="I819" s="11" t="inlineStr">
        <is>
          <t>Not started</t>
        </is>
      </c>
      <c r="J819" s="13" t="n"/>
      <c r="K819" s="10" t="inlineStr"/>
      <c r="L819" s="14" t="inlineStr">
        <is>
          <t>▶ watch</t>
        </is>
      </c>
      <c r="M819" s="10" t="inlineStr">
        <is>
          <t>Baker et al. 2001, PNAS 98:10037 (APBS) · Jurrus et al. 2018, Protein Sci 27:112</t>
        </is>
      </c>
      <c r="N819" s="14" t="inlineStr">
        <is>
          <t>read ↗</t>
        </is>
      </c>
      <c r="O819" s="11" t="inlineStr">
        <is>
          <t>reading for G.6 Continuum electrostatics and mesosca</t>
        </is>
      </c>
      <c r="P819" s="10" t="inlineStr"/>
    </row>
    <row r="820">
      <c r="A820" s="15" t="n">
        <v>819</v>
      </c>
      <c r="B820" s="15" t="inlineStr">
        <is>
          <t>Part II - The Method Atlas</t>
        </is>
      </c>
      <c r="C820" s="16" t="inlineStr">
        <is>
          <t>Particle picking with deep learning</t>
        </is>
      </c>
      <c r="D820" s="10" t="inlineStr">
        <is>
          <t>AI methods for picking, refinement and model building</t>
        </is>
      </c>
      <c r="E820" s="10" t="inlineStr">
        <is>
          <t>Jianlin Cheng (Missouri</t>
        </is>
      </c>
      <c r="F820" s="11" t="inlineStr">
        <is>
          <t>59:53</t>
        </is>
      </c>
      <c r="G820" s="11" t="n">
        <v>1</v>
      </c>
      <c r="H820" s="12" t="inlineStr"/>
      <c r="I820" s="11" t="inlineStr">
        <is>
          <t>Not started</t>
        </is>
      </c>
      <c r="J820" s="13" t="n"/>
      <c r="K820" s="10" t="inlineStr"/>
      <c r="L820" s="14" t="inlineStr">
        <is>
          <t>▶ watch</t>
        </is>
      </c>
      <c r="M820" s="10" t="inlineStr">
        <is>
          <t>Baker et al. 2001, PNAS 98:10037 (APBS) · Jurrus et al. 2018, Protein Sci 27:112</t>
        </is>
      </c>
      <c r="N820" s="14" t="inlineStr">
        <is>
          <t>read ↗</t>
        </is>
      </c>
      <c r="O820" s="11" t="inlineStr">
        <is>
          <t>reading for G.6 Continuum electrostatics and mesosca</t>
        </is>
      </c>
      <c r="P820" s="10" t="inlineStr"/>
    </row>
    <row r="821">
      <c r="A821" s="15" t="n">
        <v>820</v>
      </c>
      <c r="B821" s="15" t="inlineStr">
        <is>
          <t>Part II - The Method Atlas</t>
        </is>
      </c>
      <c r="C821" s="16" t="inlineStr">
        <is>
          <t>Heterogeneity - the frontier</t>
        </is>
      </c>
      <c r="D821" s="10" t="inlineStr">
        <is>
          <t>Resolving flexibility and heterogeneity with 3D Variability Analysis</t>
        </is>
      </c>
      <c r="E821" s="10" t="inlineStr">
        <is>
          <t>Ali Punjani (Structura/Toronto</t>
        </is>
      </c>
      <c r="F821" s="11" t="inlineStr">
        <is>
          <t>1:28:55</t>
        </is>
      </c>
      <c r="G821" s="11" t="n">
        <v>1.48</v>
      </c>
      <c r="H821" s="12" t="inlineStr">
        <is>
          <t>★</t>
        </is>
      </c>
      <c r="I821" s="11" t="inlineStr">
        <is>
          <t>Not started</t>
        </is>
      </c>
      <c r="J821" s="13" t="n"/>
      <c r="K821" s="10" t="inlineStr"/>
      <c r="L821" s="14" t="inlineStr">
        <is>
          <t>▶ watch</t>
        </is>
      </c>
      <c r="M821" s="10" t="inlineStr">
        <is>
          <t>Baker et al. 2001, PNAS 98:10037 (APBS) · Jurrus et al. 2018, Protein Sci 27:112</t>
        </is>
      </c>
      <c r="N821" s="14" t="inlineStr">
        <is>
          <t>read ↗</t>
        </is>
      </c>
      <c r="O821" s="11" t="inlineStr">
        <is>
          <t>reading for G.6 Continuum electrostatics and mesosca</t>
        </is>
      </c>
      <c r="P821" s="10" t="inlineStr"/>
    </row>
    <row r="822">
      <c r="A822" s="15" t="n">
        <v>821</v>
      </c>
      <c r="B822" s="15" t="inlineStr">
        <is>
          <t>Part II - The Method Atlas</t>
        </is>
      </c>
      <c r="C822" s="16" t="inlineStr">
        <is>
          <t>Heterogeneity - the frontier</t>
        </is>
      </c>
      <c r="D822" s="10" t="inlineStr">
        <is>
          <t>CryoSPARC 3D Flexible Refinement Tutorial</t>
        </is>
      </c>
      <c r="E822" s="10" t="inlineStr">
        <is>
          <t>Structura</t>
        </is>
      </c>
      <c r="F822" s="11" t="inlineStr">
        <is>
          <t>1:22:11</t>
        </is>
      </c>
      <c r="G822" s="11" t="n">
        <v>1.37</v>
      </c>
      <c r="H822" s="12" t="inlineStr"/>
      <c r="I822" s="11" t="inlineStr">
        <is>
          <t>Not started</t>
        </is>
      </c>
      <c r="J822" s="13" t="n"/>
      <c r="K822" s="10" t="inlineStr"/>
      <c r="L822" s="14" t="inlineStr">
        <is>
          <t>▶ watch</t>
        </is>
      </c>
      <c r="M822" s="10" t="inlineStr">
        <is>
          <t>Baker et al. 2001, PNAS 98:10037 (APBS) · Jurrus et al. 2018, Protein Sci 27:112</t>
        </is>
      </c>
      <c r="N822" s="14" t="inlineStr">
        <is>
          <t>read ↗</t>
        </is>
      </c>
      <c r="O822" s="11" t="inlineStr">
        <is>
          <t>reading for G.6 Continuum electrostatics and mesosca</t>
        </is>
      </c>
      <c r="P822" s="10" t="inlineStr"/>
    </row>
    <row r="823">
      <c r="A823" s="15" t="n">
        <v>822</v>
      </c>
      <c r="B823" s="15" t="inlineStr">
        <is>
          <t>Part II - The Method Atlas</t>
        </is>
      </c>
      <c r="C823" s="16" t="inlineStr">
        <is>
          <t>Heterogeneity - the frontier</t>
        </is>
      </c>
      <c r="D823" s="10" t="inlineStr">
        <is>
          <t>New Developments for SPA Data Processing in CryoSPARC</t>
        </is>
      </c>
      <c r="E823" s="10" t="inlineStr">
        <is>
          <t>Ali Punjani</t>
        </is>
      </c>
      <c r="F823" s="11" t="inlineStr">
        <is>
          <t>28:41</t>
        </is>
      </c>
      <c r="G823" s="11" t="n">
        <v>0.48</v>
      </c>
      <c r="H823" s="12" t="inlineStr"/>
      <c r="I823" s="11" t="inlineStr">
        <is>
          <t>Not started</t>
        </is>
      </c>
      <c r="J823" s="13" t="n"/>
      <c r="K823" s="10" t="inlineStr"/>
      <c r="L823" s="14" t="inlineStr">
        <is>
          <t>▶ watch</t>
        </is>
      </c>
      <c r="M823" s="10" t="inlineStr">
        <is>
          <t>Baker et al. 2001, PNAS 98:10037 (APBS) · Jurrus et al. 2018, Protein Sci 27:112</t>
        </is>
      </c>
      <c r="N823" s="14" t="inlineStr">
        <is>
          <t>read ↗</t>
        </is>
      </c>
      <c r="O823" s="11" t="inlineStr">
        <is>
          <t>reading for G.6 Continuum electrostatics and mesosca</t>
        </is>
      </c>
      <c r="P823" s="10" t="inlineStr"/>
    </row>
    <row r="824">
      <c r="A824" s="15" t="n">
        <v>823</v>
      </c>
      <c r="B824" s="15" t="inlineStr">
        <is>
          <t>Part II - The Method Atlas</t>
        </is>
      </c>
      <c r="C824" s="16" t="inlineStr">
        <is>
          <t>Heterogeneity - the frontier</t>
        </is>
      </c>
      <c r="D824" s="10" t="inlineStr">
        <is>
          <t>Cryo-EM Workshop (ab initio branch-and-bound</t>
        </is>
      </c>
      <c r="E824" s="10" t="inlineStr">
        <is>
          <t>Ali Punjani</t>
        </is>
      </c>
      <c r="F824" s="11" t="inlineStr">
        <is>
          <t>30:40</t>
        </is>
      </c>
      <c r="G824" s="11" t="n">
        <v>0.51</v>
      </c>
      <c r="H824" s="12" t="inlineStr"/>
      <c r="I824" s="11" t="inlineStr">
        <is>
          <t>Not started</t>
        </is>
      </c>
      <c r="J824" s="13" t="n"/>
      <c r="K824" s="10" t="inlineStr"/>
      <c r="L824" s="14" t="inlineStr">
        <is>
          <t>▶ watch</t>
        </is>
      </c>
      <c r="M824" s="10" t="inlineStr">
        <is>
          <t>Baker et al. 2001, PNAS 98:10037 (APBS) · Jurrus et al. 2018, Protein Sci 27:112</t>
        </is>
      </c>
      <c r="N824" s="14" t="inlineStr">
        <is>
          <t>read ↗</t>
        </is>
      </c>
      <c r="O824" s="11" t="inlineStr">
        <is>
          <t>reading for G.6 Continuum electrostatics and mesosca</t>
        </is>
      </c>
      <c r="P824" s="10" t="inlineStr"/>
    </row>
    <row r="825">
      <c r="A825" s="15" t="n">
        <v>824</v>
      </c>
      <c r="B825" s="15" t="inlineStr">
        <is>
          <t>Part II - The Method Atlas</t>
        </is>
      </c>
      <c r="C825" s="16" t="inlineStr">
        <is>
          <t>Heterogeneity - the frontier</t>
        </is>
      </c>
      <c r="D825" s="10" t="inlineStr">
        <is>
          <t>New methods in cryoDRGN: cryoDRGN-ET and cryoDRGN-AI</t>
        </is>
      </c>
      <c r="E825" s="10" t="inlineStr">
        <is>
          <t>Ellen Zhong (Princeton</t>
        </is>
      </c>
      <c r="F825" s="11" t="inlineStr">
        <is>
          <t>58:14</t>
        </is>
      </c>
      <c r="G825" s="11" t="n">
        <v>0.97</v>
      </c>
      <c r="H825" s="12" t="inlineStr">
        <is>
          <t>★</t>
        </is>
      </c>
      <c r="I825" s="11" t="inlineStr">
        <is>
          <t>Not started</t>
        </is>
      </c>
      <c r="J825" s="13" t="n"/>
      <c r="K825" s="10" t="inlineStr"/>
      <c r="L825" s="14" t="inlineStr">
        <is>
          <t>▶ watch</t>
        </is>
      </c>
      <c r="M825" s="10" t="inlineStr">
        <is>
          <t>Baker et al. 2001, PNAS 98:10037 (APBS) · Jurrus et al. 2018, Protein Sci 27:112</t>
        </is>
      </c>
      <c r="N825" s="14" t="inlineStr">
        <is>
          <t>read ↗</t>
        </is>
      </c>
      <c r="O825" s="11" t="inlineStr">
        <is>
          <t>reading for G.6 Continuum electrostatics and mesosca</t>
        </is>
      </c>
      <c r="P825" s="10" t="inlineStr"/>
    </row>
    <row r="826">
      <c r="A826" s="15" t="n">
        <v>825</v>
      </c>
      <c r="B826" s="15" t="inlineStr">
        <is>
          <t>Part II - The Method Atlas</t>
        </is>
      </c>
      <c r="C826" s="16" t="inlineStr">
        <is>
          <t>Heterogeneity - the frontier</t>
        </is>
      </c>
      <c r="D826" s="10" t="inlineStr">
        <is>
          <t>ML for determining protein structure and dynamics from cryo-EM images</t>
        </is>
      </c>
      <c r="E826" s="10" t="inlineStr">
        <is>
          <t>Ellen Zhong (IPAM</t>
        </is>
      </c>
      <c r="F826" s="11" t="inlineStr">
        <is>
          <t>48:30</t>
        </is>
      </c>
      <c r="G826" s="11" t="n">
        <v>0.8100000000000001</v>
      </c>
      <c r="H826" s="12" t="inlineStr"/>
      <c r="I826" s="11" t="inlineStr">
        <is>
          <t>Not started</t>
        </is>
      </c>
      <c r="J826" s="13" t="n"/>
      <c r="K826" s="10" t="inlineStr"/>
      <c r="L826" s="14" t="inlineStr">
        <is>
          <t>▶ watch</t>
        </is>
      </c>
      <c r="M826" s="10" t="inlineStr">
        <is>
          <t>Baker et al. 2001, PNAS 98:10037 (APBS) · Jurrus et al. 2018, Protein Sci 27:112</t>
        </is>
      </c>
      <c r="N826" s="14" t="inlineStr">
        <is>
          <t>read ↗</t>
        </is>
      </c>
      <c r="O826" s="11" t="inlineStr">
        <is>
          <t>reading for G.6 Continuum electrostatics and mesosca</t>
        </is>
      </c>
      <c r="P826" s="10" t="inlineStr"/>
    </row>
    <row r="827">
      <c r="A827" s="15" t="n">
        <v>826</v>
      </c>
      <c r="B827" s="15" t="inlineStr">
        <is>
          <t>Part II - The Method Atlas</t>
        </is>
      </c>
      <c r="C827" s="16" t="inlineStr">
        <is>
          <t>Heterogeneity - the frontier</t>
        </is>
      </c>
      <c r="D827" s="10" t="inlineStr">
        <is>
          <t>Reconstructing continuous distributions of 3D protein structure (MLCB 2019</t>
        </is>
      </c>
      <c r="E827" s="10" t="inlineStr">
        <is>
          <t>Ellen Zhong</t>
        </is>
      </c>
      <c r="F827" s="11" t="inlineStr">
        <is>
          <t>15:44</t>
        </is>
      </c>
      <c r="G827" s="11" t="n">
        <v>0.26</v>
      </c>
      <c r="H827" s="12" t="inlineStr">
        <is>
          <t>★</t>
        </is>
      </c>
      <c r="I827" s="11" t="inlineStr">
        <is>
          <t>Not started</t>
        </is>
      </c>
      <c r="J827" s="13" t="n"/>
      <c r="K827" s="10" t="inlineStr"/>
      <c r="L827" s="14" t="inlineStr">
        <is>
          <t>▶ watch</t>
        </is>
      </c>
      <c r="M827" s="10" t="inlineStr">
        <is>
          <t>Baker et al. 2001, PNAS 98:10037 (APBS) · Jurrus et al. 2018, Protein Sci 27:112</t>
        </is>
      </c>
      <c r="N827" s="14" t="inlineStr">
        <is>
          <t>read ↗</t>
        </is>
      </c>
      <c r="O827" s="11" t="inlineStr">
        <is>
          <t>reading for G.6 Continuum electrostatics and mesosca</t>
        </is>
      </c>
      <c r="P827" s="10" t="inlineStr">
        <is>
          <t>MLCB 2019 - the early-method talks that aged well</t>
        </is>
      </c>
    </row>
    <row r="828">
      <c r="A828" s="15" t="n">
        <v>827</v>
      </c>
      <c r="B828" s="15" t="inlineStr">
        <is>
          <t>Part II - The Method Atlas</t>
        </is>
      </c>
      <c r="C828" s="16" t="inlineStr">
        <is>
          <t>Heterogeneity - the frontier</t>
        </is>
      </c>
      <c r="D828" s="10" t="inlineStr">
        <is>
          <t>Algorithms for Biomolecular Structures at Proteome Scale (2026</t>
        </is>
      </c>
      <c r="E828" s="10" t="inlineStr">
        <is>
          <t>Ellen Zhong</t>
        </is>
      </c>
      <c r="F828" s="11" t="inlineStr">
        <is>
          <t>58:24</t>
        </is>
      </c>
      <c r="G828" s="11" t="n">
        <v>0.97</v>
      </c>
      <c r="H828" s="12" t="inlineStr"/>
      <c r="I828" s="11" t="inlineStr">
        <is>
          <t>Not started</t>
        </is>
      </c>
      <c r="J828" s="13" t="n"/>
      <c r="K828" s="10" t="inlineStr"/>
      <c r="L828" s="14" t="inlineStr">
        <is>
          <t>▶ watch</t>
        </is>
      </c>
      <c r="M828" s="10" t="inlineStr">
        <is>
          <t>Baker et al. 2001, PNAS 98:10037 (APBS) · Jurrus et al. 2018, Protein Sci 27:112</t>
        </is>
      </c>
      <c r="N828" s="14" t="inlineStr">
        <is>
          <t>read ↗</t>
        </is>
      </c>
      <c r="O828" s="11" t="inlineStr">
        <is>
          <t>reading for G.6 Continuum electrostatics and mesosca</t>
        </is>
      </c>
      <c r="P828" s="10" t="inlineStr"/>
    </row>
    <row r="829">
      <c r="A829" s="15" t="n">
        <v>828</v>
      </c>
      <c r="B829" s="15" t="inlineStr">
        <is>
          <t>Part II - The Method Atlas</t>
        </is>
      </c>
      <c r="C829" s="16" t="inlineStr">
        <is>
          <t>Heterogeneity - the frontier</t>
        </is>
      </c>
      <c r="D829" s="10" t="inlineStr">
        <is>
          <t>CryoDRGN (developer deep dive</t>
        </is>
      </c>
      <c r="E829" s="10" t="inlineStr">
        <is>
          <t>SBGrid</t>
        </is>
      </c>
      <c r="F829" s="11" t="inlineStr">
        <is>
          <t>1:02:55</t>
        </is>
      </c>
      <c r="G829" s="11" t="n">
        <v>1.05</v>
      </c>
      <c r="H829" s="12" t="inlineStr"/>
      <c r="I829" s="11" t="inlineStr">
        <is>
          <t>Not started</t>
        </is>
      </c>
      <c r="J829" s="13" t="n"/>
      <c r="K829" s="10" t="inlineStr"/>
      <c r="L829" s="14" t="inlineStr">
        <is>
          <t>▶ watch</t>
        </is>
      </c>
      <c r="M829" s="10" t="inlineStr">
        <is>
          <t>Baker et al. 2001, PNAS 98:10037 (APBS) · Jurrus et al. 2018, Protein Sci 27:112</t>
        </is>
      </c>
      <c r="N829" s="14" t="inlineStr">
        <is>
          <t>read ↗</t>
        </is>
      </c>
      <c r="O829" s="11" t="inlineStr">
        <is>
          <t>reading for G.6 Continuum electrostatics and mesosca</t>
        </is>
      </c>
      <c r="P829" s="10" t="inlineStr"/>
    </row>
    <row r="830">
      <c r="A830" s="15" t="n">
        <v>829</v>
      </c>
      <c r="B830" s="15" t="inlineStr">
        <is>
          <t>Part II - The Method Atlas</t>
        </is>
      </c>
      <c r="C830" s="16" t="inlineStr">
        <is>
          <t>Heterogeneity - the frontier</t>
        </is>
      </c>
      <c r="D830" s="10" t="inlineStr">
        <is>
          <t>Contextual Conformational Variability using Deep Learning</t>
        </is>
      </c>
      <c r="E830" s="10" t="inlineStr">
        <is>
          <t>Steven Ludtke (Baylor</t>
        </is>
      </c>
      <c r="F830" s="11" t="inlineStr">
        <is>
          <t>41:06</t>
        </is>
      </c>
      <c r="G830" s="11" t="n">
        <v>0.6899999999999999</v>
      </c>
      <c r="H830" s="12" t="inlineStr"/>
      <c r="I830" s="11" t="inlineStr">
        <is>
          <t>Not started</t>
        </is>
      </c>
      <c r="J830" s="13" t="n"/>
      <c r="K830" s="10" t="inlineStr"/>
      <c r="L830" s="14" t="inlineStr">
        <is>
          <t>▶ watch</t>
        </is>
      </c>
      <c r="M830" s="10" t="inlineStr">
        <is>
          <t>Baker et al. 2001, PNAS 98:10037 (APBS) · Jurrus et al. 2018, Protein Sci 27:112</t>
        </is>
      </c>
      <c r="N830" s="14" t="inlineStr">
        <is>
          <t>read ↗</t>
        </is>
      </c>
      <c r="O830" s="11" t="inlineStr">
        <is>
          <t>reading for G.6 Continuum electrostatics and mesosca</t>
        </is>
      </c>
      <c r="P830" s="10" t="inlineStr"/>
    </row>
    <row r="831">
      <c r="A831" s="15" t="n">
        <v>830</v>
      </c>
      <c r="B831" s="15" t="inlineStr">
        <is>
          <t>Part II - The Method Atlas</t>
        </is>
      </c>
      <c r="C831" s="16" t="inlineStr">
        <is>
          <t>Heterogeneity - the frontier</t>
        </is>
      </c>
      <c r="D831" s="10" t="inlineStr">
        <is>
          <t>FaNaC1 and Continuous Heterogeneity (case study</t>
        </is>
      </c>
      <c r="E831" s="10" t="inlineStr">
        <is>
          <t>Structura</t>
        </is>
      </c>
      <c r="F831" s="11" t="inlineStr">
        <is>
          <t>1:28:45</t>
        </is>
      </c>
      <c r="G831" s="11" t="n">
        <v>1.48</v>
      </c>
      <c r="H831" s="12" t="inlineStr"/>
      <c r="I831" s="11" t="inlineStr">
        <is>
          <t>Not started</t>
        </is>
      </c>
      <c r="J831" s="13" t="n"/>
      <c r="K831" s="10" t="inlineStr"/>
      <c r="L831" s="14" t="inlineStr">
        <is>
          <t>▶ watch</t>
        </is>
      </c>
      <c r="M831" s="10" t="inlineStr">
        <is>
          <t>Baker et al. 2001, PNAS 98:10037 (APBS) · Jurrus et al. 2018, Protein Sci 27:112</t>
        </is>
      </c>
      <c r="N831" s="14" t="inlineStr">
        <is>
          <t>read ↗</t>
        </is>
      </c>
      <c r="O831" s="11" t="inlineStr">
        <is>
          <t>reading for G.6 Continuum electrostatics and mesosca</t>
        </is>
      </c>
      <c r="P831" s="10" t="inlineStr"/>
    </row>
    <row r="832">
      <c r="A832" s="15" t="n">
        <v>831</v>
      </c>
      <c r="B832" s="15" t="inlineStr">
        <is>
          <t>Part II - The Method Atlas</t>
        </is>
      </c>
      <c r="C832" s="16" t="inlineStr">
        <is>
          <t>Motion correction and the inverse problem</t>
        </is>
      </c>
      <c r="D832" s="10" t="inlineStr">
        <is>
          <t>Bayesian Particle-Polishing in Detail</t>
        </is>
      </c>
      <c r="E832" s="10" t="inlineStr">
        <is>
          <t>Jasenko Zivanov (Basel</t>
        </is>
      </c>
      <c r="F832" s="11" t="inlineStr">
        <is>
          <t>31:39</t>
        </is>
      </c>
      <c r="G832" s="11" t="n">
        <v>0.53</v>
      </c>
      <c r="H832" s="12" t="inlineStr"/>
      <c r="I832" s="11" t="inlineStr">
        <is>
          <t>Not started</t>
        </is>
      </c>
      <c r="J832" s="13" t="n"/>
      <c r="K832" s="10" t="inlineStr"/>
      <c r="L832" s="14" t="inlineStr">
        <is>
          <t>▶ watch</t>
        </is>
      </c>
      <c r="M832" s="10" t="inlineStr">
        <is>
          <t>Zivanov et al. 2019, IUCrJ 6:5</t>
        </is>
      </c>
      <c r="N832" s="14" t="inlineStr">
        <is>
          <t>read ↗</t>
        </is>
      </c>
      <c r="O832" s="11" t="inlineStr">
        <is>
          <t>paired reading</t>
        </is>
      </c>
      <c r="P832" s="10" t="inlineStr"/>
    </row>
    <row r="833">
      <c r="A833" s="15" t="n">
        <v>832</v>
      </c>
      <c r="B833" s="15" t="inlineStr">
        <is>
          <t>Part II - The Method Atlas</t>
        </is>
      </c>
      <c r="C833" s="16" t="inlineStr">
        <is>
          <t>Motion correction and the inverse problem</t>
        </is>
      </c>
      <c r="D833" s="10" t="inlineStr">
        <is>
          <t>Cryo-EM Workshop (compact version</t>
        </is>
      </c>
      <c r="E833" s="10" t="inlineStr">
        <is>
          <t>Jasenko Zivanov</t>
        </is>
      </c>
      <c r="F833" s="11" t="inlineStr">
        <is>
          <t>23:42</t>
        </is>
      </c>
      <c r="G833" s="11" t="n">
        <v>0.4</v>
      </c>
      <c r="H833" s="12" t="inlineStr"/>
      <c r="I833" s="11" t="inlineStr">
        <is>
          <t>Not started</t>
        </is>
      </c>
      <c r="J833" s="13" t="n"/>
      <c r="K833" s="10" t="inlineStr"/>
      <c r="L833" s="14" t="inlineStr">
        <is>
          <t>▶ watch</t>
        </is>
      </c>
      <c r="M833" s="10" t="inlineStr">
        <is>
          <t>Baker et al. 2001, PNAS 98:10037 (APBS) · Jurrus et al. 2018, Protein Sci 27:112</t>
        </is>
      </c>
      <c r="N833" s="14" t="inlineStr">
        <is>
          <t>read ↗</t>
        </is>
      </c>
      <c r="O833" s="11" t="inlineStr">
        <is>
          <t>reading for G.6 Continuum electrostatics and mesosca</t>
        </is>
      </c>
      <c r="P833" s="10" t="inlineStr"/>
    </row>
    <row r="834">
      <c r="A834" s="15" t="n">
        <v>833</v>
      </c>
      <c r="B834" s="15" t="inlineStr">
        <is>
          <t>Part II - The Method Atlas</t>
        </is>
      </c>
      <c r="C834" s="16" t="inlineStr">
        <is>
          <t>Motion correction and the inverse problem</t>
        </is>
      </c>
      <c r="D834" s="10" t="inlineStr">
        <is>
          <t>CryoSPARC v4.4: Reference-Based Motion Correction</t>
        </is>
      </c>
      <c r="E834" s="10" t="inlineStr">
        <is>
          <t>Structura</t>
        </is>
      </c>
      <c r="F834" s="11" t="inlineStr">
        <is>
          <t>17:22</t>
        </is>
      </c>
      <c r="G834" s="11" t="n">
        <v>0.29</v>
      </c>
      <c r="H834" s="12" t="inlineStr"/>
      <c r="I834" s="11" t="inlineStr">
        <is>
          <t>Not started</t>
        </is>
      </c>
      <c r="J834" s="13" t="n"/>
      <c r="K834" s="10" t="inlineStr"/>
      <c r="L834" s="14" t="inlineStr">
        <is>
          <t>▶ watch</t>
        </is>
      </c>
      <c r="M834" s="10" t="inlineStr">
        <is>
          <t>Baker et al. 2001, PNAS 98:10037 (APBS) · Jurrus et al. 2018, Protein Sci 27:112</t>
        </is>
      </c>
      <c r="N834" s="14" t="inlineStr">
        <is>
          <t>read ↗</t>
        </is>
      </c>
      <c r="O834" s="11" t="inlineStr">
        <is>
          <t>reading for G.6 Continuum electrostatics and mesosca</t>
        </is>
      </c>
      <c r="P834" s="10" t="inlineStr"/>
    </row>
    <row r="835">
      <c r="A835" s="15" t="n">
        <v>834</v>
      </c>
      <c r="B835" s="15" t="inlineStr">
        <is>
          <t>Part II - The Method Atlas</t>
        </is>
      </c>
      <c r="C835" s="16" t="inlineStr">
        <is>
          <t>Motion correction and the inverse problem</t>
        </is>
      </c>
      <c r="D835" s="10" t="inlineStr">
        <is>
          <t>Mathematics of Cryo-Electron Microscopy (2025</t>
        </is>
      </c>
      <c r="E835" s="10" t="inlineStr">
        <is>
          <t>Amit Singer (Princeton</t>
        </is>
      </c>
      <c r="F835" s="11" t="inlineStr">
        <is>
          <t>59:26</t>
        </is>
      </c>
      <c r="G835" s="11" t="n">
        <v>0.99</v>
      </c>
      <c r="H835" s="12" t="inlineStr">
        <is>
          <t>★</t>
        </is>
      </c>
      <c r="I835" s="11" t="inlineStr">
        <is>
          <t>Not started</t>
        </is>
      </c>
      <c r="J835" s="13" t="n"/>
      <c r="K835" s="10" t="inlineStr"/>
      <c r="L835" s="14" t="inlineStr">
        <is>
          <t>▶ watch</t>
        </is>
      </c>
      <c r="M835" s="10" t="inlineStr">
        <is>
          <t>Baker et al. 2001, PNAS 98:10037 (APBS) · Jurrus et al. 2018, Protein Sci 27:112</t>
        </is>
      </c>
      <c r="N835" s="14" t="inlineStr">
        <is>
          <t>read ↗</t>
        </is>
      </c>
      <c r="O835" s="11" t="inlineStr">
        <is>
          <t>reading for G.6 Continuum electrostatics and mesosca</t>
        </is>
      </c>
      <c r="P835" s="10" t="inlineStr"/>
    </row>
    <row r="836">
      <c r="A836" s="15" t="n">
        <v>835</v>
      </c>
      <c r="B836" s="15" t="inlineStr">
        <is>
          <t>Part II - The Method Atlas</t>
        </is>
      </c>
      <c r="C836" s="16" t="inlineStr">
        <is>
          <t>Motion correction and the inverse problem</t>
        </is>
      </c>
      <c r="D836" s="10" t="inlineStr">
        <is>
          <t>Mathematics for cryo-EM - ICM 2018 plenary</t>
        </is>
      </c>
      <c r="E836" s="10" t="inlineStr">
        <is>
          <t>Amit Singer</t>
        </is>
      </c>
      <c r="F836" s="11" t="inlineStr">
        <is>
          <t>50:35</t>
        </is>
      </c>
      <c r="G836" s="11" t="n">
        <v>0.84</v>
      </c>
      <c r="H836" s="12" t="inlineStr"/>
      <c r="I836" s="11" t="inlineStr">
        <is>
          <t>Not started</t>
        </is>
      </c>
      <c r="J836" s="13" t="n"/>
      <c r="K836" s="10" t="inlineStr"/>
      <c r="L836" s="14" t="inlineStr">
        <is>
          <t>▶ watch</t>
        </is>
      </c>
      <c r="M836" s="10" t="inlineStr">
        <is>
          <t>Baker et al. 2001, PNAS 98:10037 (APBS) · Jurrus et al. 2018, Protein Sci 27:112</t>
        </is>
      </c>
      <c r="N836" s="14" t="inlineStr">
        <is>
          <t>read ↗</t>
        </is>
      </c>
      <c r="O836" s="11" t="inlineStr">
        <is>
          <t>reading for G.6 Continuum electrostatics and mesosca</t>
        </is>
      </c>
      <c r="P836" s="10" t="inlineStr"/>
    </row>
    <row r="837">
      <c r="A837" s="15" t="n">
        <v>836</v>
      </c>
      <c r="B837" s="15" t="inlineStr">
        <is>
          <t>Part II - The Method Atlas</t>
        </is>
      </c>
      <c r="C837" s="16" t="inlineStr">
        <is>
          <t>Motion correction and the inverse problem</t>
        </is>
      </c>
      <c r="D837" s="10" t="inlineStr">
        <is>
          <t>RECOVAR: regularized covariance estimation for heterogeneity</t>
        </is>
      </c>
      <c r="E837" s="10" t="inlineStr">
        <is>
          <t>Amit Singer</t>
        </is>
      </c>
      <c r="F837" s="11" t="inlineStr">
        <is>
          <t>34:36</t>
        </is>
      </c>
      <c r="G837" s="11" t="n">
        <v>0.58</v>
      </c>
      <c r="H837" s="12" t="inlineStr"/>
      <c r="I837" s="11" t="inlineStr">
        <is>
          <t>Not started</t>
        </is>
      </c>
      <c r="J837" s="13" t="n"/>
      <c r="K837" s="10" t="inlineStr"/>
      <c r="L837" s="14" t="inlineStr">
        <is>
          <t>▶ watch</t>
        </is>
      </c>
      <c r="M837" s="10" t="inlineStr">
        <is>
          <t>Baker et al. 2001, PNAS 98:10037 (APBS) · Jurrus et al. 2018, Protein Sci 27:112</t>
        </is>
      </c>
      <c r="N837" s="14" t="inlineStr">
        <is>
          <t>read ↗</t>
        </is>
      </c>
      <c r="O837" s="11" t="inlineStr">
        <is>
          <t>reading for G.6 Continuum electrostatics and mesosca</t>
        </is>
      </c>
      <c r="P837" s="10" t="inlineStr"/>
    </row>
    <row r="838">
      <c r="A838" s="15" t="n">
        <v>837</v>
      </c>
      <c r="B838" s="15" t="inlineStr">
        <is>
          <t>Part II - The Method Atlas</t>
        </is>
      </c>
      <c r="C838" s="16" t="inlineStr">
        <is>
          <t>Motion correction and the inverse problem</t>
        </is>
      </c>
      <c r="D838" s="10" t="inlineStr">
        <is>
          <t>Method of moments in cryo-EM</t>
        </is>
      </c>
      <c r="E838" s="10" t="inlineStr">
        <is>
          <t>Joe Kileel</t>
        </is>
      </c>
      <c r="F838" s="11" t="inlineStr">
        <is>
          <t>48:37</t>
        </is>
      </c>
      <c r="G838" s="11" t="n">
        <v>0.8100000000000001</v>
      </c>
      <c r="H838" s="12" t="inlineStr"/>
      <c r="I838" s="11" t="inlineStr">
        <is>
          <t>Not started</t>
        </is>
      </c>
      <c r="J838" s="13" t="n"/>
      <c r="K838" s="10" t="inlineStr"/>
      <c r="L838" s="14" t="inlineStr">
        <is>
          <t>▶ watch</t>
        </is>
      </c>
      <c r="M838" s="10" t="inlineStr">
        <is>
          <t>Baker et al. 2001, PNAS 98:10037 (APBS) · Jurrus et al. 2018, Protein Sci 27:112</t>
        </is>
      </c>
      <c r="N838" s="14" t="inlineStr">
        <is>
          <t>read ↗</t>
        </is>
      </c>
      <c r="O838" s="11" t="inlineStr">
        <is>
          <t>reading for G.6 Continuum electrostatics and mesosca</t>
        </is>
      </c>
      <c r="P838" s="10" t="inlineStr"/>
    </row>
    <row r="839">
      <c r="A839" s="15" t="n">
        <v>838</v>
      </c>
      <c r="B839" s="15" t="inlineStr">
        <is>
          <t>Part II - The Method Atlas</t>
        </is>
      </c>
      <c r="C839" s="16" t="inlineStr">
        <is>
          <t>Motion correction and the inverse problem</t>
        </is>
      </c>
      <c r="D839" s="10" t="inlineStr">
        <is>
          <t>Hyper-molecules: continuous heterogeneity before deep learning</t>
        </is>
      </c>
      <c r="E839" s="10" t="inlineStr">
        <is>
          <t>Roy Lederman (Yale</t>
        </is>
      </c>
      <c r="F839" s="11" t="inlineStr">
        <is>
          <t>33:08</t>
        </is>
      </c>
      <c r="G839" s="11" t="n">
        <v>0.55</v>
      </c>
      <c r="H839" s="12" t="inlineStr"/>
      <c r="I839" s="11" t="inlineStr">
        <is>
          <t>Not started</t>
        </is>
      </c>
      <c r="J839" s="13" t="n"/>
      <c r="K839" s="10" t="inlineStr"/>
      <c r="L839" s="14" t="inlineStr">
        <is>
          <t>▶ watch</t>
        </is>
      </c>
      <c r="M839" s="10" t="inlineStr">
        <is>
          <t>Baker et al. 2001, PNAS 98:10037 (APBS) · Jurrus et al. 2018, Protein Sci 27:112</t>
        </is>
      </c>
      <c r="N839" s="14" t="inlineStr">
        <is>
          <t>read ↗</t>
        </is>
      </c>
      <c r="O839" s="11" t="inlineStr">
        <is>
          <t>reading for G.6 Continuum electrostatics and mesosca</t>
        </is>
      </c>
      <c r="P839" s="10" t="inlineStr"/>
    </row>
    <row r="840">
      <c r="A840" s="15" t="n">
        <v>839</v>
      </c>
      <c r="B840" s="15" t="inlineStr">
        <is>
          <t>Part II - The Method Atlas</t>
        </is>
      </c>
      <c r="C840" s="16" t="inlineStr">
        <is>
          <t>Motion correction and the inverse problem</t>
        </is>
      </c>
      <c r="D840" s="10" t="inlineStr">
        <is>
          <t>Imaging biomolecules and high-resolution SPA</t>
        </is>
      </c>
      <c r="E840" s="10" t="inlineStr">
        <is>
          <t>Alberto Bartesaghi (Duke</t>
        </is>
      </c>
      <c r="F840" s="11" t="inlineStr">
        <is>
          <t>41:23</t>
        </is>
      </c>
      <c r="G840" s="11" t="n">
        <v>0.6899999999999999</v>
      </c>
      <c r="H840" s="12" t="inlineStr"/>
      <c r="I840" s="11" t="inlineStr">
        <is>
          <t>Not started</t>
        </is>
      </c>
      <c r="J840" s="13" t="n"/>
      <c r="K840" s="10" t="inlineStr"/>
      <c r="L840" s="14" t="inlineStr">
        <is>
          <t>▶ watch</t>
        </is>
      </c>
      <c r="M840" s="10" t="inlineStr">
        <is>
          <t>Baker et al. 2001, PNAS 98:10037 (APBS) · Jurrus et al. 2018, Protein Sci 27:112</t>
        </is>
      </c>
      <c r="N840" s="14" t="inlineStr">
        <is>
          <t>read ↗</t>
        </is>
      </c>
      <c r="O840" s="11" t="inlineStr">
        <is>
          <t>reading for G.6 Continuum electrostatics and mesosca</t>
        </is>
      </c>
      <c r="P840" s="10" t="inlineStr"/>
    </row>
    <row r="841">
      <c r="A841" s="15" t="n">
        <v>840</v>
      </c>
      <c r="B841" s="15" t="inlineStr">
        <is>
          <t>Part II - The Method Atlas</t>
        </is>
      </c>
      <c r="C841" s="16" t="inlineStr">
        <is>
          <t>Motion correction and the inverse problem</t>
        </is>
      </c>
      <c r="D841" s="10" t="inlineStr">
        <is>
          <t>Machine learning for SPA by cryo-EM</t>
        </is>
      </c>
      <c r="E841" s="10" t="inlineStr">
        <is>
          <t>Carlos Oscar Sorzano</t>
        </is>
      </c>
      <c r="F841" s="11" t="inlineStr">
        <is>
          <t>40:12</t>
        </is>
      </c>
      <c r="G841" s="11" t="n">
        <v>0.67</v>
      </c>
      <c r="H841" s="12" t="inlineStr"/>
      <c r="I841" s="11" t="inlineStr">
        <is>
          <t>Not started</t>
        </is>
      </c>
      <c r="J841" s="13" t="n"/>
      <c r="K841" s="10" t="inlineStr"/>
      <c r="L841" s="14" t="inlineStr">
        <is>
          <t>▶ watch</t>
        </is>
      </c>
      <c r="M841" s="10" t="inlineStr">
        <is>
          <t>Baker et al. 2001, PNAS 98:10037 (APBS) · Jurrus et al. 2018, Protein Sci 27:112</t>
        </is>
      </c>
      <c r="N841" s="14" t="inlineStr">
        <is>
          <t>read ↗</t>
        </is>
      </c>
      <c r="O841" s="11" t="inlineStr">
        <is>
          <t>reading for G.6 Continuum electrostatics and mesosca</t>
        </is>
      </c>
      <c r="P841" s="10" t="inlineStr"/>
    </row>
    <row r="842">
      <c r="A842" s="15" t="n">
        <v>841</v>
      </c>
      <c r="B842" s="15" t="inlineStr">
        <is>
          <t>Part II - The Method Atlas</t>
        </is>
      </c>
      <c r="C842" s="16" t="inlineStr">
        <is>
          <t>Symmetry, strategy, maps and models</t>
        </is>
      </c>
      <c r="D842" s="10" t="inlineStr">
        <is>
          <t>Cryo-EM17 lecture 07: Data processing strategy</t>
        </is>
      </c>
      <c r="E842" s="10" t="inlineStr">
        <is>
          <t>Rafael Fernandez-Leiro</t>
        </is>
      </c>
      <c r="F842" s="11" t="inlineStr">
        <is>
          <t>47:27</t>
        </is>
      </c>
      <c r="G842" s="11" t="n">
        <v>0.79</v>
      </c>
      <c r="H842" s="12" t="inlineStr"/>
      <c r="I842" s="11" t="inlineStr">
        <is>
          <t>Not started</t>
        </is>
      </c>
      <c r="J842" s="13" t="n"/>
      <c r="K842" s="10" t="inlineStr"/>
      <c r="L842" s="14" t="inlineStr">
        <is>
          <t>▶ watch</t>
        </is>
      </c>
      <c r="M842" s="10" t="inlineStr">
        <is>
          <t>Baker et al. 2001, PNAS 98:10037 (APBS) · Jurrus et al. 2018, Protein Sci 27:112</t>
        </is>
      </c>
      <c r="N842" s="14" t="inlineStr">
        <is>
          <t>read ↗</t>
        </is>
      </c>
      <c r="O842" s="11" t="inlineStr">
        <is>
          <t>reading for G.6 Continuum electrostatics and mesosca</t>
        </is>
      </c>
      <c r="P842" s="10" t="inlineStr"/>
    </row>
    <row r="843">
      <c r="A843" s="15" t="n">
        <v>842</v>
      </c>
      <c r="B843" s="15" t="inlineStr">
        <is>
          <t>Part II - The Method Atlas</t>
        </is>
      </c>
      <c r="C843" s="16" t="inlineStr">
        <is>
          <t>Symmetry, strategy, maps and models</t>
        </is>
      </c>
      <c r="D843" s="10" t="inlineStr">
        <is>
          <t>Processing difficult datasets in cryo-EM</t>
        </is>
      </c>
      <c r="E843" s="10" t="inlineStr">
        <is>
          <t>Kelly Nguyen (MRC-LMB</t>
        </is>
      </c>
      <c r="F843" s="11" t="inlineStr">
        <is>
          <t>44:43</t>
        </is>
      </c>
      <c r="G843" s="11" t="n">
        <v>0.75</v>
      </c>
      <c r="H843" s="12" t="inlineStr"/>
      <c r="I843" s="11" t="inlineStr">
        <is>
          <t>Not started</t>
        </is>
      </c>
      <c r="J843" s="13" t="n"/>
      <c r="K843" s="10" t="inlineStr"/>
      <c r="L843" s="14" t="inlineStr">
        <is>
          <t>▶ watch</t>
        </is>
      </c>
      <c r="M843" s="10" t="inlineStr">
        <is>
          <t>Baker et al. 2001, PNAS 98:10037 (APBS) · Jurrus et al. 2018, Protein Sci 27:112</t>
        </is>
      </c>
      <c r="N843" s="14" t="inlineStr">
        <is>
          <t>read ↗</t>
        </is>
      </c>
      <c r="O843" s="11" t="inlineStr">
        <is>
          <t>reading for G.6 Continuum electrostatics and mesosca</t>
        </is>
      </c>
      <c r="P843" s="10" t="inlineStr"/>
    </row>
    <row r="844">
      <c r="A844" s="15" t="n">
        <v>843</v>
      </c>
      <c r="B844" s="15" t="inlineStr">
        <is>
          <t>Part II - The Method Atlas</t>
        </is>
      </c>
      <c r="C844" s="16" t="inlineStr">
        <is>
          <t>Symmetry, strategy, maps and models</t>
        </is>
      </c>
      <c r="D844" s="10" t="inlineStr">
        <is>
          <t>RELION 5 (Blush regularization, DynaMight</t>
        </is>
      </c>
      <c r="E844" s="10" t="inlineStr">
        <is>
          <t>Sjors Scheres</t>
        </is>
      </c>
      <c r="F844" s="11" t="inlineStr">
        <is>
          <t>28:28</t>
        </is>
      </c>
      <c r="G844" s="11" t="n">
        <v>0.47</v>
      </c>
      <c r="H844" s="12" t="inlineStr"/>
      <c r="I844" s="11" t="inlineStr">
        <is>
          <t>Not started</t>
        </is>
      </c>
      <c r="J844" s="13" t="n"/>
      <c r="K844" s="10" t="inlineStr"/>
      <c r="L844" s="14" t="inlineStr">
        <is>
          <t>▶ watch</t>
        </is>
      </c>
      <c r="M844" s="10" t="inlineStr">
        <is>
          <t>Baker et al. 2001, PNAS 98:10037 (APBS) · Jurrus et al. 2018, Protein Sci 27:112</t>
        </is>
      </c>
      <c r="N844" s="14" t="inlineStr">
        <is>
          <t>read ↗</t>
        </is>
      </c>
      <c r="O844" s="11" t="inlineStr">
        <is>
          <t>reading for G.6 Continuum electrostatics and mesosca</t>
        </is>
      </c>
      <c r="P844" s="10" t="inlineStr"/>
    </row>
    <row r="845">
      <c r="A845" s="15" t="n">
        <v>844</v>
      </c>
      <c r="B845" s="15" t="inlineStr">
        <is>
          <t>Part II - The Method Atlas</t>
        </is>
      </c>
      <c r="C845" s="16" t="inlineStr">
        <is>
          <t>Symmetry, strategy, maps and models</t>
        </is>
      </c>
      <c r="D845" s="10" t="inlineStr">
        <is>
          <t>RELION 4.0 (subtomogram averaging unified</t>
        </is>
      </c>
      <c r="E845" s="10" t="inlineStr">
        <is>
          <t>MRC-LMB</t>
        </is>
      </c>
      <c r="F845" s="11" t="inlineStr">
        <is>
          <t>33:48</t>
        </is>
      </c>
      <c r="G845" s="11" t="n">
        <v>0.5600000000000001</v>
      </c>
      <c r="H845" s="12" t="inlineStr"/>
      <c r="I845" s="11" t="inlineStr">
        <is>
          <t>Not started</t>
        </is>
      </c>
      <c r="J845" s="13" t="n"/>
      <c r="K845" s="10" t="inlineStr"/>
      <c r="L845" s="14" t="inlineStr">
        <is>
          <t>▶ watch</t>
        </is>
      </c>
      <c r="M845" s="10" t="inlineStr">
        <is>
          <t>Baker et al. 2001, PNAS 98:10037 (APBS) · Jurrus et al. 2018, Protein Sci 27:112</t>
        </is>
      </c>
      <c r="N845" s="14" t="inlineStr">
        <is>
          <t>read ↗</t>
        </is>
      </c>
      <c r="O845" s="11" t="inlineStr">
        <is>
          <t>reading for G.6 Continuum electrostatics and mesosca</t>
        </is>
      </c>
      <c r="P845" s="10" t="inlineStr"/>
    </row>
    <row r="846">
      <c r="A846" s="15" t="n">
        <v>845</v>
      </c>
      <c r="B846" s="15" t="inlineStr">
        <is>
          <t>Part II - The Method Atlas</t>
        </is>
      </c>
      <c r="C846" s="16" t="inlineStr">
        <is>
          <t>Symmetry, strategy, maps and models</t>
        </is>
      </c>
      <c r="D846" s="10" t="inlineStr">
        <is>
          <t>Map post-processing with DeepEMhancer</t>
        </is>
      </c>
      <c r="E846" s="10" t="inlineStr">
        <is>
          <t>Ruben Sanchez-Garcia (Oxford</t>
        </is>
      </c>
      <c r="F846" s="11" t="inlineStr">
        <is>
          <t>17:21</t>
        </is>
      </c>
      <c r="G846" s="11" t="n">
        <v>0.29</v>
      </c>
      <c r="H846" s="12" t="inlineStr"/>
      <c r="I846" s="11" t="inlineStr">
        <is>
          <t>Not started</t>
        </is>
      </c>
      <c r="J846" s="13" t="n"/>
      <c r="K846" s="10" t="inlineStr"/>
      <c r="L846" s="14" t="inlineStr">
        <is>
          <t>▶ watch</t>
        </is>
      </c>
      <c r="M846" s="10" t="inlineStr">
        <is>
          <t>Baker et al. 2001, PNAS 98:10037 (APBS) · Jurrus et al. 2018, Protein Sci 27:112</t>
        </is>
      </c>
      <c r="N846" s="14" t="inlineStr">
        <is>
          <t>read ↗</t>
        </is>
      </c>
      <c r="O846" s="11" t="inlineStr">
        <is>
          <t>reading for G.6 Continuum electrostatics and mesosca</t>
        </is>
      </c>
      <c r="P846" s="10" t="inlineStr"/>
    </row>
    <row r="847">
      <c r="A847" s="15" t="n">
        <v>846</v>
      </c>
      <c r="B847" s="15" t="inlineStr">
        <is>
          <t>Part II - The Method Atlas</t>
        </is>
      </c>
      <c r="C847" s="16" t="inlineStr">
        <is>
          <t>Symmetry, strategy, maps and models</t>
        </is>
      </c>
      <c r="D847" s="10" t="inlineStr">
        <is>
          <t>DeepEMhancer (long form, failure modes</t>
        </is>
      </c>
      <c r="E847" s="10" t="inlineStr">
        <is>
          <t>SBGrid</t>
        </is>
      </c>
      <c r="F847" s="11" t="inlineStr">
        <is>
          <t>43:20</t>
        </is>
      </c>
      <c r="G847" s="11" t="n">
        <v>0.72</v>
      </c>
      <c r="H847" s="12" t="inlineStr"/>
      <c r="I847" s="11" t="inlineStr">
        <is>
          <t>Not started</t>
        </is>
      </c>
      <c r="J847" s="13" t="n"/>
      <c r="K847" s="10" t="inlineStr"/>
      <c r="L847" s="14" t="inlineStr">
        <is>
          <t>▶ watch</t>
        </is>
      </c>
      <c r="M847" s="10" t="inlineStr">
        <is>
          <t>Baker et al. 2001, PNAS 98:10037 (APBS) · Jurrus et al. 2018, Protein Sci 27:112</t>
        </is>
      </c>
      <c r="N847" s="14" t="inlineStr">
        <is>
          <t>read ↗</t>
        </is>
      </c>
      <c r="O847" s="11" t="inlineStr">
        <is>
          <t>reading for G.6 Continuum electrostatics and mesosca</t>
        </is>
      </c>
      <c r="P847" s="10" t="inlineStr"/>
    </row>
    <row r="848">
      <c r="A848" s="15" t="n">
        <v>847</v>
      </c>
      <c r="B848" s="15" t="inlineStr">
        <is>
          <t>Part II - The Method Atlas</t>
        </is>
      </c>
      <c r="C848" s="16" t="inlineStr">
        <is>
          <t>Symmetry, strategy, maps and models</t>
        </is>
      </c>
      <c r="D848" s="10" t="inlineStr">
        <is>
          <t>Cryo-EM map density modification and model building</t>
        </is>
      </c>
      <c r="E848" s="10" t="inlineStr">
        <is>
          <t>Tom Terwilliger (Phenix</t>
        </is>
      </c>
      <c r="F848" s="11" t="inlineStr">
        <is>
          <t>38:56</t>
        </is>
      </c>
      <c r="G848" s="11" t="n">
        <v>0.65</v>
      </c>
      <c r="H848" s="12" t="inlineStr">
        <is>
          <t>★</t>
        </is>
      </c>
      <c r="I848" s="11" t="inlineStr">
        <is>
          <t>Not started</t>
        </is>
      </c>
      <c r="J848" s="13" t="n"/>
      <c r="K848" s="10" t="inlineStr"/>
      <c r="L848" s="14" t="inlineStr">
        <is>
          <t>▶ watch</t>
        </is>
      </c>
      <c r="M848" s="10" t="inlineStr">
        <is>
          <t>Baker et al. 2001, PNAS 98:10037 (APBS) · Jurrus et al. 2018, Protein Sci 27:112</t>
        </is>
      </c>
      <c r="N848" s="14" t="inlineStr">
        <is>
          <t>read ↗</t>
        </is>
      </c>
      <c r="O848" s="11" t="inlineStr">
        <is>
          <t>reading for G.6 Continuum electrostatics and mesosca</t>
        </is>
      </c>
      <c r="P848" s="10" t="inlineStr"/>
    </row>
    <row r="849">
      <c r="A849" s="15" t="n">
        <v>848</v>
      </c>
      <c r="B849" s="15" t="inlineStr">
        <is>
          <t>Part II - The Method Atlas</t>
        </is>
      </c>
      <c r="C849" s="16" t="inlineStr">
        <is>
          <t>Symmetry, strategy, maps and models</t>
        </is>
      </c>
      <c r="D849" s="10" t="inlineStr">
        <is>
          <t>ModelAngelo: automated atomic modelling and protein identification</t>
        </is>
      </c>
      <c r="E849" s="10" t="inlineStr">
        <is>
          <t>Kiarash Jamali (MRC-LMB</t>
        </is>
      </c>
      <c r="F849" s="11" t="inlineStr">
        <is>
          <t>20:03</t>
        </is>
      </c>
      <c r="G849" s="11" t="n">
        <v>0.33</v>
      </c>
      <c r="H849" s="12" t="inlineStr">
        <is>
          <t>★</t>
        </is>
      </c>
      <c r="I849" s="11" t="inlineStr">
        <is>
          <t>Not started</t>
        </is>
      </c>
      <c r="J849" s="13" t="n"/>
      <c r="K849" s="10" t="inlineStr"/>
      <c r="L849" s="14" t="inlineStr">
        <is>
          <t>▶ watch</t>
        </is>
      </c>
      <c r="M849" s="10" t="inlineStr">
        <is>
          <t>Baker et al. 2001, PNAS 98:10037 (APBS) · Jurrus et al. 2018, Protein Sci 27:112</t>
        </is>
      </c>
      <c r="N849" s="14" t="inlineStr">
        <is>
          <t>read ↗</t>
        </is>
      </c>
      <c r="O849" s="11" t="inlineStr">
        <is>
          <t>reading for G.6 Continuum electrostatics and mesosca</t>
        </is>
      </c>
      <c r="P849" s="10" t="inlineStr"/>
    </row>
    <row r="850">
      <c r="A850" s="15" t="n">
        <v>849</v>
      </c>
      <c r="B850" s="15" t="inlineStr">
        <is>
          <t>Part II - The Method Atlas</t>
        </is>
      </c>
      <c r="C850" s="16" t="inlineStr">
        <is>
          <t>Symmetry, strategy, maps and models</t>
        </is>
      </c>
      <c r="D850" s="10" t="inlineStr">
        <is>
          <t>ModelAngelo (architecture detail</t>
        </is>
      </c>
      <c r="E850" s="10" t="inlineStr">
        <is>
          <t>SBGrid</t>
        </is>
      </c>
      <c r="F850" s="11" t="inlineStr">
        <is>
          <t>38:10</t>
        </is>
      </c>
      <c r="G850" s="11" t="n">
        <v>0.64</v>
      </c>
      <c r="H850" s="12" t="inlineStr"/>
      <c r="I850" s="11" t="inlineStr">
        <is>
          <t>Not started</t>
        </is>
      </c>
      <c r="J850" s="13" t="n"/>
      <c r="K850" s="10" t="inlineStr"/>
      <c r="L850" s="14" t="inlineStr">
        <is>
          <t>▶ watch</t>
        </is>
      </c>
      <c r="M850" s="10" t="inlineStr">
        <is>
          <t>Baker et al. 2001, PNAS 98:10037 (APBS) · Jurrus et al. 2018, Protein Sci 27:112</t>
        </is>
      </c>
      <c r="N850" s="14" t="inlineStr">
        <is>
          <t>read ↗</t>
        </is>
      </c>
      <c r="O850" s="11" t="inlineStr">
        <is>
          <t>reading for G.6 Continuum electrostatics and mesosca</t>
        </is>
      </c>
      <c r="P850" s="10" t="inlineStr"/>
    </row>
    <row r="851">
      <c r="A851" s="15" t="n">
        <v>850</v>
      </c>
      <c r="B851" s="15" t="inlineStr">
        <is>
          <t>Part II - The Method Atlas</t>
        </is>
      </c>
      <c r="C851" s="16" t="inlineStr">
        <is>
          <t>Symmetry, strategy, maps and models</t>
        </is>
      </c>
      <c r="D851" s="10" t="inlineStr">
        <is>
          <t>Phenix automated model building (maptomodel</t>
        </is>
      </c>
      <c r="E851" s="10" t="inlineStr">
        <is>
          <t>Phenix</t>
        </is>
      </c>
      <c r="F851" s="11" t="inlineStr">
        <is>
          <t>1:23:26</t>
        </is>
      </c>
      <c r="G851" s="11" t="n">
        <v>1.39</v>
      </c>
      <c r="H851" s="12" t="inlineStr"/>
      <c r="I851" s="11" t="inlineStr">
        <is>
          <t>Not started</t>
        </is>
      </c>
      <c r="J851" s="13" t="n"/>
      <c r="K851" s="10" t="inlineStr"/>
      <c r="L851" s="14" t="inlineStr">
        <is>
          <t>▶ watch</t>
        </is>
      </c>
      <c r="M851" s="10" t="inlineStr">
        <is>
          <t>Baker et al. 2001, PNAS 98:10037 (APBS) · Jurrus et al. 2018, Protein Sci 27:112</t>
        </is>
      </c>
      <c r="N851" s="14" t="inlineStr">
        <is>
          <t>read ↗</t>
        </is>
      </c>
      <c r="O851" s="11" t="inlineStr">
        <is>
          <t>reading for G.6 Continuum electrostatics and mesosca</t>
        </is>
      </c>
      <c r="P851" s="10" t="inlineStr"/>
    </row>
    <row r="852">
      <c r="A852" s="15" t="n">
        <v>851</v>
      </c>
      <c r="B852" s="15" t="inlineStr">
        <is>
          <t>Part II - The Method Atlas</t>
        </is>
      </c>
      <c r="C852" s="16" t="inlineStr">
        <is>
          <t>Symmetry, strategy, maps and models</t>
        </is>
      </c>
      <c r="D852" s="10" t="inlineStr">
        <is>
          <t>Cryo-EM17 lecture 08: Atomic modeling and validation</t>
        </is>
      </c>
      <c r="E852" s="10" t="inlineStr">
        <is>
          <t>Alan Brown (Harvard</t>
        </is>
      </c>
      <c r="F852" s="11" t="inlineStr">
        <is>
          <t>49:59</t>
        </is>
      </c>
      <c r="G852" s="11" t="n">
        <v>0.83</v>
      </c>
      <c r="H852" s="12" t="inlineStr"/>
      <c r="I852" s="11" t="inlineStr">
        <is>
          <t>Not started</t>
        </is>
      </c>
      <c r="J852" s="13" t="n"/>
      <c r="K852" s="10" t="inlineStr"/>
      <c r="L852" s="14" t="inlineStr">
        <is>
          <t>▶ watch</t>
        </is>
      </c>
      <c r="M852" s="10" t="inlineStr">
        <is>
          <t>Baker et al. 2001, PNAS 98:10037 (APBS) · Jurrus et al. 2018, Protein Sci 27:112</t>
        </is>
      </c>
      <c r="N852" s="14" t="inlineStr">
        <is>
          <t>read ↗</t>
        </is>
      </c>
      <c r="O852" s="11" t="inlineStr">
        <is>
          <t>reading for G.6 Continuum electrostatics and mesosca</t>
        </is>
      </c>
      <c r="P852" s="10" t="inlineStr"/>
    </row>
    <row r="853">
      <c r="A853" s="15" t="n">
        <v>852</v>
      </c>
      <c r="B853" s="15" t="inlineStr">
        <is>
          <t>Part II - The Method Atlas</t>
        </is>
      </c>
      <c r="C853" s="16" t="inlineStr">
        <is>
          <t>Symmetry, strategy, maps and models</t>
        </is>
      </c>
      <c r="D853" s="10" t="inlineStr">
        <is>
          <t>Refinement and validation using TEMPy2</t>
        </is>
      </c>
      <c r="E853" s="10" t="inlineStr">
        <is>
          <t>Maya Topf (Birkbeck</t>
        </is>
      </c>
      <c r="F853" s="11" t="inlineStr">
        <is>
          <t>39:54</t>
        </is>
      </c>
      <c r="G853" s="11" t="n">
        <v>0.67</v>
      </c>
      <c r="H853" s="12" t="inlineStr"/>
      <c r="I853" s="11" t="inlineStr">
        <is>
          <t>Not started</t>
        </is>
      </c>
      <c r="J853" s="13" t="n"/>
      <c r="K853" s="10" t="inlineStr"/>
      <c r="L853" s="14" t="inlineStr">
        <is>
          <t>▶ watch</t>
        </is>
      </c>
      <c r="M853" s="10" t="inlineStr">
        <is>
          <t>Baker et al. 2001, PNAS 98:10037 (APBS) · Jurrus et al. 2018, Protein Sci 27:112</t>
        </is>
      </c>
      <c r="N853" s="14" t="inlineStr">
        <is>
          <t>read ↗</t>
        </is>
      </c>
      <c r="O853" s="11" t="inlineStr">
        <is>
          <t>reading for G.6 Continuum electrostatics and mesosca</t>
        </is>
      </c>
      <c r="P853" s="10" t="inlineStr"/>
    </row>
    <row r="854">
      <c r="A854" s="15" t="n">
        <v>853</v>
      </c>
      <c r="B854" s="15" t="inlineStr">
        <is>
          <t>Part II - The Method Atlas</t>
        </is>
      </c>
      <c r="C854" s="16" t="inlineStr">
        <is>
          <t>Symmetry, strategy, maps and models</t>
        </is>
      </c>
      <c r="D854" s="10" t="inlineStr">
        <is>
          <t>Seven years of ISOLDE: model building as restrained MD</t>
        </is>
      </c>
      <c r="E854" s="10" t="inlineStr">
        <is>
          <t>Tristan Croll</t>
        </is>
      </c>
      <c r="F854" s="11" t="inlineStr">
        <is>
          <t>33:52</t>
        </is>
      </c>
      <c r="G854" s="11" t="n">
        <v>0.5600000000000001</v>
      </c>
      <c r="H854" s="12" t="inlineStr"/>
      <c r="I854" s="11" t="inlineStr">
        <is>
          <t>Not started</t>
        </is>
      </c>
      <c r="J854" s="13" t="n"/>
      <c r="K854" s="10" t="inlineStr"/>
      <c r="L854" s="14" t="inlineStr">
        <is>
          <t>▶ watch</t>
        </is>
      </c>
      <c r="M854" s="10" t="inlineStr">
        <is>
          <t>Baker et al. 2001, PNAS 98:10037 (APBS) · Jurrus et al. 2018, Protein Sci 27:112</t>
        </is>
      </c>
      <c r="N854" s="14" t="inlineStr">
        <is>
          <t>read ↗</t>
        </is>
      </c>
      <c r="O854" s="11" t="inlineStr">
        <is>
          <t>reading for G.6 Continuum electrostatics and mesosca</t>
        </is>
      </c>
      <c r="P854" s="10" t="inlineStr"/>
    </row>
    <row r="855">
      <c r="A855" s="15" t="n">
        <v>854</v>
      </c>
      <c r="B855" s="15" t="inlineStr">
        <is>
          <t>Part II - The Method Atlas</t>
        </is>
      </c>
      <c r="C855" s="16" t="inlineStr">
        <is>
          <t>Tomography</t>
        </is>
      </c>
      <c r="D855" s="10" t="inlineStr">
        <is>
          <t>Cryo-EM17 lecture 09: Tomography</t>
        </is>
      </c>
      <c r="E855" s="10" t="inlineStr">
        <is>
          <t>John Briggs (MRC-LMB</t>
        </is>
      </c>
      <c r="F855" s="11" t="inlineStr">
        <is>
          <t>40:07</t>
        </is>
      </c>
      <c r="G855" s="11" t="n">
        <v>0.67</v>
      </c>
      <c r="H855" s="12" t="inlineStr"/>
      <c r="I855" s="11" t="inlineStr">
        <is>
          <t>Not started</t>
        </is>
      </c>
      <c r="J855" s="13" t="n"/>
      <c r="K855" s="10" t="inlineStr"/>
      <c r="L855" s="14" t="inlineStr">
        <is>
          <t>▶ watch</t>
        </is>
      </c>
      <c r="M855" s="10" t="inlineStr">
        <is>
          <t>Baker et al. 2001, PNAS 98:10037 (APBS) · Jurrus et al. 2018, Protein Sci 27:112</t>
        </is>
      </c>
      <c r="N855" s="14" t="inlineStr">
        <is>
          <t>read ↗</t>
        </is>
      </c>
      <c r="O855" s="11" t="inlineStr">
        <is>
          <t>reading for G.6 Continuum electrostatics and mesosca</t>
        </is>
      </c>
      <c r="P855" s="10" t="inlineStr"/>
    </row>
    <row r="856">
      <c r="A856" s="15" t="n">
        <v>855</v>
      </c>
      <c r="B856" s="15" t="inlineStr">
        <is>
          <t>Part II - The Method Atlas</t>
        </is>
      </c>
      <c r="C856" s="16" t="inlineStr">
        <is>
          <t>Tomography</t>
        </is>
      </c>
      <c r="D856" s="10" t="inlineStr">
        <is>
          <t>High-throughput algorithms for subtomogram averaging</t>
        </is>
      </c>
      <c r="E856" s="10" t="inlineStr">
        <is>
          <t>Mikhail Kudryashev</t>
        </is>
      </c>
      <c r="F856" s="11" t="inlineStr">
        <is>
          <t>46:46</t>
        </is>
      </c>
      <c r="G856" s="11" t="n">
        <v>0.78</v>
      </c>
      <c r="H856" s="12" t="inlineStr"/>
      <c r="I856" s="11" t="inlineStr">
        <is>
          <t>Not started</t>
        </is>
      </c>
      <c r="J856" s="13" t="n"/>
      <c r="K856" s="10" t="inlineStr"/>
      <c r="L856" s="14" t="inlineStr">
        <is>
          <t>▶ watch</t>
        </is>
      </c>
      <c r="M856" s="10" t="inlineStr">
        <is>
          <t>Baker et al. 2001, PNAS 98:10037 (APBS) · Jurrus et al. 2018, Protein Sci 27:112</t>
        </is>
      </c>
      <c r="N856" s="14" t="inlineStr">
        <is>
          <t>read ↗</t>
        </is>
      </c>
      <c r="O856" s="11" t="inlineStr">
        <is>
          <t>reading for G.6 Continuum electrostatics and mesosca</t>
        </is>
      </c>
      <c r="P856" s="10" t="inlineStr"/>
    </row>
    <row r="857">
      <c r="A857" s="15" t="n">
        <v>856</v>
      </c>
      <c r="B857" s="15" t="inlineStr">
        <is>
          <t>Part II - The Method Atlas</t>
        </is>
      </c>
      <c r="C857" s="16" t="inlineStr">
        <is>
          <t>Tomography</t>
        </is>
      </c>
      <c r="D857" s="10" t="inlineStr">
        <is>
          <t>Cryo-ET and subtomogram averaging</t>
        </is>
      </c>
      <c r="E857" s="10" t="inlineStr">
        <is>
          <t>Giulia Zanetti (Birkbeck</t>
        </is>
      </c>
      <c r="F857" s="11" t="inlineStr">
        <is>
          <t>22:46</t>
        </is>
      </c>
      <c r="G857" s="11" t="n">
        <v>0.38</v>
      </c>
      <c r="H857" s="12" t="inlineStr"/>
      <c r="I857" s="11" t="inlineStr">
        <is>
          <t>Not started</t>
        </is>
      </c>
      <c r="J857" s="13" t="n"/>
      <c r="K857" s="10" t="inlineStr"/>
      <c r="L857" s="14" t="inlineStr">
        <is>
          <t>▶ watch</t>
        </is>
      </c>
      <c r="M857" s="10" t="inlineStr">
        <is>
          <t>Baker et al. 2001, PNAS 98:10037 (APBS) · Jurrus et al. 2018, Protein Sci 27:112</t>
        </is>
      </c>
      <c r="N857" s="14" t="inlineStr">
        <is>
          <t>read ↗</t>
        </is>
      </c>
      <c r="O857" s="11" t="inlineStr">
        <is>
          <t>reading for G.6 Continuum electrostatics and mesosca</t>
        </is>
      </c>
      <c r="P857" s="10" t="inlineStr"/>
    </row>
    <row r="858">
      <c r="A858" s="15" t="n">
        <v>857</v>
      </c>
      <c r="B858" s="15" t="inlineStr">
        <is>
          <t>Part II - The Method Atlas</t>
        </is>
      </c>
      <c r="C858" s="16" t="inlineStr">
        <is>
          <t>Tomography</t>
        </is>
      </c>
      <c r="D858" s="10" t="inlineStr">
        <is>
          <t>Dynamo (geometry-constrained alignment</t>
        </is>
      </c>
      <c r="E858" s="10" t="inlineStr">
        <is>
          <t>SBGrid</t>
        </is>
      </c>
      <c r="F858" s="11" t="inlineStr">
        <is>
          <t>46:49</t>
        </is>
      </c>
      <c r="G858" s="11" t="n">
        <v>0.78</v>
      </c>
      <c r="H858" s="12" t="inlineStr"/>
      <c r="I858" s="11" t="inlineStr">
        <is>
          <t>Not started</t>
        </is>
      </c>
      <c r="J858" s="13" t="n"/>
      <c r="K858" s="10" t="inlineStr"/>
      <c r="L858" s="14" t="inlineStr">
        <is>
          <t>▶ watch</t>
        </is>
      </c>
      <c r="M858" s="10" t="inlineStr">
        <is>
          <t>Baker et al. 2001, PNAS 98:10037 (APBS) · Jurrus et al. 2018, Protein Sci 27:112</t>
        </is>
      </c>
      <c r="N858" s="14" t="inlineStr">
        <is>
          <t>read ↗</t>
        </is>
      </c>
      <c r="O858" s="11" t="inlineStr">
        <is>
          <t>reading for G.6 Continuum electrostatics and mesosca</t>
        </is>
      </c>
      <c r="P858" s="10" t="inlineStr"/>
    </row>
    <row r="859">
      <c r="A859" s="15" t="n">
        <v>858</v>
      </c>
      <c r="B859" s="15" t="inlineStr">
        <is>
          <t>Part II - The Method Atlas</t>
        </is>
      </c>
      <c r="C859" s="16" t="inlineStr">
        <is>
          <t>Tomography</t>
        </is>
      </c>
      <c r="D859" s="10" t="inlineStr">
        <is>
          <t>Representation learning for picking in cryo-ET with TomoTwin</t>
        </is>
      </c>
      <c r="E859" s="10" t="inlineStr">
        <is>
          <t>MPI Dortmund</t>
        </is>
      </c>
      <c r="F859" s="11" t="inlineStr">
        <is>
          <t>27:31</t>
        </is>
      </c>
      <c r="G859" s="11" t="n">
        <v>0.46</v>
      </c>
      <c r="H859" s="12" t="inlineStr"/>
      <c r="I859" s="11" t="inlineStr">
        <is>
          <t>Not started</t>
        </is>
      </c>
      <c r="J859" s="13" t="n"/>
      <c r="K859" s="10" t="inlineStr"/>
      <c r="L859" s="14" t="inlineStr">
        <is>
          <t>▶ watch</t>
        </is>
      </c>
      <c r="M859" s="10" t="inlineStr">
        <is>
          <t>Baker et al. 2001, PNAS 98:10037 (APBS) · Jurrus et al. 2018, Protein Sci 27:112</t>
        </is>
      </c>
      <c r="N859" s="14" t="inlineStr">
        <is>
          <t>read ↗</t>
        </is>
      </c>
      <c r="O859" s="11" t="inlineStr">
        <is>
          <t>reading for G.6 Continuum electrostatics and mesosca</t>
        </is>
      </c>
      <c r="P859" s="10" t="inlineStr"/>
    </row>
    <row r="860">
      <c r="A860" s="15" t="n">
        <v>859</v>
      </c>
      <c r="B860" s="15" t="inlineStr">
        <is>
          <t>Part II - The Method Atlas</t>
        </is>
      </c>
      <c r="C860" s="16" t="inlineStr">
        <is>
          <t>The phase problem</t>
        </is>
      </c>
      <c r="D860" s="10" t="inlineStr">
        <is>
          <t>X-ray Crystallography: Phase Problem Part I</t>
        </is>
      </c>
      <c r="E860" s="10" t="inlineStr">
        <is>
          <t>IIT Roorkee</t>
        </is>
      </c>
      <c r="F860" s="11" t="inlineStr">
        <is>
          <t>58:31</t>
        </is>
      </c>
      <c r="G860" s="11" t="n">
        <v>0.98</v>
      </c>
      <c r="H860" s="12" t="inlineStr"/>
      <c r="I860" s="11" t="inlineStr">
        <is>
          <t>Not started</t>
        </is>
      </c>
      <c r="J860" s="13" t="n"/>
      <c r="K860" s="10" t="inlineStr"/>
      <c r="L860" s="14" t="inlineStr">
        <is>
          <t>▶ watch</t>
        </is>
      </c>
      <c r="M860" s="10" t="inlineStr">
        <is>
          <t>Baker et al. 2001, PNAS 98:10037 (APBS) · Jurrus et al. 2018, Protein Sci 27:112</t>
        </is>
      </c>
      <c r="N860" s="14" t="inlineStr">
        <is>
          <t>read ↗</t>
        </is>
      </c>
      <c r="O860" s="11" t="inlineStr">
        <is>
          <t>reading for G.6 Continuum electrostatics and mesosca</t>
        </is>
      </c>
      <c r="P860" s="10" t="inlineStr"/>
    </row>
    <row r="861">
      <c r="A861" s="15" t="n">
        <v>860</v>
      </c>
      <c r="B861" s="15" t="inlineStr">
        <is>
          <t>Part II - The Method Atlas</t>
        </is>
      </c>
      <c r="C861" s="16" t="inlineStr">
        <is>
          <t>The phase problem</t>
        </is>
      </c>
      <c r="D861" s="10" t="inlineStr">
        <is>
          <t>Direct Methods: Phase Determination in Crystallography</t>
        </is>
      </c>
      <c r="E861" s="10" t="inlineStr">
        <is>
          <t>BioXFEL</t>
        </is>
      </c>
      <c r="F861" s="11" t="inlineStr">
        <is>
          <t>23:25</t>
        </is>
      </c>
      <c r="G861" s="11" t="n">
        <v>0.39</v>
      </c>
      <c r="H861" s="12" t="inlineStr"/>
      <c r="I861" s="11" t="inlineStr">
        <is>
          <t>Not started</t>
        </is>
      </c>
      <c r="J861" s="13" t="n"/>
      <c r="K861" s="10" t="inlineStr"/>
      <c r="L861" s="14" t="inlineStr">
        <is>
          <t>▶ watch</t>
        </is>
      </c>
      <c r="M861" s="10" t="inlineStr">
        <is>
          <t>Baker et al. 2001, PNAS 98:10037 (APBS) · Jurrus et al. 2018, Protein Sci 27:112</t>
        </is>
      </c>
      <c r="N861" s="14" t="inlineStr">
        <is>
          <t>read ↗</t>
        </is>
      </c>
      <c r="O861" s="11" t="inlineStr">
        <is>
          <t>reading for G.6 Continuum electrostatics and mesosca</t>
        </is>
      </c>
      <c r="P861" s="10" t="inlineStr"/>
    </row>
    <row r="862">
      <c r="A862" s="15" t="n">
        <v>861</v>
      </c>
      <c r="B862" s="15" t="inlineStr">
        <is>
          <t>Part II - The Method Atlas</t>
        </is>
      </c>
      <c r="C862" s="16" t="inlineStr">
        <is>
          <t>The phase problem</t>
        </is>
      </c>
      <c r="D862" s="10" t="inlineStr">
        <is>
          <t>Phase problem, direct methods, Patterson method</t>
        </is>
      </c>
      <c r="E862" s="10" t="inlineStr">
        <is>
          <t>Vidya-mitra</t>
        </is>
      </c>
      <c r="F862" s="11" t="inlineStr">
        <is>
          <t>45:42</t>
        </is>
      </c>
      <c r="G862" s="11" t="n">
        <v>0.76</v>
      </c>
      <c r="H862" s="12" t="inlineStr"/>
      <c r="I862" s="11" t="inlineStr">
        <is>
          <t>Not started</t>
        </is>
      </c>
      <c r="J862" s="13" t="n"/>
      <c r="K862" s="10" t="inlineStr"/>
      <c r="L862" s="14" t="inlineStr">
        <is>
          <t>▶ watch</t>
        </is>
      </c>
      <c r="M862" s="10" t="inlineStr">
        <is>
          <t>Baker et al. 2001, PNAS 98:10037 (APBS) · Jurrus et al. 2018, Protein Sci 27:112</t>
        </is>
      </c>
      <c r="N862" s="14" t="inlineStr">
        <is>
          <t>read ↗</t>
        </is>
      </c>
      <c r="O862" s="11" t="inlineStr">
        <is>
          <t>reading for G.6 Continuum electrostatics and mesosca</t>
        </is>
      </c>
      <c r="P862" s="10" t="inlineStr"/>
    </row>
    <row r="863">
      <c r="A863" s="15" t="n">
        <v>862</v>
      </c>
      <c r="B863" s="15" t="inlineStr">
        <is>
          <t>Part II - The Method Atlas</t>
        </is>
      </c>
      <c r="C863" s="16" t="inlineStr">
        <is>
          <t>Molecular replacement</t>
        </is>
      </c>
      <c r="D863" s="10" t="inlineStr">
        <is>
          <t>Molecular Replacement and cryo-EM docking</t>
        </is>
      </c>
      <c r="E863" s="10" t="inlineStr">
        <is>
          <t>Randy Read (Cambridge</t>
        </is>
      </c>
      <c r="F863" s="11" t="inlineStr">
        <is>
          <t>22:30</t>
        </is>
      </c>
      <c r="G863" s="11" t="n">
        <v>0.38</v>
      </c>
      <c r="H863" s="12" t="inlineStr">
        <is>
          <t>★</t>
        </is>
      </c>
      <c r="I863" s="11" t="inlineStr">
        <is>
          <t>Not started</t>
        </is>
      </c>
      <c r="J863" s="13" t="n"/>
      <c r="K863" s="10" t="inlineStr"/>
      <c r="L863" s="14" t="inlineStr">
        <is>
          <t>▶ watch</t>
        </is>
      </c>
      <c r="M863" s="10" t="inlineStr">
        <is>
          <t>Baker et al. 2001, PNAS 98:10037 (APBS) · Jurrus et al. 2018, Protein Sci 27:112</t>
        </is>
      </c>
      <c r="N863" s="14" t="inlineStr">
        <is>
          <t>read ↗</t>
        </is>
      </c>
      <c r="O863" s="11" t="inlineStr">
        <is>
          <t>reading for G.6 Continuum electrostatics and mesosca</t>
        </is>
      </c>
      <c r="P863" s="10" t="inlineStr"/>
    </row>
    <row r="864">
      <c r="A864" s="15" t="n">
        <v>863</v>
      </c>
      <c r="B864" s="15" t="inlineStr">
        <is>
          <t>Part II - The Method Atlas</t>
        </is>
      </c>
      <c r="C864" s="16" t="inlineStr">
        <is>
          <t>Molecular replacement</t>
        </is>
      </c>
      <c r="D864" s="10" t="inlineStr">
        <is>
          <t>Information content in molecular replacement</t>
        </is>
      </c>
      <c r="E864" s="10" t="inlineStr">
        <is>
          <t>Randy Read (CCP4 SW2019</t>
        </is>
      </c>
      <c r="F864" s="11" t="inlineStr">
        <is>
          <t>27:32</t>
        </is>
      </c>
      <c r="G864" s="11" t="n">
        <v>0.46</v>
      </c>
      <c r="H864" s="12" t="inlineStr"/>
      <c r="I864" s="11" t="inlineStr">
        <is>
          <t>Not started</t>
        </is>
      </c>
      <c r="J864" s="13" t="n"/>
      <c r="K864" s="10" t="inlineStr"/>
      <c r="L864" s="14" t="inlineStr">
        <is>
          <t>▶ watch</t>
        </is>
      </c>
      <c r="M864" s="10" t="inlineStr">
        <is>
          <t>Baker et al. 2001, PNAS 98:10037 (APBS) · Jurrus et al. 2018, Protein Sci 27:112</t>
        </is>
      </c>
      <c r="N864" s="14" t="inlineStr">
        <is>
          <t>read ↗</t>
        </is>
      </c>
      <c r="O864" s="11" t="inlineStr">
        <is>
          <t>reading for G.6 Continuum electrostatics and mesosca</t>
        </is>
      </c>
      <c r="P864" s="10" t="inlineStr"/>
    </row>
    <row r="865">
      <c r="A865" s="15" t="n">
        <v>864</v>
      </c>
      <c r="B865" s="15" t="inlineStr">
        <is>
          <t>Part II - The Method Atlas</t>
        </is>
      </c>
      <c r="C865" s="16" t="inlineStr">
        <is>
          <t>Molecular replacement</t>
        </is>
      </c>
      <c r="D865" s="10" t="inlineStr">
        <is>
          <t>Trueblood Award Lecture 2022</t>
        </is>
      </c>
      <c r="E865" s="10" t="inlineStr">
        <is>
          <t>Airlie McCoy (Cambridge</t>
        </is>
      </c>
      <c r="F865" s="11" t="inlineStr">
        <is>
          <t>55:04</t>
        </is>
      </c>
      <c r="G865" s="11" t="n">
        <v>0.92</v>
      </c>
      <c r="H865" s="12" t="inlineStr"/>
      <c r="I865" s="11" t="inlineStr">
        <is>
          <t>Not started</t>
        </is>
      </c>
      <c r="J865" s="13" t="n"/>
      <c r="K865" s="10" t="inlineStr"/>
      <c r="L865" s="14" t="inlineStr">
        <is>
          <t>▶ watch</t>
        </is>
      </c>
      <c r="M865" s="10" t="inlineStr">
        <is>
          <t>Baker et al. 2001, PNAS 98:10037 (APBS) · Jurrus et al. 2018, Protein Sci 27:112</t>
        </is>
      </c>
      <c r="N865" s="14" t="inlineStr">
        <is>
          <t>read ↗</t>
        </is>
      </c>
      <c r="O865" s="11" t="inlineStr">
        <is>
          <t>reading for G.6 Continuum electrostatics and mesosca</t>
        </is>
      </c>
      <c r="P865" s="10" t="inlineStr"/>
    </row>
    <row r="866">
      <c r="A866" s="15" t="n">
        <v>865</v>
      </c>
      <c r="B866" s="15" t="inlineStr">
        <is>
          <t>Part II - The Method Atlas</t>
        </is>
      </c>
      <c r="C866" s="16" t="inlineStr">
        <is>
          <t>Molecular replacement</t>
        </is>
      </c>
      <c r="D866" s="10" t="inlineStr">
        <is>
          <t>Solve your structure with MR at warp speed</t>
        </is>
      </c>
      <c r="E866" s="10" t="inlineStr">
        <is>
          <t>Airlie McCoy</t>
        </is>
      </c>
      <c r="F866" s="11" t="inlineStr">
        <is>
          <t>33:06</t>
        </is>
      </c>
      <c r="G866" s="11" t="n">
        <v>0.55</v>
      </c>
      <c r="H866" s="12" t="inlineStr"/>
      <c r="I866" s="11" t="inlineStr">
        <is>
          <t>Not started</t>
        </is>
      </c>
      <c r="J866" s="13" t="n"/>
      <c r="K866" s="10" t="inlineStr"/>
      <c r="L866" s="14" t="inlineStr">
        <is>
          <t>▶ watch</t>
        </is>
      </c>
      <c r="M866" s="10" t="inlineStr">
        <is>
          <t>Baker et al. 2001, PNAS 98:10037 (APBS) · Jurrus et al. 2018, Protein Sci 27:112</t>
        </is>
      </c>
      <c r="N866" s="14" t="inlineStr">
        <is>
          <t>read ↗</t>
        </is>
      </c>
      <c r="O866" s="11" t="inlineStr">
        <is>
          <t>reading for G.6 Continuum electrostatics and mesosca</t>
        </is>
      </c>
      <c r="P866" s="10" t="inlineStr"/>
    </row>
    <row r="867">
      <c r="A867" s="15" t="n">
        <v>866</v>
      </c>
      <c r="B867" s="15" t="inlineStr">
        <is>
          <t>Part II - The Method Atlas</t>
        </is>
      </c>
      <c r="C867" s="16" t="inlineStr">
        <is>
          <t>Molecular replacement</t>
        </is>
      </c>
      <c r="D867" s="10" t="inlineStr">
        <is>
          <t>Phasing and Molecular Replacement</t>
        </is>
      </c>
      <c r="E867" s="10" t="inlineStr">
        <is>
          <t>Andrea Thorn (ThornLab</t>
        </is>
      </c>
      <c r="F867" s="11" t="inlineStr">
        <is>
          <t>50:27</t>
        </is>
      </c>
      <c r="G867" s="11" t="n">
        <v>0.84</v>
      </c>
      <c r="H867" s="12" t="inlineStr"/>
      <c r="I867" s="11" t="inlineStr">
        <is>
          <t>Not started</t>
        </is>
      </c>
      <c r="J867" s="13" t="n"/>
      <c r="K867" s="10" t="inlineStr"/>
      <c r="L867" s="14" t="inlineStr">
        <is>
          <t>▶ watch</t>
        </is>
      </c>
      <c r="M867" s="10" t="inlineStr">
        <is>
          <t>Baker et al. 2001, PNAS 98:10037 (APBS) · Jurrus et al. 2018, Protein Sci 27:112</t>
        </is>
      </c>
      <c r="N867" s="14" t="inlineStr">
        <is>
          <t>read ↗</t>
        </is>
      </c>
      <c r="O867" s="11" t="inlineStr">
        <is>
          <t>reading for G.6 Continuum electrostatics and mesosca</t>
        </is>
      </c>
      <c r="P867" s="10" t="inlineStr"/>
    </row>
    <row r="868">
      <c r="A868" s="15" t="n">
        <v>867</v>
      </c>
      <c r="B868" s="15" t="inlineStr">
        <is>
          <t>Part II - The Method Atlas</t>
        </is>
      </c>
      <c r="C868" s="16" t="inlineStr">
        <is>
          <t>Molecular replacement</t>
        </is>
      </c>
      <c r="D868" s="10" t="inlineStr">
        <is>
          <t>Phaser (algorithm walkthrough</t>
        </is>
      </c>
      <c r="E868" s="10" t="inlineStr">
        <is>
          <t>SBGrid</t>
        </is>
      </c>
      <c r="F868" s="11" t="inlineStr">
        <is>
          <t>43:42</t>
        </is>
      </c>
      <c r="G868" s="11" t="n">
        <v>0.73</v>
      </c>
      <c r="H868" s="12" t="inlineStr"/>
      <c r="I868" s="11" t="inlineStr">
        <is>
          <t>Not started</t>
        </is>
      </c>
      <c r="J868" s="13" t="n"/>
      <c r="K868" s="10" t="inlineStr"/>
      <c r="L868" s="14" t="inlineStr">
        <is>
          <t>▶ watch</t>
        </is>
      </c>
      <c r="M868" s="10" t="inlineStr">
        <is>
          <t>Baker et al. 2001, PNAS 98:10037 (APBS) · Jurrus et al. 2018, Protein Sci 27:112</t>
        </is>
      </c>
      <c r="N868" s="14" t="inlineStr">
        <is>
          <t>read ↗</t>
        </is>
      </c>
      <c r="O868" s="11" t="inlineStr">
        <is>
          <t>reading for G.6 Continuum electrostatics and mesosca</t>
        </is>
      </c>
      <c r="P868" s="10" t="inlineStr"/>
    </row>
    <row r="869">
      <c r="A869" s="15" t="n">
        <v>868</v>
      </c>
      <c r="B869" s="15" t="inlineStr">
        <is>
          <t>Part II - The Method Atlas</t>
        </is>
      </c>
      <c r="C869" s="16" t="inlineStr">
        <is>
          <t>Experimental phasing, density modification, refinement</t>
        </is>
      </c>
      <c r="D869" s="10" t="inlineStr">
        <is>
          <t>Pattersons, locating heavy atoms, and SHELXC/D/E</t>
        </is>
      </c>
      <c r="E869" s="10" t="inlineStr">
        <is>
          <t>Andrea Thorn</t>
        </is>
      </c>
      <c r="F869" s="11" t="inlineStr">
        <is>
          <t>1:05:16</t>
        </is>
      </c>
      <c r="G869" s="11" t="n">
        <v>1.09</v>
      </c>
      <c r="H869" s="12" t="inlineStr"/>
      <c r="I869" s="11" t="inlineStr">
        <is>
          <t>Not started</t>
        </is>
      </c>
      <c r="J869" s="13" t="n"/>
      <c r="K869" s="10" t="inlineStr"/>
      <c r="L869" s="14" t="inlineStr">
        <is>
          <t>▶ watch</t>
        </is>
      </c>
      <c r="M869" s="10" t="inlineStr">
        <is>
          <t>Baker et al. 2001, PNAS 98:10037 (APBS) · Jurrus et al. 2018, Protein Sci 27:112</t>
        </is>
      </c>
      <c r="N869" s="14" t="inlineStr">
        <is>
          <t>read ↗</t>
        </is>
      </c>
      <c r="O869" s="11" t="inlineStr">
        <is>
          <t>reading for G.6 Continuum electrostatics and mesosca</t>
        </is>
      </c>
      <c r="P869" s="10" t="inlineStr"/>
    </row>
    <row r="870">
      <c r="A870" s="15" t="n">
        <v>869</v>
      </c>
      <c r="B870" s="15" t="inlineStr">
        <is>
          <t>Part II - The Method Atlas</t>
        </is>
      </c>
      <c r="C870" s="16" t="inlineStr">
        <is>
          <t>Experimental phasing, density modification, refinement</t>
        </is>
      </c>
      <c r="D870" s="10" t="inlineStr">
        <is>
          <t>Andrea Thorn (ThornLab</t>
        </is>
      </c>
      <c r="E870" s="10" t="inlineStr">
        <is>
          <t>Experimental Phasing</t>
        </is>
      </c>
      <c r="F870" s="11" t="inlineStr">
        <is>
          <t>54:15</t>
        </is>
      </c>
      <c r="G870" s="11" t="n">
        <v>0.9</v>
      </c>
      <c r="H870" s="12" t="inlineStr"/>
      <c r="I870" s="11" t="inlineStr">
        <is>
          <t>Not started</t>
        </is>
      </c>
      <c r="J870" s="13" t="n"/>
      <c r="K870" s="10" t="inlineStr"/>
      <c r="L870" s="14" t="inlineStr">
        <is>
          <t>▶ watch</t>
        </is>
      </c>
      <c r="M870" s="10" t="inlineStr">
        <is>
          <t>Baker et al. 2001, PNAS 98:10037 (APBS) · Jurrus et al. 2018, Protein Sci 27:112</t>
        </is>
      </c>
      <c r="N870" s="14" t="inlineStr">
        <is>
          <t>read ↗</t>
        </is>
      </c>
      <c r="O870" s="11" t="inlineStr">
        <is>
          <t>reading for G.6 Continuum electrostatics and mesosca</t>
        </is>
      </c>
      <c r="P870" s="10" t="inlineStr"/>
    </row>
    <row r="871">
      <c r="A871" s="15" t="n">
        <v>870</v>
      </c>
      <c r="B871" s="15" t="inlineStr">
        <is>
          <t>Part II - The Method Atlas</t>
        </is>
      </c>
      <c r="C871" s="16" t="inlineStr">
        <is>
          <t>Experimental phasing, density modification, refinement</t>
        </is>
      </c>
      <c r="D871" s="10" t="inlineStr">
        <is>
          <t>Advanced SHELXC/D/E</t>
        </is>
      </c>
      <c r="E871" s="10" t="inlineStr">
        <is>
          <t>ThornLab</t>
        </is>
      </c>
      <c r="F871" s="11" t="inlineStr">
        <is>
          <t>37:32</t>
        </is>
      </c>
      <c r="G871" s="11" t="n">
        <v>0.63</v>
      </c>
      <c r="H871" s="12" t="inlineStr"/>
      <c r="I871" s="11" t="inlineStr">
        <is>
          <t>Not started</t>
        </is>
      </c>
      <c r="J871" s="13" t="n"/>
      <c r="K871" s="10" t="inlineStr"/>
      <c r="L871" s="14" t="inlineStr">
        <is>
          <t>▶ watch</t>
        </is>
      </c>
      <c r="M871" s="10" t="inlineStr">
        <is>
          <t>Baker et al. 2001, PNAS 98:10037 (APBS) · Jurrus et al. 2018, Protein Sci 27:112</t>
        </is>
      </c>
      <c r="N871" s="14" t="inlineStr">
        <is>
          <t>read ↗</t>
        </is>
      </c>
      <c r="O871" s="11" t="inlineStr">
        <is>
          <t>reading for G.6 Continuum electrostatics and mesosca</t>
        </is>
      </c>
      <c r="P871" s="10" t="inlineStr"/>
    </row>
    <row r="872">
      <c r="A872" s="15" t="n">
        <v>871</v>
      </c>
      <c r="B872" s="15" t="inlineStr">
        <is>
          <t>Part II - The Method Atlas</t>
        </is>
      </c>
      <c r="C872" s="16" t="inlineStr">
        <is>
          <t>Experimental phasing, density modification, refinement</t>
        </is>
      </c>
      <c r="D872" s="10" t="inlineStr">
        <is>
          <t>Experimental Phasing (SIR/SAD/MAD</t>
        </is>
      </c>
      <c r="E872" s="10" t="inlineStr">
        <is>
          <t>BioXFEL</t>
        </is>
      </c>
      <c r="F872" s="11" t="inlineStr">
        <is>
          <t>1:00:55</t>
        </is>
      </c>
      <c r="G872" s="11" t="n">
        <v>1.02</v>
      </c>
      <c r="H872" s="12" t="inlineStr"/>
      <c r="I872" s="11" t="inlineStr">
        <is>
          <t>Not started</t>
        </is>
      </c>
      <c r="J872" s="13" t="n"/>
      <c r="K872" s="10" t="inlineStr"/>
      <c r="L872" s="14" t="inlineStr">
        <is>
          <t>▶ watch</t>
        </is>
      </c>
      <c r="M872" s="10" t="inlineStr">
        <is>
          <t>Baker et al. 2001, PNAS 98:10037 (APBS) · Jurrus et al. 2018, Protein Sci 27:112</t>
        </is>
      </c>
      <c r="N872" s="14" t="inlineStr">
        <is>
          <t>read ↗</t>
        </is>
      </c>
      <c r="O872" s="11" t="inlineStr">
        <is>
          <t>reading for G.6 Continuum electrostatics and mesosca</t>
        </is>
      </c>
      <c r="P872" s="10" t="inlineStr"/>
    </row>
    <row r="873">
      <c r="A873" s="15" t="n">
        <v>872</v>
      </c>
      <c r="B873" s="15" t="inlineStr">
        <is>
          <t>Part II - The Method Atlas</t>
        </is>
      </c>
      <c r="C873" s="16" t="inlineStr">
        <is>
          <t>Experimental phasing, density modification, refinement</t>
        </is>
      </c>
      <c r="D873" s="10" t="inlineStr">
        <is>
          <t>Map Improvement, Averaging, and Density Modification</t>
        </is>
      </c>
      <c r="E873" s="10" t="inlineStr">
        <is>
          <t>Kevin Cowtan (York</t>
        </is>
      </c>
      <c r="F873" s="11" t="inlineStr">
        <is>
          <t>1:04:42</t>
        </is>
      </c>
      <c r="G873" s="11" t="n">
        <v>1.08</v>
      </c>
      <c r="H873" s="12" t="inlineStr">
        <is>
          <t>★</t>
        </is>
      </c>
      <c r="I873" s="11" t="inlineStr">
        <is>
          <t>Not started</t>
        </is>
      </c>
      <c r="J873" s="13" t="n"/>
      <c r="K873" s="10" t="inlineStr"/>
      <c r="L873" s="14" t="inlineStr">
        <is>
          <t>▶ watch</t>
        </is>
      </c>
      <c r="M873" s="10" t="inlineStr">
        <is>
          <t>Baker et al. 2001, PNAS 98:10037 (APBS) · Jurrus et al. 2018, Protein Sci 27:112</t>
        </is>
      </c>
      <c r="N873" s="14" t="inlineStr">
        <is>
          <t>read ↗</t>
        </is>
      </c>
      <c r="O873" s="11" t="inlineStr">
        <is>
          <t>reading for G.6 Continuum electrostatics and mesosca</t>
        </is>
      </c>
      <c r="P873" s="10" t="inlineStr"/>
    </row>
    <row r="874">
      <c r="A874" s="15" t="n">
        <v>873</v>
      </c>
      <c r="B874" s="15" t="inlineStr">
        <is>
          <t>Part II - The Method Atlas</t>
        </is>
      </c>
      <c r="C874" s="16" t="inlineStr">
        <is>
          <t>Experimental phasing, density modification, refinement</t>
        </is>
      </c>
      <c r="D874" s="10" t="inlineStr">
        <is>
          <t>Mini-lecture: Density modification</t>
        </is>
      </c>
      <c r="E874" s="10" t="inlineStr">
        <is>
          <t>Phenix</t>
        </is>
      </c>
      <c r="F874" s="11" t="inlineStr">
        <is>
          <t>4:49</t>
        </is>
      </c>
      <c r="G874" s="11" t="n">
        <v>0.08</v>
      </c>
      <c r="H874" s="12" t="inlineStr"/>
      <c r="I874" s="11" t="inlineStr">
        <is>
          <t>Not started</t>
        </is>
      </c>
      <c r="J874" s="13" t="n"/>
      <c r="K874" s="10" t="inlineStr"/>
      <c r="L874" s="14" t="inlineStr">
        <is>
          <t>▶ watch</t>
        </is>
      </c>
      <c r="M874" s="10" t="inlineStr">
        <is>
          <t>Baker et al. 2001, PNAS 98:10037 (APBS) · Jurrus et al. 2018, Protein Sci 27:112</t>
        </is>
      </c>
      <c r="N874" s="14" t="inlineStr">
        <is>
          <t>read ↗</t>
        </is>
      </c>
      <c r="O874" s="11" t="inlineStr">
        <is>
          <t>reading for G.6 Continuum electrostatics and mesosca</t>
        </is>
      </c>
      <c r="P874" s="10" t="inlineStr"/>
    </row>
    <row r="875">
      <c r="A875" s="15" t="n">
        <v>874</v>
      </c>
      <c r="B875" s="15" t="inlineStr">
        <is>
          <t>Part II - The Method Atlas</t>
        </is>
      </c>
      <c r="C875" s="16" t="inlineStr">
        <is>
          <t>Experimental phasing, density modification, refinement</t>
        </is>
      </c>
      <c r="D875" s="10" t="inlineStr">
        <is>
          <t>Garib Murshudov (MRC-LMB</t>
        </is>
      </c>
      <c r="E875" s="10" t="inlineStr">
        <is>
          <t>Refinement</t>
        </is>
      </c>
      <c r="F875" s="11" t="inlineStr">
        <is>
          <t>1:10:09</t>
        </is>
      </c>
      <c r="G875" s="11" t="n">
        <v>1.17</v>
      </c>
      <c r="H875" s="12" t="inlineStr">
        <is>
          <t>★</t>
        </is>
      </c>
      <c r="I875" s="11" t="inlineStr">
        <is>
          <t>Not started</t>
        </is>
      </c>
      <c r="J875" s="13" t="n"/>
      <c r="K875" s="10" t="inlineStr"/>
      <c r="L875" s="14" t="inlineStr">
        <is>
          <t>▶ watch</t>
        </is>
      </c>
      <c r="M875" s="10" t="inlineStr">
        <is>
          <t>Baker et al. 2001, PNAS 98:10037 (APBS) · Jurrus et al. 2018, Protein Sci 27:112</t>
        </is>
      </c>
      <c r="N875" s="14" t="inlineStr">
        <is>
          <t>read ↗</t>
        </is>
      </c>
      <c r="O875" s="11" t="inlineStr">
        <is>
          <t>reading for G.6 Continuum electrostatics and mesosca</t>
        </is>
      </c>
      <c r="P875" s="10" t="inlineStr"/>
    </row>
    <row r="876">
      <c r="A876" s="15" t="n">
        <v>875</v>
      </c>
      <c r="B876" s="15" t="inlineStr">
        <is>
          <t>Part II - The Method Atlas</t>
        </is>
      </c>
      <c r="C876" s="16" t="inlineStr">
        <is>
          <t>Experimental phasing, density modification, refinement</t>
        </is>
      </c>
      <c r="D876" s="10" t="inlineStr">
        <is>
          <t>Refinement, X-ray and cryo-EM</t>
        </is>
      </c>
      <c r="E876" s="10" t="inlineStr">
        <is>
          <t>Pavel Afonine (Phenix</t>
        </is>
      </c>
      <c r="F876" s="11" t="inlineStr">
        <is>
          <t>1:00:19</t>
        </is>
      </c>
      <c r="G876" s="11" t="n">
        <v>1.01</v>
      </c>
      <c r="H876" s="12" t="inlineStr"/>
      <c r="I876" s="11" t="inlineStr">
        <is>
          <t>Not started</t>
        </is>
      </c>
      <c r="J876" s="13" t="n"/>
      <c r="K876" s="10" t="inlineStr"/>
      <c r="L876" s="14" t="inlineStr">
        <is>
          <t>▶ watch</t>
        </is>
      </c>
      <c r="M876" s="10" t="inlineStr">
        <is>
          <t>Baker et al. 2001, PNAS 98:10037 (APBS) · Jurrus et al. 2018, Protein Sci 27:112</t>
        </is>
      </c>
      <c r="N876" s="14" t="inlineStr">
        <is>
          <t>read ↗</t>
        </is>
      </c>
      <c r="O876" s="11" t="inlineStr">
        <is>
          <t>reading for G.6 Continuum electrostatics and mesosca</t>
        </is>
      </c>
      <c r="P876" s="10" t="inlineStr"/>
    </row>
    <row r="877">
      <c r="A877" s="15" t="n">
        <v>876</v>
      </c>
      <c r="B877" s="15" t="inlineStr">
        <is>
          <t>Part II - The Method Atlas</t>
        </is>
      </c>
      <c r="C877" s="16" t="inlineStr">
        <is>
          <t>Experimental phasing, density modification, refinement</t>
        </is>
      </c>
      <c r="D877" s="10" t="inlineStr">
        <is>
          <t>Andrea Thorn (ThornLab</t>
        </is>
      </c>
      <c r="E877" s="10" t="inlineStr">
        <is>
          <t>Refinement</t>
        </is>
      </c>
      <c r="F877" s="11" t="inlineStr">
        <is>
          <t>54:36</t>
        </is>
      </c>
      <c r="G877" s="11" t="n">
        <v>0.91</v>
      </c>
      <c r="H877" s="12" t="inlineStr"/>
      <c r="I877" s="11" t="inlineStr">
        <is>
          <t>Not started</t>
        </is>
      </c>
      <c r="J877" s="13" t="n"/>
      <c r="K877" s="10" t="inlineStr"/>
      <c r="L877" s="14" t="inlineStr">
        <is>
          <t>▶ watch</t>
        </is>
      </c>
      <c r="M877" s="10" t="inlineStr">
        <is>
          <t>Baker et al. 2001, PNAS 98:10037 (APBS) · Jurrus et al. 2018, Protein Sci 27:112</t>
        </is>
      </c>
      <c r="N877" s="14" t="inlineStr">
        <is>
          <t>read ↗</t>
        </is>
      </c>
      <c r="O877" s="11" t="inlineStr">
        <is>
          <t>reading for G.6 Continuum electrostatics and mesosca</t>
        </is>
      </c>
      <c r="P877" s="10" t="inlineStr"/>
    </row>
    <row r="878">
      <c r="A878" s="15" t="n">
        <v>877</v>
      </c>
      <c r="B878" s="15" t="inlineStr">
        <is>
          <t>Part II - The Method Atlas</t>
        </is>
      </c>
      <c r="C878" s="16" t="inlineStr">
        <is>
          <t>Experimental phasing, density modification, refinement</t>
        </is>
      </c>
      <c r="D878" s="10" t="inlineStr">
        <is>
          <t>CC: linking crystallographic model and data quality</t>
        </is>
      </c>
      <c r="E878" s="10" t="inlineStr">
        <is>
          <t>SBGrid</t>
        </is>
      </c>
      <c r="F878" s="11" t="inlineStr">
        <is>
          <t>50:08</t>
        </is>
      </c>
      <c r="G878" s="11" t="n">
        <v>0.84</v>
      </c>
      <c r="H878" s="12" t="inlineStr">
        <is>
          <t>★</t>
        </is>
      </c>
      <c r="I878" s="11" t="inlineStr">
        <is>
          <t>Not started</t>
        </is>
      </c>
      <c r="J878" s="13" t="n"/>
      <c r="K878" s="10" t="inlineStr"/>
      <c r="L878" s="14" t="inlineStr">
        <is>
          <t>▶ watch</t>
        </is>
      </c>
      <c r="M878" s="10" t="inlineStr">
        <is>
          <t>Baker et al. 2001, PNAS 98:10037 (APBS) · Jurrus et al. 2018, Protein Sci 27:112</t>
        </is>
      </c>
      <c r="N878" s="14" t="inlineStr">
        <is>
          <t>read ↗</t>
        </is>
      </c>
      <c r="O878" s="11" t="inlineStr">
        <is>
          <t>reading for G.6 Continuum electrostatics and mesosca</t>
        </is>
      </c>
      <c r="P878" s="10" t="inlineStr"/>
    </row>
    <row r="879">
      <c r="A879" s="15" t="n">
        <v>878</v>
      </c>
      <c r="B879" s="15" t="inlineStr">
        <is>
          <t>Part II - The Method Atlas</t>
        </is>
      </c>
      <c r="C879" s="16" t="inlineStr">
        <is>
          <t>Experimental phasing, density modification, refinement</t>
        </is>
      </c>
      <c r="D879" s="10" t="inlineStr">
        <is>
          <t>Densities in X-ray crystallography and electron microscopy</t>
        </is>
      </c>
      <c r="E879" s="10" t="inlineStr">
        <is>
          <t>Garib Murshudov</t>
        </is>
      </c>
      <c r="F879" s="11" t="inlineStr">
        <is>
          <t>30:34</t>
        </is>
      </c>
      <c r="G879" s="11" t="n">
        <v>0.51</v>
      </c>
      <c r="H879" s="12" t="inlineStr"/>
      <c r="I879" s="11" t="inlineStr">
        <is>
          <t>Not started</t>
        </is>
      </c>
      <c r="J879" s="13" t="n"/>
      <c r="K879" s="10" t="inlineStr"/>
      <c r="L879" s="14" t="inlineStr">
        <is>
          <t>▶ watch</t>
        </is>
      </c>
      <c r="M879" s="10" t="inlineStr">
        <is>
          <t>Baker et al. 2001, PNAS 98:10037 (APBS) · Jurrus et al. 2018, Protein Sci 27:112</t>
        </is>
      </c>
      <c r="N879" s="14" t="inlineStr">
        <is>
          <t>read ↗</t>
        </is>
      </c>
      <c r="O879" s="11" t="inlineStr">
        <is>
          <t>reading for G.6 Continuum electrostatics and mesosca</t>
        </is>
      </c>
      <c r="P879" s="10" t="inlineStr"/>
    </row>
    <row r="880">
      <c r="A880" s="15" t="n">
        <v>879</v>
      </c>
      <c r="B880" s="15" t="inlineStr">
        <is>
          <t>Part II - The Method Atlas</t>
        </is>
      </c>
      <c r="C880" s="16" t="inlineStr">
        <is>
          <t>Experimental phasing, density modification, refinement</t>
        </is>
      </c>
      <c r="D880" s="10" t="inlineStr">
        <is>
          <t>Twinning</t>
        </is>
      </c>
      <c r="E880" s="10" t="inlineStr">
        <is>
          <t>ThornLab</t>
        </is>
      </c>
      <c r="F880" s="11" t="inlineStr">
        <is>
          <t>44:48</t>
        </is>
      </c>
      <c r="G880" s="11" t="n">
        <v>0.75</v>
      </c>
      <c r="H880" s="12" t="inlineStr"/>
      <c r="I880" s="11" t="inlineStr">
        <is>
          <t>Not started</t>
        </is>
      </c>
      <c r="J880" s="13" t="n"/>
      <c r="K880" s="10" t="inlineStr"/>
      <c r="L880" s="14" t="inlineStr">
        <is>
          <t>▶ watch</t>
        </is>
      </c>
      <c r="M880" s="10" t="inlineStr">
        <is>
          <t>Baker et al. 2001, PNAS 98:10037 (APBS) · Jurrus et al. 2018, Protein Sci 27:112</t>
        </is>
      </c>
      <c r="N880" s="14" t="inlineStr">
        <is>
          <t>read ↗</t>
        </is>
      </c>
      <c r="O880" s="11" t="inlineStr">
        <is>
          <t>reading for G.6 Continuum electrostatics and mesosca</t>
        </is>
      </c>
      <c r="P880" s="10" t="inlineStr"/>
    </row>
    <row r="881">
      <c r="A881" s="15" t="n">
        <v>880</v>
      </c>
      <c r="B881" s="15" t="inlineStr">
        <is>
          <t>Part II - The Method Atlas</t>
        </is>
      </c>
      <c r="C881" s="16" t="inlineStr">
        <is>
          <t>Experimental phasing, density modification, refinement</t>
        </is>
      </c>
      <c r="D881" s="10" t="inlineStr">
        <is>
          <t>PDB-REDO as data source for refinement and validation</t>
        </is>
      </c>
      <c r="E881" s="10" t="inlineStr">
        <is>
          <t>Robbie Joosten (NKI</t>
        </is>
      </c>
      <c r="F881" s="11" t="inlineStr">
        <is>
          <t>20:04</t>
        </is>
      </c>
      <c r="G881" s="11" t="n">
        <v>0.33</v>
      </c>
      <c r="H881" s="12" t="inlineStr"/>
      <c r="I881" s="11" t="inlineStr">
        <is>
          <t>Not started</t>
        </is>
      </c>
      <c r="J881" s="13" t="n"/>
      <c r="K881" s="10" t="inlineStr"/>
      <c r="L881" s="14" t="inlineStr">
        <is>
          <t>▶ watch</t>
        </is>
      </c>
      <c r="M881" s="10" t="inlineStr">
        <is>
          <t>Baker et al. 2001, PNAS 98:10037 (APBS) · Jurrus et al. 2018, Protein Sci 27:112</t>
        </is>
      </c>
      <c r="N881" s="14" t="inlineStr">
        <is>
          <t>read ↗</t>
        </is>
      </c>
      <c r="O881" s="11" t="inlineStr">
        <is>
          <t>reading for G.6 Continuum electrostatics and mesosca</t>
        </is>
      </c>
      <c r="P881" s="10" t="inlineStr"/>
    </row>
    <row r="882">
      <c r="A882" s="15" t="n">
        <v>881</v>
      </c>
      <c r="B882" s="15" t="inlineStr">
        <is>
          <t>Part II - The Method Atlas</t>
        </is>
      </c>
      <c r="C882" s="16" t="inlineStr">
        <is>
          <t>Experimental phasing, density modification, refinement</t>
        </is>
      </c>
      <c r="D882" s="10" t="inlineStr">
        <is>
          <t>cctbx.xfel: software for serial crystallography</t>
        </is>
      </c>
      <c r="E882" s="10" t="inlineStr">
        <is>
          <t>SBGrid</t>
        </is>
      </c>
      <c r="F882" s="11" t="inlineStr">
        <is>
          <t>43:47</t>
        </is>
      </c>
      <c r="G882" s="11" t="n">
        <v>0.73</v>
      </c>
      <c r="H882" s="12" t="inlineStr"/>
      <c r="I882" s="11" t="inlineStr">
        <is>
          <t>Not started</t>
        </is>
      </c>
      <c r="J882" s="13" t="n"/>
      <c r="K882" s="10" t="inlineStr"/>
      <c r="L882" s="14" t="inlineStr">
        <is>
          <t>▶ watch</t>
        </is>
      </c>
      <c r="M882" s="10" t="inlineStr">
        <is>
          <t>Baker et al. 2001, PNAS 98:10037 (APBS) · Jurrus et al. 2018, Protein Sci 27:112</t>
        </is>
      </c>
      <c r="N882" s="14" t="inlineStr">
        <is>
          <t>read ↗</t>
        </is>
      </c>
      <c r="O882" s="11" t="inlineStr">
        <is>
          <t>reading for G.6 Continuum electrostatics and mesosca</t>
        </is>
      </c>
      <c r="P882" s="10" t="inlineStr"/>
    </row>
    <row r="883">
      <c r="A883" s="15" t="n">
        <v>882</v>
      </c>
      <c r="B883" s="15" t="inlineStr">
        <is>
          <t>Part II - The Method Atlas</t>
        </is>
      </c>
      <c r="C883" s="16" t="inlineStr">
        <is>
          <t>Experimental phasing, density modification, refinement</t>
        </is>
      </c>
      <c r="D883" s="10" t="inlineStr">
        <is>
          <t>SBGrid</t>
        </is>
      </c>
      <c r="E883" s="10" t="inlineStr">
        <is>
          <t>DIALS</t>
        </is>
      </c>
      <c r="F883" s="11" t="inlineStr">
        <is>
          <t>46:02</t>
        </is>
      </c>
      <c r="G883" s="11" t="n">
        <v>0.77</v>
      </c>
      <c r="H883" s="12" t="inlineStr"/>
      <c r="I883" s="11" t="inlineStr">
        <is>
          <t>Not started</t>
        </is>
      </c>
      <c r="J883" s="13" t="n"/>
      <c r="K883" s="10" t="inlineStr"/>
      <c r="L883" s="14" t="inlineStr">
        <is>
          <t>▶ watch</t>
        </is>
      </c>
      <c r="M883" s="10" t="inlineStr">
        <is>
          <t>Baker et al. 2001, PNAS 98:10037 (APBS) · Jurrus et al. 2018, Protein Sci 27:112</t>
        </is>
      </c>
      <c r="N883" s="14" t="inlineStr">
        <is>
          <t>read ↗</t>
        </is>
      </c>
      <c r="O883" s="11" t="inlineStr">
        <is>
          <t>reading for G.6 Continuum electrostatics and mesosca</t>
        </is>
      </c>
      <c r="P883" s="10" t="inlineStr"/>
    </row>
    <row r="884">
      <c r="A884" s="15" t="n">
        <v>883</v>
      </c>
      <c r="B884" s="15" t="inlineStr">
        <is>
          <t>Part II - The Method Atlas</t>
        </is>
      </c>
      <c r="C884" s="16" t="inlineStr">
        <is>
          <t>Multiconformer models and room-temperature crystallography</t>
        </is>
      </c>
      <c r="D884" s="10" t="inlineStr">
        <is>
          <t>Automated Multiconformer Model Building (qFit</t>
        </is>
      </c>
      <c r="E884" s="10" t="inlineStr">
        <is>
          <t>Fraser/van den Bedem lineage, ML4PE</t>
        </is>
      </c>
      <c r="F884" s="11" t="inlineStr">
        <is>
          <t>57:53</t>
        </is>
      </c>
      <c r="G884" s="11" t="n">
        <v>0.96</v>
      </c>
      <c r="H884" s="12" t="inlineStr">
        <is>
          <t>★</t>
        </is>
      </c>
      <c r="I884" s="11" t="inlineStr">
        <is>
          <t>Not started</t>
        </is>
      </c>
      <c r="J884" s="13" t="n"/>
      <c r="K884" s="10" t="inlineStr"/>
      <c r="L884" s="14" t="inlineStr">
        <is>
          <t>▶ watch</t>
        </is>
      </c>
      <c r="M884" s="10" t="inlineStr">
        <is>
          <t>Baker et al. 2001, PNAS 98:10037 (APBS) · Jurrus et al. 2018, Protein Sci 27:112</t>
        </is>
      </c>
      <c r="N884" s="14" t="inlineStr">
        <is>
          <t>read ↗</t>
        </is>
      </c>
      <c r="O884" s="11" t="inlineStr">
        <is>
          <t>reading for G.6 Continuum electrostatics and mesosca</t>
        </is>
      </c>
      <c r="P884" s="10" t="inlineStr">
        <is>
          <t>2023</t>
        </is>
      </c>
    </row>
    <row r="885">
      <c r="A885" s="15" t="n">
        <v>884</v>
      </c>
      <c r="B885" s="15" t="inlineStr">
        <is>
          <t>Part II - The Method Atlas</t>
        </is>
      </c>
      <c r="C885" s="16" t="inlineStr">
        <is>
          <t>Multiconformer models and room-temperature crystallography</t>
        </is>
      </c>
      <c r="D885" s="10" t="inlineStr">
        <is>
          <t>qFit (developer treatment</t>
        </is>
      </c>
      <c r="E885" s="10" t="inlineStr">
        <is>
          <t>SBGrid</t>
        </is>
      </c>
      <c r="F885" s="11" t="inlineStr">
        <is>
          <t>1:00:17</t>
        </is>
      </c>
      <c r="G885" s="11" t="n">
        <v>1</v>
      </c>
      <c r="H885" s="12" t="inlineStr"/>
      <c r="I885" s="11" t="inlineStr">
        <is>
          <t>Not started</t>
        </is>
      </c>
      <c r="J885" s="13" t="n"/>
      <c r="K885" s="10" t="inlineStr"/>
      <c r="L885" s="14" t="inlineStr">
        <is>
          <t>▶ watch</t>
        </is>
      </c>
      <c r="M885" s="10" t="inlineStr">
        <is>
          <t>Baker et al. 2001, PNAS 98:10037 (APBS) · Jurrus et al. 2018, Protein Sci 27:112</t>
        </is>
      </c>
      <c r="N885" s="14" t="inlineStr">
        <is>
          <t>read ↗</t>
        </is>
      </c>
      <c r="O885" s="11" t="inlineStr">
        <is>
          <t>reading for G.6 Continuum electrostatics and mesosca</t>
        </is>
      </c>
      <c r="P885" s="10" t="inlineStr"/>
    </row>
    <row r="886">
      <c r="A886" s="15" t="n">
        <v>885</v>
      </c>
      <c r="B886" s="15" t="inlineStr">
        <is>
          <t>Part II - The Method Atlas</t>
        </is>
      </c>
      <c r="C886" s="16" t="inlineStr">
        <is>
          <t>Multiconformer models and room-temperature crystallography</t>
        </is>
      </c>
      <c r="D886" s="10" t="inlineStr">
        <is>
          <t>TSRC Workshop on Protein Dynamics</t>
        </is>
      </c>
      <c r="E886" s="10" t="inlineStr">
        <is>
          <t>James Fraser (UCSF</t>
        </is>
      </c>
      <c r="F886" s="11" t="inlineStr">
        <is>
          <t>44:09</t>
        </is>
      </c>
      <c r="G886" s="11" t="n">
        <v>0.74</v>
      </c>
      <c r="H886" s="12" t="inlineStr"/>
      <c r="I886" s="11" t="inlineStr">
        <is>
          <t>Not started</t>
        </is>
      </c>
      <c r="J886" s="13" t="n"/>
      <c r="K886" s="10" t="inlineStr"/>
      <c r="L886" s="14" t="inlineStr">
        <is>
          <t>▶ watch</t>
        </is>
      </c>
      <c r="M886" s="10" t="inlineStr">
        <is>
          <t>Keedy et al. 2015, eLife 4:e07574</t>
        </is>
      </c>
      <c r="N886" s="14" t="inlineStr">
        <is>
          <t>read ↗</t>
        </is>
      </c>
      <c r="O886" s="11" t="inlineStr">
        <is>
          <t>paired reading</t>
        </is>
      </c>
      <c r="P886" s="10" t="inlineStr"/>
    </row>
    <row r="887">
      <c r="A887" s="15" t="n">
        <v>886</v>
      </c>
      <c r="B887" s="15" t="inlineStr">
        <is>
          <t>Part II - The Method Atlas</t>
        </is>
      </c>
      <c r="C887" s="16" t="inlineStr">
        <is>
          <t>Multiconformer models and room-temperature crystallography</t>
        </is>
      </c>
      <c r="D887" s="10" t="inlineStr">
        <is>
          <t>Multitemperature data and diffuse scattering</t>
        </is>
      </c>
      <c r="E887" s="10" t="inlineStr">
        <is>
          <t>BioCAT / BioXFEL</t>
        </is>
      </c>
      <c r="F887" s="11" t="inlineStr">
        <is>
          <t>59:54</t>
        </is>
      </c>
      <c r="G887" s="11" t="n">
        <v>1</v>
      </c>
      <c r="H887" s="12" t="inlineStr"/>
      <c r="I887" s="11" t="inlineStr">
        <is>
          <t>Not started</t>
        </is>
      </c>
      <c r="J887" s="13" t="n"/>
      <c r="K887" s="10" t="inlineStr"/>
      <c r="L887" s="14" t="inlineStr">
        <is>
          <t>▶ watch</t>
        </is>
      </c>
      <c r="M887" s="10" t="inlineStr">
        <is>
          <t>Baker et al. 2001, PNAS 98:10037 (APBS) · Jurrus et al. 2018, Protein Sci 27:112</t>
        </is>
      </c>
      <c r="N887" s="14" t="inlineStr">
        <is>
          <t>read ↗</t>
        </is>
      </c>
      <c r="O887" s="11" t="inlineStr">
        <is>
          <t>reading for G.6 Continuum electrostatics and mesosca</t>
        </is>
      </c>
      <c r="P887" s="10" t="inlineStr"/>
    </row>
    <row r="888">
      <c r="A888" s="15" t="n">
        <v>887</v>
      </c>
      <c r="B888" s="15" t="inlineStr">
        <is>
          <t>Part II - The Method Atlas</t>
        </is>
      </c>
      <c r="C888" s="16" t="inlineStr">
        <is>
          <t>Multiconformer models and room-temperature crystallography</t>
        </is>
      </c>
      <c r="D888" s="10" t="inlineStr">
        <is>
          <t>CASP SIG on Modeling Conformational Ensembles</t>
        </is>
      </c>
      <c r="E888" s="10" t="inlineStr">
        <is>
          <t>Wankowicz &amp; Fraser</t>
        </is>
      </c>
      <c r="F888" s="11" t="inlineStr">
        <is>
          <t>1:14:26</t>
        </is>
      </c>
      <c r="G888" s="11" t="n">
        <v>1.24</v>
      </c>
      <c r="H888" s="12" t="inlineStr">
        <is>
          <t>★</t>
        </is>
      </c>
      <c r="I888" s="11" t="inlineStr">
        <is>
          <t>Not started</t>
        </is>
      </c>
      <c r="J888" s="13" t="n"/>
      <c r="K888" s="10" t="inlineStr"/>
      <c r="L888" s="14" t="inlineStr">
        <is>
          <t>▶ watch</t>
        </is>
      </c>
      <c r="M888" s="10" t="inlineStr">
        <is>
          <t>Baker et al. 2001, PNAS 98:10037 (APBS) · Jurrus et al. 2018, Protein Sci 27:112</t>
        </is>
      </c>
      <c r="N888" s="14" t="inlineStr">
        <is>
          <t>read ↗</t>
        </is>
      </c>
      <c r="O888" s="11" t="inlineStr">
        <is>
          <t>reading for G.6 Continuum electrostatics and mesosca</t>
        </is>
      </c>
      <c r="P888" s="10" t="inlineStr"/>
    </row>
    <row r="889">
      <c r="A889" s="15" t="n">
        <v>888</v>
      </c>
      <c r="B889" s="15" t="inlineStr">
        <is>
          <t>Part II - The Method Atlas</t>
        </is>
      </c>
      <c r="C889" s="16" t="inlineStr">
        <is>
          <t>Multiconformer models and room-temperature crystallography</t>
        </is>
      </c>
      <c r="D889" s="10" t="inlineStr">
        <is>
          <t>Nick Pearce (VU Amsterdam</t>
        </is>
      </c>
      <c r="E889" s="10" t="inlineStr">
        <is>
          <t>Refactoring the B-factor</t>
        </is>
      </c>
      <c r="F889" s="11" t="inlineStr">
        <is>
          <t>16:40</t>
        </is>
      </c>
      <c r="G889" s="11" t="n">
        <v>0.28</v>
      </c>
      <c r="H889" s="12" t="inlineStr"/>
      <c r="I889" s="11" t="inlineStr">
        <is>
          <t>Not started</t>
        </is>
      </c>
      <c r="J889" s="13" t="n"/>
      <c r="K889" s="10" t="inlineStr"/>
      <c r="L889" s="14" t="inlineStr">
        <is>
          <t>▶ watch</t>
        </is>
      </c>
      <c r="M889" s="10" t="inlineStr">
        <is>
          <t>Baker et al. 2001, PNAS 98:10037 (APBS) · Jurrus et al. 2018, Protein Sci 27:112</t>
        </is>
      </c>
      <c r="N889" s="14" t="inlineStr">
        <is>
          <t>read ↗</t>
        </is>
      </c>
      <c r="O889" s="11" t="inlineStr">
        <is>
          <t>reading for G.6 Continuum electrostatics and mesosca</t>
        </is>
      </c>
      <c r="P889" s="10" t="inlineStr"/>
    </row>
    <row r="890">
      <c r="A890" s="15" t="n">
        <v>889</v>
      </c>
      <c r="B890" s="15" t="inlineStr">
        <is>
          <t>Part II - The Method Atlas</t>
        </is>
      </c>
      <c r="C890" s="16" t="inlineStr">
        <is>
          <t>Multiconformer models and room-temperature crystallography</t>
        </is>
      </c>
      <c r="D890" s="10" t="inlineStr">
        <is>
          <t>Modeling structural heterogeneity in crystallography and cryo-EM</t>
        </is>
      </c>
      <c r="E890" s="10" t="inlineStr">
        <is>
          <t>Rutgers IQB</t>
        </is>
      </c>
      <c r="F890" s="11" t="inlineStr">
        <is>
          <t>37:27</t>
        </is>
      </c>
      <c r="G890" s="11" t="n">
        <v>0.62</v>
      </c>
      <c r="H890" s="12" t="inlineStr"/>
      <c r="I890" s="11" t="inlineStr">
        <is>
          <t>Not started</t>
        </is>
      </c>
      <c r="J890" s="13" t="n"/>
      <c r="K890" s="10" t="inlineStr"/>
      <c r="L890" s="14" t="inlineStr">
        <is>
          <t>▶ watch</t>
        </is>
      </c>
      <c r="M890" s="10" t="inlineStr">
        <is>
          <t>Baker et al. 2001, PNAS 98:10037 (APBS) · Jurrus et al. 2018, Protein Sci 27:112</t>
        </is>
      </c>
      <c r="N890" s="14" t="inlineStr">
        <is>
          <t>read ↗</t>
        </is>
      </c>
      <c r="O890" s="11" t="inlineStr">
        <is>
          <t>reading for G.6 Continuum electrostatics and mesosca</t>
        </is>
      </c>
      <c r="P890" s="10" t="inlineStr"/>
    </row>
    <row r="891">
      <c r="A891" s="15" t="n">
        <v>890</v>
      </c>
      <c r="B891" s="15" t="inlineStr">
        <is>
          <t>Part II - The Method Atlas</t>
        </is>
      </c>
      <c r="C891" s="16" t="inlineStr">
        <is>
          <t>J.3 NMR structure calculation</t>
        </is>
      </c>
      <c r="D891" s="10" t="inlineStr">
        <is>
          <t>Structure determination of biomolecules by NMR</t>
        </is>
      </c>
      <c r="E891" s="10" t="inlineStr">
        <is>
          <t>Antonio Rosato (CERM Florence</t>
        </is>
      </c>
      <c r="F891" s="11" t="inlineStr">
        <is>
          <t>1:08:16</t>
        </is>
      </c>
      <c r="G891" s="11" t="n">
        <v>1.14</v>
      </c>
      <c r="H891" s="12" t="inlineStr"/>
      <c r="I891" s="11" t="inlineStr">
        <is>
          <t>Not started</t>
        </is>
      </c>
      <c r="J891" s="13" t="n"/>
      <c r="K891" s="10" t="inlineStr"/>
      <c r="L891" s="14" t="inlineStr">
        <is>
          <t>▶ watch</t>
        </is>
      </c>
      <c r="M891" s="10" t="inlineStr">
        <is>
          <t>Baker et al. 2001, PNAS 98:10037 (APBS) · Jurrus et al. 2018, Protein Sci 27:112</t>
        </is>
      </c>
      <c r="N891" s="14" t="inlineStr">
        <is>
          <t>read ↗</t>
        </is>
      </c>
      <c r="O891" s="11" t="inlineStr">
        <is>
          <t>reading for G.6 Continuum electrostatics and mesosca</t>
        </is>
      </c>
      <c r="P891" s="10" t="inlineStr"/>
    </row>
    <row r="892">
      <c r="A892" s="15" t="n">
        <v>891</v>
      </c>
      <c r="B892" s="15" t="inlineStr">
        <is>
          <t>Part II - The Method Atlas</t>
        </is>
      </c>
      <c r="C892" s="16" t="inlineStr">
        <is>
          <t>J.3 NMR structure calculation</t>
        </is>
      </c>
      <c r="D892" s="10" t="inlineStr">
        <is>
          <t>Biomolecular NMR for Protein Structure and Dynamics (L03</t>
        </is>
      </c>
      <c r="E892" s="10" t="inlineStr">
        <is>
          <t>Bruce Donald (Duke</t>
        </is>
      </c>
      <c r="F892" s="11" t="inlineStr">
        <is>
          <t>1:50:01</t>
        </is>
      </c>
      <c r="G892" s="11" t="n">
        <v>1.83</v>
      </c>
      <c r="H892" s="12" t="inlineStr">
        <is>
          <t>★</t>
        </is>
      </c>
      <c r="I892" s="11" t="inlineStr">
        <is>
          <t>Not started</t>
        </is>
      </c>
      <c r="J892" s="13" t="n"/>
      <c r="K892" s="10" t="inlineStr"/>
      <c r="L892" s="14" t="inlineStr">
        <is>
          <t>▶ watch</t>
        </is>
      </c>
      <c r="M892" s="10" t="inlineStr">
        <is>
          <t>Baker et al. 2001, PNAS 98:10037 (APBS) · Jurrus et al. 2018, Protein Sci 27:112</t>
        </is>
      </c>
      <c r="N892" s="14" t="inlineStr">
        <is>
          <t>read ↗</t>
        </is>
      </c>
      <c r="O892" s="11" t="inlineStr">
        <is>
          <t>reading for G.6 Continuum electrostatics and mesosca</t>
        </is>
      </c>
      <c r="P892" s="10" t="inlineStr"/>
    </row>
    <row r="893">
      <c r="A893" s="15" t="n">
        <v>892</v>
      </c>
      <c r="B893" s="15" t="inlineStr">
        <is>
          <t>Part II - The Method Atlas</t>
        </is>
      </c>
      <c r="C893" s="16" t="inlineStr">
        <is>
          <t>J.3 NMR structure calculation</t>
        </is>
      </c>
      <c r="D893" s="10" t="inlineStr">
        <is>
          <t>NMR, RDCs and Protein Structure Calculation (L04</t>
        </is>
      </c>
      <c r="E893" s="10" t="inlineStr">
        <is>
          <t>Bruce Donald (Duke</t>
        </is>
      </c>
      <c r="F893" s="11" t="inlineStr">
        <is>
          <t>1:54:38</t>
        </is>
      </c>
      <c r="G893" s="11" t="n">
        <v>1.91</v>
      </c>
      <c r="H893" s="12" t="inlineStr">
        <is>
          <t>★</t>
        </is>
      </c>
      <c r="I893" s="11" t="inlineStr">
        <is>
          <t>Not started</t>
        </is>
      </c>
      <c r="J893" s="13" t="n"/>
      <c r="K893" s="10" t="inlineStr"/>
      <c r="L893" s="14" t="inlineStr">
        <is>
          <t>▶ watch</t>
        </is>
      </c>
      <c r="M893" s="10" t="inlineStr">
        <is>
          <t>Baker et al. 2001, PNAS 98:10037 (APBS) · Jurrus et al. 2018, Protein Sci 27:112</t>
        </is>
      </c>
      <c r="N893" s="14" t="inlineStr">
        <is>
          <t>read ↗</t>
        </is>
      </c>
      <c r="O893" s="11" t="inlineStr">
        <is>
          <t>reading for G.6 Continuum electrostatics and mesosca</t>
        </is>
      </c>
      <c r="P893" s="10" t="inlineStr"/>
    </row>
    <row r="894">
      <c r="A894" s="15" t="n">
        <v>893</v>
      </c>
      <c r="B894" s="15" t="inlineStr">
        <is>
          <t>Part II - The Method Atlas</t>
        </is>
      </c>
      <c r="C894" s="16" t="inlineStr">
        <is>
          <t>J.3 NMR structure calculation</t>
        </is>
      </c>
      <c r="D894" s="10" t="inlineStr">
        <is>
          <t>Automated High-Resolution Structure Determination Using RDCs</t>
        </is>
      </c>
      <c r="E894" s="10" t="inlineStr">
        <is>
          <t>Bruce Donald</t>
        </is>
      </c>
      <c r="F894" s="11" t="inlineStr">
        <is>
          <t>54:29</t>
        </is>
      </c>
      <c r="G894" s="11" t="n">
        <v>0.91</v>
      </c>
      <c r="H894" s="12" t="inlineStr"/>
      <c r="I894" s="11" t="inlineStr">
        <is>
          <t>Not started</t>
        </is>
      </c>
      <c r="J894" s="13" t="n"/>
      <c r="K894" s="10" t="inlineStr"/>
      <c r="L894" s="14" t="inlineStr">
        <is>
          <t>▶ watch</t>
        </is>
      </c>
      <c r="M894" s="10" t="inlineStr">
        <is>
          <t>Baker et al. 2001, PNAS 98:10037 (APBS) · Jurrus et al. 2018, Protein Sci 27:112</t>
        </is>
      </c>
      <c r="N894" s="14" t="inlineStr">
        <is>
          <t>read ↗</t>
        </is>
      </c>
      <c r="O894" s="11" t="inlineStr">
        <is>
          <t>reading for G.6 Continuum electrostatics and mesosca</t>
        </is>
      </c>
      <c r="P894" s="10" t="inlineStr"/>
    </row>
    <row r="895">
      <c r="A895" s="15" t="n">
        <v>894</v>
      </c>
      <c r="B895" s="15" t="inlineStr">
        <is>
          <t>Part II - The Method Atlas</t>
        </is>
      </c>
      <c r="C895" s="16" t="inlineStr">
        <is>
          <t>J.3 NMR structure calculation</t>
        </is>
      </c>
      <c r="D895" s="10" t="inlineStr">
        <is>
          <t>Residual Dipolar Couplings: Theory and Applications, Part 1</t>
        </is>
      </c>
      <c r="E895" s="10" t="inlineStr">
        <is>
          <t>Ad Bax (NIH</t>
        </is>
      </c>
      <c r="F895" s="11" t="inlineStr">
        <is>
          <t>45:52</t>
        </is>
      </c>
      <c r="G895" s="11" t="n">
        <v>0.76</v>
      </c>
      <c r="H895" s="12" t="inlineStr"/>
      <c r="I895" s="11" t="inlineStr">
        <is>
          <t>Not started</t>
        </is>
      </c>
      <c r="J895" s="13" t="n"/>
      <c r="K895" s="10" t="inlineStr"/>
      <c r="L895" s="14" t="inlineStr">
        <is>
          <t>▶ watch</t>
        </is>
      </c>
      <c r="M895" s="10" t="inlineStr">
        <is>
          <t>Baker et al. 2001, PNAS 98:10037 (APBS) · Jurrus et al. 2018, Protein Sci 27:112</t>
        </is>
      </c>
      <c r="N895" s="14" t="inlineStr">
        <is>
          <t>read ↗</t>
        </is>
      </c>
      <c r="O895" s="11" t="inlineStr">
        <is>
          <t>reading for G.6 Continuum electrostatics and mesosca</t>
        </is>
      </c>
      <c r="P895" s="10" t="inlineStr"/>
    </row>
    <row r="896">
      <c r="A896" s="15" t="n">
        <v>895</v>
      </c>
      <c r="B896" s="15" t="inlineStr">
        <is>
          <t>Part II - The Method Atlas</t>
        </is>
      </c>
      <c r="C896" s="16" t="inlineStr">
        <is>
          <t>J.3 NMR structure calculation</t>
        </is>
      </c>
      <c r="D896" s="10" t="inlineStr">
        <is>
          <t>Residual Dipolar Couplings, Part 2</t>
        </is>
      </c>
      <c r="E896" s="10" t="inlineStr">
        <is>
          <t>Ad Bax</t>
        </is>
      </c>
      <c r="F896" s="11" t="inlineStr">
        <is>
          <t>1:03:13</t>
        </is>
      </c>
      <c r="G896" s="11" t="n">
        <v>1.05</v>
      </c>
      <c r="H896" s="12" t="inlineStr"/>
      <c r="I896" s="11" t="inlineStr">
        <is>
          <t>Not started</t>
        </is>
      </c>
      <c r="J896" s="13" t="n"/>
      <c r="K896" s="10" t="inlineStr"/>
      <c r="L896" s="14" t="inlineStr">
        <is>
          <t>▶ watch</t>
        </is>
      </c>
      <c r="M896" s="10" t="inlineStr">
        <is>
          <t>Baker et al. 2001, PNAS 98:10037 (APBS) · Jurrus et al. 2018, Protein Sci 27:112</t>
        </is>
      </c>
      <c r="N896" s="14" t="inlineStr">
        <is>
          <t>read ↗</t>
        </is>
      </c>
      <c r="O896" s="11" t="inlineStr">
        <is>
          <t>reading for G.6 Continuum electrostatics and mesosca</t>
        </is>
      </c>
      <c r="P896" s="10" t="inlineStr"/>
    </row>
    <row r="897">
      <c r="A897" s="15" t="n">
        <v>896</v>
      </c>
      <c r="B897" s="15" t="inlineStr">
        <is>
          <t>Part II - The Method Atlas</t>
        </is>
      </c>
      <c r="C897" s="16" t="inlineStr">
        <is>
          <t>J.3 NMR structure calculation</t>
        </is>
      </c>
      <c r="D897" s="10" t="inlineStr">
        <is>
          <t>The NOE for distance measurement</t>
        </is>
      </c>
      <c r="E897" s="10" t="inlineStr">
        <is>
          <t>AMPERE Encyclopedia</t>
        </is>
      </c>
      <c r="F897" s="11" t="inlineStr">
        <is>
          <t>24:14</t>
        </is>
      </c>
      <c r="G897" s="11" t="n">
        <v>0.4</v>
      </c>
      <c r="H897" s="12" t="inlineStr"/>
      <c r="I897" s="11" t="inlineStr">
        <is>
          <t>Not started</t>
        </is>
      </c>
      <c r="J897" s="13" t="n"/>
      <c r="K897" s="10" t="inlineStr"/>
      <c r="L897" s="14" t="inlineStr">
        <is>
          <t>▶ watch</t>
        </is>
      </c>
      <c r="M897" s="10" t="inlineStr">
        <is>
          <t>Baker et al. 2001, PNAS 98:10037 (APBS) · Jurrus et al. 2018, Protein Sci 27:112</t>
        </is>
      </c>
      <c r="N897" s="14" t="inlineStr">
        <is>
          <t>read ↗</t>
        </is>
      </c>
      <c r="O897" s="11" t="inlineStr">
        <is>
          <t>reading for G.6 Continuum electrostatics and mesosca</t>
        </is>
      </c>
      <c r="P897" s="10" t="inlineStr"/>
    </row>
    <row r="898">
      <c r="A898" s="15" t="n">
        <v>897</v>
      </c>
      <c r="B898" s="15" t="inlineStr">
        <is>
          <t>Part II - The Method Atlas</t>
        </is>
      </c>
      <c r="C898" s="16" t="inlineStr">
        <is>
          <t>J.3 NMR structure calculation</t>
        </is>
      </c>
      <c r="D898" s="10" t="inlineStr">
        <is>
          <t>Paramagnetic NMR and the MAXOCC portal</t>
        </is>
      </c>
      <c r="E898" s="10" t="inlineStr">
        <is>
          <t>Antonio Rosato</t>
        </is>
      </c>
      <c r="F898" s="11" t="inlineStr">
        <is>
          <t>1:03:49</t>
        </is>
      </c>
      <c r="G898" s="11" t="n">
        <v>1.06</v>
      </c>
      <c r="H898" s="12" t="inlineStr"/>
      <c r="I898" s="11" t="inlineStr">
        <is>
          <t>Not started</t>
        </is>
      </c>
      <c r="J898" s="13" t="n"/>
      <c r="K898" s="10" t="inlineStr"/>
      <c r="L898" s="14" t="inlineStr">
        <is>
          <t>▶ watch</t>
        </is>
      </c>
      <c r="M898" s="10" t="inlineStr">
        <is>
          <t>Baker et al. 2001, PNAS 98:10037 (APBS) · Jurrus et al. 2018, Protein Sci 27:112</t>
        </is>
      </c>
      <c r="N898" s="14" t="inlineStr">
        <is>
          <t>read ↗</t>
        </is>
      </c>
      <c r="O898" s="11" t="inlineStr">
        <is>
          <t>reading for G.6 Continuum electrostatics and mesosca</t>
        </is>
      </c>
      <c r="P898" s="10" t="inlineStr"/>
    </row>
    <row r="899">
      <c r="A899" s="15" t="n">
        <v>898</v>
      </c>
      <c r="B899" s="15" t="inlineStr">
        <is>
          <t>Part II - The Method Atlas</t>
        </is>
      </c>
      <c r="C899" s="16" t="inlineStr">
        <is>
          <t>J.3 NMR structure calculation</t>
        </is>
      </c>
      <c r="D899" s="10" t="inlineStr">
        <is>
          <t>Introduction to Paramagnetic NMR Spectroscopy</t>
        </is>
      </c>
      <c r="E899" s="10" t="inlineStr">
        <is>
          <t>ANZMAG</t>
        </is>
      </c>
      <c r="F899" s="11" t="inlineStr">
        <is>
          <t>1:14:53</t>
        </is>
      </c>
      <c r="G899" s="11" t="n">
        <v>1.25</v>
      </c>
      <c r="H899" s="12" t="inlineStr"/>
      <c r="I899" s="11" t="inlineStr">
        <is>
          <t>Not started</t>
        </is>
      </c>
      <c r="J899" s="13" t="n"/>
      <c r="K899" s="10" t="inlineStr"/>
      <c r="L899" s="14" t="inlineStr">
        <is>
          <t>▶ watch</t>
        </is>
      </c>
      <c r="M899" s="10" t="inlineStr">
        <is>
          <t>Baker et al. 2001, PNAS 98:10037 (APBS) · Jurrus et al. 2018, Protein Sci 27:112</t>
        </is>
      </c>
      <c r="N899" s="14" t="inlineStr">
        <is>
          <t>read ↗</t>
        </is>
      </c>
      <c r="O899" s="11" t="inlineStr">
        <is>
          <t>reading for G.6 Continuum electrostatics and mesosca</t>
        </is>
      </c>
      <c r="P899" s="10" t="inlineStr"/>
    </row>
    <row r="900">
      <c r="A900" s="15" t="n">
        <v>899</v>
      </c>
      <c r="B900" s="15" t="inlineStr">
        <is>
          <t>Part II - The Method Atlas</t>
        </is>
      </c>
      <c r="C900" s="16" t="inlineStr">
        <is>
          <t>J.3 NMR structure calculation</t>
        </is>
      </c>
      <c r="D900" s="10" t="inlineStr">
        <is>
          <t>Protein Structure Determination Using Paramagnetic NMR</t>
        </is>
      </c>
      <c r="E900" s="10" t="inlineStr">
        <is>
          <t>Alireza Bahramzadeh</t>
        </is>
      </c>
      <c r="F900" s="11" t="inlineStr">
        <is>
          <t>58:32</t>
        </is>
      </c>
      <c r="G900" s="11" t="n">
        <v>0.98</v>
      </c>
      <c r="H900" s="12" t="inlineStr"/>
      <c r="I900" s="11" t="inlineStr">
        <is>
          <t>Not started</t>
        </is>
      </c>
      <c r="J900" s="13" t="n"/>
      <c r="K900" s="10" t="inlineStr"/>
      <c r="L900" s="14" t="inlineStr">
        <is>
          <t>▶ watch</t>
        </is>
      </c>
      <c r="M900" s="10" t="inlineStr">
        <is>
          <t>Baker et al. 2001, PNAS 98:10037 (APBS) · Jurrus et al. 2018, Protein Sci 27:112</t>
        </is>
      </c>
      <c r="N900" s="14" t="inlineStr">
        <is>
          <t>read ↗</t>
        </is>
      </c>
      <c r="O900" s="11" t="inlineStr">
        <is>
          <t>reading for G.6 Continuum electrostatics and mesosca</t>
        </is>
      </c>
      <c r="P900" s="10" t="inlineStr"/>
    </row>
    <row r="901">
      <c r="A901" s="15" t="n">
        <v>900</v>
      </c>
      <c r="B901" s="15" t="inlineStr">
        <is>
          <t>Part II - The Method Atlas</t>
        </is>
      </c>
      <c r="C901" s="16" t="inlineStr">
        <is>
          <t>J.3 NMR structure calculation</t>
        </is>
      </c>
      <c r="D901" s="10" t="inlineStr">
        <is>
          <t>The important role of dynamics</t>
        </is>
      </c>
      <c r="E901" s="10" t="inlineStr">
        <is>
          <t>Lewis Kay (Toronto</t>
        </is>
      </c>
      <c r="F901" s="11" t="inlineStr">
        <is>
          <t>1:18:31</t>
        </is>
      </c>
      <c r="G901" s="11" t="n">
        <v>1.31</v>
      </c>
      <c r="H901" s="12" t="inlineStr">
        <is>
          <t>★</t>
        </is>
      </c>
      <c r="I901" s="11" t="inlineStr">
        <is>
          <t>Not started</t>
        </is>
      </c>
      <c r="J901" s="13" t="n"/>
      <c r="K901" s="10" t="inlineStr"/>
      <c r="L901" s="14" t="inlineStr">
        <is>
          <t>▶ watch</t>
        </is>
      </c>
      <c r="M901" s="10" t="inlineStr">
        <is>
          <t>Korzhnev et al. 2004, Nature 430:586</t>
        </is>
      </c>
      <c r="N901" s="14" t="inlineStr">
        <is>
          <t>read ↗</t>
        </is>
      </c>
      <c r="O901" s="11" t="inlineStr">
        <is>
          <t>paired reading</t>
        </is>
      </c>
      <c r="P901" s="10" t="inlineStr"/>
    </row>
    <row r="902">
      <c r="A902" s="15" t="n">
        <v>901</v>
      </c>
      <c r="B902" s="15" t="inlineStr">
        <is>
          <t>Part II - The Method Atlas</t>
        </is>
      </c>
      <c r="C902" s="16" t="inlineStr">
        <is>
          <t>J.3 NMR structure calculation</t>
        </is>
      </c>
      <c r="D902" s="10" t="inlineStr">
        <is>
          <t>Making the Invisible Visible: Molecular Machines in Motion</t>
        </is>
      </c>
      <c r="E902" s="10" t="inlineStr">
        <is>
          <t>Lewis Kay</t>
        </is>
      </c>
      <c r="F902" s="11" t="inlineStr">
        <is>
          <t>1:16:53</t>
        </is>
      </c>
      <c r="G902" s="11" t="n">
        <v>1.28</v>
      </c>
      <c r="H902" s="12" t="inlineStr"/>
      <c r="I902" s="11" t="inlineStr">
        <is>
          <t>Not started</t>
        </is>
      </c>
      <c r="J902" s="13" t="n"/>
      <c r="K902" s="10" t="inlineStr"/>
      <c r="L902" s="14" t="inlineStr">
        <is>
          <t>▶ watch</t>
        </is>
      </c>
      <c r="M902" s="10" t="inlineStr">
        <is>
          <t>Baker et al. 2001, PNAS 98:10037 (APBS) · Jurrus et al. 2018, Protein Sci 27:112</t>
        </is>
      </c>
      <c r="N902" s="14" t="inlineStr">
        <is>
          <t>read ↗</t>
        </is>
      </c>
      <c r="O902" s="11" t="inlineStr">
        <is>
          <t>reading for G.6 Continuum electrostatics and mesosca</t>
        </is>
      </c>
      <c r="P902" s="10" t="inlineStr"/>
    </row>
    <row r="903">
      <c r="A903" s="15" t="n">
        <v>902</v>
      </c>
      <c r="B903" s="15" t="inlineStr">
        <is>
          <t>Part II - The Method Atlas</t>
        </is>
      </c>
      <c r="C903" s="16" t="inlineStr">
        <is>
          <t>J.4 SAXS, SANS and low-resolution methods</t>
        </is>
      </c>
      <c r="D903" s="10" t="inlineStr">
        <is>
          <t>WeNMR Lecture on SAXS, Part I</t>
        </is>
      </c>
      <c r="E903" s="10" t="inlineStr">
        <is>
          <t>Alexey Kikhney (EMBL Hamburg</t>
        </is>
      </c>
      <c r="F903" s="11" t="inlineStr">
        <is>
          <t>1:51:33</t>
        </is>
      </c>
      <c r="G903" s="11" t="n">
        <v>1.86</v>
      </c>
      <c r="H903" s="12" t="inlineStr">
        <is>
          <t>★</t>
        </is>
      </c>
      <c r="I903" s="11" t="inlineStr">
        <is>
          <t>Not started</t>
        </is>
      </c>
      <c r="J903" s="13" t="n"/>
      <c r="K903" s="10" t="inlineStr"/>
      <c r="L903" s="14" t="inlineStr">
        <is>
          <t>▶ watch</t>
        </is>
      </c>
      <c r="M903" s="10" t="inlineStr">
        <is>
          <t>Baker et al. 2001, PNAS 98:10037 (APBS) · Jurrus et al. 2018, Protein Sci 27:112</t>
        </is>
      </c>
      <c r="N903" s="14" t="inlineStr">
        <is>
          <t>read ↗</t>
        </is>
      </c>
      <c r="O903" s="11" t="inlineStr">
        <is>
          <t>reading for G.6 Continuum electrostatics and mesosca</t>
        </is>
      </c>
      <c r="P903" s="10" t="inlineStr"/>
    </row>
    <row r="904">
      <c r="A904" s="15" t="n">
        <v>903</v>
      </c>
      <c r="B904" s="15" t="inlineStr">
        <is>
          <t>Part II - The Method Atlas</t>
        </is>
      </c>
      <c r="C904" s="16" t="inlineStr">
        <is>
          <t>J.4 SAXS, SANS and low-resolution methods</t>
        </is>
      </c>
      <c r="D904" s="10" t="inlineStr">
        <is>
          <t>WeNMR SAXS Part II (DAMMIN/DAMMIF</t>
        </is>
      </c>
      <c r="E904" s="10" t="inlineStr">
        <is>
          <t>Alexey Kikhney</t>
        </is>
      </c>
      <c r="F904" s="11" t="inlineStr">
        <is>
          <t>1:02:51</t>
        </is>
      </c>
      <c r="G904" s="11" t="n">
        <v>1.05</v>
      </c>
      <c r="H904" s="12" t="inlineStr"/>
      <c r="I904" s="11" t="inlineStr">
        <is>
          <t>Not started</t>
        </is>
      </c>
      <c r="J904" s="13" t="n"/>
      <c r="K904" s="10" t="inlineStr"/>
      <c r="L904" s="14" t="inlineStr">
        <is>
          <t>▶ watch</t>
        </is>
      </c>
      <c r="M904" s="10" t="inlineStr">
        <is>
          <t>Baker et al. 2001, PNAS 98:10037 (APBS) · Jurrus et al. 2018, Protein Sci 27:112</t>
        </is>
      </c>
      <c r="N904" s="14" t="inlineStr">
        <is>
          <t>read ↗</t>
        </is>
      </c>
      <c r="O904" s="11" t="inlineStr">
        <is>
          <t>reading for G.6 Continuum electrostatics and mesosca</t>
        </is>
      </c>
      <c r="P904" s="10" t="inlineStr"/>
    </row>
    <row r="905">
      <c r="A905" s="15" t="n">
        <v>904</v>
      </c>
      <c r="B905" s="15" t="inlineStr">
        <is>
          <t>Part II - The Method Atlas</t>
        </is>
      </c>
      <c r="C905" s="16" t="inlineStr">
        <is>
          <t>J.4 SAXS, SANS and low-resolution methods</t>
        </is>
      </c>
      <c r="D905" s="10" t="inlineStr">
        <is>
          <t>WeNMR SAXS Part III (rigid-body and hybrid modeling</t>
        </is>
      </c>
      <c r="E905" s="10" t="inlineStr">
        <is>
          <t>Alexey Kikhney</t>
        </is>
      </c>
      <c r="F905" s="11" t="inlineStr">
        <is>
          <t>1:01:23</t>
        </is>
      </c>
      <c r="G905" s="11" t="n">
        <v>1.02</v>
      </c>
      <c r="H905" s="12" t="inlineStr"/>
      <c r="I905" s="11" t="inlineStr">
        <is>
          <t>Not started</t>
        </is>
      </c>
      <c r="J905" s="13" t="n"/>
      <c r="K905" s="10" t="inlineStr"/>
      <c r="L905" s="14" t="inlineStr">
        <is>
          <t>▶ watch</t>
        </is>
      </c>
      <c r="M905" s="10" t="inlineStr">
        <is>
          <t>Baker et al. 2001, PNAS 98:10037 (APBS) · Jurrus et al. 2018, Protein Sci 27:112</t>
        </is>
      </c>
      <c r="N905" s="14" t="inlineStr">
        <is>
          <t>read ↗</t>
        </is>
      </c>
      <c r="O905" s="11" t="inlineStr">
        <is>
          <t>reading for G.6 Continuum electrostatics and mesosca</t>
        </is>
      </c>
      <c r="P905" s="10" t="inlineStr"/>
    </row>
    <row r="906">
      <c r="A906" s="15" t="n">
        <v>905</v>
      </c>
      <c r="B906" s="15" t="inlineStr">
        <is>
          <t>Part II - The Method Atlas</t>
        </is>
      </c>
      <c r="C906" s="16" t="inlineStr">
        <is>
          <t>J.4 SAXS, SANS and low-resolution methods</t>
        </is>
      </c>
      <c r="D906" s="10" t="inlineStr">
        <is>
          <t>SAXS Part I: Introduction to Biological Small Angle Scattering</t>
        </is>
      </c>
      <c r="E906" s="10" t="inlineStr">
        <is>
          <t>SBGrid</t>
        </is>
      </c>
      <c r="F906" s="11" t="inlineStr">
        <is>
          <t>49:18</t>
        </is>
      </c>
      <c r="G906" s="11" t="n">
        <v>0.82</v>
      </c>
      <c r="H906" s="12" t="inlineStr"/>
      <c r="I906" s="11" t="inlineStr">
        <is>
          <t>Not started</t>
        </is>
      </c>
      <c r="J906" s="13" t="n"/>
      <c r="K906" s="10" t="inlineStr"/>
      <c r="L906" s="14" t="inlineStr">
        <is>
          <t>▶ watch</t>
        </is>
      </c>
      <c r="M906" s="10" t="inlineStr">
        <is>
          <t>Baker et al. 2001, PNAS 98:10037 (APBS) · Jurrus et al. 2018, Protein Sci 27:112</t>
        </is>
      </c>
      <c r="N906" s="14" t="inlineStr">
        <is>
          <t>read ↗</t>
        </is>
      </c>
      <c r="O906" s="11" t="inlineStr">
        <is>
          <t>reading for G.6 Continuum electrostatics and mesosca</t>
        </is>
      </c>
      <c r="P906" s="10" t="inlineStr"/>
    </row>
    <row r="907">
      <c r="A907" s="15" t="n">
        <v>906</v>
      </c>
      <c r="B907" s="15" t="inlineStr">
        <is>
          <t>Part II - The Method Atlas</t>
        </is>
      </c>
      <c r="C907" s="16" t="inlineStr">
        <is>
          <t>J.4 SAXS, SANS and low-resolution methods</t>
        </is>
      </c>
      <c r="D907" s="10" t="inlineStr">
        <is>
          <t>SAXS Part II: Advanced Applications</t>
        </is>
      </c>
      <c r="E907" s="10" t="inlineStr">
        <is>
          <t>SBGrid</t>
        </is>
      </c>
      <c r="F907" s="11" t="inlineStr">
        <is>
          <t>51:53</t>
        </is>
      </c>
      <c r="G907" s="11" t="n">
        <v>0.86</v>
      </c>
      <c r="H907" s="12" t="inlineStr"/>
      <c r="I907" s="11" t="inlineStr">
        <is>
          <t>Not started</t>
        </is>
      </c>
      <c r="J907" s="13" t="n"/>
      <c r="K907" s="10" t="inlineStr"/>
      <c r="L907" s="14" t="inlineStr">
        <is>
          <t>▶ watch</t>
        </is>
      </c>
      <c r="M907" s="10" t="inlineStr">
        <is>
          <t>Baker et al. 2001, PNAS 98:10037 (APBS) · Jurrus et al. 2018, Protein Sci 27:112</t>
        </is>
      </c>
      <c r="N907" s="14" t="inlineStr">
        <is>
          <t>read ↗</t>
        </is>
      </c>
      <c r="O907" s="11" t="inlineStr">
        <is>
          <t>reading for G.6 Continuum electrostatics and mesosca</t>
        </is>
      </c>
      <c r="P907" s="10" t="inlineStr"/>
    </row>
    <row r="908">
      <c r="A908" s="15" t="n">
        <v>907</v>
      </c>
      <c r="B908" s="15" t="inlineStr">
        <is>
          <t>Part II - The Method Atlas</t>
        </is>
      </c>
      <c r="C908" s="16" t="inlineStr">
        <is>
          <t>J.4 SAXS, SANS and low-resolution methods</t>
        </is>
      </c>
      <c r="D908" s="10" t="inlineStr">
        <is>
          <t>Analyzing Flexible and Disordered Macromolecules with SAXS</t>
        </is>
      </c>
      <c r="E908" s="10" t="inlineStr">
        <is>
          <t>BioCAT (APS</t>
        </is>
      </c>
      <c r="F908" s="11" t="inlineStr">
        <is>
          <t>44:55</t>
        </is>
      </c>
      <c r="G908" s="11" t="n">
        <v>0.75</v>
      </c>
      <c r="H908" s="12" t="inlineStr">
        <is>
          <t>★</t>
        </is>
      </c>
      <c r="I908" s="11" t="inlineStr">
        <is>
          <t>Not started</t>
        </is>
      </c>
      <c r="J908" s="13" t="n"/>
      <c r="K908" s="10" t="inlineStr"/>
      <c r="L908" s="14" t="inlineStr">
        <is>
          <t>▶ watch</t>
        </is>
      </c>
      <c r="M908" s="10" t="inlineStr">
        <is>
          <t>Baker et al. 2001, PNAS 98:10037 (APBS) · Jurrus et al. 2018, Protein Sci 27:112</t>
        </is>
      </c>
      <c r="N908" s="14" t="inlineStr">
        <is>
          <t>read ↗</t>
        </is>
      </c>
      <c r="O908" s="11" t="inlineStr">
        <is>
          <t>reading for G.6 Continuum electrostatics and mesosca</t>
        </is>
      </c>
      <c r="P908" s="10" t="inlineStr">
        <is>
          <t>Prediction plus sparse restraints</t>
        </is>
      </c>
    </row>
    <row r="909">
      <c r="A909" s="15" t="n">
        <v>908</v>
      </c>
      <c r="B909" s="15" t="inlineStr">
        <is>
          <t>Part II - The Method Atlas</t>
        </is>
      </c>
      <c r="C909" s="16" t="inlineStr">
        <is>
          <t>J.4 SAXS, SANS and low-resolution methods</t>
        </is>
      </c>
      <c r="D909" s="10" t="inlineStr">
        <is>
          <t>DENSS: Ab initio electron density maps from SAXS</t>
        </is>
      </c>
      <c r="E909" s="10" t="inlineStr">
        <is>
          <t>Thomas Grant (SBGrid</t>
        </is>
      </c>
      <c r="F909" s="11" t="inlineStr">
        <is>
          <t>1:03:36</t>
        </is>
      </c>
      <c r="G909" s="11" t="n">
        <v>1.06</v>
      </c>
      <c r="H909" s="12" t="inlineStr"/>
      <c r="I909" s="11" t="inlineStr">
        <is>
          <t>Not started</t>
        </is>
      </c>
      <c r="J909" s="13" t="n"/>
      <c r="K909" s="10" t="inlineStr"/>
      <c r="L909" s="14" t="inlineStr">
        <is>
          <t>▶ watch</t>
        </is>
      </c>
      <c r="M909" s="10" t="inlineStr">
        <is>
          <t>Baker et al. 2001, PNAS 98:10037 (APBS) · Jurrus et al. 2018, Protein Sci 27:112</t>
        </is>
      </c>
      <c r="N909" s="14" t="inlineStr">
        <is>
          <t>read ↗</t>
        </is>
      </c>
      <c r="O909" s="11" t="inlineStr">
        <is>
          <t>reading for G.6 Continuum electrostatics and mesosca</t>
        </is>
      </c>
      <c r="P909" s="10" t="inlineStr"/>
    </row>
    <row r="910">
      <c r="A910" s="15" t="n">
        <v>909</v>
      </c>
      <c r="B910" s="15" t="inlineStr">
        <is>
          <t>Part II - The Method Atlas</t>
        </is>
      </c>
      <c r="C910" s="16" t="inlineStr">
        <is>
          <t>J.4 SAXS, SANS and low-resolution methods</t>
        </is>
      </c>
      <c r="D910" s="10" t="inlineStr">
        <is>
          <t>SEC-SAXS and Advanced SAXS Analysis</t>
        </is>
      </c>
      <c r="E910" s="10" t="inlineStr">
        <is>
          <t>BioCAT</t>
        </is>
      </c>
      <c r="F910" s="11" t="inlineStr">
        <is>
          <t>1:10:19</t>
        </is>
      </c>
      <c r="G910" s="11" t="n">
        <v>1.17</v>
      </c>
      <c r="H910" s="12" t="inlineStr"/>
      <c r="I910" s="11" t="inlineStr">
        <is>
          <t>Not started</t>
        </is>
      </c>
      <c r="J910" s="13" t="n"/>
      <c r="K910" s="10" t="inlineStr"/>
      <c r="L910" s="14" t="inlineStr">
        <is>
          <t>▶ watch</t>
        </is>
      </c>
      <c r="M910" s="10" t="inlineStr">
        <is>
          <t>Baker et al. 2001, PNAS 98:10037 (APBS) · Jurrus et al. 2018, Protein Sci 27:112</t>
        </is>
      </c>
      <c r="N910" s="14" t="inlineStr">
        <is>
          <t>read ↗</t>
        </is>
      </c>
      <c r="O910" s="11" t="inlineStr">
        <is>
          <t>reading for G.6 Continuum electrostatics and mesosca</t>
        </is>
      </c>
      <c r="P910" s="10" t="inlineStr"/>
    </row>
    <row r="911">
      <c r="A911" s="15" t="n">
        <v>910</v>
      </c>
      <c r="B911" s="15" t="inlineStr">
        <is>
          <t>Part II - The Method Atlas</t>
        </is>
      </c>
      <c r="C911" s="16" t="inlineStr">
        <is>
          <t>J.4 SAXS, SANS and low-resolution methods</t>
        </is>
      </c>
      <c r="D911" s="10" t="inlineStr">
        <is>
          <t>Small Angle Neutron Scattering: a complementary technique</t>
        </is>
      </c>
      <c r="E911" s="10" t="inlineStr">
        <is>
          <t>BioCAT</t>
        </is>
      </c>
      <c r="F911" s="11" t="inlineStr">
        <is>
          <t>49:50</t>
        </is>
      </c>
      <c r="G911" s="11" t="n">
        <v>0.83</v>
      </c>
      <c r="H911" s="12" t="inlineStr"/>
      <c r="I911" s="11" t="inlineStr">
        <is>
          <t>Not started</t>
        </is>
      </c>
      <c r="J911" s="13" t="n"/>
      <c r="K911" s="10" t="inlineStr"/>
      <c r="L911" s="14" t="inlineStr">
        <is>
          <t>▶ watch</t>
        </is>
      </c>
      <c r="M911" s="10" t="inlineStr">
        <is>
          <t>Baker et al. 2001, PNAS 98:10037 (APBS) · Jurrus et al. 2018, Protein Sci 27:112</t>
        </is>
      </c>
      <c r="N911" s="14" t="inlineStr">
        <is>
          <t>read ↗</t>
        </is>
      </c>
      <c r="O911" s="11" t="inlineStr">
        <is>
          <t>reading for G.6 Continuum electrostatics and mesosca</t>
        </is>
      </c>
      <c r="P911" s="10" t="inlineStr"/>
    </row>
    <row r="912">
      <c r="A912" s="15" t="n">
        <v>911</v>
      </c>
      <c r="B912" s="15" t="inlineStr">
        <is>
          <t>Part II - The Method Atlas</t>
        </is>
      </c>
      <c r="C912" s="16" t="inlineStr">
        <is>
          <t>J.4 SAXS, SANS and low-resolution methods</t>
        </is>
      </c>
      <c r="D912" s="10" t="inlineStr">
        <is>
          <t>Deuteration for biological neutron scattering</t>
        </is>
      </c>
      <c r="E912" s="10" t="inlineStr">
        <is>
          <t>LINXS (Lund</t>
        </is>
      </c>
      <c r="F912" s="11" t="inlineStr">
        <is>
          <t>1:05:55</t>
        </is>
      </c>
      <c r="G912" s="11" t="n">
        <v>1.1</v>
      </c>
      <c r="H912" s="12" t="inlineStr"/>
      <c r="I912" s="11" t="inlineStr">
        <is>
          <t>Not started</t>
        </is>
      </c>
      <c r="J912" s="13" t="n"/>
      <c r="K912" s="10" t="inlineStr"/>
      <c r="L912" s="14" t="inlineStr">
        <is>
          <t>▶ watch</t>
        </is>
      </c>
      <c r="M912" s="10" t="inlineStr">
        <is>
          <t>Baker et al. 2001, PNAS 98:10037 (APBS) · Jurrus et al. 2018, Protein Sci 27:112</t>
        </is>
      </c>
      <c r="N912" s="14" t="inlineStr">
        <is>
          <t>read ↗</t>
        </is>
      </c>
      <c r="O912" s="11" t="inlineStr">
        <is>
          <t>reading for G.6 Continuum electrostatics and mesosca</t>
        </is>
      </c>
      <c r="P912" s="10" t="inlineStr"/>
    </row>
    <row r="913">
      <c r="A913" s="15" t="n">
        <v>912</v>
      </c>
      <c r="B913" s="15" t="inlineStr">
        <is>
          <t>Part II - The Method Atlas</t>
        </is>
      </c>
      <c r="C913" s="16" t="inlineStr">
        <is>
          <t>J.5 Crosslinking-MS, HDX and native MS</t>
        </is>
      </c>
      <c r="D913" s="10" t="inlineStr">
        <is>
          <t>Developing crosslinking mass spectrometry</t>
        </is>
      </c>
      <c r="E913" s="10" t="inlineStr">
        <is>
          <t>Francis O'Reilly (TU Berlin</t>
        </is>
      </c>
      <c r="F913" s="11" t="inlineStr">
        <is>
          <t>17:40</t>
        </is>
      </c>
      <c r="G913" s="11" t="n">
        <v>0.29</v>
      </c>
      <c r="H913" s="12" t="inlineStr"/>
      <c r="I913" s="11" t="inlineStr">
        <is>
          <t>Not started</t>
        </is>
      </c>
      <c r="J913" s="13" t="n"/>
      <c r="K913" s="10" t="inlineStr"/>
      <c r="L913" s="14" t="inlineStr">
        <is>
          <t>▶ watch</t>
        </is>
      </c>
      <c r="M913" s="10" t="inlineStr">
        <is>
          <t>Baker et al. 2001, PNAS 98:10037 (APBS) · Jurrus et al. 2018, Protein Sci 27:112</t>
        </is>
      </c>
      <c r="N913" s="14" t="inlineStr">
        <is>
          <t>read ↗</t>
        </is>
      </c>
      <c r="O913" s="11" t="inlineStr">
        <is>
          <t>reading for G.6 Continuum electrostatics and mesosca</t>
        </is>
      </c>
      <c r="P913" s="10" t="inlineStr"/>
    </row>
    <row r="914">
      <c r="A914" s="15" t="n">
        <v>913</v>
      </c>
      <c r="B914" s="15" t="inlineStr">
        <is>
          <t>Part II - The Method Atlas</t>
        </is>
      </c>
      <c r="C914" s="16" t="inlineStr">
        <is>
          <t>J.5 Crosslinking-MS, HDX and native MS</t>
        </is>
      </c>
      <c r="D914" s="10" t="inlineStr">
        <is>
          <t>Elucidating large molecular architectures by crosslinking and MS</t>
        </is>
      </c>
      <c r="E914" s="10" t="inlineStr">
        <is>
          <t>Nir Kalisman (HUJI</t>
        </is>
      </c>
      <c r="F914" s="11" t="inlineStr">
        <is>
          <t>35:05</t>
        </is>
      </c>
      <c r="G914" s="11" t="n">
        <v>0.58</v>
      </c>
      <c r="H914" s="12" t="inlineStr"/>
      <c r="I914" s="11" t="inlineStr">
        <is>
          <t>Not started</t>
        </is>
      </c>
      <c r="J914" s="13" t="n"/>
      <c r="K914" s="10" t="inlineStr"/>
      <c r="L914" s="14" t="inlineStr">
        <is>
          <t>▶ watch</t>
        </is>
      </c>
      <c r="M914" s="10" t="inlineStr">
        <is>
          <t>Baker et al. 2001, PNAS 98:10037 (APBS) · Jurrus et al. 2018, Protein Sci 27:112</t>
        </is>
      </c>
      <c r="N914" s="14" t="inlineStr">
        <is>
          <t>read ↗</t>
        </is>
      </c>
      <c r="O914" s="11" t="inlineStr">
        <is>
          <t>reading for G.6 Continuum electrostatics and mesosca</t>
        </is>
      </c>
      <c r="P914" s="10" t="inlineStr"/>
    </row>
    <row r="915">
      <c r="A915" s="15" t="n">
        <v>914</v>
      </c>
      <c r="B915" s="15" t="inlineStr">
        <is>
          <t>Part II - The Method Atlas</t>
        </is>
      </c>
      <c r="C915" s="16" t="inlineStr">
        <is>
          <t>J.5 Crosslinking-MS, HDX and native MS</t>
        </is>
      </c>
      <c r="D915" s="10" t="inlineStr">
        <is>
          <t>Crosslinking MS (search algorithms and FDR</t>
        </is>
      </c>
      <c r="E915" s="10" t="inlineStr">
        <is>
          <t>Jürgen Cox (MaxQuant</t>
        </is>
      </c>
      <c r="F915" s="11" t="inlineStr">
        <is>
          <t>35:50</t>
        </is>
      </c>
      <c r="G915" s="11" t="n">
        <v>0.6</v>
      </c>
      <c r="H915" s="12" t="inlineStr"/>
      <c r="I915" s="11" t="inlineStr">
        <is>
          <t>Not started</t>
        </is>
      </c>
      <c r="J915" s="13" t="n"/>
      <c r="K915" s="10" t="inlineStr"/>
      <c r="L915" s="14" t="inlineStr">
        <is>
          <t>▶ watch</t>
        </is>
      </c>
      <c r="M915" s="10" t="inlineStr">
        <is>
          <t>Baker et al. 2001, PNAS 98:10037 (APBS) · Jurrus et al. 2018, Protein Sci 27:112</t>
        </is>
      </c>
      <c r="N915" s="14" t="inlineStr">
        <is>
          <t>read ↗</t>
        </is>
      </c>
      <c r="O915" s="11" t="inlineStr">
        <is>
          <t>reading for G.6 Continuum electrostatics and mesosca</t>
        </is>
      </c>
      <c r="P915" s="10" t="inlineStr"/>
    </row>
    <row r="916">
      <c r="A916" s="15" t="n">
        <v>915</v>
      </c>
      <c r="B916" s="15" t="inlineStr">
        <is>
          <t>Part II - The Method Atlas</t>
        </is>
      </c>
      <c r="C916" s="16" t="inlineStr">
        <is>
          <t>J.5 Crosslinking-MS, HDX and native MS</t>
        </is>
      </c>
      <c r="D916" s="10" t="inlineStr">
        <is>
          <t>Advancing crosslinking MS to elucidate cellular networks</t>
        </is>
      </c>
      <c r="E916" s="10" t="inlineStr">
        <is>
          <t>ASBMB</t>
        </is>
      </c>
      <c r="F916" s="11" t="inlineStr">
        <is>
          <t>50:32</t>
        </is>
      </c>
      <c r="G916" s="11" t="n">
        <v>0.84</v>
      </c>
      <c r="H916" s="12" t="inlineStr"/>
      <c r="I916" s="11" t="inlineStr">
        <is>
          <t>Not started</t>
        </is>
      </c>
      <c r="J916" s="13" t="n"/>
      <c r="K916" s="10" t="inlineStr"/>
      <c r="L916" s="14" t="inlineStr">
        <is>
          <t>▶ watch</t>
        </is>
      </c>
      <c r="M916" s="10" t="inlineStr">
        <is>
          <t>Baker et al. 2001, PNAS 98:10037 (APBS) · Jurrus et al. 2018, Protein Sci 27:112</t>
        </is>
      </c>
      <c r="N916" s="14" t="inlineStr">
        <is>
          <t>read ↗</t>
        </is>
      </c>
      <c r="O916" s="11" t="inlineStr">
        <is>
          <t>reading for G.6 Continuum electrostatics and mesosca</t>
        </is>
      </c>
      <c r="P916" s="10" t="inlineStr"/>
    </row>
    <row r="917">
      <c r="A917" s="15" t="n">
        <v>916</v>
      </c>
      <c r="B917" s="15" t="inlineStr">
        <is>
          <t>Part II - The Method Atlas</t>
        </is>
      </c>
      <c r="C917" s="16" t="inlineStr">
        <is>
          <t>J.5 Crosslinking-MS, HDX and native MS</t>
        </is>
      </c>
      <c r="D917" s="10" t="inlineStr">
        <is>
          <t>Structural Insights from HDX Mass Spectrometry</t>
        </is>
      </c>
      <c r="E917" s="10" t="inlineStr">
        <is>
          <t>Trajan Scientific</t>
        </is>
      </c>
      <c r="F917" s="11" t="inlineStr">
        <is>
          <t>1:14:30</t>
        </is>
      </c>
      <c r="G917" s="11" t="n">
        <v>1.24</v>
      </c>
      <c r="H917" s="12" t="inlineStr"/>
      <c r="I917" s="11" t="inlineStr">
        <is>
          <t>Not started</t>
        </is>
      </c>
      <c r="J917" s="13" t="n"/>
      <c r="K917" s="10" t="inlineStr"/>
      <c r="L917" s="14" t="inlineStr">
        <is>
          <t>▶ watch</t>
        </is>
      </c>
      <c r="M917" s="10" t="inlineStr">
        <is>
          <t>Baker et al. 2001, PNAS 98:10037 (APBS) · Jurrus et al. 2018, Protein Sci 27:112</t>
        </is>
      </c>
      <c r="N917" s="14" t="inlineStr">
        <is>
          <t>read ↗</t>
        </is>
      </c>
      <c r="O917" s="11" t="inlineStr">
        <is>
          <t>reading for G.6 Continuum electrostatics and mesosca</t>
        </is>
      </c>
      <c r="P917" s="10" t="inlineStr"/>
    </row>
    <row r="918">
      <c r="A918" s="15" t="n">
        <v>917</v>
      </c>
      <c r="B918" s="15" t="inlineStr">
        <is>
          <t>Part II - The Method Atlas</t>
        </is>
      </c>
      <c r="C918" s="16" t="inlineStr">
        <is>
          <t>J.5 Crosslinking-MS, HDX and native MS</t>
        </is>
      </c>
      <c r="D918" s="10" t="inlineStr">
        <is>
          <t>FPOP Tutorial Series: Introduction</t>
        </is>
      </c>
      <c r="E918" s="10" t="inlineStr">
        <is>
          <t>The Sharp Lab</t>
        </is>
      </c>
      <c r="F918" s="11" t="inlineStr">
        <is>
          <t>33:16</t>
        </is>
      </c>
      <c r="G918" s="11" t="n">
        <v>0.55</v>
      </c>
      <c r="H918" s="12" t="inlineStr"/>
      <c r="I918" s="11" t="inlineStr">
        <is>
          <t>Not started</t>
        </is>
      </c>
      <c r="J918" s="13" t="n"/>
      <c r="K918" s="10" t="inlineStr"/>
      <c r="L918" s="14" t="inlineStr">
        <is>
          <t>▶ watch</t>
        </is>
      </c>
      <c r="M918" s="10" t="inlineStr">
        <is>
          <t>Baker et al. 2001, PNAS 98:10037 (APBS) · Jurrus et al. 2018, Protein Sci 27:112</t>
        </is>
      </c>
      <c r="N918" s="14" t="inlineStr">
        <is>
          <t>read ↗</t>
        </is>
      </c>
      <c r="O918" s="11" t="inlineStr">
        <is>
          <t>reading for G.6 Continuum electrostatics and mesosca</t>
        </is>
      </c>
      <c r="P918" s="10" t="inlineStr"/>
    </row>
    <row r="919">
      <c r="A919" s="15" t="n">
        <v>918</v>
      </c>
      <c r="B919" s="15" t="inlineStr">
        <is>
          <t>Part II - The Method Atlas</t>
        </is>
      </c>
      <c r="C919" s="16" t="inlineStr">
        <is>
          <t>J.5 Crosslinking-MS, HDX and native MS</t>
        </is>
      </c>
      <c r="D919" s="10" t="inlineStr">
        <is>
          <t>Native Mass Spectrometry for Structural Biology</t>
        </is>
      </c>
      <c r="E919" s="10" t="inlineStr">
        <is>
          <t>The Protein Society</t>
        </is>
      </c>
      <c r="F919" s="11" t="inlineStr">
        <is>
          <t>2:19:08</t>
        </is>
      </c>
      <c r="G919" s="11" t="n">
        <v>2.32</v>
      </c>
      <c r="H919" s="12" t="inlineStr"/>
      <c r="I919" s="11" t="inlineStr">
        <is>
          <t>Not started</t>
        </is>
      </c>
      <c r="J919" s="13" t="n"/>
      <c r="K919" s="10" t="inlineStr"/>
      <c r="L919" s="14" t="inlineStr">
        <is>
          <t>▶ watch</t>
        </is>
      </c>
      <c r="M919" s="10" t="inlineStr">
        <is>
          <t>Baker et al. 2001, PNAS 98:10037 (APBS) · Jurrus et al. 2018, Protein Sci 27:112</t>
        </is>
      </c>
      <c r="N919" s="14" t="inlineStr">
        <is>
          <t>read ↗</t>
        </is>
      </c>
      <c r="O919" s="11" t="inlineStr">
        <is>
          <t>reading for G.6 Continuum electrostatics and mesosca</t>
        </is>
      </c>
      <c r="P919" s="10" t="inlineStr"/>
    </row>
    <row r="920">
      <c r="A920" s="15" t="n">
        <v>919</v>
      </c>
      <c r="B920" s="15" t="inlineStr">
        <is>
          <t>Part II - The Method Atlas</t>
        </is>
      </c>
      <c r="C920" s="16" t="inlineStr">
        <is>
          <t>Sali, IMP, and the integrative modeling platform</t>
        </is>
      </c>
      <c r="D920" s="10" t="inlineStr">
        <is>
          <t>Integrative modeling of assemblies and pathways, Lecture 1</t>
        </is>
      </c>
      <c r="E920" s="10" t="inlineStr">
        <is>
          <t>Andrej Sali (UCSF</t>
        </is>
      </c>
      <c r="F920" s="11" t="inlineStr">
        <is>
          <t>1:05:24</t>
        </is>
      </c>
      <c r="G920" s="11" t="n">
        <v>1.09</v>
      </c>
      <c r="H920" s="12" t="inlineStr">
        <is>
          <t>★</t>
        </is>
      </c>
      <c r="I920" s="11" t="inlineStr">
        <is>
          <t>Not started</t>
        </is>
      </c>
      <c r="J920" s="13" t="n"/>
      <c r="K920" s="10" t="inlineStr"/>
      <c r="L920" s="14" t="inlineStr">
        <is>
          <t>▶ watch</t>
        </is>
      </c>
      <c r="M920" s="10" t="inlineStr">
        <is>
          <t>Baker et al. 2001, PNAS 98:10037 (APBS) · Jurrus et al. 2018, Protein Sci 27:112</t>
        </is>
      </c>
      <c r="N920" s="14" t="inlineStr">
        <is>
          <t>read ↗</t>
        </is>
      </c>
      <c r="O920" s="11" t="inlineStr">
        <is>
          <t>reading for G.6 Continuum electrostatics and mesosca</t>
        </is>
      </c>
      <c r="P920" s="10" t="inlineStr"/>
    </row>
    <row r="921">
      <c r="A921" s="15" t="n">
        <v>920</v>
      </c>
      <c r="B921" s="15" t="inlineStr">
        <is>
          <t>Part II - The Method Atlas</t>
        </is>
      </c>
      <c r="C921" s="16" t="inlineStr">
        <is>
          <t>Sali, IMP, and the integrative modeling platform</t>
        </is>
      </c>
      <c r="D921" s="10" t="inlineStr">
        <is>
          <t>Lecture 2 - the four-stage IMP protocol and scoring</t>
        </is>
      </c>
      <c r="E921" s="10" t="inlineStr">
        <is>
          <t>Andrej Sali</t>
        </is>
      </c>
      <c r="F921" s="11" t="inlineStr">
        <is>
          <t>56:55</t>
        </is>
      </c>
      <c r="G921" s="11" t="n">
        <v>0.95</v>
      </c>
      <c r="H921" s="12" t="inlineStr"/>
      <c r="I921" s="11" t="inlineStr">
        <is>
          <t>Not started</t>
        </is>
      </c>
      <c r="J921" s="13" t="n"/>
      <c r="K921" s="10" t="inlineStr"/>
      <c r="L921" s="14" t="inlineStr">
        <is>
          <t>▶ watch</t>
        </is>
      </c>
      <c r="M921" s="10" t="inlineStr">
        <is>
          <t>Baker et al. 2001, PNAS 98:10037 (APBS) · Jurrus et al. 2018, Protein Sci 27:112</t>
        </is>
      </c>
      <c r="N921" s="14" t="inlineStr">
        <is>
          <t>read ↗</t>
        </is>
      </c>
      <c r="O921" s="11" t="inlineStr">
        <is>
          <t>reading for G.6 Continuum electrostatics and mesosca</t>
        </is>
      </c>
      <c r="P921" s="10" t="inlineStr"/>
    </row>
    <row r="922">
      <c r="A922" s="15" t="n">
        <v>921</v>
      </c>
      <c r="B922" s="15" t="inlineStr">
        <is>
          <t>Part II - The Method Atlas</t>
        </is>
      </c>
      <c r="C922" s="16" t="inlineStr">
        <is>
          <t>Sali, IMP, and the integrative modeling platform</t>
        </is>
      </c>
      <c r="D922" s="10" t="inlineStr">
        <is>
          <t>Session 3 - sampling and validation</t>
        </is>
      </c>
      <c r="E922" s="10" t="inlineStr">
        <is>
          <t>Andrej Sali</t>
        </is>
      </c>
      <c r="F922" s="11" t="inlineStr">
        <is>
          <t>18:37</t>
        </is>
      </c>
      <c r="G922" s="11" t="n">
        <v>0.31</v>
      </c>
      <c r="H922" s="12" t="inlineStr"/>
      <c r="I922" s="11" t="inlineStr">
        <is>
          <t>Not started</t>
        </is>
      </c>
      <c r="J922" s="13" t="n"/>
      <c r="K922" s="10" t="inlineStr"/>
      <c r="L922" s="14" t="inlineStr">
        <is>
          <t>▶ watch</t>
        </is>
      </c>
      <c r="M922" s="10" t="inlineStr">
        <is>
          <t>Baker et al. 2001, PNAS 98:10037 (APBS) · Jurrus et al. 2018, Protein Sci 27:112</t>
        </is>
      </c>
      <c r="N922" s="14" t="inlineStr">
        <is>
          <t>read ↗</t>
        </is>
      </c>
      <c r="O922" s="11" t="inlineStr">
        <is>
          <t>reading for G.6 Continuum electrostatics and mesosca</t>
        </is>
      </c>
      <c r="P922" s="10" t="inlineStr"/>
    </row>
    <row r="923">
      <c r="A923" s="15" t="n">
        <v>922</v>
      </c>
      <c r="B923" s="15" t="inlineStr">
        <is>
          <t>Part II - The Method Atlas</t>
        </is>
      </c>
      <c r="C923" s="16" t="inlineStr">
        <is>
          <t>Sali, IMP, and the integrative modeling platform</t>
        </is>
      </c>
      <c r="D923" s="10" t="inlineStr">
        <is>
          <t>Session 4 - Q&amp;A</t>
        </is>
      </c>
      <c r="E923" s="10" t="inlineStr">
        <is>
          <t>Andrej Sali</t>
        </is>
      </c>
      <c r="F923" s="11" t="inlineStr">
        <is>
          <t>14:16</t>
        </is>
      </c>
      <c r="G923" s="11" t="n">
        <v>0.24</v>
      </c>
      <c r="H923" s="12" t="inlineStr"/>
      <c r="I923" s="11" t="inlineStr">
        <is>
          <t>Not started</t>
        </is>
      </c>
      <c r="J923" s="13" t="n"/>
      <c r="K923" s="10" t="inlineStr"/>
      <c r="L923" s="14" t="inlineStr">
        <is>
          <t>▶ watch</t>
        </is>
      </c>
      <c r="M923" s="10" t="inlineStr">
        <is>
          <t>Baker et al. 2001, PNAS 98:10037 (APBS) · Jurrus et al. 2018, Protein Sci 27:112</t>
        </is>
      </c>
      <c r="N923" s="14" t="inlineStr">
        <is>
          <t>read ↗</t>
        </is>
      </c>
      <c r="O923" s="11" t="inlineStr">
        <is>
          <t>reading for G.6 Continuum electrostatics and mesosca</t>
        </is>
      </c>
      <c r="P923" s="10" t="inlineStr"/>
    </row>
    <row r="924">
      <c r="A924" s="15" t="n">
        <v>923</v>
      </c>
      <c r="B924" s="15" t="inlineStr">
        <is>
          <t>Part II - The Method Atlas</t>
        </is>
      </c>
      <c r="C924" s="16" t="inlineStr">
        <is>
          <t>Sali, IMP, and the integrative modeling platform</t>
        </is>
      </c>
      <c r="D924" s="10" t="inlineStr">
        <is>
          <t>Faculty Research Lecture - the career retrospective, including the nuclear pore in full</t>
        </is>
      </c>
      <c r="E924" s="10" t="inlineStr">
        <is>
          <t>Andrej Sali</t>
        </is>
      </c>
      <c r="F924" s="11" t="inlineStr">
        <is>
          <t>1:32:58</t>
        </is>
      </c>
      <c r="G924" s="11" t="n">
        <v>1.55</v>
      </c>
      <c r="H924" s="12" t="inlineStr">
        <is>
          <t>★</t>
        </is>
      </c>
      <c r="I924" s="11" t="inlineStr">
        <is>
          <t>Not started</t>
        </is>
      </c>
      <c r="J924" s="13" t="n"/>
      <c r="K924" s="10" t="inlineStr"/>
      <c r="L924" s="14" t="inlineStr">
        <is>
          <t>▶ watch</t>
        </is>
      </c>
      <c r="M924" s="10" t="inlineStr">
        <is>
          <t>Baker et al. 2001, PNAS 98:10037 (APBS) · Jurrus et al. 2018, Protein Sci 27:112</t>
        </is>
      </c>
      <c r="N924" s="14" t="inlineStr">
        <is>
          <t>read ↗</t>
        </is>
      </c>
      <c r="O924" s="11" t="inlineStr">
        <is>
          <t>reading for G.6 Continuum electrostatics and mesosca</t>
        </is>
      </c>
      <c r="P924" s="10" t="inlineStr"/>
    </row>
    <row r="925">
      <c r="A925" s="15" t="n">
        <v>924</v>
      </c>
      <c r="B925" s="15" t="inlineStr">
        <is>
          <t>Part II - The Method Atlas</t>
        </is>
      </c>
      <c r="C925" s="16" t="inlineStr">
        <is>
          <t>Sali, IMP, and the integrative modeling platform</t>
        </is>
      </c>
      <c r="D925" s="10" t="inlineStr">
        <is>
          <t>Why the PDB had to change its data model</t>
        </is>
      </c>
      <c r="E925" s="10" t="inlineStr">
        <is>
          <t>Andrej Sali (PDB50</t>
        </is>
      </c>
      <c r="F925" s="11" t="inlineStr">
        <is>
          <t>32:25</t>
        </is>
      </c>
      <c r="G925" s="11" t="n">
        <v>0.54</v>
      </c>
      <c r="H925" s="12" t="inlineStr"/>
      <c r="I925" s="11" t="inlineStr">
        <is>
          <t>Not started</t>
        </is>
      </c>
      <c r="J925" s="13" t="n"/>
      <c r="K925" s="10" t="inlineStr"/>
      <c r="L925" s="14" t="inlineStr">
        <is>
          <t>▶ watch</t>
        </is>
      </c>
      <c r="M925" s="10" t="inlineStr">
        <is>
          <t>Baker et al. 2001, PNAS 98:10037 (APBS) · Jurrus et al. 2018, Protein Sci 27:112</t>
        </is>
      </c>
      <c r="N925" s="14" t="inlineStr">
        <is>
          <t>read ↗</t>
        </is>
      </c>
      <c r="O925" s="11" t="inlineStr">
        <is>
          <t>reading for G.6 Continuum electrostatics and mesosca</t>
        </is>
      </c>
      <c r="P925" s="10" t="inlineStr"/>
    </row>
    <row r="926">
      <c r="A926" s="15" t="n">
        <v>925</v>
      </c>
      <c r="B926" s="15" t="inlineStr">
        <is>
          <t>Part II - The Method Atlas</t>
        </is>
      </c>
      <c r="C926" s="16" t="inlineStr">
        <is>
          <t>Sali, IMP, and the integrative modeling platform</t>
        </is>
      </c>
      <c r="D926" s="10" t="inlineStr">
        <is>
          <t>The nuclear pore complex, visualized</t>
        </is>
      </c>
      <c r="E926" s="10" t="inlineStr">
        <is>
          <t>Sali Lab</t>
        </is>
      </c>
      <c r="F926" s="11" t="inlineStr">
        <is>
          <t>5:06</t>
        </is>
      </c>
      <c r="G926" s="11" t="n">
        <v>0.09</v>
      </c>
      <c r="H926" s="12" t="inlineStr"/>
      <c r="I926" s="11" t="inlineStr">
        <is>
          <t>Not started</t>
        </is>
      </c>
      <c r="J926" s="13" t="n"/>
      <c r="K926" s="10" t="inlineStr"/>
      <c r="L926" s="14" t="inlineStr">
        <is>
          <t>▶ watch</t>
        </is>
      </c>
      <c r="M926" s="10" t="inlineStr">
        <is>
          <t>Baker et al. 2001, PNAS 98:10037 (APBS) · Jurrus et al. 2018, Protein Sci 27:112</t>
        </is>
      </c>
      <c r="N926" s="14" t="inlineStr">
        <is>
          <t>read ↗</t>
        </is>
      </c>
      <c r="O926" s="11" t="inlineStr">
        <is>
          <t>reading for G.6 Continuum electrostatics and mesosca</t>
        </is>
      </c>
      <c r="P926" s="10" t="inlineStr"/>
    </row>
    <row r="927">
      <c r="A927" s="15" t="n">
        <v>926</v>
      </c>
      <c r="B927" s="15" t="inlineStr">
        <is>
          <t>Part II - The Method Atlas</t>
        </is>
      </c>
      <c r="C927" s="16" t="inlineStr">
        <is>
          <t>Sali, IMP, and the integrative modeling platform</t>
        </is>
      </c>
      <c r="D927" s="10" t="inlineStr">
        <is>
          <t>Daniel Russel (UCSF, lead IMP author</t>
        </is>
      </c>
      <c r="E927" s="10" t="inlineStr">
        <is>
          <t>IMP architecture</t>
        </is>
      </c>
      <c r="F927" s="11" t="inlineStr">
        <is>
          <t>8:40</t>
        </is>
      </c>
      <c r="G927" s="11" t="n">
        <v>0.14</v>
      </c>
      <c r="H927" s="12" t="inlineStr"/>
      <c r="I927" s="11" t="inlineStr">
        <is>
          <t>Not started</t>
        </is>
      </c>
      <c r="J927" s="13" t="n"/>
      <c r="K927" s="10" t="inlineStr"/>
      <c r="L927" s="14" t="inlineStr">
        <is>
          <t>▶ watch</t>
        </is>
      </c>
      <c r="M927" s="10" t="inlineStr">
        <is>
          <t>Baker et al. 2001, PNAS 98:10037 (APBS) · Jurrus et al. 2018, Protein Sci 27:112</t>
        </is>
      </c>
      <c r="N927" s="14" t="inlineStr">
        <is>
          <t>read ↗</t>
        </is>
      </c>
      <c r="O927" s="11" t="inlineStr">
        <is>
          <t>reading for G.6 Continuum electrostatics and mesosca</t>
        </is>
      </c>
      <c r="P927" s="10" t="inlineStr"/>
    </row>
    <row r="928">
      <c r="A928" s="15" t="n">
        <v>927</v>
      </c>
      <c r="B928" s="15" t="inlineStr">
        <is>
          <t>Part II - The Method Atlas</t>
        </is>
      </c>
      <c r="C928" s="16" t="inlineStr">
        <is>
          <t>Sali, IMP, and the integrative modeling platform</t>
        </is>
      </c>
      <c r="D928" s="10" t="inlineStr">
        <is>
          <t>PDB-IHM: deposition, curation, validation</t>
        </is>
      </c>
      <c r="E928" s="10" t="inlineStr">
        <is>
          <t>CCPBioSim</t>
        </is>
      </c>
      <c r="F928" s="11" t="inlineStr">
        <is>
          <t>41:18</t>
        </is>
      </c>
      <c r="G928" s="11" t="n">
        <v>0.6899999999999999</v>
      </c>
      <c r="H928" s="12" t="inlineStr">
        <is>
          <t>★</t>
        </is>
      </c>
      <c r="I928" s="11" t="inlineStr">
        <is>
          <t>Not started</t>
        </is>
      </c>
      <c r="J928" s="13" t="n"/>
      <c r="K928" s="10" t="inlineStr"/>
      <c r="L928" s="14" t="inlineStr">
        <is>
          <t>▶ watch</t>
        </is>
      </c>
      <c r="M928" s="10" t="inlineStr">
        <is>
          <t>Baker et al. 2001, PNAS 98:10037 (APBS) · Jurrus et al. 2018, Protein Sci 27:112</t>
        </is>
      </c>
      <c r="N928" s="14" t="inlineStr">
        <is>
          <t>read ↗</t>
        </is>
      </c>
      <c r="O928" s="11" t="inlineStr">
        <is>
          <t>reading for G.6 Continuum electrostatics and mesosca</t>
        </is>
      </c>
      <c r="P928" s="10" t="inlineStr"/>
    </row>
    <row r="929">
      <c r="A929" s="15" t="n">
        <v>928</v>
      </c>
      <c r="B929" s="15" t="inlineStr">
        <is>
          <t>Part II - The Method Atlas</t>
        </is>
      </c>
      <c r="C929" s="16" t="inlineStr">
        <is>
          <t>Sali, IMP, and the integrative modeling platform</t>
        </is>
      </c>
      <c r="D929" s="10" t="inlineStr">
        <is>
          <t>PDB-Dev, the predecessor</t>
        </is>
      </c>
      <c r="E929" s="10" t="inlineStr">
        <is>
          <t>BioExcel #45</t>
        </is>
      </c>
      <c r="F929" s="11" t="inlineStr">
        <is>
          <t>1:02:47</t>
        </is>
      </c>
      <c r="G929" s="11" t="n">
        <v>1.05</v>
      </c>
      <c r="H929" s="12" t="inlineStr"/>
      <c r="I929" s="11" t="inlineStr">
        <is>
          <t>Not started</t>
        </is>
      </c>
      <c r="J929" s="13" t="n"/>
      <c r="K929" s="10" t="inlineStr"/>
      <c r="L929" s="14" t="inlineStr">
        <is>
          <t>▶ watch</t>
        </is>
      </c>
      <c r="M929" s="10" t="inlineStr">
        <is>
          <t>Baker et al. 2001, PNAS 98:10037 (APBS) · Jurrus et al. 2018, Protein Sci 27:112</t>
        </is>
      </c>
      <c r="N929" s="14" t="inlineStr">
        <is>
          <t>read ↗</t>
        </is>
      </c>
      <c r="O929" s="11" t="inlineStr">
        <is>
          <t>reading for G.6 Continuum electrostatics and mesosca</t>
        </is>
      </c>
      <c r="P929" s="10" t="inlineStr"/>
    </row>
    <row r="930">
      <c r="A930" s="15" t="n">
        <v>929</v>
      </c>
      <c r="B930" s="15" t="inlineStr">
        <is>
          <t>Part II - The Method Atlas</t>
        </is>
      </c>
      <c r="C930" s="16" t="inlineStr">
        <is>
          <t>Sali, IMP, and the integrative modeling platform</t>
        </is>
      </c>
      <c r="D930" s="10" t="inlineStr">
        <is>
          <t>Depositing IHM data to the PDB</t>
        </is>
      </c>
      <c r="E930" s="10" t="inlineStr">
        <is>
          <t>RCSB</t>
        </is>
      </c>
      <c r="F930" s="11" t="inlineStr">
        <is>
          <t>33:45</t>
        </is>
      </c>
      <c r="G930" s="11" t="n">
        <v>0.5600000000000001</v>
      </c>
      <c r="H930" s="12" t="inlineStr"/>
      <c r="I930" s="11" t="inlineStr">
        <is>
          <t>Not started</t>
        </is>
      </c>
      <c r="J930" s="13" t="n"/>
      <c r="K930" s="10" t="inlineStr"/>
      <c r="L930" s="14" t="inlineStr">
        <is>
          <t>▶ watch</t>
        </is>
      </c>
      <c r="M930" s="10" t="inlineStr">
        <is>
          <t>Baker et al. 2001, PNAS 98:10037 (APBS) · Jurrus et al. 2018, Protein Sci 27:112</t>
        </is>
      </c>
      <c r="N930" s="14" t="inlineStr">
        <is>
          <t>read ↗</t>
        </is>
      </c>
      <c r="O930" s="11" t="inlineStr">
        <is>
          <t>reading for G.6 Continuum electrostatics and mesosca</t>
        </is>
      </c>
      <c r="P930" s="10" t="inlineStr"/>
    </row>
    <row r="931">
      <c r="A931" s="15" t="n">
        <v>930</v>
      </c>
      <c r="B931" s="15" t="inlineStr">
        <is>
          <t>Part II - The Method Atlas</t>
        </is>
      </c>
      <c r="C931" s="16" t="inlineStr">
        <is>
          <t>Sali, IMP, and the integrative modeling platform</t>
        </is>
      </c>
      <c r="D931" s="10" t="inlineStr">
        <is>
          <t>Assembline - the Kosinski-lab alternative</t>
        </is>
      </c>
      <c r="E931" s="10" t="inlineStr">
        <is>
          <t>SBGrid</t>
        </is>
      </c>
      <c r="F931" s="11" t="inlineStr">
        <is>
          <t>49:22</t>
        </is>
      </c>
      <c r="G931" s="11" t="n">
        <v>0.82</v>
      </c>
      <c r="H931" s="12" t="inlineStr"/>
      <c r="I931" s="11" t="inlineStr">
        <is>
          <t>Not started</t>
        </is>
      </c>
      <c r="J931" s="13" t="n"/>
      <c r="K931" s="10" t="inlineStr"/>
      <c r="L931" s="14" t="inlineStr">
        <is>
          <t>▶ watch</t>
        </is>
      </c>
      <c r="M931" s="10" t="inlineStr">
        <is>
          <t>Baker et al. 2001, PNAS 98:10037 (APBS) · Jurrus et al. 2018, Protein Sci 27:112</t>
        </is>
      </c>
      <c r="N931" s="14" t="inlineStr">
        <is>
          <t>read ↗</t>
        </is>
      </c>
      <c r="O931" s="11" t="inlineStr">
        <is>
          <t>reading for G.6 Continuum electrostatics and mesosca</t>
        </is>
      </c>
      <c r="P931" s="10" t="inlineStr"/>
    </row>
    <row r="932">
      <c r="A932" s="15" t="n">
        <v>931</v>
      </c>
      <c r="B932" s="15" t="inlineStr">
        <is>
          <t>Part II - The Method Atlas</t>
        </is>
      </c>
      <c r="C932" s="16" t="inlineStr">
        <is>
          <t>Sali, IMP, and the integrative modeling platform</t>
        </is>
      </c>
      <c r="D932" s="10" t="inlineStr">
        <is>
          <t>Integrative modeling of structure and dynamics</t>
        </is>
      </c>
      <c r="E932" s="10" t="inlineStr">
        <is>
          <t>Dina Schneidman-Duhovny (HUJI</t>
        </is>
      </c>
      <c r="F932" s="11" t="inlineStr">
        <is>
          <t>15:16</t>
        </is>
      </c>
      <c r="G932" s="11" t="n">
        <v>0.25</v>
      </c>
      <c r="H932" s="12" t="inlineStr"/>
      <c r="I932" s="11" t="inlineStr">
        <is>
          <t>Not started</t>
        </is>
      </c>
      <c r="J932" s="13" t="n"/>
      <c r="K932" s="10" t="inlineStr"/>
      <c r="L932" s="14" t="inlineStr">
        <is>
          <t>▶ watch</t>
        </is>
      </c>
      <c r="M932" s="10" t="inlineStr">
        <is>
          <t>Baker et al. 2001, PNAS 98:10037 (APBS) · Jurrus et al. 2018, Protein Sci 27:112</t>
        </is>
      </c>
      <c r="N932" s="14" t="inlineStr">
        <is>
          <t>read ↗</t>
        </is>
      </c>
      <c r="O932" s="11" t="inlineStr">
        <is>
          <t>reading for G.6 Continuum electrostatics and mesosca</t>
        </is>
      </c>
      <c r="P932" s="10" t="inlineStr"/>
    </row>
    <row r="933">
      <c r="A933" s="15" t="n">
        <v>932</v>
      </c>
      <c r="B933" s="15" t="inlineStr">
        <is>
          <t>Part II - The Method Atlas</t>
        </is>
      </c>
      <c r="C933" s="16" t="inlineStr">
        <is>
          <t>Sali, IMP, and the integrative modeling platform</t>
        </is>
      </c>
      <c r="D933" s="10" t="inlineStr">
        <is>
          <t>Data-driven docking and restraint quality</t>
        </is>
      </c>
      <c r="E933" s="10" t="inlineStr">
        <is>
          <t>Ezgi Karaca (IBG Izmir</t>
        </is>
      </c>
      <c r="F933" s="11" t="inlineStr">
        <is>
          <t>48:28</t>
        </is>
      </c>
      <c r="G933" s="11" t="n">
        <v>0.8100000000000001</v>
      </c>
      <c r="H933" s="12" t="inlineStr"/>
      <c r="I933" s="11" t="inlineStr">
        <is>
          <t>Not started</t>
        </is>
      </c>
      <c r="J933" s="13" t="n"/>
      <c r="K933" s="10" t="inlineStr"/>
      <c r="L933" s="14" t="inlineStr">
        <is>
          <t>▶ watch</t>
        </is>
      </c>
      <c r="M933" s="10" t="inlineStr">
        <is>
          <t>Baker et al. 2001, PNAS 98:10037 (APBS) · Jurrus et al. 2018, Protein Sci 27:112</t>
        </is>
      </c>
      <c r="N933" s="14" t="inlineStr">
        <is>
          <t>read ↗</t>
        </is>
      </c>
      <c r="O933" s="11" t="inlineStr">
        <is>
          <t>reading for G.6 Continuum electrostatics and mesosca</t>
        </is>
      </c>
      <c r="P933" s="10" t="inlineStr"/>
    </row>
    <row r="934">
      <c r="A934" s="15" t="n">
        <v>933</v>
      </c>
      <c r="B934" s="15" t="inlineStr">
        <is>
          <t>Part II - The Method Atlas</t>
        </is>
      </c>
      <c r="C934" s="16" t="inlineStr">
        <is>
          <t>Sali, IMP, and the integrative modeling platform</t>
        </is>
      </c>
      <c r="D934" s="10" t="inlineStr">
        <is>
          <t>Riccardo Pellarin (Institut Pasteur</t>
        </is>
      </c>
      <c r="E934" s="10" t="inlineStr">
        <is>
          <t>Scoring-function construction</t>
        </is>
      </c>
      <c r="F934" s="11" t="inlineStr">
        <is>
          <t>35:05</t>
        </is>
      </c>
      <c r="G934" s="11" t="n">
        <v>0.58</v>
      </c>
      <c r="H934" s="12" t="inlineStr"/>
      <c r="I934" s="11" t="inlineStr">
        <is>
          <t>Not started</t>
        </is>
      </c>
      <c r="J934" s="13" t="n"/>
      <c r="K934" s="10" t="inlineStr"/>
      <c r="L934" s="14" t="inlineStr">
        <is>
          <t>▶ watch</t>
        </is>
      </c>
      <c r="M934" s="10" t="inlineStr">
        <is>
          <t>Baker et al. 2001, PNAS 98:10037 (APBS) · Jurrus et al. 2018, Protein Sci 27:112</t>
        </is>
      </c>
      <c r="N934" s="14" t="inlineStr">
        <is>
          <t>read ↗</t>
        </is>
      </c>
      <c r="O934" s="11" t="inlineStr">
        <is>
          <t>reading for G.6 Continuum electrostatics and mesosca</t>
        </is>
      </c>
      <c r="P934" s="10" t="inlineStr"/>
    </row>
    <row r="935">
      <c r="A935" s="15" t="n">
        <v>934</v>
      </c>
      <c r="B935" s="15" t="inlineStr">
        <is>
          <t>Part II - The Method Atlas</t>
        </is>
      </c>
      <c r="C935" s="16" t="inlineStr">
        <is>
          <t>Sali, IMP, and the integrative modeling platform</t>
        </is>
      </c>
      <c r="D935" s="10" t="inlineStr">
        <is>
          <t>Integrative modeling of complexes, Part 1</t>
        </is>
      </c>
      <c r="E935" s="10" t="inlineStr">
        <is>
          <t>BioExcel</t>
        </is>
      </c>
      <c r="F935" s="11" t="inlineStr">
        <is>
          <t>45:38</t>
        </is>
      </c>
      <c r="G935" s="11" t="n">
        <v>0.76</v>
      </c>
      <c r="H935" s="12" t="inlineStr"/>
      <c r="I935" s="11" t="inlineStr">
        <is>
          <t>Not started</t>
        </is>
      </c>
      <c r="J935" s="13" t="n"/>
      <c r="K935" s="10" t="inlineStr"/>
      <c r="L935" s="14" t="inlineStr">
        <is>
          <t>▶ watch</t>
        </is>
      </c>
      <c r="M935" s="10" t="inlineStr">
        <is>
          <t>Baker et al. 2001, PNAS 98:10037 (APBS) · Jurrus et al. 2018, Protein Sci 27:112</t>
        </is>
      </c>
      <c r="N935" s="14" t="inlineStr">
        <is>
          <t>read ↗</t>
        </is>
      </c>
      <c r="O935" s="11" t="inlineStr">
        <is>
          <t>reading for G.6 Continuum electrostatics and mesosca</t>
        </is>
      </c>
      <c r="P935" s="10" t="inlineStr"/>
    </row>
    <row r="936">
      <c r="A936" s="15" t="n">
        <v>935</v>
      </c>
      <c r="B936" s="15" t="inlineStr">
        <is>
          <t>Part II - The Method Atlas</t>
        </is>
      </c>
      <c r="C936" s="16" t="inlineStr">
        <is>
          <t>Sali, IMP, and the integrative modeling platform</t>
        </is>
      </c>
      <c r="D936" s="10" t="inlineStr">
        <is>
          <t>Integrative modeling of complexes, Part 2</t>
        </is>
      </c>
      <c r="E936" s="10" t="inlineStr">
        <is>
          <t>BioExcel</t>
        </is>
      </c>
      <c r="F936" s="11" t="inlineStr">
        <is>
          <t>43:15</t>
        </is>
      </c>
      <c r="G936" s="11" t="n">
        <v>0.72</v>
      </c>
      <c r="H936" s="12" t="inlineStr"/>
      <c r="I936" s="11" t="inlineStr">
        <is>
          <t>Not started</t>
        </is>
      </c>
      <c r="J936" s="13" t="n"/>
      <c r="K936" s="10" t="inlineStr"/>
      <c r="L936" s="14" t="inlineStr">
        <is>
          <t>▶ watch</t>
        </is>
      </c>
      <c r="M936" s="10" t="inlineStr">
        <is>
          <t>Baker et al. 2001, PNAS 98:10037 (APBS) · Jurrus et al. 2018, Protein Sci 27:112</t>
        </is>
      </c>
      <c r="N936" s="14" t="inlineStr">
        <is>
          <t>read ↗</t>
        </is>
      </c>
      <c r="O936" s="11" t="inlineStr">
        <is>
          <t>reading for G.6 Continuum electrostatics and mesosca</t>
        </is>
      </c>
      <c r="P936" s="10" t="inlineStr"/>
    </row>
    <row r="937">
      <c r="A937" s="15" t="n">
        <v>936</v>
      </c>
      <c r="B937" s="15" t="inlineStr">
        <is>
          <t>Part II - The Method Atlas</t>
        </is>
      </c>
      <c r="C937" s="16" t="inlineStr">
        <is>
          <t>Sali, IMP, and the integrative modeling platform</t>
        </is>
      </c>
      <c r="D937" s="10" t="inlineStr">
        <is>
          <t>Solving 3D puzzles by physics and AI-based integrative modelling</t>
        </is>
      </c>
      <c r="E937" s="10" t="inlineStr">
        <is>
          <t>Alexandre Bonvin (Utrecht</t>
        </is>
      </c>
      <c r="F937" s="11" t="inlineStr">
        <is>
          <t>1:13:39</t>
        </is>
      </c>
      <c r="G937" s="11" t="n">
        <v>1.23</v>
      </c>
      <c r="H937" s="12" t="inlineStr">
        <is>
          <t>★</t>
        </is>
      </c>
      <c r="I937" s="11" t="inlineStr">
        <is>
          <t>Not started</t>
        </is>
      </c>
      <c r="J937" s="13" t="n"/>
      <c r="K937" s="10" t="inlineStr"/>
      <c r="L937" s="14" t="inlineStr">
        <is>
          <t>▶ watch</t>
        </is>
      </c>
      <c r="M937" s="10" t="inlineStr">
        <is>
          <t>Baker et al. 2001, PNAS 98:10037 (APBS) · Jurrus et al. 2018, Protein Sci 27:112</t>
        </is>
      </c>
      <c r="N937" s="14" t="inlineStr">
        <is>
          <t>read ↗</t>
        </is>
      </c>
      <c r="O937" s="11" t="inlineStr">
        <is>
          <t>reading for G.6 Continuum electrostatics and mesosca</t>
        </is>
      </c>
      <c r="P937" s="10" t="inlineStr"/>
    </row>
    <row r="938">
      <c r="A938" s="15" t="n">
        <v>937</v>
      </c>
      <c r="B938" s="15" t="inlineStr">
        <is>
          <t>Part II - The Method Atlas</t>
        </is>
      </c>
      <c r="C938" s="16" t="inlineStr">
        <is>
          <t>Bayesian inference and ensemble reweighting</t>
        </is>
      </c>
      <c r="D938" s="10" t="inlineStr">
        <is>
          <t>Reweighting simulations with explicit-solvent SAXS restraints</t>
        </is>
      </c>
      <c r="E938" s="10" t="inlineStr">
        <is>
          <t>Mattia Bernetti (SISSA</t>
        </is>
      </c>
      <c r="F938" s="11" t="inlineStr">
        <is>
          <t>33:07</t>
        </is>
      </c>
      <c r="G938" s="11" t="n">
        <v>0.55</v>
      </c>
      <c r="H938" s="12" t="inlineStr">
        <is>
          <t>★</t>
        </is>
      </c>
      <c r="I938" s="11" t="inlineStr">
        <is>
          <t>Not started</t>
        </is>
      </c>
      <c r="J938" s="13" t="n"/>
      <c r="K938" s="10" t="inlineStr"/>
      <c r="L938" s="14" t="inlineStr">
        <is>
          <t>▶ watch</t>
        </is>
      </c>
      <c r="M938" s="10" t="inlineStr">
        <is>
          <t>Baker et al. 2001, PNAS 98:10037 (APBS) · Jurrus et al. 2018, Protein Sci 27:112</t>
        </is>
      </c>
      <c r="N938" s="14" t="inlineStr">
        <is>
          <t>read ↗</t>
        </is>
      </c>
      <c r="O938" s="11" t="inlineStr">
        <is>
          <t>reading for G.6 Continuum electrostatics and mesosca</t>
        </is>
      </c>
      <c r="P938" s="10" t="inlineStr"/>
    </row>
    <row r="939">
      <c r="A939" s="15" t="n">
        <v>938</v>
      </c>
      <c r="B939" s="15" t="inlineStr">
        <is>
          <t>Part II - The Method Atlas</t>
        </is>
      </c>
      <c r="C939" s="16" t="inlineStr">
        <is>
          <t>Bayesian inference and ensemble reweighting</t>
        </is>
      </c>
      <c r="D939" s="10" t="inlineStr">
        <is>
          <t>Molecular Simulation Meets Cryo-Electron Tomography</t>
        </is>
      </c>
      <c r="E939" s="10" t="inlineStr">
        <is>
          <t>Gerhard Hummer (MPI Biophysics</t>
        </is>
      </c>
      <c r="F939" s="11" t="inlineStr">
        <is>
          <t>42:11</t>
        </is>
      </c>
      <c r="G939" s="11" t="n">
        <v>0.7</v>
      </c>
      <c r="H939" s="12" t="inlineStr">
        <is>
          <t>★</t>
        </is>
      </c>
      <c r="I939" s="11" t="inlineStr">
        <is>
          <t>Not started</t>
        </is>
      </c>
      <c r="J939" s="13" t="n"/>
      <c r="K939" s="10" t="inlineStr"/>
      <c r="L939" s="14" t="inlineStr">
        <is>
          <t>▶ watch</t>
        </is>
      </c>
      <c r="M939" s="10" t="inlineStr">
        <is>
          <t>Baker et al. 2001, PNAS 98:10037 (APBS) · Jurrus et al. 2018, Protein Sci 27:112</t>
        </is>
      </c>
      <c r="N939" s="14" t="inlineStr">
        <is>
          <t>read ↗</t>
        </is>
      </c>
      <c r="O939" s="11" t="inlineStr">
        <is>
          <t>reading for G.6 Continuum electrostatics and mesosca</t>
        </is>
      </c>
      <c r="P939" s="10" t="inlineStr"/>
    </row>
    <row r="940">
      <c r="A940" s="15" t="n">
        <v>939</v>
      </c>
      <c r="B940" s="15" t="inlineStr">
        <is>
          <t>Part II - The Method Atlas</t>
        </is>
      </c>
      <c r="C940" s="16" t="inlineStr">
        <is>
          <t>Bayesian inference and ensemble reweighting</t>
        </is>
      </c>
      <c r="D940" s="10" t="inlineStr">
        <is>
          <t>TCBG seminar - the SARS-CoV-2 glycan shield</t>
        </is>
      </c>
      <c r="E940" s="10" t="inlineStr">
        <is>
          <t>Gerhard Hummer</t>
        </is>
      </c>
      <c r="F940" s="11" t="inlineStr">
        <is>
          <t>1:05:31</t>
        </is>
      </c>
      <c r="G940" s="11" t="n">
        <v>1.09</v>
      </c>
      <c r="H940" s="12" t="inlineStr"/>
      <c r="I940" s="11" t="inlineStr">
        <is>
          <t>Not started</t>
        </is>
      </c>
      <c r="J940" s="13" t="n"/>
      <c r="K940" s="10" t="inlineStr"/>
      <c r="L940" s="14" t="inlineStr">
        <is>
          <t>▶ watch</t>
        </is>
      </c>
      <c r="M940" s="10" t="inlineStr">
        <is>
          <t>Baker et al. 2001, PNAS 98:10037 (APBS) · Jurrus et al. 2018, Protein Sci 27:112</t>
        </is>
      </c>
      <c r="N940" s="14" t="inlineStr">
        <is>
          <t>read ↗</t>
        </is>
      </c>
      <c r="O940" s="11" t="inlineStr">
        <is>
          <t>reading for G.6 Continuum electrostatics and mesosca</t>
        </is>
      </c>
      <c r="P940" s="10" t="inlineStr"/>
    </row>
    <row r="941">
      <c r="A941" s="15" t="n">
        <v>940</v>
      </c>
      <c r="B941" s="15" t="inlineStr">
        <is>
          <t>Part II - The Method Atlas</t>
        </is>
      </c>
      <c r="C941" s="16" t="inlineStr">
        <is>
          <t>Bayesian inference and ensemble reweighting</t>
        </is>
      </c>
      <c r="D941" s="10" t="inlineStr">
        <is>
          <t>Shoot First, Ask Questions Later (ICTP colloquium</t>
        </is>
      </c>
      <c r="E941" s="10" t="inlineStr">
        <is>
          <t>Gerhard Hummer</t>
        </is>
      </c>
      <c r="F941" s="11" t="inlineStr">
        <is>
          <t>1:04:18</t>
        </is>
      </c>
      <c r="G941" s="11" t="n">
        <v>1.07</v>
      </c>
      <c r="H941" s="12" t="inlineStr"/>
      <c r="I941" s="11" t="inlineStr">
        <is>
          <t>Not started</t>
        </is>
      </c>
      <c r="J941" s="13" t="n"/>
      <c r="K941" s="10" t="inlineStr"/>
      <c r="L941" s="14" t="inlineStr">
        <is>
          <t>▶ watch</t>
        </is>
      </c>
      <c r="M941" s="10" t="inlineStr">
        <is>
          <t>Baker et al. 2001, PNAS 98:10037 (APBS) · Jurrus et al. 2018, Protein Sci 27:112</t>
        </is>
      </c>
      <c r="N941" s="14" t="inlineStr">
        <is>
          <t>read ↗</t>
        </is>
      </c>
      <c r="O941" s="11" t="inlineStr">
        <is>
          <t>reading for G.6 Continuum electrostatics and mesosca</t>
        </is>
      </c>
      <c r="P941" s="10" t="inlineStr"/>
    </row>
    <row r="942">
      <c r="A942" s="15" t="n">
        <v>941</v>
      </c>
      <c r="B942" s="15" t="inlineStr">
        <is>
          <t>Part II - The Method Atlas</t>
        </is>
      </c>
      <c r="C942" s="16" t="inlineStr">
        <is>
          <t>Bayesian inference and ensemble reweighting</t>
        </is>
      </c>
      <c r="D942" s="10" t="inlineStr">
        <is>
          <t>Concepts of Probability in the Sciences - why inference, not fitting</t>
        </is>
      </c>
      <c r="E942" s="10" t="inlineStr">
        <is>
          <t>Gerhard Hummer</t>
        </is>
      </c>
      <c r="F942" s="11" t="inlineStr">
        <is>
          <t>38:16</t>
        </is>
      </c>
      <c r="G942" s="11" t="n">
        <v>0.64</v>
      </c>
      <c r="H942" s="12" t="inlineStr">
        <is>
          <t>★</t>
        </is>
      </c>
      <c r="I942" s="11" t="inlineStr">
        <is>
          <t>Not started</t>
        </is>
      </c>
      <c r="J942" s="13" t="n"/>
      <c r="K942" s="10" t="inlineStr"/>
      <c r="L942" s="14" t="inlineStr">
        <is>
          <t>▶ watch</t>
        </is>
      </c>
      <c r="M942" s="10" t="inlineStr">
        <is>
          <t>Baker et al. 2001, PNAS 98:10037 (APBS) · Jurrus et al. 2018, Protein Sci 27:112</t>
        </is>
      </c>
      <c r="N942" s="14" t="inlineStr">
        <is>
          <t>read ↗</t>
        </is>
      </c>
      <c r="O942" s="11" t="inlineStr">
        <is>
          <t>reading for G.6 Continuum electrostatics and mesosca</t>
        </is>
      </c>
      <c r="P942" s="10" t="inlineStr"/>
    </row>
    <row r="943">
      <c r="A943" s="15" t="n">
        <v>942</v>
      </c>
      <c r="B943" s="15" t="inlineStr">
        <is>
          <t>Part II - The Method Atlas</t>
        </is>
      </c>
      <c r="C943" s="16" t="inlineStr">
        <is>
          <t>Bayesian inference and ensemble reweighting</t>
        </is>
      </c>
      <c r="D943" s="10" t="inlineStr">
        <is>
          <t>Bayesian inference of chromatin structure from Hi-C</t>
        </is>
      </c>
      <c r="E943" s="10" t="inlineStr">
        <is>
          <t>Simeon Carstens (Pasteur, Habeck-trained</t>
        </is>
      </c>
      <c r="F943" s="11" t="inlineStr">
        <is>
          <t>1:05:42</t>
        </is>
      </c>
      <c r="G943" s="11" t="n">
        <v>1.09</v>
      </c>
      <c r="H943" s="12" t="inlineStr">
        <is>
          <t>★</t>
        </is>
      </c>
      <c r="I943" s="11" t="inlineStr">
        <is>
          <t>Not started</t>
        </is>
      </c>
      <c r="J943" s="13" t="n"/>
      <c r="K943" s="10" t="inlineStr"/>
      <c r="L943" s="14" t="inlineStr">
        <is>
          <t>▶ watch</t>
        </is>
      </c>
      <c r="M943" s="10" t="inlineStr">
        <is>
          <t>Baker et al. 2001, PNAS 98:10037 (APBS) · Jurrus et al. 2018, Protein Sci 27:112</t>
        </is>
      </c>
      <c r="N943" s="14" t="inlineStr">
        <is>
          <t>read ↗</t>
        </is>
      </c>
      <c r="O943" s="11" t="inlineStr">
        <is>
          <t>reading for G.6 Continuum electrostatics and mesosca</t>
        </is>
      </c>
      <c r="P943" s="10" t="inlineStr"/>
    </row>
    <row r="944">
      <c r="A944" s="15" t="n">
        <v>943</v>
      </c>
      <c r="B944" s="15" t="inlineStr">
        <is>
          <t>Part II - The Method Atlas</t>
        </is>
      </c>
      <c r="C944" s="16" t="inlineStr">
        <is>
          <t>Bayesian inference and ensemble reweighting</t>
        </is>
      </c>
      <c r="D944" s="10" t="inlineStr">
        <is>
          <t>Bayesian nonparametrics for single molecule</t>
        </is>
      </c>
      <c r="E944" s="10" t="inlineStr">
        <is>
          <t>Steve Pressé (ASU</t>
        </is>
      </c>
      <c r="F944" s="11" t="inlineStr">
        <is>
          <t>27:06</t>
        </is>
      </c>
      <c r="G944" s="11" t="n">
        <v>0.45</v>
      </c>
      <c r="H944" s="12" t="inlineStr"/>
      <c r="I944" s="11" t="inlineStr">
        <is>
          <t>Not started</t>
        </is>
      </c>
      <c r="J944" s="13" t="n"/>
      <c r="K944" s="10" t="inlineStr"/>
      <c r="L944" s="14" t="inlineStr">
        <is>
          <t>▶ watch</t>
        </is>
      </c>
      <c r="M944" s="10" t="inlineStr">
        <is>
          <t>Baker et al. 2001, PNAS 98:10037 (APBS) · Jurrus et al. 2018, Protein Sci 27:112</t>
        </is>
      </c>
      <c r="N944" s="14" t="inlineStr">
        <is>
          <t>read ↗</t>
        </is>
      </c>
      <c r="O944" s="11" t="inlineStr">
        <is>
          <t>reading for G.6 Continuum electrostatics and mesosca</t>
        </is>
      </c>
      <c r="P944" s="10" t="inlineStr"/>
    </row>
    <row r="945">
      <c r="A945" s="15" t="n">
        <v>944</v>
      </c>
      <c r="B945" s="15" t="inlineStr">
        <is>
          <t>Part II - The Method Atlas</t>
        </is>
      </c>
      <c r="C945" s="16" t="inlineStr">
        <is>
          <t>Bayesian inference and ensemble reweighting</t>
        </is>
      </c>
      <c r="D945" s="10" t="inlineStr">
        <is>
          <t>Bayesian inference of force fields</t>
        </is>
      </c>
      <c r="E945" s="10" t="inlineStr">
        <is>
          <t>Open Force Field</t>
        </is>
      </c>
      <c r="F945" s="11" t="inlineStr">
        <is>
          <t>51:06</t>
        </is>
      </c>
      <c r="G945" s="11" t="n">
        <v>0.85</v>
      </c>
      <c r="H945" s="12" t="inlineStr"/>
      <c r="I945" s="11" t="inlineStr">
        <is>
          <t>Not started</t>
        </is>
      </c>
      <c r="J945" s="13" t="n"/>
      <c r="K945" s="10" t="inlineStr"/>
      <c r="L945" s="14" t="inlineStr">
        <is>
          <t>▶ watch</t>
        </is>
      </c>
      <c r="M945" s="10" t="inlineStr">
        <is>
          <t>Baker et al. 2001, PNAS 98:10037 (APBS) · Jurrus et al. 2018, Protein Sci 27:112</t>
        </is>
      </c>
      <c r="N945" s="14" t="inlineStr">
        <is>
          <t>read ↗</t>
        </is>
      </c>
      <c r="O945" s="11" t="inlineStr">
        <is>
          <t>reading for G.6 Continuum electrostatics and mesosca</t>
        </is>
      </c>
      <c r="P945" s="10" t="inlineStr"/>
    </row>
    <row r="946">
      <c r="A946" s="15" t="n">
        <v>945</v>
      </c>
      <c r="B946" s="15" t="inlineStr">
        <is>
          <t>Part II - The Method Atlas</t>
        </is>
      </c>
      <c r="C946" s="16" t="inlineStr">
        <is>
          <t>Bayesian inference and ensemble reweighting</t>
        </is>
      </c>
      <c r="D946" s="10" t="inlineStr">
        <is>
          <t>PLUMED Masterclass 22.1 part II - metainference machinery</t>
        </is>
      </c>
      <c r="E946" s="10" t="inlineStr">
        <is>
          <t>PLUMED</t>
        </is>
      </c>
      <c r="F946" s="11" t="inlineStr">
        <is>
          <t>2:16:35</t>
        </is>
      </c>
      <c r="G946" s="11" t="n">
        <v>2.28</v>
      </c>
      <c r="H946" s="12" t="inlineStr"/>
      <c r="I946" s="11" t="inlineStr">
        <is>
          <t>Not started</t>
        </is>
      </c>
      <c r="J946" s="13" t="n"/>
      <c r="K946" s="10" t="inlineStr"/>
      <c r="L946" s="14" t="inlineStr">
        <is>
          <t>▶ watch</t>
        </is>
      </c>
      <c r="M946" s="10" t="inlineStr">
        <is>
          <t>Baker et al. 2001, PNAS 98:10037 (APBS) · Jurrus et al. 2018, Protein Sci 27:112</t>
        </is>
      </c>
      <c r="N946" s="14" t="inlineStr">
        <is>
          <t>read ↗</t>
        </is>
      </c>
      <c r="O946" s="11" t="inlineStr">
        <is>
          <t>reading for G.6 Continuum electrostatics and mesosca</t>
        </is>
      </c>
      <c r="P946" s="10" t="inlineStr">
        <is>
          <t>B.3 PLUMED Masterclass - 43 videos</t>
        </is>
      </c>
    </row>
    <row r="947">
      <c r="A947" s="15" t="n">
        <v>946</v>
      </c>
      <c r="B947" s="15" t="inlineStr">
        <is>
          <t>Part II - The Method Atlas</t>
        </is>
      </c>
      <c r="C947" s="16" t="inlineStr">
        <is>
          <t>Fitting models into density</t>
        </is>
      </c>
      <c r="D947" s="10" t="inlineStr">
        <is>
          <t>Introduction to Molecular Dynamics Flexible Fitting</t>
        </is>
      </c>
      <c r="E947" s="10" t="inlineStr">
        <is>
          <t>Ryan McGreevy (UIUC/TCBG</t>
        </is>
      </c>
      <c r="F947" s="11" t="inlineStr">
        <is>
          <t>30:01</t>
        </is>
      </c>
      <c r="G947" s="11" t="n">
        <v>0.5</v>
      </c>
      <c r="H947" s="12" t="inlineStr">
        <is>
          <t>★</t>
        </is>
      </c>
      <c r="I947" s="11" t="inlineStr">
        <is>
          <t>Not started</t>
        </is>
      </c>
      <c r="J947" s="13" t="n"/>
      <c r="K947" s="10" t="inlineStr"/>
      <c r="L947" s="14" t="inlineStr">
        <is>
          <t>▶ watch</t>
        </is>
      </c>
      <c r="M947" s="10" t="inlineStr">
        <is>
          <t>Baker et al. 2001, PNAS 98:10037 (APBS) · Jurrus et al. 2018, Protein Sci 27:112</t>
        </is>
      </c>
      <c r="N947" s="14" t="inlineStr">
        <is>
          <t>read ↗</t>
        </is>
      </c>
      <c r="O947" s="11" t="inlineStr">
        <is>
          <t>reading for G.6 Continuum electrostatics and mesosca</t>
        </is>
      </c>
      <c r="P947" s="10" t="inlineStr"/>
    </row>
    <row r="948">
      <c r="A948" s="15" t="n">
        <v>947</v>
      </c>
      <c r="B948" s="15" t="inlineStr">
        <is>
          <t>Part II - The Method Atlas</t>
        </is>
      </c>
      <c r="C948" s="16" t="inlineStr">
        <is>
          <t>Fitting models into density</t>
        </is>
      </c>
      <c r="D948" s="10" t="inlineStr">
        <is>
          <t>Interactive MDFF demo</t>
        </is>
      </c>
      <c r="E948" s="10" t="inlineStr">
        <is>
          <t>TCBG UIUC</t>
        </is>
      </c>
      <c r="F948" s="11" t="inlineStr">
        <is>
          <t>7:41</t>
        </is>
      </c>
      <c r="G948" s="11" t="n">
        <v>0.13</v>
      </c>
      <c r="H948" s="12" t="inlineStr"/>
      <c r="I948" s="11" t="inlineStr">
        <is>
          <t>Not started</t>
        </is>
      </c>
      <c r="J948" s="13" t="n"/>
      <c r="K948" s="10" t="inlineStr"/>
      <c r="L948" s="14" t="inlineStr">
        <is>
          <t>▶ watch</t>
        </is>
      </c>
      <c r="M948" s="10" t="inlineStr">
        <is>
          <t>Baker et al. 2001, PNAS 98:10037 (APBS) · Jurrus et al. 2018, Protein Sci 27:112</t>
        </is>
      </c>
      <c r="N948" s="14" t="inlineStr">
        <is>
          <t>read ↗</t>
        </is>
      </c>
      <c r="O948" s="11" t="inlineStr">
        <is>
          <t>reading for G.6 Continuum electrostatics and mesosca</t>
        </is>
      </c>
      <c r="P948" s="10" t="inlineStr"/>
    </row>
    <row r="949">
      <c r="A949" s="15" t="n">
        <v>948</v>
      </c>
      <c r="B949" s="15" t="inlineStr">
        <is>
          <t>Part II - The Method Atlas</t>
        </is>
      </c>
      <c r="C949" s="16" t="inlineStr">
        <is>
          <t>Fitting models into density</t>
        </is>
      </c>
      <c r="D949" s="10" t="inlineStr">
        <is>
          <t>Rosetta for CryoEM-Guided Structure Determination (full workshop</t>
        </is>
      </c>
      <c r="E949" s="10" t="inlineStr">
        <is>
          <t>Frank DiMaio (UW</t>
        </is>
      </c>
      <c r="F949" s="11" t="inlineStr">
        <is>
          <t>3:38:48</t>
        </is>
      </c>
      <c r="G949" s="11" t="n">
        <v>3.65</v>
      </c>
      <c r="H949" s="12" t="inlineStr">
        <is>
          <t>★</t>
        </is>
      </c>
      <c r="I949" s="11" t="inlineStr">
        <is>
          <t>Not started</t>
        </is>
      </c>
      <c r="J949" s="13" t="n"/>
      <c r="K949" s="10" t="inlineStr"/>
      <c r="L949" s="14" t="inlineStr">
        <is>
          <t>▶ watch</t>
        </is>
      </c>
      <c r="M949" s="10" t="inlineStr">
        <is>
          <t>Baker et al. 2001, PNAS 98:10037 (APBS) · Jurrus et al. 2018, Protein Sci 27:112</t>
        </is>
      </c>
      <c r="N949" s="14" t="inlineStr">
        <is>
          <t>read ↗</t>
        </is>
      </c>
      <c r="O949" s="11" t="inlineStr">
        <is>
          <t>reading for G.6 Continuum electrostatics and mesosca</t>
        </is>
      </c>
      <c r="P949" s="10" t="inlineStr"/>
    </row>
    <row r="950">
      <c r="A950" s="15" t="n">
        <v>949</v>
      </c>
      <c r="B950" s="15" t="inlineStr">
        <is>
          <t>Part II - The Method Atlas</t>
        </is>
      </c>
      <c r="C950" s="16" t="inlineStr">
        <is>
          <t>Fitting models into density</t>
        </is>
      </c>
      <c r="D950" s="10" t="inlineStr">
        <is>
          <t>Cryo-EM refinement with density-guided simulations in GROMACS</t>
        </is>
      </c>
      <c r="E950" s="10" t="inlineStr">
        <is>
          <t>BioExcel #82</t>
        </is>
      </c>
      <c r="F950" s="11" t="inlineStr">
        <is>
          <t>59:01</t>
        </is>
      </c>
      <c r="G950" s="11" t="n">
        <v>0.98</v>
      </c>
      <c r="H950" s="12" t="inlineStr"/>
      <c r="I950" s="11" t="inlineStr">
        <is>
          <t>Not started</t>
        </is>
      </c>
      <c r="J950" s="13" t="n"/>
      <c r="K950" s="10" t="inlineStr"/>
      <c r="L950" s="14" t="inlineStr">
        <is>
          <t>▶ watch</t>
        </is>
      </c>
      <c r="M950" s="10" t="inlineStr">
        <is>
          <t>Baker et al. 2001, PNAS 98:10037 (APBS) · Jurrus et al. 2018, Protein Sci 27:112</t>
        </is>
      </c>
      <c r="N950" s="14" t="inlineStr">
        <is>
          <t>read ↗</t>
        </is>
      </c>
      <c r="O950" s="11" t="inlineStr">
        <is>
          <t>reading for G.6 Continuum electrostatics and mesosca</t>
        </is>
      </c>
      <c r="P950" s="10" t="inlineStr"/>
    </row>
    <row r="951">
      <c r="A951" s="15" t="n">
        <v>950</v>
      </c>
      <c r="B951" s="15" t="inlineStr">
        <is>
          <t>Part II - The Method Atlas</t>
        </is>
      </c>
      <c r="C951" s="16" t="inlineStr">
        <is>
          <t>Fitting models into density</t>
        </is>
      </c>
      <c r="D951" s="10" t="inlineStr">
        <is>
          <t>Density guided simulations</t>
        </is>
      </c>
      <c r="E951" s="10" t="inlineStr">
        <is>
          <t>Christian Blau (KTH</t>
        </is>
      </c>
      <c r="F951" s="11" t="inlineStr">
        <is>
          <t>1:06:55</t>
        </is>
      </c>
      <c r="G951" s="11" t="n">
        <v>1.12</v>
      </c>
      <c r="H951" s="12" t="inlineStr"/>
      <c r="I951" s="11" t="inlineStr">
        <is>
          <t>Not started</t>
        </is>
      </c>
      <c r="J951" s="13" t="n"/>
      <c r="K951" s="10" t="inlineStr"/>
      <c r="L951" s="14" t="inlineStr">
        <is>
          <t>▶ watch</t>
        </is>
      </c>
      <c r="M951" s="10" t="inlineStr">
        <is>
          <t>Baker et al. 2001, PNAS 98:10037 (APBS) · Jurrus et al. 2018, Protein Sci 27:112</t>
        </is>
      </c>
      <c r="N951" s="14" t="inlineStr">
        <is>
          <t>read ↗</t>
        </is>
      </c>
      <c r="O951" s="11" t="inlineStr">
        <is>
          <t>reading for G.6 Continuum electrostatics and mesosca</t>
        </is>
      </c>
      <c r="P951" s="10" t="inlineStr"/>
    </row>
    <row r="952">
      <c r="A952" s="15" t="n">
        <v>951</v>
      </c>
      <c r="B952" s="15" t="inlineStr">
        <is>
          <t>Part II - The Method Atlas</t>
        </is>
      </c>
      <c r="C952" s="16" t="inlineStr">
        <is>
          <t>Fitting models into density</t>
        </is>
      </c>
      <c r="D952" s="10" t="inlineStr">
        <is>
          <t>Cryo-EM densities vs stereochemistry - the overfitting problem, short</t>
        </is>
      </c>
      <c r="E952" s="10" t="inlineStr">
        <is>
          <t>Christian Blau (KTH</t>
        </is>
      </c>
      <c r="F952" s="11" t="inlineStr">
        <is>
          <t>12:39</t>
        </is>
      </c>
      <c r="G952" s="11" t="n">
        <v>0.21</v>
      </c>
      <c r="H952" s="12" t="inlineStr">
        <is>
          <t>★</t>
        </is>
      </c>
      <c r="I952" s="11" t="inlineStr">
        <is>
          <t>Not started</t>
        </is>
      </c>
      <c r="J952" s="13" t="n"/>
      <c r="K952" s="10" t="inlineStr"/>
      <c r="L952" s="14" t="inlineStr">
        <is>
          <t>▶ watch</t>
        </is>
      </c>
      <c r="M952" s="10" t="inlineStr">
        <is>
          <t>Baker et al. 2001, PNAS 98:10037 (APBS) · Jurrus et al. 2018, Protein Sci 27:112</t>
        </is>
      </c>
      <c r="N952" s="14" t="inlineStr">
        <is>
          <t>read ↗</t>
        </is>
      </c>
      <c r="O952" s="11" t="inlineStr">
        <is>
          <t>reading for G.6 Continuum electrostatics and mesosca</t>
        </is>
      </c>
      <c r="P952" s="10" t="inlineStr"/>
    </row>
    <row r="953">
      <c r="A953" s="15" t="n">
        <v>952</v>
      </c>
      <c r="B953" s="15" t="inlineStr">
        <is>
          <t>Part II - The Method Atlas</t>
        </is>
      </c>
      <c r="C953" s="16" t="inlineStr">
        <is>
          <t>Fitting models into density</t>
        </is>
      </c>
      <c r="D953" s="10" t="inlineStr">
        <is>
          <t>Validation of atomic models fitted in cryo-EM maps</t>
        </is>
      </c>
      <c r="E953" s="10" t="inlineStr">
        <is>
          <t>Agnel Joseph (CCP-EM</t>
        </is>
      </c>
      <c r="F953" s="11" t="inlineStr">
        <is>
          <t>16:38</t>
        </is>
      </c>
      <c r="G953" s="11" t="n">
        <v>0.28</v>
      </c>
      <c r="H953" s="12" t="inlineStr">
        <is>
          <t>★</t>
        </is>
      </c>
      <c r="I953" s="11" t="inlineStr">
        <is>
          <t>Not started</t>
        </is>
      </c>
      <c r="J953" s="13" t="n"/>
      <c r="K953" s="10" t="inlineStr"/>
      <c r="L953" s="14" t="inlineStr">
        <is>
          <t>▶ watch</t>
        </is>
      </c>
      <c r="M953" s="10" t="inlineStr">
        <is>
          <t>Baker et al. 2001, PNAS 98:10037 (APBS) · Jurrus et al. 2018, Protein Sci 27:112</t>
        </is>
      </c>
      <c r="N953" s="14" t="inlineStr">
        <is>
          <t>read ↗</t>
        </is>
      </c>
      <c r="O953" s="11" t="inlineStr">
        <is>
          <t>reading for G.6 Continuum electrostatics and mesosca</t>
        </is>
      </c>
      <c r="P953" s="10" t="inlineStr"/>
    </row>
    <row r="954">
      <c r="A954" s="15" t="n">
        <v>953</v>
      </c>
      <c r="B954" s="15" t="inlineStr">
        <is>
          <t>Part II - The Method Atlas</t>
        </is>
      </c>
      <c r="C954" s="16" t="inlineStr">
        <is>
          <t>Fitting models into density</t>
        </is>
      </c>
      <c r="D954" s="10" t="inlineStr">
        <is>
          <t>Recent developments in model fitting and validation (TEMPy</t>
        </is>
      </c>
      <c r="E954" s="10" t="inlineStr">
        <is>
          <t>Agnel Joseph (CCP-EM</t>
        </is>
      </c>
      <c r="F954" s="11" t="inlineStr">
        <is>
          <t>29:56</t>
        </is>
      </c>
      <c r="G954" s="11" t="n">
        <v>0.5</v>
      </c>
      <c r="H954" s="12" t="inlineStr"/>
      <c r="I954" s="11" t="inlineStr">
        <is>
          <t>Not started</t>
        </is>
      </c>
      <c r="J954" s="13" t="n"/>
      <c r="K954" s="10" t="inlineStr"/>
      <c r="L954" s="14" t="inlineStr">
        <is>
          <t>▶ watch</t>
        </is>
      </c>
      <c r="M954" s="10" t="inlineStr">
        <is>
          <t>Baker et al. 2001, PNAS 98:10037 (APBS) · Jurrus et al. 2018, Protein Sci 27:112</t>
        </is>
      </c>
      <c r="N954" s="14" t="inlineStr">
        <is>
          <t>read ↗</t>
        </is>
      </c>
      <c r="O954" s="11" t="inlineStr">
        <is>
          <t>reading for G.6 Continuum electrostatics and mesosca</t>
        </is>
      </c>
      <c r="P954" s="10" t="inlineStr"/>
    </row>
    <row r="955">
      <c r="A955" s="15" t="n">
        <v>954</v>
      </c>
      <c r="B955" s="15" t="inlineStr">
        <is>
          <t>Part II - The Method Atlas</t>
        </is>
      </c>
      <c r="C955" s="16" t="inlineStr">
        <is>
          <t>Fitting models into density</t>
        </is>
      </c>
      <c r="D955" s="10" t="inlineStr">
        <is>
          <t>Atomic flexible fitting - a full methods seminar</t>
        </is>
      </c>
      <c r="E955" s="10" t="inlineStr">
        <is>
          <t>SBBf Biophysics</t>
        </is>
      </c>
      <c r="F955" s="11" t="inlineStr">
        <is>
          <t>1:34:40</t>
        </is>
      </c>
      <c r="G955" s="11" t="n">
        <v>1.58</v>
      </c>
      <c r="H955" s="12" t="inlineStr"/>
      <c r="I955" s="11" t="inlineStr">
        <is>
          <t>Not started</t>
        </is>
      </c>
      <c r="J955" s="13" t="n"/>
      <c r="K955" s="10" t="inlineStr"/>
      <c r="L955" s="14" t="inlineStr">
        <is>
          <t>▶ watch</t>
        </is>
      </c>
      <c r="M955" s="10" t="inlineStr">
        <is>
          <t>Baker et al. 2001, PNAS 98:10037 (APBS) · Jurrus et al. 2018, Protein Sci 27:112</t>
        </is>
      </c>
      <c r="N955" s="14" t="inlineStr">
        <is>
          <t>read ↗</t>
        </is>
      </c>
      <c r="O955" s="11" t="inlineStr">
        <is>
          <t>reading for G.6 Continuum electrostatics and mesosca</t>
        </is>
      </c>
      <c r="P955" s="10" t="inlineStr"/>
    </row>
    <row r="956">
      <c r="A956" s="15" t="n">
        <v>955</v>
      </c>
      <c r="B956" s="15" t="inlineStr">
        <is>
          <t>Part II - The Method Atlas</t>
        </is>
      </c>
      <c r="C956" s="16" t="inlineStr">
        <is>
          <t>Fitting models into density</t>
        </is>
      </c>
      <c r="D956" s="10" t="inlineStr">
        <is>
          <t>Flexible fitting into cryo-EM maps, L20</t>
        </is>
      </c>
      <c r="E956" s="10" t="inlineStr">
        <is>
          <t>IISER Thiruvananthapuram</t>
        </is>
      </c>
      <c r="F956" s="11" t="inlineStr">
        <is>
          <t>1:07:15</t>
        </is>
      </c>
      <c r="G956" s="11" t="n">
        <v>1.12</v>
      </c>
      <c r="H956" s="12" t="inlineStr"/>
      <c r="I956" s="11" t="inlineStr">
        <is>
          <t>Not started</t>
        </is>
      </c>
      <c r="J956" s="13" t="n"/>
      <c r="K956" s="10" t="inlineStr"/>
      <c r="L956" s="14" t="inlineStr">
        <is>
          <t>▶ watch</t>
        </is>
      </c>
      <c r="M956" s="10" t="inlineStr">
        <is>
          <t>Baker et al. 2001, PNAS 98:10037 (APBS) · Jurrus et al. 2018, Protein Sci 27:112</t>
        </is>
      </c>
      <c r="N956" s="14" t="inlineStr">
        <is>
          <t>read ↗</t>
        </is>
      </c>
      <c r="O956" s="11" t="inlineStr">
        <is>
          <t>reading for G.6 Continuum electrostatics and mesosca</t>
        </is>
      </c>
      <c r="P956" s="10" t="inlineStr"/>
    </row>
    <row r="957">
      <c r="A957" s="15" t="n">
        <v>956</v>
      </c>
      <c r="B957" s="15" t="inlineStr">
        <is>
          <t>Part II - The Method Atlas</t>
        </is>
      </c>
      <c r="C957" s="16" t="inlineStr">
        <is>
          <t>Fitting models into density</t>
        </is>
      </c>
      <c r="D957" s="10" t="inlineStr">
        <is>
          <t>Flexible fitting into cryo-EM maps, L21</t>
        </is>
      </c>
      <c r="E957" s="10" t="inlineStr">
        <is>
          <t>IISER Thiruvananthapuram</t>
        </is>
      </c>
      <c r="F957" s="11" t="inlineStr">
        <is>
          <t>49:08</t>
        </is>
      </c>
      <c r="G957" s="11" t="n">
        <v>0.82</v>
      </c>
      <c r="H957" s="12" t="inlineStr"/>
      <c r="I957" s="11" t="inlineStr">
        <is>
          <t>Not started</t>
        </is>
      </c>
      <c r="J957" s="13" t="n"/>
      <c r="K957" s="10" t="inlineStr"/>
      <c r="L957" s="14" t="inlineStr">
        <is>
          <t>▶ watch</t>
        </is>
      </c>
      <c r="M957" s="10" t="inlineStr">
        <is>
          <t>Baker et al. 2001, PNAS 98:10037 (APBS) · Jurrus et al. 2018, Protein Sci 27:112</t>
        </is>
      </c>
      <c r="N957" s="14" t="inlineStr">
        <is>
          <t>read ↗</t>
        </is>
      </c>
      <c r="O957" s="11" t="inlineStr">
        <is>
          <t>reading for G.6 Continuum electrostatics and mesosca</t>
        </is>
      </c>
      <c r="P957" s="10" t="inlineStr"/>
    </row>
    <row r="958">
      <c r="A958" s="15" t="n">
        <v>957</v>
      </c>
      <c r="B958" s="15" t="inlineStr">
        <is>
          <t>Part II - The Method Atlas</t>
        </is>
      </c>
      <c r="C958" s="16" t="inlineStr">
        <is>
          <t>Fitting models into density</t>
        </is>
      </c>
      <c r="D958" s="10" t="inlineStr">
        <is>
          <t>Restraints in Phenix</t>
        </is>
      </c>
      <c r="E958" s="10" t="inlineStr">
        <is>
          <t>Phenix developers</t>
        </is>
      </c>
      <c r="F958" s="11" t="inlineStr">
        <is>
          <t>26:28</t>
        </is>
      </c>
      <c r="G958" s="11" t="n">
        <v>0.44</v>
      </c>
      <c r="H958" s="12" t="inlineStr"/>
      <c r="I958" s="11" t="inlineStr">
        <is>
          <t>Not started</t>
        </is>
      </c>
      <c r="J958" s="13" t="n"/>
      <c r="K958" s="10" t="inlineStr"/>
      <c r="L958" s="14" t="inlineStr">
        <is>
          <t>▶ watch</t>
        </is>
      </c>
      <c r="M958" s="10" t="inlineStr">
        <is>
          <t>Baker et al. 2001, PNAS 98:10037 (APBS) · Jurrus et al. 2018, Protein Sci 27:112</t>
        </is>
      </c>
      <c r="N958" s="14" t="inlineStr">
        <is>
          <t>read ↗</t>
        </is>
      </c>
      <c r="O958" s="11" t="inlineStr">
        <is>
          <t>reading for G.6 Continuum electrostatics and mesosca</t>
        </is>
      </c>
      <c r="P958" s="10" t="inlineStr"/>
    </row>
    <row r="959">
      <c r="A959" s="15" t="n">
        <v>958</v>
      </c>
      <c r="B959" s="15" t="inlineStr">
        <is>
          <t>Part II - The Method Atlas</t>
        </is>
      </c>
      <c r="C959" s="16" t="inlineStr">
        <is>
          <t>Prediction plus sparse restraints</t>
        </is>
      </c>
      <c r="D959" s="10" t="inlineStr">
        <is>
          <t>HUJI), 1:02:50</t>
        </is>
      </c>
      <c r="E959" s="10" t="inlineStr"/>
      <c r="F959" s="11" t="inlineStr">
        <is>
          <t>1:02:50</t>
        </is>
      </c>
      <c r="G959" s="11" t="n">
        <v>1.05</v>
      </c>
      <c r="H959" s="12" t="inlineStr"/>
      <c r="I959" s="11" t="inlineStr">
        <is>
          <t>Not started</t>
        </is>
      </c>
      <c r="J959" s="13" t="n"/>
      <c r="K959" s="10" t="inlineStr"/>
      <c r="L959" s="14" t="inlineStr">
        <is>
          <t>▶ watch</t>
        </is>
      </c>
      <c r="M959" s="10" t="inlineStr">
        <is>
          <t>Schneidman-Duhovny et al. 2016, NAR 44:W424 (FoXS/MultiFoXS) · Bernadó et al. 2007, JACS 129:5656 (EOM)</t>
        </is>
      </c>
      <c r="N959" s="14" t="inlineStr">
        <is>
          <t>read ↗</t>
        </is>
      </c>
      <c r="O959" s="11" t="inlineStr">
        <is>
          <t>section reading (2 of 4)</t>
        </is>
      </c>
      <c r="P959" s="10" t="inlineStr"/>
    </row>
    <row r="960">
      <c r="A960" s="15" t="n">
        <v>959</v>
      </c>
      <c r="B960" s="15" t="inlineStr">
        <is>
          <t>Part II - The Method Atlas</t>
        </is>
      </c>
      <c r="C960" s="16" t="inlineStr">
        <is>
          <t>Prediction plus sparse restraints</t>
        </is>
      </c>
      <c r="D960" s="10" t="inlineStr">
        <is>
          <t>Analyzing Flexible and Disordered Macromolecules with SAXS</t>
        </is>
      </c>
      <c r="E960" s="10" t="inlineStr"/>
      <c r="F960" s="11" t="inlineStr">
        <is>
          <t>44:55</t>
        </is>
      </c>
      <c r="G960" s="11" t="n">
        <v>0.75</v>
      </c>
      <c r="H960" s="12" t="inlineStr">
        <is>
          <t>★</t>
        </is>
      </c>
      <c r="I960" s="11" t="inlineStr">
        <is>
          <t>Not started</t>
        </is>
      </c>
      <c r="J960" s="13" t="n"/>
      <c r="K960" s="10" t="inlineStr"/>
      <c r="L960" s="14" t="inlineStr">
        <is>
          <t>▶ watch</t>
        </is>
      </c>
      <c r="M960" s="10" t="inlineStr">
        <is>
          <t>Schneidman-Duhovny et al. 2016, NAR 44:W424 (FoXS/MultiFoXS) · Bernadó et al. 2007, JACS 129:5656 (EOM)</t>
        </is>
      </c>
      <c r="N960" s="14" t="inlineStr">
        <is>
          <t>read ↗</t>
        </is>
      </c>
      <c r="O960" s="11" t="inlineStr">
        <is>
          <t>section reading (2 of 4)</t>
        </is>
      </c>
      <c r="P960" s="10" t="inlineStr"/>
    </row>
    <row r="961">
      <c r="A961" s="15" t="n">
        <v>960</v>
      </c>
      <c r="B961" s="15" t="inlineStr">
        <is>
          <t>Part II - The Method Atlas</t>
        </is>
      </c>
      <c r="C961" s="16" t="inlineStr">
        <is>
          <t>Prediction plus sparse restraints</t>
        </is>
      </c>
      <c r="D961" s="10" t="inlineStr">
        <is>
          <t>Cross-linking MS from the data-generation side</t>
        </is>
      </c>
      <c r="E961" s="10" t="inlineStr"/>
      <c r="F961" s="11" t="inlineStr">
        <is>
          <t>36:24</t>
        </is>
      </c>
      <c r="G961" s="11" t="n">
        <v>0.61</v>
      </c>
      <c r="H961" s="12" t="inlineStr">
        <is>
          <t>★</t>
        </is>
      </c>
      <c r="I961" s="11" t="inlineStr">
        <is>
          <t>Not started</t>
        </is>
      </c>
      <c r="J961" s="13" t="n"/>
      <c r="K961" s="10" t="inlineStr"/>
      <c r="L961" s="14" t="inlineStr">
        <is>
          <t>▶ watch</t>
        </is>
      </c>
      <c r="M961" s="10" t="inlineStr">
        <is>
          <t>Schneidman-Duhovny et al. 2016, NAR 44:W424 (FoXS/MultiFoXS) · Bernadó et al. 2007, JACS 129:5656 (EOM)</t>
        </is>
      </c>
      <c r="N961" s="14" t="inlineStr">
        <is>
          <t>read ↗</t>
        </is>
      </c>
      <c r="O961" s="11" t="inlineStr">
        <is>
          <t>section reading (2 of 4)</t>
        </is>
      </c>
      <c r="P961" s="10" t="inlineStr"/>
    </row>
    <row r="962">
      <c r="A962" s="15" t="n">
        <v>961</v>
      </c>
      <c r="B962" s="15" t="inlineStr">
        <is>
          <t>Part II - The Method Atlas</t>
        </is>
      </c>
      <c r="C962" s="16" t="inlineStr">
        <is>
          <t>Prediction plus sparse restraints</t>
        </is>
      </c>
      <c r="D962" s="10" t="inlineStr">
        <is>
          <t>Cross-linking MS from the data-generation side</t>
        </is>
      </c>
      <c r="E962" s="10" t="inlineStr"/>
      <c r="F962" s="11" t="inlineStr"/>
      <c r="G962" s="11" t="n">
        <v>0</v>
      </c>
      <c r="H962" s="12" t="inlineStr"/>
      <c r="I962" s="11" t="inlineStr">
        <is>
          <t>Not started</t>
        </is>
      </c>
      <c r="J962" s="13" t="n"/>
      <c r="K962" s="10" t="inlineStr"/>
      <c r="L962" s="14" t="inlineStr">
        <is>
          <t>▶ watch</t>
        </is>
      </c>
      <c r="M962" s="10" t="inlineStr">
        <is>
          <t>Schneidman-Duhovny et al. 2016, NAR 44:W424 (FoXS/MultiFoXS) · Bernadó et al. 2007, JACS 129:5656 (EOM)</t>
        </is>
      </c>
      <c r="N962" s="14" t="inlineStr">
        <is>
          <t>read ↗</t>
        </is>
      </c>
      <c r="O962" s="11" t="inlineStr">
        <is>
          <t>section reading (2 of 4)</t>
        </is>
      </c>
      <c r="P962" s="10" t="inlineStr"/>
    </row>
    <row r="963">
      <c r="A963" s="15" t="n">
        <v>962</v>
      </c>
      <c r="B963" s="15" t="inlineStr">
        <is>
          <t>Part II - The Method Atlas</t>
        </is>
      </c>
      <c r="C963" s="16" t="inlineStr">
        <is>
          <t>K.3 Combining prediction with sparse experimental data</t>
        </is>
      </c>
      <c r="D963" s="10" t="inlineStr">
        <is>
          <t>Inverse problems with experiment-guided AlphaFold</t>
        </is>
      </c>
      <c r="E963" s="10" t="inlineStr">
        <is>
          <t>Vedula &amp; Sellam, Technion (Valence</t>
        </is>
      </c>
      <c r="F963" s="11" t="inlineStr">
        <is>
          <t>47:55</t>
        </is>
      </c>
      <c r="G963" s="11" t="n">
        <v>0.8</v>
      </c>
      <c r="H963" s="12" t="inlineStr">
        <is>
          <t>★</t>
        </is>
      </c>
      <c r="I963" s="11" t="inlineStr">
        <is>
          <t>Not started</t>
        </is>
      </c>
      <c r="J963" s="13" t="n"/>
      <c r="K963" s="10" t="inlineStr"/>
      <c r="L963" s="14" t="inlineStr">
        <is>
          <t>▶ watch</t>
        </is>
      </c>
      <c r="M963" s="10" t="inlineStr">
        <is>
          <t>Hummer &amp; Köfinger 2015, JCP 143:243150 (Bayesian inference of ensembles - the correct way to combine simulation with averaged data) · Bonomi et al. 2017, Curr Opin Struct Biol 42:106 (metainference)</t>
        </is>
      </c>
      <c r="N963" s="14" t="inlineStr">
        <is>
          <t>read ↗</t>
        </is>
      </c>
      <c r="O963" s="11" t="inlineStr">
        <is>
          <t>section reading (2 of 4)</t>
        </is>
      </c>
      <c r="P963" s="10" t="inlineStr">
        <is>
          <t>Structure prediction, design and biomolecular foundation models</t>
        </is>
      </c>
    </row>
    <row r="964">
      <c r="A964" s="15" t="n">
        <v>963</v>
      </c>
      <c r="B964" s="15" t="inlineStr">
        <is>
          <t>Part II - The Method Atlas</t>
        </is>
      </c>
      <c r="C964" s="16" t="inlineStr">
        <is>
          <t>K.3 Combining prediction with sparse experimental data</t>
        </is>
      </c>
      <c r="D964" s="10" t="inlineStr">
        <is>
          <t>Learning millisecond protein dynamics from what is missing in NMR spectra</t>
        </is>
      </c>
      <c r="E964" s="10" t="inlineStr">
        <is>
          <t>El Nesr &amp; Wayment-Steele (ML4PE</t>
        </is>
      </c>
      <c r="F964" s="11" t="inlineStr">
        <is>
          <t>47:43</t>
        </is>
      </c>
      <c r="G964" s="11" t="n">
        <v>0.8</v>
      </c>
      <c r="H964" s="12" t="inlineStr">
        <is>
          <t>★</t>
        </is>
      </c>
      <c r="I964" s="11" t="inlineStr">
        <is>
          <t>Not started</t>
        </is>
      </c>
      <c r="J964" s="13" t="n"/>
      <c r="K964" s="10" t="inlineStr"/>
      <c r="L964" s="14" t="inlineStr">
        <is>
          <t>▶ watch</t>
        </is>
      </c>
      <c r="M964" s="10" t="inlineStr">
        <is>
          <t>Hummer &amp; Köfinger 2015, JCP 143:243150 (Bayesian inference of ensembles - the correct way to combine simulation with averaged data) · Bonomi et al. 2017, Curr Opin Struct Biol 42:106 (metainference)</t>
        </is>
      </c>
      <c r="N964" s="14" t="inlineStr">
        <is>
          <t>read ↗</t>
        </is>
      </c>
      <c r="O964" s="11" t="inlineStr">
        <is>
          <t>section reading (2 of 4)</t>
        </is>
      </c>
      <c r="P964" s="10" t="inlineStr">
        <is>
          <t>2025</t>
        </is>
      </c>
    </row>
    <row r="965">
      <c r="A965" s="15" t="n">
        <v>964</v>
      </c>
      <c r="B965" s="15" t="inlineStr">
        <is>
          <t>Part II - The Method Atlas</t>
        </is>
      </c>
      <c r="C965" s="16" t="inlineStr">
        <is>
          <t>K.3 Combining prediction with sparse experimental data</t>
        </is>
      </c>
      <c r="D965" s="10" t="inlineStr">
        <is>
          <t>El Nesr (BPDMC</t>
        </is>
      </c>
      <c r="E965" s="10" t="inlineStr">
        <is>
          <t>same, longer</t>
        </is>
      </c>
      <c r="F965" s="11" t="inlineStr">
        <is>
          <t>56:40</t>
        </is>
      </c>
      <c r="G965" s="11" t="n">
        <v>0.9399999999999999</v>
      </c>
      <c r="H965" s="12" t="inlineStr"/>
      <c r="I965" s="11" t="inlineStr">
        <is>
          <t>Not started</t>
        </is>
      </c>
      <c r="J965" s="13" t="n"/>
      <c r="K965" s="10" t="inlineStr"/>
      <c r="L965" s="14" t="inlineStr">
        <is>
          <t>▶ watch</t>
        </is>
      </c>
      <c r="M965" s="10" t="inlineStr">
        <is>
          <t>Hummer &amp; Köfinger 2015, JCP 143:243150 (Bayesian inference of ensembles - the correct way to combine simulation with averaged data) · Bonomi et al. 2017, Curr Opin Struct Biol 42:106 (metainference)</t>
        </is>
      </c>
      <c r="N965" s="14" t="inlineStr">
        <is>
          <t>read ↗</t>
        </is>
      </c>
      <c r="O965" s="11" t="inlineStr">
        <is>
          <t>section reading (2 of 4)</t>
        </is>
      </c>
      <c r="P965" s="10" t="inlineStr">
        <is>
          <t>2025</t>
        </is>
      </c>
    </row>
    <row r="966">
      <c r="A966" s="15" t="n">
        <v>965</v>
      </c>
      <c r="B966" s="15" t="inlineStr">
        <is>
          <t>Part II - The Method Atlas</t>
        </is>
      </c>
      <c r="C966" s="16" t="inlineStr">
        <is>
          <t>K.3 Combining prediction with sparse experimental data</t>
        </is>
      </c>
      <c r="D966" s="10" t="inlineStr">
        <is>
          <t>Exploring structural heterogeneity through cryoEM, cryoET and deep learning</t>
        </is>
      </c>
      <c r="E966" s="10" t="inlineStr">
        <is>
          <t>Joey Davis, MIT (BPDMC</t>
        </is>
      </c>
      <c r="F966" s="11" t="inlineStr">
        <is>
          <t>1:05:57</t>
        </is>
      </c>
      <c r="G966" s="11" t="n">
        <v>1.1</v>
      </c>
      <c r="H966" s="12" t="inlineStr"/>
      <c r="I966" s="11" t="inlineStr">
        <is>
          <t>Not started</t>
        </is>
      </c>
      <c r="J966" s="13" t="n"/>
      <c r="K966" s="10" t="inlineStr"/>
      <c r="L966" s="14" t="inlineStr">
        <is>
          <t>▶ watch</t>
        </is>
      </c>
      <c r="M966" s="10" t="inlineStr">
        <is>
          <t>Hummer &amp; Köfinger 2015, JCP 143:243150 (Bayesian inference of ensembles - the correct way to combine simulation with averaged data) · Bonomi et al. 2017, Curr Opin Struct Biol 42:106 (metainference)</t>
        </is>
      </c>
      <c r="N966" s="14" t="inlineStr">
        <is>
          <t>read ↗</t>
        </is>
      </c>
      <c r="O966" s="11" t="inlineStr">
        <is>
          <t>section reading (2 of 4)</t>
        </is>
      </c>
      <c r="P966" s="10" t="inlineStr">
        <is>
          <t>2023</t>
        </is>
      </c>
    </row>
    <row r="967">
      <c r="A967" s="15" t="n">
        <v>966</v>
      </c>
      <c r="B967" s="15" t="inlineStr">
        <is>
          <t>Part II - The Method Atlas</t>
        </is>
      </c>
      <c r="C967" s="16" t="inlineStr">
        <is>
          <t>L.1 The classical course</t>
        </is>
      </c>
      <c r="D967" s="10" t="inlineStr">
        <is>
          <t>Molecular Energies and Forces (part 2</t>
        </is>
      </c>
      <c r="E967" s="10" t="inlineStr"/>
      <c r="F967" s="11" t="inlineStr">
        <is>
          <t>58:49</t>
        </is>
      </c>
      <c r="G967" s="11" t="n">
        <v>0.98</v>
      </c>
      <c r="H967" s="12" t="inlineStr">
        <is>
          <t>★</t>
        </is>
      </c>
      <c r="I967" s="11" t="inlineStr">
        <is>
          <t>Not started</t>
        </is>
      </c>
      <c r="J967" s="13" t="n"/>
      <c r="K967" s="10" t="inlineStr"/>
      <c r="L967" s="14" t="inlineStr">
        <is>
          <t>▶ watch</t>
        </is>
      </c>
      <c r="M967" s="10" t="inlineStr">
        <is>
          <t>Hummer &amp; Köfinger 2015, JCP 143:243150 (Bayesian inference of ensembles - the correct way to combine simulation with averaged data) · Bonomi et al. 2017, Curr Opin Struct Biol 42:106 (metainference)</t>
        </is>
      </c>
      <c r="N967" s="14" t="inlineStr">
        <is>
          <t>read ↗</t>
        </is>
      </c>
      <c r="O967" s="11" t="inlineStr">
        <is>
          <t>reading for K.3 Combining prediction with sparse exp</t>
        </is>
      </c>
      <c r="P967" s="10" t="inlineStr">
        <is>
          <t>B.1 Jeffrey Gray - Computational Protein Structure Prediction and Design (JHU 540.414/614; Intro to Protein Structure Prediction and Design - 12 lectures</t>
        </is>
      </c>
    </row>
    <row r="968">
      <c r="A968" s="15" t="n">
        <v>967</v>
      </c>
      <c r="B968" s="15" t="inlineStr">
        <is>
          <t>Part II - The Method Atlas</t>
        </is>
      </c>
      <c r="C968" s="16" t="inlineStr">
        <is>
          <t>L.1 The classical course</t>
        </is>
      </c>
      <c r="D968" s="10" t="inlineStr">
        <is>
          <t>Molecular Energies and Forces (part 3</t>
        </is>
      </c>
      <c r="E968" s="10" t="inlineStr"/>
      <c r="F968" s="11" t="inlineStr">
        <is>
          <t>30:00</t>
        </is>
      </c>
      <c r="G968" s="11" t="n">
        <v>0.5</v>
      </c>
      <c r="H968" s="12" t="inlineStr"/>
      <c r="I968" s="11" t="inlineStr">
        <is>
          <t>Not started</t>
        </is>
      </c>
      <c r="J968" s="13" t="n"/>
      <c r="K968" s="10" t="inlineStr"/>
      <c r="L968" s="14" t="inlineStr">
        <is>
          <t>▶ watch</t>
        </is>
      </c>
      <c r="M968" s="10" t="inlineStr">
        <is>
          <t>Hummer &amp; Köfinger 2015, JCP 143:243150 (Bayesian inference of ensembles - the correct way to combine simulation with averaged data) · Bonomi et al. 2017, Curr Opin Struct Biol 42:106 (metainference)</t>
        </is>
      </c>
      <c r="N968" s="14" t="inlineStr">
        <is>
          <t>read ↗</t>
        </is>
      </c>
      <c r="O968" s="11" t="inlineStr">
        <is>
          <t>reading for K.3 Combining prediction with sparse exp</t>
        </is>
      </c>
      <c r="P968" s="10" t="inlineStr">
        <is>
          <t>B.1 Jeffrey Gray - Computational Protein Structure Prediction and Design (JHU 540.414/614; Intro to Protein Structure Prediction and Design - 12 lectures</t>
        </is>
      </c>
    </row>
    <row r="969">
      <c r="A969" s="15" t="n">
        <v>968</v>
      </c>
      <c r="B969" s="15" t="inlineStr">
        <is>
          <t>Part II - The Method Atlas</t>
        </is>
      </c>
      <c r="C969" s="16" t="inlineStr">
        <is>
          <t>L.1 The classical course</t>
        </is>
      </c>
      <c r="D969" s="10" t="inlineStr">
        <is>
          <t>Ab-Initio Protein Structure Prediction (part 1</t>
        </is>
      </c>
      <c r="E969" s="10" t="inlineStr"/>
      <c r="F969" s="11" t="inlineStr">
        <is>
          <t>1:11:07</t>
        </is>
      </c>
      <c r="G969" s="11" t="n">
        <v>1.19</v>
      </c>
      <c r="H969" s="12" t="inlineStr">
        <is>
          <t>★</t>
        </is>
      </c>
      <c r="I969" s="11" t="inlineStr">
        <is>
          <t>Not started</t>
        </is>
      </c>
      <c r="J969" s="13" t="n"/>
      <c r="K969" s="10" t="inlineStr"/>
      <c r="L969" s="14" t="inlineStr">
        <is>
          <t>▶ watch</t>
        </is>
      </c>
      <c r="M969" s="10" t="inlineStr">
        <is>
          <t>Hummer &amp; Köfinger 2015, JCP 143:243150 (Bayesian inference of ensembles - the correct way to combine simulation with averaged data) · Bonomi et al. 2017, Curr Opin Struct Biol 42:106 (metainference)</t>
        </is>
      </c>
      <c r="N969" s="14" t="inlineStr">
        <is>
          <t>read ↗</t>
        </is>
      </c>
      <c r="O969" s="11" t="inlineStr">
        <is>
          <t>reading for K.3 Combining prediction with sparse exp</t>
        </is>
      </c>
      <c r="P969" s="10" t="inlineStr">
        <is>
          <t>B.1 Jeffrey Gray - Computational Protein Structure Prediction and Design (JHU 540.414/614; Intro to Protein Structure Prediction and Design - 12 lectures</t>
        </is>
      </c>
    </row>
    <row r="970">
      <c r="A970" s="15" t="n">
        <v>969</v>
      </c>
      <c r="B970" s="15" t="inlineStr">
        <is>
          <t>Part II - The Method Atlas</t>
        </is>
      </c>
      <c r="C970" s="16" t="inlineStr">
        <is>
          <t>L.1 The classical course</t>
        </is>
      </c>
      <c r="D970" s="10" t="inlineStr">
        <is>
          <t>Ab-Initio Protein Structure Prediction (part 2</t>
        </is>
      </c>
      <c r="E970" s="10" t="inlineStr"/>
      <c r="F970" s="11" t="inlineStr">
        <is>
          <t>33:23</t>
        </is>
      </c>
      <c r="G970" s="11" t="n">
        <v>0.5600000000000001</v>
      </c>
      <c r="H970" s="12" t="inlineStr"/>
      <c r="I970" s="11" t="inlineStr">
        <is>
          <t>Not started</t>
        </is>
      </c>
      <c r="J970" s="13" t="n"/>
      <c r="K970" s="10" t="inlineStr"/>
      <c r="L970" s="14" t="inlineStr">
        <is>
          <t>▶ watch</t>
        </is>
      </c>
      <c r="M970" s="10" t="inlineStr">
        <is>
          <t>Hummer &amp; Köfinger 2015, JCP 143:243150 (Bayesian inference of ensembles - the correct way to combine simulation with averaged data) · Bonomi et al. 2017, Curr Opin Struct Biol 42:106 (metainference)</t>
        </is>
      </c>
      <c r="N970" s="14" t="inlineStr">
        <is>
          <t>read ↗</t>
        </is>
      </c>
      <c r="O970" s="11" t="inlineStr">
        <is>
          <t>reading for K.3 Combining prediction with sparse exp</t>
        </is>
      </c>
      <c r="P970" s="10" t="inlineStr">
        <is>
          <t>B.1 Jeffrey Gray - Computational Protein Structure Prediction and Design (JHU 540.414/614; Intro to Protein Structure Prediction and Design - 12 lectures</t>
        </is>
      </c>
    </row>
    <row r="971">
      <c r="A971" s="15" t="n">
        <v>970</v>
      </c>
      <c r="B971" s="15" t="inlineStr">
        <is>
          <t>Part II - The Method Atlas</t>
        </is>
      </c>
      <c r="C971" s="16" t="inlineStr">
        <is>
          <t>L.1 The classical course</t>
        </is>
      </c>
      <c r="D971" s="10" t="inlineStr">
        <is>
          <t>Refinement of Protein Structures</t>
        </is>
      </c>
      <c r="E971" s="10" t="inlineStr"/>
      <c r="F971" s="11" t="inlineStr">
        <is>
          <t>1:06:11</t>
        </is>
      </c>
      <c r="G971" s="11" t="n">
        <v>1.1</v>
      </c>
      <c r="H971" s="12" t="inlineStr"/>
      <c r="I971" s="11" t="inlineStr">
        <is>
          <t>Not started</t>
        </is>
      </c>
      <c r="J971" s="13" t="n"/>
      <c r="K971" s="10" t="inlineStr"/>
      <c r="L971" s="14" t="inlineStr">
        <is>
          <t>▶ watch</t>
        </is>
      </c>
      <c r="M971" s="10" t="inlineStr">
        <is>
          <t>Hummer &amp; Köfinger 2015, JCP 143:243150 (Bayesian inference of ensembles - the correct way to combine simulation with averaged data) · Bonomi et al. 2017, Curr Opin Struct Biol 42:106 (metainference)</t>
        </is>
      </c>
      <c r="N971" s="14" t="inlineStr">
        <is>
          <t>read ↗</t>
        </is>
      </c>
      <c r="O971" s="11" t="inlineStr">
        <is>
          <t>reading for K.3 Combining prediction with sparse exp</t>
        </is>
      </c>
      <c r="P971" s="10" t="inlineStr">
        <is>
          <t>B.1 Jeffrey Gray - Computational Protein Structure Prediction and Design (JHU 540.414/614; Intro to Protein Structure Prediction and Design - 12 lectures</t>
        </is>
      </c>
    </row>
    <row r="972">
      <c r="A972" s="15" t="n">
        <v>971</v>
      </c>
      <c r="B972" s="15" t="inlineStr">
        <is>
          <t>Part II - The Method Atlas</t>
        </is>
      </c>
      <c r="C972" s="16" t="inlineStr">
        <is>
          <t>L.1 The classical course</t>
        </is>
      </c>
      <c r="D972" s="10" t="inlineStr">
        <is>
          <t>Protein-Protein Docking</t>
        </is>
      </c>
      <c r="E972" s="10" t="inlineStr">
        <is>
          <t>Jeffrey Gray (JHU</t>
        </is>
      </c>
      <c r="F972" s="11" t="inlineStr">
        <is>
          <t>54:42</t>
        </is>
      </c>
      <c r="G972" s="11" t="n">
        <v>0.91</v>
      </c>
      <c r="H972" s="12" t="inlineStr"/>
      <c r="I972" s="11" t="inlineStr">
        <is>
          <t>Not started</t>
        </is>
      </c>
      <c r="J972" s="13" t="n"/>
      <c r="K972" s="10" t="inlineStr"/>
      <c r="L972" s="14" t="inlineStr">
        <is>
          <t>▶ watch</t>
        </is>
      </c>
      <c r="M972" s="10" t="inlineStr">
        <is>
          <t>Gray et al. 2003, JMB 331:281 (RosettaDock)</t>
        </is>
      </c>
      <c r="N972" s="14" t="inlineStr">
        <is>
          <t>read ↗</t>
        </is>
      </c>
      <c r="O972" s="11" t="inlineStr">
        <is>
          <t>paired reading</t>
        </is>
      </c>
      <c r="P972" s="10" t="inlineStr">
        <is>
          <t>B.1 Jeffrey Gray - Computational Protein Structure Prediction and Design (JHU 540.414/614; Intro to Protein Structure Prediction and Design - 12 lectures; M.2 Protein-protein and information-driven docking</t>
        </is>
      </c>
    </row>
    <row r="973">
      <c r="A973" s="15" t="n">
        <v>972</v>
      </c>
      <c r="B973" s="15" t="inlineStr">
        <is>
          <t>Part II - The Method Atlas</t>
        </is>
      </c>
      <c r="C973" s="16" t="inlineStr">
        <is>
          <t>L.1 The classical course</t>
        </is>
      </c>
      <c r="D973" s="10" t="inlineStr">
        <is>
          <t>Loop Modeling</t>
        </is>
      </c>
      <c r="E973" s="10" t="inlineStr"/>
      <c r="F973" s="11" t="inlineStr">
        <is>
          <t>50:46</t>
        </is>
      </c>
      <c r="G973" s="11" t="n">
        <v>0.85</v>
      </c>
      <c r="H973" s="12" t="inlineStr"/>
      <c r="I973" s="11" t="inlineStr">
        <is>
          <t>Not started</t>
        </is>
      </c>
      <c r="J973" s="13" t="n"/>
      <c r="K973" s="10" t="inlineStr"/>
      <c r="L973" s="14" t="inlineStr">
        <is>
          <t>▶ watch</t>
        </is>
      </c>
      <c r="M973" s="10" t="inlineStr">
        <is>
          <t>Hummer &amp; Köfinger 2015, JCP 143:243150 (Bayesian inference of ensembles - the correct way to combine simulation with averaged data) · Bonomi et al. 2017, Curr Opin Struct Biol 42:106 (metainference)</t>
        </is>
      </c>
      <c r="N973" s="14" t="inlineStr">
        <is>
          <t>read ↗</t>
        </is>
      </c>
      <c r="O973" s="11" t="inlineStr">
        <is>
          <t>reading for K.3 Combining prediction with sparse exp</t>
        </is>
      </c>
      <c r="P973" s="10" t="inlineStr">
        <is>
          <t>B.1 Jeffrey Gray - Computational Protein Structure Prediction and Design (JHU 540.414/614; Intro to Protein Structure Prediction and Design - 12 lectures</t>
        </is>
      </c>
    </row>
    <row r="974">
      <c r="A974" s="15" t="n">
        <v>973</v>
      </c>
      <c r="B974" s="15" t="inlineStr">
        <is>
          <t>Part II - The Method Atlas</t>
        </is>
      </c>
      <c r="C974" s="16" t="inlineStr">
        <is>
          <t>L.1 The classical course</t>
        </is>
      </c>
      <c r="D974" s="10" t="inlineStr">
        <is>
          <t>Non-Protein Molecules in Rosetta (Jason Labonte</t>
        </is>
      </c>
      <c r="E974" s="10" t="inlineStr"/>
      <c r="F974" s="11" t="inlineStr">
        <is>
          <t>44:22</t>
        </is>
      </c>
      <c r="G974" s="11" t="n">
        <v>0.74</v>
      </c>
      <c r="H974" s="12" t="inlineStr"/>
      <c r="I974" s="11" t="inlineStr">
        <is>
          <t>Not started</t>
        </is>
      </c>
      <c r="J974" s="13" t="n"/>
      <c r="K974" s="10" t="inlineStr"/>
      <c r="L974" s="14" t="inlineStr">
        <is>
          <t>▶ watch</t>
        </is>
      </c>
      <c r="M974" s="10" t="inlineStr">
        <is>
          <t>Hummer &amp; Köfinger 2015, JCP 143:243150 (Bayesian inference of ensembles - the correct way to combine simulation with averaged data) · Bonomi et al. 2017, Curr Opin Struct Biol 42:106 (metainference)</t>
        </is>
      </c>
      <c r="N974" s="14" t="inlineStr">
        <is>
          <t>read ↗</t>
        </is>
      </c>
      <c r="O974" s="11" t="inlineStr">
        <is>
          <t>reading for K.3 Combining prediction with sparse exp</t>
        </is>
      </c>
      <c r="P974" s="10" t="inlineStr">
        <is>
          <t>B.1 Jeffrey Gray - Computational Protein Structure Prediction and Design (JHU 540.414/614; Intro to Protein Structure Prediction and Design - 12 lectures</t>
        </is>
      </c>
    </row>
    <row r="975">
      <c r="A975" s="15" t="n">
        <v>974</v>
      </c>
      <c r="B975" s="15" t="inlineStr">
        <is>
          <t>Part II - The Method Atlas</t>
        </is>
      </c>
      <c r="C975" s="16" t="inlineStr">
        <is>
          <t>L.1 The classical course</t>
        </is>
      </c>
      <c r="D975" s="10" t="inlineStr">
        <is>
          <t>Modeling Membrane Protein Structure (Julia Koehler Leman</t>
        </is>
      </c>
      <c r="E975" s="10" t="inlineStr"/>
      <c r="F975" s="11" t="inlineStr">
        <is>
          <t>45:06</t>
        </is>
      </c>
      <c r="G975" s="11" t="n">
        <v>0.75</v>
      </c>
      <c r="H975" s="12" t="inlineStr"/>
      <c r="I975" s="11" t="inlineStr">
        <is>
          <t>Not started</t>
        </is>
      </c>
      <c r="J975" s="13" t="n"/>
      <c r="K975" s="10" t="inlineStr"/>
      <c r="L975" s="14" t="inlineStr">
        <is>
          <t>▶ watch</t>
        </is>
      </c>
      <c r="M975" s="10" t="inlineStr">
        <is>
          <t>Hummer &amp; Köfinger 2015, JCP 143:243150 (Bayesian inference of ensembles - the correct way to combine simulation with averaged data) · Bonomi et al. 2017, Curr Opin Struct Biol 42:106 (metainference)</t>
        </is>
      </c>
      <c r="N975" s="14" t="inlineStr">
        <is>
          <t>read ↗</t>
        </is>
      </c>
      <c r="O975" s="11" t="inlineStr">
        <is>
          <t>reading for K.3 Combining prediction with sparse exp</t>
        </is>
      </c>
      <c r="P975" s="10" t="inlineStr">
        <is>
          <t>B.1 Jeffrey Gray - Computational Protein Structure Prediction and Design (JHU 540.414/614; Intro to Protein Structure Prediction and Design - 12 lectures</t>
        </is>
      </c>
    </row>
    <row r="976">
      <c r="A976" s="15" t="n">
        <v>975</v>
      </c>
      <c r="B976" s="15" t="inlineStr">
        <is>
          <t>Part II - The Method Atlas</t>
        </is>
      </c>
      <c r="C976" s="16" t="inlineStr">
        <is>
          <t>L.1 The classical course</t>
        </is>
      </c>
      <c r="D976" s="10" t="inlineStr">
        <is>
          <t>(see curriculum section)</t>
        </is>
      </c>
      <c r="E976" s="10" t="inlineStr">
        <is>
          <t>Jeff Gray (Johns Hopkins</t>
        </is>
      </c>
      <c r="F976" s="11" t="inlineStr">
        <is>
          <t>1:25:10</t>
        </is>
      </c>
      <c r="G976" s="11" t="n">
        <v>1.42</v>
      </c>
      <c r="H976" s="12" t="inlineStr">
        <is>
          <t>★</t>
        </is>
      </c>
      <c r="I976" s="11" t="inlineStr">
        <is>
          <t>Not started</t>
        </is>
      </c>
      <c r="J976" s="13" t="n"/>
      <c r="K976" s="10" t="inlineStr"/>
      <c r="L976" s="14" t="inlineStr">
        <is>
          <t>▶ watch</t>
        </is>
      </c>
      <c r="M976" s="10" t="inlineStr">
        <is>
          <t>Hummer &amp; Köfinger 2015, JCP 143:243150 (Bayesian inference of ensembles - the correct way to combine simulation with averaged data) · Bonomi et al. 2017, Curr Opin Struct Biol 42:106 (metainference)</t>
        </is>
      </c>
      <c r="N976" s="14" t="inlineStr">
        <is>
          <t>read ↗</t>
        </is>
      </c>
      <c r="O976" s="11" t="inlineStr">
        <is>
          <t>reading for K.3 Combining prediction with sparse exp</t>
        </is>
      </c>
      <c r="P976" s="10" t="inlineStr">
        <is>
          <t>2026; B.1 Jeffrey Gray - Computational Protein Structure Prediction and Design (JHU 540.414/614</t>
        </is>
      </c>
    </row>
    <row r="977">
      <c r="A977" s="15" t="n">
        <v>976</v>
      </c>
      <c r="B977" s="15" t="inlineStr">
        <is>
          <t>Part II - The Method Atlas</t>
        </is>
      </c>
      <c r="C977" s="16" t="inlineStr">
        <is>
          <t>L.2 Fragment assembly and the Rosetta energy function</t>
        </is>
      </c>
      <c r="D977" s="10" t="inlineStr">
        <is>
          <t>PyRosetta Score Functions</t>
        </is>
      </c>
      <c r="E977" s="10" t="inlineStr">
        <is>
          <t>RosettaCommons, 43:27</t>
        </is>
      </c>
      <c r="F977" s="11" t="inlineStr">
        <is>
          <t>43:27</t>
        </is>
      </c>
      <c r="G977" s="11" t="n">
        <v>0.72</v>
      </c>
      <c r="H977" s="12" t="inlineStr">
        <is>
          <t>★</t>
        </is>
      </c>
      <c r="I977" s="11" t="inlineStr">
        <is>
          <t>Not started</t>
        </is>
      </c>
      <c r="J977" s="13" t="n"/>
      <c r="K977" s="10" t="inlineStr"/>
      <c r="L977" s="14" t="inlineStr">
        <is>
          <t>▶ watch</t>
        </is>
      </c>
      <c r="M977" s="10" t="inlineStr">
        <is>
          <t>Alford et al. 2017, JCTC 13:3031</t>
        </is>
      </c>
      <c r="N977" s="14" t="inlineStr">
        <is>
          <t>read ↗</t>
        </is>
      </c>
      <c r="O977" s="11" t="inlineStr">
        <is>
          <t>paired reading</t>
        </is>
      </c>
      <c r="P977" s="10" t="inlineStr">
        <is>
          <t>RaMP Bootcamp 2023 - 12 videos (the PyRosetta core</t>
        </is>
      </c>
    </row>
    <row r="978">
      <c r="A978" s="15" t="n">
        <v>977</v>
      </c>
      <c r="B978" s="15" t="inlineStr">
        <is>
          <t>Part II - The Method Atlas</t>
        </is>
      </c>
      <c r="C978" s="16" t="inlineStr">
        <is>
          <t>L.2 Fragment assembly and the Rosetta energy function</t>
        </is>
      </c>
      <c r="D978" s="10" t="inlineStr">
        <is>
          <t>Designing with PyRosetta: Packing and Relaxing</t>
        </is>
      </c>
      <c r="E978" s="10" t="inlineStr">
        <is>
          <t>RosettaCommons, 37:22</t>
        </is>
      </c>
      <c r="F978" s="11" t="inlineStr">
        <is>
          <t>37:22</t>
        </is>
      </c>
      <c r="G978" s="11" t="n">
        <v>0.62</v>
      </c>
      <c r="H978" s="12" t="inlineStr"/>
      <c r="I978" s="11" t="inlineStr">
        <is>
          <t>Not started</t>
        </is>
      </c>
      <c r="J978" s="13" t="n"/>
      <c r="K978" s="10" t="inlineStr"/>
      <c r="L978" s="14" t="inlineStr">
        <is>
          <t>▶ watch</t>
        </is>
      </c>
      <c r="M978" s="10" t="inlineStr">
        <is>
          <t>Simons et al. 1997, J Mol Biol 268:209 (fragment assembly - the founding paper) · Rohl et al. 2004, Methods Enzymol 383:66 (protein structure prediction using Rosetta)</t>
        </is>
      </c>
      <c r="N978" s="14" t="inlineStr">
        <is>
          <t>read ↗</t>
        </is>
      </c>
      <c r="O978" s="11" t="inlineStr">
        <is>
          <t>section reading (2 of 7)</t>
        </is>
      </c>
      <c r="P978" s="10" t="inlineStr">
        <is>
          <t>RaMP Bootcamp 2023 - 12 videos (the PyRosetta core</t>
        </is>
      </c>
    </row>
    <row r="979">
      <c r="A979" s="15" t="n">
        <v>978</v>
      </c>
      <c r="B979" s="15" t="inlineStr">
        <is>
          <t>Part II - The Method Atlas</t>
        </is>
      </c>
      <c r="C979" s="16" t="inlineStr">
        <is>
          <t>L.2 Fragment assembly and the Rosetta energy function</t>
        </is>
      </c>
      <c r="D979" s="10" t="inlineStr">
        <is>
          <t>Introduction to Constraints in Rosetta</t>
        </is>
      </c>
      <c r="E979" s="10" t="inlineStr">
        <is>
          <t>RosettaCommons, 29:36</t>
        </is>
      </c>
      <c r="F979" s="11" t="inlineStr">
        <is>
          <t>29:36</t>
        </is>
      </c>
      <c r="G979" s="11" t="n">
        <v>0.49</v>
      </c>
      <c r="H979" s="12" t="inlineStr"/>
      <c r="I979" s="11" t="inlineStr">
        <is>
          <t>Not started</t>
        </is>
      </c>
      <c r="J979" s="13" t="n"/>
      <c r="K979" s="10" t="inlineStr"/>
      <c r="L979" s="14" t="inlineStr">
        <is>
          <t>▶ watch</t>
        </is>
      </c>
      <c r="M979" s="10" t="inlineStr">
        <is>
          <t>Simons et al. 1997, J Mol Biol 268:209 (fragment assembly - the founding paper) · Rohl et al. 2004, Methods Enzymol 383:66 (protein structure prediction using Rosetta)</t>
        </is>
      </c>
      <c r="N979" s="14" t="inlineStr">
        <is>
          <t>read ↗</t>
        </is>
      </c>
      <c r="O979" s="11" t="inlineStr">
        <is>
          <t>section reading (2 of 7)</t>
        </is>
      </c>
      <c r="P979" s="10" t="inlineStr">
        <is>
          <t>RaMP Bootcamp 2023 - 12 videos (the PyRosetta core</t>
        </is>
      </c>
    </row>
    <row r="980">
      <c r="A980" s="15" t="n">
        <v>979</v>
      </c>
      <c r="B980" s="15" t="inlineStr">
        <is>
          <t>Part II - The Method Atlas</t>
        </is>
      </c>
      <c r="C980" s="16" t="inlineStr">
        <is>
          <t>L.2 Fragment assembly and the Rosetta energy function</t>
        </is>
      </c>
      <c r="D980" s="10" t="inlineStr">
        <is>
          <t>RosettaCommons, 36:53</t>
        </is>
      </c>
      <c r="E980" s="10" t="inlineStr">
        <is>
          <t>Fold trees explained</t>
        </is>
      </c>
      <c r="F980" s="11" t="inlineStr">
        <is>
          <t>36:53</t>
        </is>
      </c>
      <c r="G980" s="11" t="n">
        <v>0.61</v>
      </c>
      <c r="H980" s="12" t="inlineStr">
        <is>
          <t>★</t>
        </is>
      </c>
      <c r="I980" s="11" t="inlineStr">
        <is>
          <t>Not started</t>
        </is>
      </c>
      <c r="J980" s="13" t="n"/>
      <c r="K980" s="10" t="inlineStr"/>
      <c r="L980" s="14" t="inlineStr">
        <is>
          <t>▶ watch</t>
        </is>
      </c>
      <c r="M980" s="10" t="inlineStr">
        <is>
          <t>Simons et al. 1997, J Mol Biol 268:209 (fragment assembly - the founding paper) · Rohl et al. 2004, Methods Enzymol 383:66 (protein structure prediction using Rosetta)</t>
        </is>
      </c>
      <c r="N980" s="14" t="inlineStr">
        <is>
          <t>read ↗</t>
        </is>
      </c>
      <c r="O980" s="11" t="inlineStr">
        <is>
          <t>section reading (2 of 7)</t>
        </is>
      </c>
      <c r="P980" s="10" t="inlineStr">
        <is>
          <t>Rosetta++ Bootcamp (2026) - 20 videos</t>
        </is>
      </c>
    </row>
    <row r="981">
      <c r="A981" s="15" t="n">
        <v>980</v>
      </c>
      <c r="B981" s="15" t="inlineStr">
        <is>
          <t>Part II - The Method Atlas</t>
        </is>
      </c>
      <c r="C981" s="16" t="inlineStr">
        <is>
          <t>L.2 Fragment assembly and the Rosetta energy function</t>
        </is>
      </c>
      <c r="D981" s="10" t="inlineStr">
        <is>
          <t>Rosetta 101 / Rosetta 201 (IPD TV</t>
        </is>
      </c>
      <c r="E981" s="10" t="inlineStr">
        <is>
          <t>58:11 / 1:15:08</t>
        </is>
      </c>
      <c r="F981" s="11" t="inlineStr">
        <is>
          <t>58:11</t>
        </is>
      </c>
      <c r="G981" s="11" t="n">
        <v>0.97</v>
      </c>
      <c r="H981" s="12" t="inlineStr">
        <is>
          <t>★</t>
        </is>
      </c>
      <c r="I981" s="11" t="inlineStr">
        <is>
          <t>Not started</t>
        </is>
      </c>
      <c r="J981" s="13" t="n"/>
      <c r="K981" s="10" t="inlineStr"/>
      <c r="L981" s="14" t="inlineStr">
        <is>
          <t>▶ watch</t>
        </is>
      </c>
      <c r="M981" s="10" t="inlineStr">
        <is>
          <t>Simons et al. 1997, J Mol Biol 268:209 (fragment assembly - the founding paper) · Rohl et al. 2004, Methods Enzymol 383:66 (protein structure prediction using Rosetta)</t>
        </is>
      </c>
      <c r="N981" s="14" t="inlineStr">
        <is>
          <t>read ↗</t>
        </is>
      </c>
      <c r="O981" s="11" t="inlineStr">
        <is>
          <t>section reading (2 of 7)</t>
        </is>
      </c>
      <c r="P981" s="10" t="inlineStr">
        <is>
          <t>Introductory and IPD TV</t>
        </is>
      </c>
    </row>
    <row r="982">
      <c r="A982" s="15" t="n">
        <v>981</v>
      </c>
      <c r="B982" s="15" t="inlineStr">
        <is>
          <t>Part II - The Method Atlas</t>
        </is>
      </c>
      <c r="C982" s="16" t="inlineStr">
        <is>
          <t>L.2 Fragment assembly and the Rosetta energy function</t>
        </is>
      </c>
      <c r="D982" s="10" t="inlineStr">
        <is>
          <t>Rosetta 101 / Rosetta 201 (IPD TV</t>
        </is>
      </c>
      <c r="E982" s="10" t="inlineStr">
        <is>
          <t>58:11 / 1:15:08</t>
        </is>
      </c>
      <c r="F982" s="11" t="inlineStr">
        <is>
          <t>58:11</t>
        </is>
      </c>
      <c r="G982" s="11" t="n">
        <v>0.97</v>
      </c>
      <c r="H982" s="12" t="inlineStr">
        <is>
          <t>★</t>
        </is>
      </c>
      <c r="I982" s="11" t="inlineStr">
        <is>
          <t>Not started</t>
        </is>
      </c>
      <c r="J982" s="13" t="n"/>
      <c r="K982" s="10" t="inlineStr"/>
      <c r="L982" s="14" t="inlineStr">
        <is>
          <t>▶ watch</t>
        </is>
      </c>
      <c r="M982" s="10" t="inlineStr">
        <is>
          <t>Simons et al. 1997, J Mol Biol 268:209 (fragment assembly - the founding paper) · Rohl et al. 2004, Methods Enzymol 383:66 (protein structure prediction using Rosetta)</t>
        </is>
      </c>
      <c r="N982" s="14" t="inlineStr">
        <is>
          <t>read ↗</t>
        </is>
      </c>
      <c r="O982" s="11" t="inlineStr">
        <is>
          <t>section reading (2 of 7)</t>
        </is>
      </c>
      <c r="P982" s="10" t="inlineStr">
        <is>
          <t>Introductory and IPD TV</t>
        </is>
      </c>
    </row>
    <row r="983">
      <c r="A983" s="15" t="n">
        <v>982</v>
      </c>
      <c r="B983" s="15" t="inlineStr">
        <is>
          <t>Part II - The Method Atlas</t>
        </is>
      </c>
      <c r="C983" s="16" t="inlineStr">
        <is>
          <t>M.1 Protein-ligand docking</t>
        </is>
      </c>
      <c r="D983" s="10" t="inlineStr">
        <is>
          <t>AutoDock Introduction</t>
        </is>
      </c>
      <c r="E983" s="10" t="inlineStr">
        <is>
          <t>CCPBioSim</t>
        </is>
      </c>
      <c r="F983" s="11" t="inlineStr">
        <is>
          <t>55:00</t>
        </is>
      </c>
      <c r="G983" s="11" t="n">
        <v>0.92</v>
      </c>
      <c r="H983" s="12" t="inlineStr"/>
      <c r="I983" s="11" t="inlineStr">
        <is>
          <t>Not started</t>
        </is>
      </c>
      <c r="J983" s="13" t="n"/>
      <c r="K983" s="10" t="inlineStr"/>
      <c r="L983" s="14" t="inlineStr">
        <is>
          <t>▶ watch</t>
        </is>
      </c>
      <c r="M983" s="10" t="inlineStr">
        <is>
          <t>Simons et al. 1997, J Mol Biol 268:209 (fragment assembly - the founding paper) · Rohl et al. 2004, Methods Enzymol 383:66 (protein structure prediction using Rosetta)</t>
        </is>
      </c>
      <c r="N983" s="14" t="inlineStr">
        <is>
          <t>read ↗</t>
        </is>
      </c>
      <c r="O983" s="11" t="inlineStr">
        <is>
          <t>reading for L.2 Fragment assembly and the Rosetta en</t>
        </is>
      </c>
      <c r="P983" s="10" t="inlineStr"/>
    </row>
    <row r="984">
      <c r="A984" s="15" t="n">
        <v>983</v>
      </c>
      <c r="B984" s="15" t="inlineStr">
        <is>
          <t>Part II - The Method Atlas</t>
        </is>
      </c>
      <c r="C984" s="16" t="inlineStr">
        <is>
          <t>M.1 Protein-ligand docking</t>
        </is>
      </c>
      <c r="D984" s="10" t="inlineStr">
        <is>
          <t>AutoDock Specialized Docking Methods</t>
        </is>
      </c>
      <c r="E984" s="10" t="inlineStr">
        <is>
          <t>CCPBioSim</t>
        </is>
      </c>
      <c r="F984" s="11" t="inlineStr">
        <is>
          <t>32:00</t>
        </is>
      </c>
      <c r="G984" s="11" t="n">
        <v>0.53</v>
      </c>
      <c r="H984" s="12" t="inlineStr"/>
      <c r="I984" s="11" t="inlineStr">
        <is>
          <t>Not started</t>
        </is>
      </c>
      <c r="J984" s="13" t="n"/>
      <c r="K984" s="10" t="inlineStr"/>
      <c r="L984" s="14" t="inlineStr">
        <is>
          <t>▶ watch</t>
        </is>
      </c>
      <c r="M984" s="10" t="inlineStr">
        <is>
          <t>Simons et al. 1997, J Mol Biol 268:209 (fragment assembly - the founding paper) · Rohl et al. 2004, Methods Enzymol 383:66 (protein structure prediction using Rosetta)</t>
        </is>
      </c>
      <c r="N984" s="14" t="inlineStr">
        <is>
          <t>read ↗</t>
        </is>
      </c>
      <c r="O984" s="11" t="inlineStr">
        <is>
          <t>reading for L.2 Fragment assembly and the Rosetta en</t>
        </is>
      </c>
      <c r="P984" s="10" t="inlineStr"/>
    </row>
    <row r="985">
      <c r="A985" s="15" t="n">
        <v>984</v>
      </c>
      <c r="B985" s="15" t="inlineStr">
        <is>
          <t>Part II - The Method Atlas</t>
        </is>
      </c>
      <c r="C985" s="16" t="inlineStr">
        <is>
          <t>M.1 Protein-ligand docking</t>
        </is>
      </c>
      <c r="D985" s="10" t="inlineStr">
        <is>
          <t>AutoDock CrankPep (peptide docking</t>
        </is>
      </c>
      <c r="E985" s="10" t="inlineStr">
        <is>
          <t>CCPBioSim</t>
        </is>
      </c>
      <c r="F985" s="11" t="inlineStr">
        <is>
          <t>48:00</t>
        </is>
      </c>
      <c r="G985" s="11" t="n">
        <v>0.8</v>
      </c>
      <c r="H985" s="12" t="inlineStr">
        <is>
          <t>★</t>
        </is>
      </c>
      <c r="I985" s="11" t="inlineStr">
        <is>
          <t>Not started</t>
        </is>
      </c>
      <c r="J985" s="13" t="n"/>
      <c r="K985" s="10" t="inlineStr"/>
      <c r="L985" s="14" t="inlineStr">
        <is>
          <t>▶ watch</t>
        </is>
      </c>
      <c r="M985" s="10" t="inlineStr">
        <is>
          <t>Simons et al. 1997, J Mol Biol 268:209 (fragment assembly - the founding paper) · Rohl et al. 2004, Methods Enzymol 383:66 (protein structure prediction using Rosetta)</t>
        </is>
      </c>
      <c r="N985" s="14" t="inlineStr">
        <is>
          <t>read ↗</t>
        </is>
      </c>
      <c r="O985" s="11" t="inlineStr">
        <is>
          <t>reading for L.2 Fragment assembly and the Rosetta en</t>
        </is>
      </c>
      <c r="P985" s="10" t="inlineStr"/>
    </row>
    <row r="986">
      <c r="A986" s="15" t="n">
        <v>985</v>
      </c>
      <c r="B986" s="15" t="inlineStr">
        <is>
          <t>Part II - The Method Atlas</t>
        </is>
      </c>
      <c r="C986" s="16" t="inlineStr">
        <is>
          <t>M.1 Protein-ligand docking</t>
        </is>
      </c>
      <c r="D986" s="10" t="inlineStr">
        <is>
          <t>How to Interpret Your Docking Scores: A Medicinal Chemistry Perspective</t>
        </is>
      </c>
      <c r="E986" s="10" t="inlineStr">
        <is>
          <t>CCPBioSim</t>
        </is>
      </c>
      <c r="F986" s="11" t="inlineStr">
        <is>
          <t>42:00</t>
        </is>
      </c>
      <c r="G986" s="11" t="n">
        <v>0.7</v>
      </c>
      <c r="H986" s="12" t="inlineStr">
        <is>
          <t>★</t>
        </is>
      </c>
      <c r="I986" s="11" t="inlineStr">
        <is>
          <t>Not started</t>
        </is>
      </c>
      <c r="J986" s="13" t="n"/>
      <c r="K986" s="10" t="inlineStr"/>
      <c r="L986" s="14" t="inlineStr">
        <is>
          <t>▶ watch</t>
        </is>
      </c>
      <c r="M986" s="10" t="inlineStr">
        <is>
          <t>Any docking-power vs scoring-power assessment</t>
        </is>
      </c>
      <c r="N986" s="14" t="inlineStr">
        <is>
          <t>read ↗</t>
        </is>
      </c>
      <c r="O986" s="11" t="inlineStr">
        <is>
          <t>paired reading</t>
        </is>
      </c>
      <c r="P986" s="10" t="inlineStr"/>
    </row>
    <row r="987">
      <c r="A987" s="15" t="n">
        <v>986</v>
      </c>
      <c r="B987" s="15" t="inlineStr">
        <is>
          <t>Part II - The Method Atlas</t>
        </is>
      </c>
      <c r="C987" s="16" t="inlineStr">
        <is>
          <t>M.1 Protein-ligand docking</t>
        </is>
      </c>
      <c r="D987" s="10" t="inlineStr">
        <is>
          <t>Finding New Drugs Using Computers</t>
        </is>
      </c>
      <c r="E987" s="10" t="inlineStr">
        <is>
          <t>Stefano Forli (Scripps</t>
        </is>
      </c>
      <c r="F987" s="11" t="inlineStr">
        <is>
          <t>52:00</t>
        </is>
      </c>
      <c r="G987" s="11" t="n">
        <v>0.87</v>
      </c>
      <c r="H987" s="12" t="inlineStr"/>
      <c r="I987" s="11" t="inlineStr">
        <is>
          <t>Not started</t>
        </is>
      </c>
      <c r="J987" s="13" t="n"/>
      <c r="K987" s="10" t="inlineStr"/>
      <c r="L987" s="14" t="inlineStr">
        <is>
          <t>▶ watch</t>
        </is>
      </c>
      <c r="M987" s="10" t="inlineStr">
        <is>
          <t>Simons et al. 1997, J Mol Biol 268:209 (fragment assembly - the founding paper) · Rohl et al. 2004, Methods Enzymol 383:66 (protein structure prediction using Rosetta)</t>
        </is>
      </c>
      <c r="N987" s="14" t="inlineStr">
        <is>
          <t>read ↗</t>
        </is>
      </c>
      <c r="O987" s="11" t="inlineStr">
        <is>
          <t>reading for L.2 Fragment assembly and the Rosetta en</t>
        </is>
      </c>
      <c r="P987" s="10" t="inlineStr"/>
    </row>
    <row r="988">
      <c r="A988" s="15" t="n">
        <v>987</v>
      </c>
      <c r="B988" s="15" t="inlineStr">
        <is>
          <t>Part II - The Method Atlas</t>
        </is>
      </c>
      <c r="C988" s="16" t="inlineStr">
        <is>
          <t>M.1 Protein-ligand docking</t>
        </is>
      </c>
      <c r="D988" s="10" t="inlineStr">
        <is>
          <t>Structure-Based Virtual Screening on the Cheap</t>
        </is>
      </c>
      <c r="E988" s="10" t="inlineStr">
        <is>
          <t>David Koes (Pittsburgh</t>
        </is>
      </c>
      <c r="F988" s="11" t="inlineStr">
        <is>
          <t>50:00</t>
        </is>
      </c>
      <c r="G988" s="11" t="n">
        <v>0.83</v>
      </c>
      <c r="H988" s="12" t="inlineStr"/>
      <c r="I988" s="11" t="inlineStr">
        <is>
          <t>Not started</t>
        </is>
      </c>
      <c r="J988" s="13" t="n"/>
      <c r="K988" s="10" t="inlineStr"/>
      <c r="L988" s="14" t="inlineStr">
        <is>
          <t>▶ watch</t>
        </is>
      </c>
      <c r="M988" s="10" t="inlineStr">
        <is>
          <t>Simons et al. 1997, J Mol Biol 268:209 (fragment assembly - the founding paper) · Rohl et al. 2004, Methods Enzymol 383:66 (protein structure prediction using Rosetta)</t>
        </is>
      </c>
      <c r="N988" s="14" t="inlineStr">
        <is>
          <t>read ↗</t>
        </is>
      </c>
      <c r="O988" s="11" t="inlineStr">
        <is>
          <t>reading for L.2 Fragment assembly and the Rosetta en</t>
        </is>
      </c>
      <c r="P988" s="10" t="inlineStr"/>
    </row>
    <row r="989">
      <c r="A989" s="15" t="n">
        <v>988</v>
      </c>
      <c r="B989" s="15" t="inlineStr">
        <is>
          <t>Part II - The Method Atlas</t>
        </is>
      </c>
      <c r="C989" s="16" t="inlineStr">
        <is>
          <t>M.1 Protein-ligand docking</t>
        </is>
      </c>
      <c r="D989" s="10" t="inlineStr">
        <is>
          <t>Intro to GOLD</t>
        </is>
      </c>
      <c r="E989" s="10" t="inlineStr">
        <is>
          <t>CCDC</t>
        </is>
      </c>
      <c r="F989" s="11" t="inlineStr">
        <is>
          <t>33:00</t>
        </is>
      </c>
      <c r="G989" s="11" t="n">
        <v>0.55</v>
      </c>
      <c r="H989" s="12" t="inlineStr"/>
      <c r="I989" s="11" t="inlineStr">
        <is>
          <t>Not started</t>
        </is>
      </c>
      <c r="J989" s="13" t="n"/>
      <c r="K989" s="10" t="inlineStr"/>
      <c r="L989" s="14" t="inlineStr">
        <is>
          <t>▶ watch</t>
        </is>
      </c>
      <c r="M989" s="10" t="inlineStr">
        <is>
          <t>Simons et al. 1997, J Mol Biol 268:209 (fragment assembly - the founding paper) · Rohl et al. 2004, Methods Enzymol 383:66 (protein structure prediction using Rosetta)</t>
        </is>
      </c>
      <c r="N989" s="14" t="inlineStr">
        <is>
          <t>read ↗</t>
        </is>
      </c>
      <c r="O989" s="11" t="inlineStr">
        <is>
          <t>reading for L.2 Fragment assembly and the Rosetta en</t>
        </is>
      </c>
      <c r="P989" s="10" t="inlineStr"/>
    </row>
    <row r="990">
      <c r="A990" s="15" t="n">
        <v>989</v>
      </c>
      <c r="B990" s="15" t="inlineStr">
        <is>
          <t>Part II - The Method Atlas</t>
        </is>
      </c>
      <c r="C990" s="16" t="inlineStr">
        <is>
          <t>M.1 Protein-ligand docking</t>
        </is>
      </c>
      <c r="D990" s="10" t="inlineStr">
        <is>
          <t>BioExcel #80: Protein and ligand flexibility in molecular docking</t>
        </is>
      </c>
      <c r="E990" s="10" t="inlineStr">
        <is>
          <t>BioExcel CoE</t>
        </is>
      </c>
      <c r="F990" s="11" t="inlineStr">
        <is>
          <t>58:00</t>
        </is>
      </c>
      <c r="G990" s="11" t="n">
        <v>0.97</v>
      </c>
      <c r="H990" s="12" t="inlineStr"/>
      <c r="I990" s="11" t="inlineStr">
        <is>
          <t>Not started</t>
        </is>
      </c>
      <c r="J990" s="13" t="n"/>
      <c r="K990" s="10" t="inlineStr"/>
      <c r="L990" s="14" t="inlineStr">
        <is>
          <t>▶ watch</t>
        </is>
      </c>
      <c r="M990" s="10" t="inlineStr">
        <is>
          <t>Simons et al. 1997, J Mol Biol 268:209 (fragment assembly - the founding paper) · Rohl et al. 2004, Methods Enzymol 383:66 (protein structure prediction using Rosetta)</t>
        </is>
      </c>
      <c r="N990" s="14" t="inlineStr">
        <is>
          <t>read ↗</t>
        </is>
      </c>
      <c r="O990" s="11" t="inlineStr">
        <is>
          <t>reading for L.2 Fragment assembly and the Rosetta en</t>
        </is>
      </c>
      <c r="P990" s="10" t="inlineStr"/>
    </row>
    <row r="991">
      <c r="A991" s="15" t="n">
        <v>990</v>
      </c>
      <c r="B991" s="15" t="inlineStr">
        <is>
          <t>Part II - The Method Atlas</t>
        </is>
      </c>
      <c r="C991" s="16" t="inlineStr">
        <is>
          <t>M.1 Protein-ligand docking</t>
        </is>
      </c>
      <c r="D991" s="10" t="inlineStr">
        <is>
          <t>Protein Ligand Interactions and Docking</t>
        </is>
      </c>
      <c r="E991" s="10" t="inlineStr">
        <is>
          <t>ROSTLAB (TU München</t>
        </is>
      </c>
      <c r="F991" s="11" t="inlineStr">
        <is>
          <t>1:24:00</t>
        </is>
      </c>
      <c r="G991" s="11" t="n">
        <v>1.4</v>
      </c>
      <c r="H991" s="12" t="inlineStr"/>
      <c r="I991" s="11" t="inlineStr">
        <is>
          <t>Not started</t>
        </is>
      </c>
      <c r="J991" s="13" t="n"/>
      <c r="K991" s="10" t="inlineStr"/>
      <c r="L991" s="14" t="inlineStr">
        <is>
          <t>▶ watch</t>
        </is>
      </c>
      <c r="M991" s="10" t="inlineStr">
        <is>
          <t>Simons et al. 1997, J Mol Biol 268:209 (fragment assembly - the founding paper) · Rohl et al. 2004, Methods Enzymol 383:66 (protein structure prediction using Rosetta)</t>
        </is>
      </c>
      <c r="N991" s="14" t="inlineStr">
        <is>
          <t>read ↗</t>
        </is>
      </c>
      <c r="O991" s="11" t="inlineStr">
        <is>
          <t>reading for L.2 Fragment assembly and the Rosetta en</t>
        </is>
      </c>
      <c r="P991" s="10" t="inlineStr"/>
    </row>
    <row r="992">
      <c r="A992" s="15" t="n">
        <v>991</v>
      </c>
      <c r="B992" s="15" t="inlineStr">
        <is>
          <t>Part II - The Method Atlas</t>
        </is>
      </c>
      <c r="C992" s="16" t="inlineStr">
        <is>
          <t>M.1 Protein-ligand docking</t>
        </is>
      </c>
      <c r="D992" s="10" t="inlineStr">
        <is>
          <t>Covalent Docking Screening Webinar</t>
        </is>
      </c>
      <c r="E992" s="10" t="inlineStr">
        <is>
          <t>MolSoft</t>
        </is>
      </c>
      <c r="F992" s="11" t="inlineStr">
        <is>
          <t>45:00</t>
        </is>
      </c>
      <c r="G992" s="11" t="n">
        <v>0.75</v>
      </c>
      <c r="H992" s="12" t="inlineStr"/>
      <c r="I992" s="11" t="inlineStr">
        <is>
          <t>Not started</t>
        </is>
      </c>
      <c r="J992" s="13" t="n"/>
      <c r="K992" s="10" t="inlineStr"/>
      <c r="L992" s="14" t="inlineStr">
        <is>
          <t>▶ watch</t>
        </is>
      </c>
      <c r="M992" s="10" t="inlineStr">
        <is>
          <t>Simons et al. 1997, J Mol Biol 268:209 (fragment assembly - the founding paper) · Rohl et al. 2004, Methods Enzymol 383:66 (protein structure prediction using Rosetta)</t>
        </is>
      </c>
      <c r="N992" s="14" t="inlineStr">
        <is>
          <t>read ↗</t>
        </is>
      </c>
      <c r="O992" s="11" t="inlineStr">
        <is>
          <t>reading for L.2 Fragment assembly and the Rosetta en</t>
        </is>
      </c>
      <c r="P992" s="10" t="inlineStr"/>
    </row>
    <row r="993">
      <c r="A993" s="15" t="n">
        <v>992</v>
      </c>
      <c r="B993" s="15" t="inlineStr">
        <is>
          <t>Part II - The Method Atlas</t>
        </is>
      </c>
      <c r="C993" s="16" t="inlineStr">
        <is>
          <t>M.1 Protein-ligand docking</t>
        </is>
      </c>
      <c r="D993" s="10" t="inlineStr">
        <is>
          <t>Ligand Docking Introduction (Rosetta Workshop 2020</t>
        </is>
      </c>
      <c r="E993" s="10" t="inlineStr">
        <is>
          <t>Meiler Lab</t>
        </is>
      </c>
      <c r="F993" s="11" t="inlineStr">
        <is>
          <t>24:00</t>
        </is>
      </c>
      <c r="G993" s="11" t="n">
        <v>0.4</v>
      </c>
      <c r="H993" s="12" t="inlineStr"/>
      <c r="I993" s="11" t="inlineStr">
        <is>
          <t>Not started</t>
        </is>
      </c>
      <c r="J993" s="13" t="n"/>
      <c r="K993" s="10" t="inlineStr"/>
      <c r="L993" s="14" t="inlineStr">
        <is>
          <t>▶ watch</t>
        </is>
      </c>
      <c r="M993" s="10" t="inlineStr">
        <is>
          <t>Simons et al. 1997, J Mol Biol 268:209 (fragment assembly - the founding paper) · Rohl et al. 2004, Methods Enzymol 383:66 (protein structure prediction using Rosetta)</t>
        </is>
      </c>
      <c r="N993" s="14" t="inlineStr">
        <is>
          <t>read ↗</t>
        </is>
      </c>
      <c r="O993" s="11" t="inlineStr">
        <is>
          <t>reading for L.2 Fragment assembly and the Rosetta en</t>
        </is>
      </c>
      <c r="P993" s="10" t="inlineStr"/>
    </row>
    <row r="994">
      <c r="A994" s="15" t="n">
        <v>993</v>
      </c>
      <c r="B994" s="15" t="inlineStr">
        <is>
          <t>Part II - The Method Atlas</t>
        </is>
      </c>
      <c r="C994" s="16" t="inlineStr">
        <is>
          <t>M.1 Protein-ligand docking</t>
        </is>
      </c>
      <c r="D994" s="10" t="inlineStr">
        <is>
          <t>The Rosetta Scorefunction</t>
        </is>
      </c>
      <c r="E994" s="10" t="inlineStr">
        <is>
          <t>Meiler Lab</t>
        </is>
      </c>
      <c r="F994" s="11" t="inlineStr">
        <is>
          <t>21:00</t>
        </is>
      </c>
      <c r="G994" s="11" t="n">
        <v>0.35</v>
      </c>
      <c r="H994" s="12" t="inlineStr">
        <is>
          <t>★</t>
        </is>
      </c>
      <c r="I994" s="11" t="inlineStr">
        <is>
          <t>Not started</t>
        </is>
      </c>
      <c r="J994" s="13" t="n"/>
      <c r="K994" s="10" t="inlineStr"/>
      <c r="L994" s="14" t="inlineStr">
        <is>
          <t>▶ watch</t>
        </is>
      </c>
      <c r="M994" s="10" t="inlineStr">
        <is>
          <t>Simons et al. 1997, J Mol Biol 268:209 (fragment assembly - the founding paper) · Rohl et al. 2004, Methods Enzymol 383:66 (protein structure prediction using Rosetta)</t>
        </is>
      </c>
      <c r="N994" s="14" t="inlineStr">
        <is>
          <t>read ↗</t>
        </is>
      </c>
      <c r="O994" s="11" t="inlineStr">
        <is>
          <t>reading for L.2 Fragment assembly and the Rosetta en</t>
        </is>
      </c>
      <c r="P994" s="10" t="inlineStr"/>
    </row>
    <row r="995">
      <c r="A995" s="15" t="n">
        <v>994</v>
      </c>
      <c r="B995" s="15" t="inlineStr">
        <is>
          <t>Part II - The Method Atlas</t>
        </is>
      </c>
      <c r="C995" s="16" t="inlineStr">
        <is>
          <t>M.1 Protein-ligand docking</t>
        </is>
      </c>
      <c r="D995" s="10" t="inlineStr">
        <is>
          <t>Flexible Induced Fit Docking and Screening</t>
        </is>
      </c>
      <c r="E995" s="10" t="inlineStr">
        <is>
          <t>MolSoft</t>
        </is>
      </c>
      <c r="F995" s="11" t="inlineStr">
        <is>
          <t>55:00</t>
        </is>
      </c>
      <c r="G995" s="11" t="n">
        <v>0.92</v>
      </c>
      <c r="H995" s="12" t="inlineStr"/>
      <c r="I995" s="11" t="inlineStr">
        <is>
          <t>Not started</t>
        </is>
      </c>
      <c r="J995" s="13" t="n"/>
      <c r="K995" s="10" t="inlineStr"/>
      <c r="L995" s="14" t="inlineStr">
        <is>
          <t>▶ watch</t>
        </is>
      </c>
      <c r="M995" s="10" t="inlineStr">
        <is>
          <t>Simons et al. 1997, J Mol Biol 268:209 (fragment assembly - the founding paper) · Rohl et al. 2004, Methods Enzymol 383:66 (protein structure prediction using Rosetta)</t>
        </is>
      </c>
      <c r="N995" s="14" t="inlineStr">
        <is>
          <t>read ↗</t>
        </is>
      </c>
      <c r="O995" s="11" t="inlineStr">
        <is>
          <t>reading for L.2 Fragment assembly and the Rosetta en</t>
        </is>
      </c>
      <c r="P995" s="10" t="inlineStr"/>
    </row>
    <row r="996">
      <c r="A996" s="15" t="n">
        <v>995</v>
      </c>
      <c r="B996" s="15" t="inlineStr">
        <is>
          <t>Part II - The Method Atlas</t>
        </is>
      </c>
      <c r="C996" s="16" t="inlineStr">
        <is>
          <t>M.2 Protein-protein and information-driven docking</t>
        </is>
      </c>
      <c r="D996" s="10" t="inlineStr">
        <is>
          <t>Basics of docking and introduction to HADDOCK</t>
        </is>
      </c>
      <c r="E996" s="10" t="inlineStr">
        <is>
          <t>BioExcel CoE</t>
        </is>
      </c>
      <c r="F996" s="11" t="inlineStr">
        <is>
          <t>1:07:00</t>
        </is>
      </c>
      <c r="G996" s="11" t="n">
        <v>1.12</v>
      </c>
      <c r="H996" s="12" t="inlineStr"/>
      <c r="I996" s="11" t="inlineStr">
        <is>
          <t>Not started</t>
        </is>
      </c>
      <c r="J996" s="13" t="n"/>
      <c r="K996" s="10" t="inlineStr"/>
      <c r="L996" s="14" t="inlineStr">
        <is>
          <t>▶ watch</t>
        </is>
      </c>
      <c r="M996" s="10" t="inlineStr">
        <is>
          <t>Simons et al. 1997, J Mol Biol 268:209 (fragment assembly - the founding paper) · Rohl et al. 2004, Methods Enzymol 383:66 (protein structure prediction using Rosetta)</t>
        </is>
      </c>
      <c r="N996" s="14" t="inlineStr">
        <is>
          <t>read ↗</t>
        </is>
      </c>
      <c r="O996" s="11" t="inlineStr">
        <is>
          <t>reading for L.2 Fragment assembly and the Rosetta en</t>
        </is>
      </c>
      <c r="P996" s="10" t="inlineStr"/>
    </row>
    <row r="997">
      <c r="A997" s="15" t="n">
        <v>996</v>
      </c>
      <c r="B997" s="15" t="inlineStr">
        <is>
          <t>Part II - The Method Atlas</t>
        </is>
      </c>
      <c r="C997" s="16" t="inlineStr">
        <is>
          <t>M.2 Protein-protein and information-driven docking</t>
        </is>
      </c>
      <c r="D997" s="10" t="inlineStr">
        <is>
          <t>WeNMR lecture on information-driven docking with HADDOCK</t>
        </is>
      </c>
      <c r="E997" s="10" t="inlineStr">
        <is>
          <t>Alexandre Bonvin (Utrecht</t>
        </is>
      </c>
      <c r="F997" s="11" t="inlineStr">
        <is>
          <t>1:38:00</t>
        </is>
      </c>
      <c r="G997" s="11" t="n">
        <v>1.63</v>
      </c>
      <c r="H997" s="12" t="inlineStr">
        <is>
          <t>★</t>
        </is>
      </c>
      <c r="I997" s="11" t="inlineStr">
        <is>
          <t>Not started</t>
        </is>
      </c>
      <c r="J997" s="13" t="n"/>
      <c r="K997" s="10" t="inlineStr"/>
      <c r="L997" s="14" t="inlineStr">
        <is>
          <t>▶ watch</t>
        </is>
      </c>
      <c r="M997" s="10" t="inlineStr">
        <is>
          <t>Simons et al. 1997, J Mol Biol 268:209 (fragment assembly - the founding paper) · Rohl et al. 2004, Methods Enzymol 383:66 (protein structure prediction using Rosetta)</t>
        </is>
      </c>
      <c r="N997" s="14" t="inlineStr">
        <is>
          <t>read ↗</t>
        </is>
      </c>
      <c r="O997" s="11" t="inlineStr">
        <is>
          <t>reading for L.2 Fragment assembly and the Rosetta en</t>
        </is>
      </c>
      <c r="P997" s="10" t="inlineStr"/>
    </row>
    <row r="998">
      <c r="A998" s="15" t="n">
        <v>997</v>
      </c>
      <c r="B998" s="15" t="inlineStr">
        <is>
          <t>Part II - The Method Atlas</t>
        </is>
      </c>
      <c r="C998" s="16" t="inlineStr">
        <is>
          <t>M.2 Protein-protein and information-driven docking</t>
        </is>
      </c>
      <c r="D998" s="10" t="inlineStr">
        <is>
          <t>HADDOCK lecture, CECAM BImBS2019</t>
        </is>
      </c>
      <c r="E998" s="10" t="inlineStr">
        <is>
          <t>Alexandre Bonvin</t>
        </is>
      </c>
      <c r="F998" s="11" t="inlineStr">
        <is>
          <t>1:48:00</t>
        </is>
      </c>
      <c r="G998" s="11" t="n">
        <v>1.8</v>
      </c>
      <c r="H998" s="12" t="inlineStr"/>
      <c r="I998" s="11" t="inlineStr">
        <is>
          <t>Not started</t>
        </is>
      </c>
      <c r="J998" s="13" t="n"/>
      <c r="K998" s="10" t="inlineStr"/>
      <c r="L998" s="14" t="inlineStr">
        <is>
          <t>▶ watch</t>
        </is>
      </c>
      <c r="M998" s="10" t="inlineStr">
        <is>
          <t>Simons et al. 1997, J Mol Biol 268:209 (fragment assembly - the founding paper) · Rohl et al. 2004, Methods Enzymol 383:66 (protein structure prediction using Rosetta)</t>
        </is>
      </c>
      <c r="N998" s="14" t="inlineStr">
        <is>
          <t>read ↗</t>
        </is>
      </c>
      <c r="O998" s="11" t="inlineStr">
        <is>
          <t>reading for L.2 Fragment assembly and the Rosetta en</t>
        </is>
      </c>
      <c r="P998" s="10" t="inlineStr"/>
    </row>
    <row r="999">
      <c r="A999" s="15" t="n">
        <v>998</v>
      </c>
      <c r="B999" s="15" t="inlineStr">
        <is>
          <t>Part II - The Method Atlas</t>
        </is>
      </c>
      <c r="C999" s="16" t="inlineStr">
        <is>
          <t>M.2 Protein-protein and information-driven docking</t>
        </is>
      </c>
      <c r="D999" s="10" t="inlineStr">
        <is>
          <t>BioExcel #46: The HADDOCK 2.4 server</t>
        </is>
      </c>
      <c r="E999" s="10" t="inlineStr">
        <is>
          <t>BioExcel CoE</t>
        </is>
      </c>
      <c r="F999" s="11" t="inlineStr">
        <is>
          <t>1:03:00</t>
        </is>
      </c>
      <c r="G999" s="11" t="n">
        <v>1.05</v>
      </c>
      <c r="H999" s="12" t="inlineStr"/>
      <c r="I999" s="11" t="inlineStr">
        <is>
          <t>Not started</t>
        </is>
      </c>
      <c r="J999" s="13" t="n"/>
      <c r="K999" s="10" t="inlineStr"/>
      <c r="L999" s="14" t="inlineStr">
        <is>
          <t>▶ watch</t>
        </is>
      </c>
      <c r="M999" s="10" t="inlineStr">
        <is>
          <t>Simons et al. 1997, J Mol Biol 268:209 (fragment assembly - the founding paper) · Rohl et al. 2004, Methods Enzymol 383:66 (protein structure prediction using Rosetta)</t>
        </is>
      </c>
      <c r="N999" s="14" t="inlineStr">
        <is>
          <t>read ↗</t>
        </is>
      </c>
      <c r="O999" s="11" t="inlineStr">
        <is>
          <t>reading for L.2 Fragment assembly and the Rosetta en</t>
        </is>
      </c>
      <c r="P999" s="10" t="inlineStr"/>
    </row>
    <row r="1000">
      <c r="A1000" s="15" t="n">
        <v>999</v>
      </c>
      <c r="B1000" s="15" t="inlineStr">
        <is>
          <t>Part II - The Method Atlas</t>
        </is>
      </c>
      <c r="C1000" s="16" t="inlineStr">
        <is>
          <t>M.2 Protein-protein and information-driven docking</t>
        </is>
      </c>
      <c r="D1000" s="10" t="inlineStr">
        <is>
          <t>BioExcel #67: Introducing HADDOCK3, modular integrative pipelines</t>
        </is>
      </c>
      <c r="E1000" s="10" t="inlineStr">
        <is>
          <t>BioExcel CoE</t>
        </is>
      </c>
      <c r="F1000" s="11" t="inlineStr">
        <is>
          <t>47:00</t>
        </is>
      </c>
      <c r="G1000" s="11" t="n">
        <v>0.78</v>
      </c>
      <c r="H1000" s="12" t="inlineStr"/>
      <c r="I1000" s="11" t="inlineStr">
        <is>
          <t>Not started</t>
        </is>
      </c>
      <c r="J1000" s="13" t="n"/>
      <c r="K1000" s="10" t="inlineStr"/>
      <c r="L1000" s="14" t="inlineStr">
        <is>
          <t>▶ watch</t>
        </is>
      </c>
      <c r="M1000" s="10" t="inlineStr">
        <is>
          <t>Simons et al. 1997, J Mol Biol 268:209 (fragment assembly - the founding paper) · Rohl et al. 2004, Methods Enzymol 383:66 (protein structure prediction using Rosetta)</t>
        </is>
      </c>
      <c r="N1000" s="14" t="inlineStr">
        <is>
          <t>read ↗</t>
        </is>
      </c>
      <c r="O1000" s="11" t="inlineStr">
        <is>
          <t>reading for L.2 Fragment assembly and the Rosetta en</t>
        </is>
      </c>
      <c r="P1000" s="10" t="inlineStr"/>
    </row>
    <row r="1001">
      <c r="A1001" s="15" t="n">
        <v>1000</v>
      </c>
      <c r="B1001" s="15" t="inlineStr">
        <is>
          <t>Part II - The Method Atlas</t>
        </is>
      </c>
      <c r="C1001" s="16" t="inlineStr">
        <is>
          <t>M.2 Protein-protein and information-driven docking</t>
        </is>
      </c>
      <c r="D1001" s="10" t="inlineStr">
        <is>
          <t>HADDOCK3 antibody-antigen tutorial</t>
        </is>
      </c>
      <c r="E1001" s="10" t="inlineStr">
        <is>
          <t>BioExcel CoE</t>
        </is>
      </c>
      <c r="F1001" s="11" t="inlineStr">
        <is>
          <t>1:35:00</t>
        </is>
      </c>
      <c r="G1001" s="11" t="n">
        <v>1.58</v>
      </c>
      <c r="H1001" s="12" t="inlineStr"/>
      <c r="I1001" s="11" t="inlineStr">
        <is>
          <t>Not started</t>
        </is>
      </c>
      <c r="J1001" s="13" t="n"/>
      <c r="K1001" s="10" t="inlineStr"/>
      <c r="L1001" s="14" t="inlineStr">
        <is>
          <t>▶ watch</t>
        </is>
      </c>
      <c r="M1001" s="10" t="inlineStr">
        <is>
          <t>Simons et al. 1997, J Mol Biol 268:209 (fragment assembly - the founding paper) · Rohl et al. 2004, Methods Enzymol 383:66 (protein structure prediction using Rosetta)</t>
        </is>
      </c>
      <c r="N1001" s="14" t="inlineStr">
        <is>
          <t>read ↗</t>
        </is>
      </c>
      <c r="O1001" s="11" t="inlineStr">
        <is>
          <t>reading for L.2 Fragment assembly and the Rosetta en</t>
        </is>
      </c>
      <c r="P1001" s="10" t="inlineStr"/>
    </row>
    <row r="1002">
      <c r="A1002" s="15" t="n">
        <v>1001</v>
      </c>
      <c r="B1002" s="15" t="inlineStr">
        <is>
          <t>Part II - The Method Atlas</t>
        </is>
      </c>
      <c r="C1002" s="16" t="inlineStr">
        <is>
          <t>M.2 Protein-protein and information-driven docking</t>
        </is>
      </c>
      <c r="D1002" s="10" t="inlineStr">
        <is>
          <t>BioExcel #1: Integrative modelling of complexes with HADDOCK</t>
        </is>
      </c>
      <c r="E1002" s="10" t="inlineStr">
        <is>
          <t>BioExcel CoE</t>
        </is>
      </c>
      <c r="F1002" s="11" t="inlineStr">
        <is>
          <t>57:00</t>
        </is>
      </c>
      <c r="G1002" s="11" t="n">
        <v>0.95</v>
      </c>
      <c r="H1002" s="12" t="inlineStr"/>
      <c r="I1002" s="11" t="inlineStr">
        <is>
          <t>Not started</t>
        </is>
      </c>
      <c r="J1002" s="13" t="n"/>
      <c r="K1002" s="10" t="inlineStr"/>
      <c r="L1002" s="14" t="inlineStr">
        <is>
          <t>▶ watch</t>
        </is>
      </c>
      <c r="M1002" s="10" t="inlineStr">
        <is>
          <t>Simons et al. 1997, J Mol Biol 268:209 (fragment assembly - the founding paper) · Rohl et al. 2004, Methods Enzymol 383:66 (protein structure prediction using Rosetta)</t>
        </is>
      </c>
      <c r="N1002" s="14" t="inlineStr">
        <is>
          <t>read ↗</t>
        </is>
      </c>
      <c r="O1002" s="11" t="inlineStr">
        <is>
          <t>reading for L.2 Fragment assembly and the Rosetta en</t>
        </is>
      </c>
      <c r="P1002" s="10" t="inlineStr"/>
    </row>
    <row r="1003">
      <c r="A1003" s="15" t="n">
        <v>1002</v>
      </c>
      <c r="B1003" s="15" t="inlineStr">
        <is>
          <t>Part II - The Method Atlas</t>
        </is>
      </c>
      <c r="C1003" s="16" t="inlineStr">
        <is>
          <t>M.2 Protein-protein and information-driven docking</t>
        </is>
      </c>
      <c r="D1003" s="10" t="inlineStr">
        <is>
          <t>BioExcel #36: Prediction of protein-protein interactions in CAPRI</t>
        </is>
      </c>
      <c r="E1003" s="10" t="inlineStr">
        <is>
          <t>BioExcel CoE</t>
        </is>
      </c>
      <c r="F1003" s="11" t="inlineStr">
        <is>
          <t>1:21:00</t>
        </is>
      </c>
      <c r="G1003" s="11" t="n">
        <v>1.35</v>
      </c>
      <c r="H1003" s="12" t="inlineStr">
        <is>
          <t>★</t>
        </is>
      </c>
      <c r="I1003" s="11" t="inlineStr">
        <is>
          <t>Not started</t>
        </is>
      </c>
      <c r="J1003" s="13" t="n"/>
      <c r="K1003" s="10" t="inlineStr"/>
      <c r="L1003" s="14" t="inlineStr">
        <is>
          <t>▶ watch</t>
        </is>
      </c>
      <c r="M1003" s="10" t="inlineStr">
        <is>
          <t>Simons et al. 1997, J Mol Biol 268:209 (fragment assembly - the founding paper) · Rohl et al. 2004, Methods Enzymol 383:66 (protein structure prediction using Rosetta)</t>
        </is>
      </c>
      <c r="N1003" s="14" t="inlineStr">
        <is>
          <t>read ↗</t>
        </is>
      </c>
      <c r="O1003" s="11" t="inlineStr">
        <is>
          <t>reading for L.2 Fragment assembly and the Rosetta en</t>
        </is>
      </c>
      <c r="P1003" s="10" t="inlineStr"/>
    </row>
    <row r="1004">
      <c r="A1004" s="15" t="n">
        <v>1003</v>
      </c>
      <c r="B1004" s="15" t="inlineStr">
        <is>
          <t>Part II - The Method Atlas</t>
        </is>
      </c>
      <c r="C1004" s="16" t="inlineStr">
        <is>
          <t>M.2 Protein-protein and information-driven docking</t>
        </is>
      </c>
      <c r="D1004" s="10" t="inlineStr">
        <is>
          <t>BioExcel #7: PRODIGY, predicting binding affinities in complexes</t>
        </is>
      </c>
      <c r="E1004" s="10" t="inlineStr">
        <is>
          <t>BioExcel CoE</t>
        </is>
      </c>
      <c r="F1004" s="11" t="inlineStr">
        <is>
          <t>44:00</t>
        </is>
      </c>
      <c r="G1004" s="11" t="n">
        <v>0.73</v>
      </c>
      <c r="H1004" s="12" t="inlineStr"/>
      <c r="I1004" s="11" t="inlineStr">
        <is>
          <t>Not started</t>
        </is>
      </c>
      <c r="J1004" s="13" t="n"/>
      <c r="K1004" s="10" t="inlineStr"/>
      <c r="L1004" s="14" t="inlineStr">
        <is>
          <t>▶ watch</t>
        </is>
      </c>
      <c r="M1004" s="10" t="inlineStr">
        <is>
          <t>Simons et al. 1997, J Mol Biol 268:209 (fragment assembly - the founding paper) · Rohl et al. 2004, Methods Enzymol 383:66 (protein structure prediction using Rosetta)</t>
        </is>
      </c>
      <c r="N1004" s="14" t="inlineStr">
        <is>
          <t>read ↗</t>
        </is>
      </c>
      <c r="O1004" s="11" t="inlineStr">
        <is>
          <t>reading for L.2 Fragment assembly and the Rosetta en</t>
        </is>
      </c>
      <c r="P1004" s="10" t="inlineStr"/>
    </row>
    <row r="1005">
      <c r="A1005" s="15" t="n">
        <v>1004</v>
      </c>
      <c r="B1005" s="15" t="inlineStr">
        <is>
          <t>Part II - The Method Atlas</t>
        </is>
      </c>
      <c r="C1005" s="16" t="inlineStr">
        <is>
          <t>M.2 Protein-protein and information-driven docking</t>
        </is>
      </c>
      <c r="D1005" s="10" t="inlineStr">
        <is>
          <t>Protein-Protein Docking Walkthrough</t>
        </is>
      </c>
      <c r="E1005" s="10" t="inlineStr">
        <is>
          <t>Meiler Lab</t>
        </is>
      </c>
      <c r="F1005" s="11" t="inlineStr">
        <is>
          <t>42:00</t>
        </is>
      </c>
      <c r="G1005" s="11" t="n">
        <v>0.7</v>
      </c>
      <c r="H1005" s="12" t="inlineStr"/>
      <c r="I1005" s="11" t="inlineStr">
        <is>
          <t>Not started</t>
        </is>
      </c>
      <c r="J1005" s="13" t="n"/>
      <c r="K1005" s="10" t="inlineStr"/>
      <c r="L1005" s="14" t="inlineStr">
        <is>
          <t>▶ watch</t>
        </is>
      </c>
      <c r="M1005" s="10" t="inlineStr">
        <is>
          <t>Simons et al. 1997, J Mol Biol 268:209 (fragment assembly - the founding paper) · Rohl et al. 2004, Methods Enzymol 383:66 (protein structure prediction using Rosetta)</t>
        </is>
      </c>
      <c r="N1005" s="14" t="inlineStr">
        <is>
          <t>read ↗</t>
        </is>
      </c>
      <c r="O1005" s="11" t="inlineStr">
        <is>
          <t>reading for L.2 Fragment assembly and the Rosetta en</t>
        </is>
      </c>
      <c r="P1005" s="10" t="inlineStr"/>
    </row>
    <row r="1006">
      <c r="A1006" s="15" t="n">
        <v>1005</v>
      </c>
      <c r="B1006" s="15" t="inlineStr">
        <is>
          <t>Part II - The Method Atlas</t>
        </is>
      </c>
      <c r="C1006" s="16" t="inlineStr">
        <is>
          <t>M.2 Protein-protein and information-driven docking</t>
        </is>
      </c>
      <c r="D1006" s="10" t="inlineStr">
        <is>
          <t>Juan Fernández-Recio (CSIC</t>
        </is>
      </c>
      <c r="E1006" s="10" t="inlineStr">
        <is>
          <t>pyDock</t>
        </is>
      </c>
      <c r="F1006" s="11" t="inlineStr">
        <is>
          <t>30:00</t>
        </is>
      </c>
      <c r="G1006" s="11" t="n">
        <v>0.5</v>
      </c>
      <c r="H1006" s="12" t="inlineStr"/>
      <c r="I1006" s="11" t="inlineStr">
        <is>
          <t>Not started</t>
        </is>
      </c>
      <c r="J1006" s="13" t="n"/>
      <c r="K1006" s="10" t="inlineStr"/>
      <c r="L1006" s="14" t="inlineStr">
        <is>
          <t>▶ watch</t>
        </is>
      </c>
      <c r="M1006" s="10" t="inlineStr">
        <is>
          <t>Simons et al. 1997, J Mol Biol 268:209 (fragment assembly - the founding paper) · Rohl et al. 2004, Methods Enzymol 383:66 (protein structure prediction using Rosetta)</t>
        </is>
      </c>
      <c r="N1006" s="14" t="inlineStr">
        <is>
          <t>read ↗</t>
        </is>
      </c>
      <c r="O1006" s="11" t="inlineStr">
        <is>
          <t>reading for L.2 Fragment assembly and the Rosetta en</t>
        </is>
      </c>
      <c r="P1006" s="10" t="inlineStr"/>
    </row>
    <row r="1007">
      <c r="A1007" s="15" t="n">
        <v>1006</v>
      </c>
      <c r="B1007" s="15" t="inlineStr">
        <is>
          <t>Part II - The Method Atlas</t>
        </is>
      </c>
      <c r="C1007" s="16" t="inlineStr">
        <is>
          <t>M.3 Virtual screening and cheminformatics</t>
        </is>
      </c>
      <c r="D1007" s="10" t="inlineStr">
        <is>
          <t>Jürgen Bajorath (Bonn</t>
        </is>
      </c>
      <c r="E1007" s="10" t="inlineStr">
        <is>
          <t>Strasbourg 2022</t>
        </is>
      </c>
      <c r="F1007" s="11" t="inlineStr">
        <is>
          <t>1:24:00</t>
        </is>
      </c>
      <c r="G1007" s="11" t="n">
        <v>1.4</v>
      </c>
      <c r="H1007" s="12" t="inlineStr"/>
      <c r="I1007" s="11" t="inlineStr">
        <is>
          <t>Not started</t>
        </is>
      </c>
      <c r="J1007" s="13" t="n"/>
      <c r="K1007" s="10" t="inlineStr"/>
      <c r="L1007" s="14" t="inlineStr">
        <is>
          <t>▶ watch</t>
        </is>
      </c>
      <c r="M1007" s="10" t="inlineStr">
        <is>
          <t>Simons et al. 1997, J Mol Biol 268:209 (fragment assembly - the founding paper) · Rohl et al. 2004, Methods Enzymol 383:66 (protein structure prediction using Rosetta)</t>
        </is>
      </c>
      <c r="N1007" s="14" t="inlineStr">
        <is>
          <t>read ↗</t>
        </is>
      </c>
      <c r="O1007" s="11" t="inlineStr">
        <is>
          <t>reading for L.2 Fragment assembly and the Rosetta en</t>
        </is>
      </c>
      <c r="P1007" s="10" t="inlineStr"/>
    </row>
    <row r="1008">
      <c r="A1008" s="15" t="n">
        <v>1007</v>
      </c>
      <c r="B1008" s="15" t="inlineStr">
        <is>
          <t>Part II - The Method Atlas</t>
        </is>
      </c>
      <c r="C1008" s="16" t="inlineStr">
        <is>
          <t>M.3 Virtual screening and cheminformatics</t>
        </is>
      </c>
      <c r="D1008" s="10" t="inlineStr">
        <is>
          <t>Alexander Tropsha (UNC</t>
        </is>
      </c>
      <c r="E1008" s="10" t="inlineStr">
        <is>
          <t>Strasbourg 2024</t>
        </is>
      </c>
      <c r="F1008" s="11" t="inlineStr">
        <is>
          <t>1:07:00</t>
        </is>
      </c>
      <c r="G1008" s="11" t="n">
        <v>1.12</v>
      </c>
      <c r="H1008" s="12" t="inlineStr">
        <is>
          <t>★</t>
        </is>
      </c>
      <c r="I1008" s="11" t="inlineStr">
        <is>
          <t>Not started</t>
        </is>
      </c>
      <c r="J1008" s="13" t="n"/>
      <c r="K1008" s="10" t="inlineStr"/>
      <c r="L1008" s="14" t="inlineStr">
        <is>
          <t>▶ watch</t>
        </is>
      </c>
      <c r="M1008" s="10" t="inlineStr">
        <is>
          <t>Tropsha 2010, Mol Inform 29:476</t>
        </is>
      </c>
      <c r="N1008" s="14" t="inlineStr">
        <is>
          <t>read ↗</t>
        </is>
      </c>
      <c r="O1008" s="11" t="inlineStr">
        <is>
          <t>paired reading</t>
        </is>
      </c>
      <c r="P1008" s="10" t="inlineStr"/>
    </row>
    <row r="1009">
      <c r="A1009" s="15" t="n">
        <v>1008</v>
      </c>
      <c r="B1009" s="15" t="inlineStr">
        <is>
          <t>Part II - The Method Atlas</t>
        </is>
      </c>
      <c r="C1009" s="16" t="inlineStr">
        <is>
          <t>M.3 Virtual screening and cheminformatics</t>
        </is>
      </c>
      <c r="D1009" s="10" t="inlineStr">
        <is>
          <t>Thierry Langer (Vienna</t>
        </is>
      </c>
      <c r="E1009" s="10" t="inlineStr">
        <is>
          <t>Strasbourg 2022</t>
        </is>
      </c>
      <c r="F1009" s="11" t="inlineStr">
        <is>
          <t>42:00</t>
        </is>
      </c>
      <c r="G1009" s="11" t="n">
        <v>0.7</v>
      </c>
      <c r="H1009" s="12" t="inlineStr"/>
      <c r="I1009" s="11" t="inlineStr">
        <is>
          <t>Not started</t>
        </is>
      </c>
      <c r="J1009" s="13" t="n"/>
      <c r="K1009" s="10" t="inlineStr"/>
      <c r="L1009" s="14" t="inlineStr">
        <is>
          <t>▶ watch</t>
        </is>
      </c>
      <c r="M1009" s="10" t="inlineStr">
        <is>
          <t>Any pharmacophore methods paper</t>
        </is>
      </c>
      <c r="N1009" s="14" t="inlineStr">
        <is>
          <t>read ↗</t>
        </is>
      </c>
      <c r="O1009" s="11" t="inlineStr">
        <is>
          <t>paired reading</t>
        </is>
      </c>
      <c r="P1009" s="10" t="inlineStr"/>
    </row>
    <row r="1010">
      <c r="A1010" s="15" t="n">
        <v>1009</v>
      </c>
      <c r="B1010" s="15" t="inlineStr">
        <is>
          <t>Part II - The Method Atlas</t>
        </is>
      </c>
      <c r="C1010" s="16" t="inlineStr">
        <is>
          <t>M.3 Virtual screening and cheminformatics</t>
        </is>
      </c>
      <c r="D1010" s="10" t="inlineStr">
        <is>
          <t>Didier Rognan (Strasbourg</t>
        </is>
      </c>
      <c r="E1010" s="10" t="inlineStr">
        <is>
          <t>Strasbourg 2024</t>
        </is>
      </c>
      <c r="F1010" s="11" t="inlineStr">
        <is>
          <t>44:00</t>
        </is>
      </c>
      <c r="G1010" s="11" t="n">
        <v>0.73</v>
      </c>
      <c r="H1010" s="12" t="inlineStr"/>
      <c r="I1010" s="11" t="inlineStr">
        <is>
          <t>Not started</t>
        </is>
      </c>
      <c r="J1010" s="13" t="n"/>
      <c r="K1010" s="10" t="inlineStr"/>
      <c r="L1010" s="14" t="inlineStr">
        <is>
          <t>▶ watch</t>
        </is>
      </c>
      <c r="M1010" s="10" t="inlineStr">
        <is>
          <t>Simons et al. 1997, J Mol Biol 268:209 (fragment assembly - the founding paper) · Rohl et al. 2004, Methods Enzymol 383:66 (protein structure prediction using Rosetta)</t>
        </is>
      </c>
      <c r="N1010" s="14" t="inlineStr">
        <is>
          <t>read ↗</t>
        </is>
      </c>
      <c r="O1010" s="11" t="inlineStr">
        <is>
          <t>reading for L.2 Fragment assembly and the Rosetta en</t>
        </is>
      </c>
      <c r="P1010" s="10" t="inlineStr"/>
    </row>
    <row r="1011">
      <c r="A1011" s="15" t="n">
        <v>1010</v>
      </c>
      <c r="B1011" s="15" t="inlineStr">
        <is>
          <t>Part II - The Method Atlas</t>
        </is>
      </c>
      <c r="C1011" s="16" t="inlineStr">
        <is>
          <t>M.3 Virtual screening and cheminformatics</t>
        </is>
      </c>
      <c r="D1011" s="10" t="inlineStr">
        <is>
          <t>Artem Cherkasov (UBC</t>
        </is>
      </c>
      <c r="E1011" s="10" t="inlineStr">
        <is>
          <t>Strasbourg 2024</t>
        </is>
      </c>
      <c r="F1011" s="11" t="inlineStr">
        <is>
          <t>40:00</t>
        </is>
      </c>
      <c r="G1011" s="11" t="n">
        <v>0.67</v>
      </c>
      <c r="H1011" s="12" t="inlineStr"/>
      <c r="I1011" s="11" t="inlineStr">
        <is>
          <t>Not started</t>
        </is>
      </c>
      <c r="J1011" s="13" t="n"/>
      <c r="K1011" s="10" t="inlineStr"/>
      <c r="L1011" s="14" t="inlineStr">
        <is>
          <t>▶ watch</t>
        </is>
      </c>
      <c r="M1011" s="10" t="inlineStr">
        <is>
          <t>Gentile et al. 2020, ACS Cent Sci 6:939 (Deep Docking)</t>
        </is>
      </c>
      <c r="N1011" s="14" t="inlineStr">
        <is>
          <t>read ↗</t>
        </is>
      </c>
      <c r="O1011" s="11" t="inlineStr">
        <is>
          <t>paired reading</t>
        </is>
      </c>
      <c r="P1011" s="10" t="inlineStr"/>
    </row>
    <row r="1012">
      <c r="A1012" s="15" t="n">
        <v>1011</v>
      </c>
      <c r="B1012" s="15" t="inlineStr">
        <is>
          <t>Part II - The Method Atlas</t>
        </is>
      </c>
      <c r="C1012" s="16" t="inlineStr">
        <is>
          <t>M.3 Virtual screening and cheminformatics</t>
        </is>
      </c>
      <c r="D1012" s="10" t="inlineStr">
        <is>
          <t>Matthias Rarey (Hamburg</t>
        </is>
      </c>
      <c r="E1012" s="10" t="inlineStr">
        <is>
          <t>Strasbourg 2024</t>
        </is>
      </c>
      <c r="F1012" s="11" t="inlineStr">
        <is>
          <t>36:00</t>
        </is>
      </c>
      <c r="G1012" s="11" t="n">
        <v>0.6</v>
      </c>
      <c r="H1012" s="12" t="inlineStr"/>
      <c r="I1012" s="11" t="inlineStr">
        <is>
          <t>Not started</t>
        </is>
      </c>
      <c r="J1012" s="13" t="n"/>
      <c r="K1012" s="10" t="inlineStr"/>
      <c r="L1012" s="14" t="inlineStr">
        <is>
          <t>▶ watch</t>
        </is>
      </c>
      <c r="M1012" s="10" t="inlineStr">
        <is>
          <t>Simons et al. 1997, J Mol Biol 268:209 (fragment assembly - the founding paper) · Rohl et al. 2004, Methods Enzymol 383:66 (protein structure prediction using Rosetta)</t>
        </is>
      </c>
      <c r="N1012" s="14" t="inlineStr">
        <is>
          <t>read ↗</t>
        </is>
      </c>
      <c r="O1012" s="11" t="inlineStr">
        <is>
          <t>reading for L.2 Fragment assembly and the Rosetta en</t>
        </is>
      </c>
      <c r="P1012" s="10" t="inlineStr"/>
    </row>
    <row r="1013">
      <c r="A1013" s="15" t="n">
        <v>1012</v>
      </c>
      <c r="B1013" s="15" t="inlineStr">
        <is>
          <t>Part II - The Method Atlas</t>
        </is>
      </c>
      <c r="C1013" s="16" t="inlineStr">
        <is>
          <t>M.3 Virtual screening and cheminformatics</t>
        </is>
      </c>
      <c r="D1013" s="10" t="inlineStr">
        <is>
          <t>Connor Coley (MIT</t>
        </is>
      </c>
      <c r="E1013" s="10" t="inlineStr">
        <is>
          <t>Strasbourg 2022</t>
        </is>
      </c>
      <c r="F1013" s="11" t="inlineStr">
        <is>
          <t>43:00</t>
        </is>
      </c>
      <c r="G1013" s="11" t="n">
        <v>0.72</v>
      </c>
      <c r="H1013" s="12" t="inlineStr"/>
      <c r="I1013" s="11" t="inlineStr">
        <is>
          <t>Not started</t>
        </is>
      </c>
      <c r="J1013" s="13" t="n"/>
      <c r="K1013" s="10" t="inlineStr"/>
      <c r="L1013" s="14" t="inlineStr">
        <is>
          <t>▶ watch</t>
        </is>
      </c>
      <c r="M1013" s="10" t="inlineStr">
        <is>
          <t>Simons et al. 1997, J Mol Biol 268:209 (fragment assembly - the founding paper) · Rohl et al. 2004, Methods Enzymol 383:66 (protein structure prediction using Rosetta)</t>
        </is>
      </c>
      <c r="N1013" s="14" t="inlineStr">
        <is>
          <t>read ↗</t>
        </is>
      </c>
      <c r="O1013" s="11" t="inlineStr">
        <is>
          <t>reading for L.2 Fragment assembly and the Rosetta en</t>
        </is>
      </c>
      <c r="P1013" s="10" t="inlineStr"/>
    </row>
    <row r="1014">
      <c r="A1014" s="15" t="n">
        <v>1013</v>
      </c>
      <c r="B1014" s="15" t="inlineStr">
        <is>
          <t>Part II - The Method Atlas</t>
        </is>
      </c>
      <c r="C1014" s="16" t="inlineStr">
        <is>
          <t>M.3 Virtual screening and cheminformatics</t>
        </is>
      </c>
      <c r="D1014" s="10" t="inlineStr">
        <is>
          <t>Chemical screening library growth: Is bigger better?</t>
        </is>
      </c>
      <c r="E1014" s="10" t="inlineStr">
        <is>
          <t>John Irwin (UCSF</t>
        </is>
      </c>
      <c r="F1014" s="11" t="inlineStr">
        <is>
          <t>49:00</t>
        </is>
      </c>
      <c r="G1014" s="11" t="n">
        <v>0.82</v>
      </c>
      <c r="H1014" s="12" t="inlineStr">
        <is>
          <t>★</t>
        </is>
      </c>
      <c r="I1014" s="11" t="inlineStr">
        <is>
          <t>Not started</t>
        </is>
      </c>
      <c r="J1014" s="13" t="n"/>
      <c r="K1014" s="10" t="inlineStr"/>
      <c r="L1014" s="14" t="inlineStr">
        <is>
          <t>▶ watch</t>
        </is>
      </c>
      <c r="M1014" s="10" t="inlineStr">
        <is>
          <t>Simons et al. 1997, J Mol Biol 268:209 (fragment assembly - the founding paper) · Rohl et al. 2004, Methods Enzymol 383:66 (protein structure prediction using Rosetta)</t>
        </is>
      </c>
      <c r="N1014" s="14" t="inlineStr">
        <is>
          <t>read ↗</t>
        </is>
      </c>
      <c r="O1014" s="11" t="inlineStr">
        <is>
          <t>reading for L.2 Fragment assembly and the Rosetta en</t>
        </is>
      </c>
      <c r="P1014" s="10" t="inlineStr"/>
    </row>
    <row r="1015">
      <c r="A1015" s="15" t="n">
        <v>1014</v>
      </c>
      <c r="B1015" s="15" t="inlineStr">
        <is>
          <t>Part II - The Method Atlas</t>
        </is>
      </c>
      <c r="C1015" s="16" t="inlineStr">
        <is>
          <t>M.3 Virtual screening and cheminformatics</t>
        </is>
      </c>
      <c r="D1015" s="10" t="inlineStr">
        <is>
          <t>Where the Rubber Hits the Road: ML on Drug Discovery Projects</t>
        </is>
      </c>
      <c r="E1015" s="10" t="inlineStr">
        <is>
          <t>Pat Walters (Relay</t>
        </is>
      </c>
      <c r="F1015" s="11" t="inlineStr">
        <is>
          <t>42:00</t>
        </is>
      </c>
      <c r="G1015" s="11" t="n">
        <v>0.7</v>
      </c>
      <c r="H1015" s="12" t="inlineStr"/>
      <c r="I1015" s="11" t="inlineStr">
        <is>
          <t>Not started</t>
        </is>
      </c>
      <c r="J1015" s="13" t="n"/>
      <c r="K1015" s="10" t="inlineStr"/>
      <c r="L1015" s="14" t="inlineStr">
        <is>
          <t>▶ watch</t>
        </is>
      </c>
      <c r="M1015" s="10" t="inlineStr">
        <is>
          <t>Simons et al. 1997, J Mol Biol 268:209 (fragment assembly - the founding paper) · Rohl et al. 2004, Methods Enzymol 383:66 (protein structure prediction using Rosetta)</t>
        </is>
      </c>
      <c r="N1015" s="14" t="inlineStr">
        <is>
          <t>read ↗</t>
        </is>
      </c>
      <c r="O1015" s="11" t="inlineStr">
        <is>
          <t>reading for L.2 Fragment assembly and the Rosetta en</t>
        </is>
      </c>
      <c r="P1015" s="10" t="inlineStr"/>
    </row>
    <row r="1016">
      <c r="A1016" s="15" t="n">
        <v>1015</v>
      </c>
      <c r="B1016" s="15" t="inlineStr">
        <is>
          <t>Part II - The Method Atlas</t>
        </is>
      </c>
      <c r="C1016" s="16" t="inlineStr">
        <is>
          <t>M.3 Virtual screening and cheminformatics</t>
        </is>
      </c>
      <c r="D1016" s="10" t="inlineStr">
        <is>
          <t>Applying Active Learning in Drug Discovery</t>
        </is>
      </c>
      <c r="E1016" s="10" t="inlineStr">
        <is>
          <t>Walters &amp; Thompson (Valence</t>
        </is>
      </c>
      <c r="F1016" s="11" t="inlineStr">
        <is>
          <t>52:00</t>
        </is>
      </c>
      <c r="G1016" s="11" t="n">
        <v>0.87</v>
      </c>
      <c r="H1016" s="12" t="inlineStr"/>
      <c r="I1016" s="11" t="inlineStr">
        <is>
          <t>Not started</t>
        </is>
      </c>
      <c r="J1016" s="13" t="n"/>
      <c r="K1016" s="10" t="inlineStr"/>
      <c r="L1016" s="14" t="inlineStr">
        <is>
          <t>▶ watch</t>
        </is>
      </c>
      <c r="M1016" s="10" t="inlineStr">
        <is>
          <t>Any active-learning screening paper</t>
        </is>
      </c>
      <c r="N1016" s="14" t="inlineStr">
        <is>
          <t>read ↗</t>
        </is>
      </c>
      <c r="O1016" s="11" t="inlineStr">
        <is>
          <t>paired reading</t>
        </is>
      </c>
      <c r="P1016" s="10" t="inlineStr"/>
    </row>
    <row r="1017">
      <c r="A1017" s="15" t="n">
        <v>1016</v>
      </c>
      <c r="B1017" s="15" t="inlineStr">
        <is>
          <t>Part II - The Method Atlas</t>
        </is>
      </c>
      <c r="C1017" s="16" t="inlineStr">
        <is>
          <t>M.3 Virtual screening and cheminformatics</t>
        </is>
      </c>
      <c r="D1017" s="10" t="inlineStr">
        <is>
          <t>Drug Discovery in Readily Available Chemical Space (V-SYNTHES</t>
        </is>
      </c>
      <c r="E1017" s="10" t="inlineStr">
        <is>
          <t>Chemspace / Katritch</t>
        </is>
      </c>
      <c r="F1017" s="11" t="inlineStr">
        <is>
          <t>1:16:00</t>
        </is>
      </c>
      <c r="G1017" s="11" t="n">
        <v>1.27</v>
      </c>
      <c r="H1017" s="12" t="inlineStr"/>
      <c r="I1017" s="11" t="inlineStr">
        <is>
          <t>Not started</t>
        </is>
      </c>
      <c r="J1017" s="13" t="n"/>
      <c r="K1017" s="10" t="inlineStr"/>
      <c r="L1017" s="14" t="inlineStr">
        <is>
          <t>▶ watch</t>
        </is>
      </c>
      <c r="M1017" s="10" t="inlineStr">
        <is>
          <t>Simons et al. 1997, J Mol Biol 268:209 (fragment assembly - the founding paper) · Rohl et al. 2004, Methods Enzymol 383:66 (protein structure prediction using Rosetta)</t>
        </is>
      </c>
      <c r="N1017" s="14" t="inlineStr">
        <is>
          <t>read ↗</t>
        </is>
      </c>
      <c r="O1017" s="11" t="inlineStr">
        <is>
          <t>reading for L.2 Fragment assembly and the Rosetta en</t>
        </is>
      </c>
      <c r="P1017" s="10" t="inlineStr"/>
    </row>
    <row r="1018">
      <c r="A1018" s="15" t="n">
        <v>1017</v>
      </c>
      <c r="B1018" s="15" t="inlineStr">
        <is>
          <t>Part II - The Method Atlas</t>
        </is>
      </c>
      <c r="C1018" s="16" t="inlineStr">
        <is>
          <t>M.3 Virtual screening and cheminformatics</t>
        </is>
      </c>
      <c r="D1018" s="10" t="inlineStr">
        <is>
          <t>State of the toolkit (RDKit UGM</t>
        </is>
      </c>
      <c r="E1018" s="10" t="inlineStr">
        <is>
          <t>Greg Landrum</t>
        </is>
      </c>
      <c r="F1018" s="11" t="inlineStr">
        <is>
          <t>34:00</t>
        </is>
      </c>
      <c r="G1018" s="11" t="n">
        <v>0.57</v>
      </c>
      <c r="H1018" s="12" t="inlineStr"/>
      <c r="I1018" s="11" t="inlineStr">
        <is>
          <t>Not started</t>
        </is>
      </c>
      <c r="J1018" s="13" t="n"/>
      <c r="K1018" s="10" t="inlineStr"/>
      <c r="L1018" s="14" t="inlineStr">
        <is>
          <t>▶ watch</t>
        </is>
      </c>
      <c r="M1018" s="10" t="inlineStr">
        <is>
          <t>Simons et al. 1997, J Mol Biol 268:209 (fragment assembly - the founding paper) · Rohl et al. 2004, Methods Enzymol 383:66 (protein structure prediction using Rosetta)</t>
        </is>
      </c>
      <c r="N1018" s="14" t="inlineStr">
        <is>
          <t>read ↗</t>
        </is>
      </c>
      <c r="O1018" s="11" t="inlineStr">
        <is>
          <t>reading for L.2 Fragment assembly and the Rosetta en</t>
        </is>
      </c>
      <c r="P1018" s="10" t="inlineStr"/>
    </row>
    <row r="1019">
      <c r="A1019" s="15" t="n">
        <v>1018</v>
      </c>
      <c r="B1019" s="15" t="inlineStr">
        <is>
          <t>Part II - The Method Atlas</t>
        </is>
      </c>
      <c r="C1019" s="16" t="inlineStr">
        <is>
          <t>M.3 Virtual screening and cheminformatics</t>
        </is>
      </c>
      <c r="D1019" s="10" t="inlineStr">
        <is>
          <t>Clustering, sampling and filtering ultra-large chemical databases</t>
        </is>
      </c>
      <c r="E1019" s="10" t="inlineStr">
        <is>
          <t>Roger Sayle (RDKit UGM</t>
        </is>
      </c>
      <c r="F1019" s="11" t="inlineStr">
        <is>
          <t>43:00</t>
        </is>
      </c>
      <c r="G1019" s="11" t="n">
        <v>0.72</v>
      </c>
      <c r="H1019" s="12" t="inlineStr"/>
      <c r="I1019" s="11" t="inlineStr">
        <is>
          <t>Not started</t>
        </is>
      </c>
      <c r="J1019" s="13" t="n"/>
      <c r="K1019" s="10" t="inlineStr"/>
      <c r="L1019" s="14" t="inlineStr">
        <is>
          <t>▶ watch</t>
        </is>
      </c>
      <c r="M1019" s="10" t="inlineStr">
        <is>
          <t>Simons et al. 1997, J Mol Biol 268:209 (fragment assembly - the founding paper) · Rohl et al. 2004, Methods Enzymol 383:66 (protein structure prediction using Rosetta)</t>
        </is>
      </c>
      <c r="N1019" s="14" t="inlineStr">
        <is>
          <t>read ↗</t>
        </is>
      </c>
      <c r="O1019" s="11" t="inlineStr">
        <is>
          <t>reading for L.2 Fragment assembly and the Rosetta en</t>
        </is>
      </c>
      <c r="P1019" s="10" t="inlineStr"/>
    </row>
    <row r="1020">
      <c r="A1020" s="15" t="n">
        <v>1019</v>
      </c>
      <c r="B1020" s="15" t="inlineStr">
        <is>
          <t>Part II - The Method Atlas</t>
        </is>
      </c>
      <c r="C1020" s="16" t="inlineStr">
        <is>
          <t>M.4 Binding free energy in practice</t>
        </is>
      </c>
      <c r="D1020" s="10" t="inlineStr">
        <is>
          <t>SAMPL6 logP virtual workshop</t>
        </is>
      </c>
      <c r="E1020" s="10" t="inlineStr">
        <is>
          <t>David Mobley (UC Irvine</t>
        </is>
      </c>
      <c r="F1020" s="11" t="inlineStr">
        <is>
          <t>3:00:00</t>
        </is>
      </c>
      <c r="G1020" s="11" t="n">
        <v>3</v>
      </c>
      <c r="H1020" s="12" t="inlineStr"/>
      <c r="I1020" s="11" t="inlineStr">
        <is>
          <t>Not started</t>
        </is>
      </c>
      <c r="J1020" s="13" t="n"/>
      <c r="K1020" s="10" t="inlineStr"/>
      <c r="L1020" s="14" t="inlineStr">
        <is>
          <t>▶ watch</t>
        </is>
      </c>
      <c r="M1020" s="10" t="inlineStr">
        <is>
          <t>Simons et al. 1997, J Mol Biol 268:209 (fragment assembly - the founding paper) · Rohl et al. 2004, Methods Enzymol 383:66 (protein structure prediction using Rosetta)</t>
        </is>
      </c>
      <c r="N1020" s="14" t="inlineStr">
        <is>
          <t>read ↗</t>
        </is>
      </c>
      <c r="O1020" s="11" t="inlineStr">
        <is>
          <t>reading for L.2 Fragment assembly and the Rosetta en</t>
        </is>
      </c>
      <c r="P1020" s="10" t="inlineStr"/>
    </row>
    <row r="1021">
      <c r="A1021" s="15" t="n">
        <v>1020</v>
      </c>
      <c r="B1021" s="15" t="inlineStr">
        <is>
          <t>Part II - The Method Atlas</t>
        </is>
      </c>
      <c r="C1021" s="16" t="inlineStr">
        <is>
          <t>M.4 Binding free energy in practice</t>
        </is>
      </c>
      <c r="D1021" s="10" t="inlineStr">
        <is>
          <t>Tight integration of FE, ML and de novo design</t>
        </is>
      </c>
      <c r="E1021" s="10" t="inlineStr">
        <is>
          <t>Robert Abel (Schrödinger</t>
        </is>
      </c>
      <c r="F1021" s="11" t="inlineStr">
        <is>
          <t>1:11:00</t>
        </is>
      </c>
      <c r="G1021" s="11" t="n">
        <v>1.18</v>
      </c>
      <c r="H1021" s="12" t="inlineStr"/>
      <c r="I1021" s="11" t="inlineStr">
        <is>
          <t>Not started</t>
        </is>
      </c>
      <c r="J1021" s="13" t="n"/>
      <c r="K1021" s="10" t="inlineStr"/>
      <c r="L1021" s="14" t="inlineStr">
        <is>
          <t>▶ watch</t>
        </is>
      </c>
      <c r="M1021" s="10" t="inlineStr">
        <is>
          <t>Simons et al. 1997, J Mol Biol 268:209 (fragment assembly - the founding paper) · Rohl et al. 2004, Methods Enzymol 383:66 (protein structure prediction using Rosetta)</t>
        </is>
      </c>
      <c r="N1021" s="14" t="inlineStr">
        <is>
          <t>read ↗</t>
        </is>
      </c>
      <c r="O1021" s="11" t="inlineStr">
        <is>
          <t>reading for L.2 Fragment assembly and the Rosetta en</t>
        </is>
      </c>
      <c r="P1021" s="10" t="inlineStr"/>
    </row>
    <row r="1022">
      <c r="A1022" s="15" t="n">
        <v>1021</v>
      </c>
      <c r="B1022" s="15" t="inlineStr">
        <is>
          <t>Part II - The Method Atlas</t>
        </is>
      </c>
      <c r="C1022" s="16" t="inlineStr">
        <is>
          <t>M.4 Binding free energy in practice</t>
        </is>
      </c>
      <c r="D1022" s="10" t="inlineStr">
        <is>
          <t>Attach-pull-release for pose refinement and ligand ranking</t>
        </is>
      </c>
      <c r="E1022" s="10" t="inlineStr">
        <is>
          <t>Germano Heinzelmann (UFSC</t>
        </is>
      </c>
      <c r="F1022" s="11" t="inlineStr">
        <is>
          <t>30:00</t>
        </is>
      </c>
      <c r="G1022" s="11" t="n">
        <v>0.5</v>
      </c>
      <c r="H1022" s="12" t="inlineStr">
        <is>
          <t>★</t>
        </is>
      </c>
      <c r="I1022" s="11" t="inlineStr">
        <is>
          <t>Not started</t>
        </is>
      </c>
      <c r="J1022" s="13" t="n"/>
      <c r="K1022" s="10" t="inlineStr"/>
      <c r="L1022" s="14" t="inlineStr">
        <is>
          <t>▶ watch</t>
        </is>
      </c>
      <c r="M1022" s="10" t="inlineStr">
        <is>
          <t>Simons et al. 1997, J Mol Biol 268:209 (fragment assembly - the founding paper) · Rohl et al. 2004, Methods Enzymol 383:66 (protein structure prediction using Rosetta)</t>
        </is>
      </c>
      <c r="N1022" s="14" t="inlineStr">
        <is>
          <t>read ↗</t>
        </is>
      </c>
      <c r="O1022" s="11" t="inlineStr">
        <is>
          <t>reading for L.2 Fragment assembly and the Rosetta en</t>
        </is>
      </c>
      <c r="P1022" s="10" t="inlineStr">
        <is>
          <t>B.4 Workshop on Free Energy, Kinetics and MSM in Drug Design, 2018 - 43 videos</t>
        </is>
      </c>
    </row>
    <row r="1023">
      <c r="A1023" s="15" t="n">
        <v>1022</v>
      </c>
      <c r="B1023" s="15" t="inlineStr">
        <is>
          <t>Part II - The Method Atlas</t>
        </is>
      </c>
      <c r="C1023" s="16" t="inlineStr">
        <is>
          <t>M.4 Binding free energy in practice</t>
        </is>
      </c>
      <c r="D1023" s="10" t="inlineStr">
        <is>
          <t>Study ligand dissociation kinetics using SILCS</t>
        </is>
      </c>
      <c r="E1023" s="10" t="inlineStr">
        <is>
          <t>Wenbo Yu</t>
        </is>
      </c>
      <c r="F1023" s="11" t="inlineStr">
        <is>
          <t>30:00</t>
        </is>
      </c>
      <c r="G1023" s="11" t="n">
        <v>0.5</v>
      </c>
      <c r="H1023" s="12" t="inlineStr"/>
      <c r="I1023" s="11" t="inlineStr">
        <is>
          <t>Not started</t>
        </is>
      </c>
      <c r="J1023" s="13" t="n"/>
      <c r="K1023" s="10" t="inlineStr"/>
      <c r="L1023" s="14" t="inlineStr">
        <is>
          <t>▶ watch</t>
        </is>
      </c>
      <c r="M1023" s="10" t="inlineStr">
        <is>
          <t>Simons et al. 1997, J Mol Biol 268:209 (fragment assembly - the founding paper) · Rohl et al. 2004, Methods Enzymol 383:66 (protein structure prediction using Rosetta)</t>
        </is>
      </c>
      <c r="N1023" s="14" t="inlineStr">
        <is>
          <t>read ↗</t>
        </is>
      </c>
      <c r="O1023" s="11" t="inlineStr">
        <is>
          <t>reading for L.2 Fragment assembly and the Rosetta en</t>
        </is>
      </c>
      <c r="P1023" s="10" t="inlineStr"/>
    </row>
    <row r="1024">
      <c r="A1024" s="15" t="n">
        <v>1023</v>
      </c>
      <c r="B1024" s="15" t="inlineStr">
        <is>
          <t>Part II - The Method Atlas</t>
        </is>
      </c>
      <c r="C1024" s="16" t="inlineStr">
        <is>
          <t>N.1 Alignment and search</t>
        </is>
      </c>
      <c r="D1024" s="10" t="inlineStr">
        <is>
          <t>Exploring the Protein Universe, Steinegger (Broad MIA), 1:17:41</t>
        </is>
      </c>
      <c r="E1024" s="10" t="inlineStr">
        <is>
          <t>MMseqs2 and Foldseek</t>
        </is>
      </c>
      <c r="F1024" s="11" t="inlineStr">
        <is>
          <t>1:17:41</t>
        </is>
      </c>
      <c r="G1024" s="11" t="n">
        <v>1.29</v>
      </c>
      <c r="H1024" s="12" t="inlineStr">
        <is>
          <t>★</t>
        </is>
      </c>
      <c r="I1024" s="11" t="inlineStr">
        <is>
          <t>Not started</t>
        </is>
      </c>
      <c r="J1024" s="13" t="n"/>
      <c r="K1024" s="10" t="inlineStr"/>
      <c r="L1024" s="14" t="inlineStr">
        <is>
          <t>▶ watch</t>
        </is>
      </c>
      <c r="M1024" s="10" t="inlineStr">
        <is>
          <t>Steinegger &amp; Söding 2017, Nat Biotechnol 35:1026 (MMseqs2)</t>
        </is>
      </c>
      <c r="N1024" s="14" t="inlineStr">
        <is>
          <t>read ↗</t>
        </is>
      </c>
      <c r="O1024" s="11" t="inlineStr">
        <is>
          <t>names MMSEQS2</t>
        </is>
      </c>
      <c r="P1024" s="10" t="inlineStr">
        <is>
          <t>E.7.6 The data pipeline - where the time actually goes; Proteins, structure, molecular design; Q.6 Function prediction and search</t>
        </is>
      </c>
    </row>
    <row r="1025">
      <c r="A1025" s="15" t="n">
        <v>1024</v>
      </c>
      <c r="B1025" s="15" t="inlineStr">
        <is>
          <t>Part II - The Method Atlas</t>
        </is>
      </c>
      <c r="C1025" s="16" t="inlineStr">
        <is>
          <t>N.1 Alignment and search</t>
        </is>
      </c>
      <c r="D1025" s="10" t="inlineStr">
        <is>
          <t>End-to-end learning of MSAs with differentiable Smith-Waterman</t>
        </is>
      </c>
      <c r="E1025" s="10" t="inlineStr">
        <is>
          <t>Samantha Petti (ML4PE), 50:41</t>
        </is>
      </c>
      <c r="F1025" s="11" t="inlineStr">
        <is>
          <t>50:41</t>
        </is>
      </c>
      <c r="G1025" s="11" t="n">
        <v>0.84</v>
      </c>
      <c r="H1025" s="12" t="inlineStr"/>
      <c r="I1025" s="11" t="inlineStr">
        <is>
          <t>Not started</t>
        </is>
      </c>
      <c r="J1025" s="13" t="n"/>
      <c r="K1025" s="10" t="inlineStr"/>
      <c r="L1025" s="14" t="inlineStr">
        <is>
          <t>▶ watch</t>
        </is>
      </c>
      <c r="M1025" s="10" t="inlineStr">
        <is>
          <t>Needleman &amp; Wunsch 1970; Smith &amp; Waterman 1981 · Eddy 1998, Bioinformatics 14:755 (profile HMMs) and Eddy 2011, PLoS Comput Biol 7:e1002195 (HMMER3)</t>
        </is>
      </c>
      <c r="N1025" s="14" t="inlineStr">
        <is>
          <t>read ↗</t>
        </is>
      </c>
      <c r="O1025" s="11" t="inlineStr">
        <is>
          <t>section reading (2 of 6)</t>
        </is>
      </c>
      <c r="P1025" s="10" t="inlineStr">
        <is>
          <t>2023</t>
        </is>
      </c>
    </row>
    <row r="1026">
      <c r="A1026" s="15" t="n">
        <v>1025</v>
      </c>
      <c r="B1026" s="15" t="inlineStr">
        <is>
          <t>Part II - The Method Atlas</t>
        </is>
      </c>
      <c r="C1026" s="16" t="inlineStr">
        <is>
          <t>N.2 Phylogenetics and the non-independence problem</t>
        </is>
      </c>
      <c r="D1026" s="10" t="inlineStr">
        <is>
          <t>Learning, using, and extending variational distributions for phylogenetics</t>
        </is>
      </c>
      <c r="E1026" s="10" t="inlineStr">
        <is>
          <t>Erik Matsen (MLCB 2019), 14:07</t>
        </is>
      </c>
      <c r="F1026" s="11" t="inlineStr">
        <is>
          <t>14:07</t>
        </is>
      </c>
      <c r="G1026" s="11" t="n">
        <v>0.24</v>
      </c>
      <c r="H1026" s="12" t="inlineStr">
        <is>
          <t>★</t>
        </is>
      </c>
      <c r="I1026" s="11" t="inlineStr">
        <is>
          <t>Not started</t>
        </is>
      </c>
      <c r="J1026" s="13" t="n"/>
      <c r="K1026" s="10" t="inlineStr"/>
      <c r="L1026" s="14" t="inlineStr">
        <is>
          <t>▶ watch</t>
        </is>
      </c>
      <c r="M1026" s="10" t="inlineStr">
        <is>
          <t>Felsenstein 1981, J Mol Evol 17:368 (ML phylogeny) · Felsenstein 1985, Evolution 39:783 (phylogenies and the comparative method - the non-independence paper)</t>
        </is>
      </c>
      <c r="N1026" s="14" t="inlineStr">
        <is>
          <t>read ↗</t>
        </is>
      </c>
      <c r="O1026" s="11" t="inlineStr">
        <is>
          <t>section reading (2 of 5)</t>
        </is>
      </c>
      <c r="P1026" s="10" t="inlineStr">
        <is>
          <t>MLCB 2019 - the early-method talks that aged well</t>
        </is>
      </c>
    </row>
    <row r="1027">
      <c r="A1027" s="15" t="n">
        <v>1026</v>
      </c>
      <c r="B1027" s="15" t="inlineStr">
        <is>
          <t>Part II - The Method Atlas</t>
        </is>
      </c>
      <c r="C1027" s="16" t="inlineStr">
        <is>
          <t>N.2 Phylogenetics and the non-independence problem</t>
        </is>
      </c>
      <c r="D1027" s="10" t="inlineStr">
        <is>
          <t>GRASP talk, Gabriel Foley (ML4PE), 1:03:40</t>
        </is>
      </c>
      <c r="E1027" s="10" t="inlineStr">
        <is>
          <t>Ancestral sequence reconstruction</t>
        </is>
      </c>
      <c r="F1027" s="11" t="inlineStr">
        <is>
          <t>1:03:40</t>
        </is>
      </c>
      <c r="G1027" s="11" t="n">
        <v>1.06</v>
      </c>
      <c r="H1027" s="12" t="inlineStr"/>
      <c r="I1027" s="11" t="inlineStr">
        <is>
          <t>Not started</t>
        </is>
      </c>
      <c r="J1027" s="13" t="n"/>
      <c r="K1027" s="10" t="inlineStr"/>
      <c r="L1027" s="14" t="inlineStr">
        <is>
          <t>▶ watch</t>
        </is>
      </c>
      <c r="M1027" s="10" t="inlineStr">
        <is>
          <t>Felsenstein 1981, J Mol Evol 17:368 (ML phylogeny) · Felsenstein 1985, Evolution 39:783 (phylogenies and the comparative method - the non-independence paper)</t>
        </is>
      </c>
      <c r="N1027" s="14" t="inlineStr">
        <is>
          <t>read ↗</t>
        </is>
      </c>
      <c r="O1027" s="11" t="inlineStr">
        <is>
          <t>section reading (2 of 5)</t>
        </is>
      </c>
      <c r="P1027" s="10" t="inlineStr">
        <is>
          <t>2022</t>
        </is>
      </c>
    </row>
    <row r="1028">
      <c r="A1028" s="15" t="n">
        <v>1027</v>
      </c>
      <c r="B1028" s="15" t="inlineStr">
        <is>
          <t>Part II - The Method Atlas</t>
        </is>
      </c>
      <c r="C1028" s="16" t="inlineStr">
        <is>
          <t>N.2 Phylogenetics and the non-independence problem</t>
        </is>
      </c>
      <c r="D1028" s="10" t="inlineStr">
        <is>
          <t>Martin Nowak (Broad MIA), 54:22</t>
        </is>
      </c>
      <c r="E1028" s="10" t="inlineStr">
        <is>
          <t>Evolutionary Dynamics</t>
        </is>
      </c>
      <c r="F1028" s="11" t="inlineStr">
        <is>
          <t>54:22</t>
        </is>
      </c>
      <c r="G1028" s="11" t="n">
        <v>0.91</v>
      </c>
      <c r="H1028" s="12" t="inlineStr">
        <is>
          <t>★</t>
        </is>
      </c>
      <c r="I1028" s="11" t="inlineStr">
        <is>
          <t>Not started</t>
        </is>
      </c>
      <c r="J1028" s="13" t="n"/>
      <c r="K1028" s="10" t="inlineStr"/>
      <c r="L1028" s="14" t="inlineStr">
        <is>
          <t>▶ watch</t>
        </is>
      </c>
      <c r="M1028" s="10" t="inlineStr">
        <is>
          <t>Nowak 2006 book, ch. 1–4</t>
        </is>
      </c>
      <c r="N1028" s="14" t="inlineStr">
        <is>
          <t>read ↗</t>
        </is>
      </c>
      <c r="O1028" s="11" t="inlineStr">
        <is>
          <t>paired reading</t>
        </is>
      </c>
      <c r="P1028" s="10" t="inlineStr">
        <is>
          <t>Proteins, structure, molecular design</t>
        </is>
      </c>
    </row>
    <row r="1029">
      <c r="A1029" s="15" t="n">
        <v>1028</v>
      </c>
      <c r="B1029" s="15" t="inlineStr">
        <is>
          <t>Part II - The Method Atlas</t>
        </is>
      </c>
      <c r="C1029" s="16" t="inlineStr">
        <is>
          <t>N.3 Coevolution and statistical models of families</t>
        </is>
      </c>
      <c r="D1029" s="10" t="inlineStr">
        <is>
          <t>Fitness landscapes and epistasis</t>
        </is>
      </c>
      <c r="E1029" s="10" t="inlineStr">
        <is>
          <t>Aghazadeh &amp; Brookes (Broad MIA</t>
        </is>
      </c>
      <c r="F1029" s="11" t="inlineStr">
        <is>
          <t>1:36:47</t>
        </is>
      </c>
      <c r="G1029" s="11" t="n">
        <v>1.61</v>
      </c>
      <c r="H1029" s="12" t="inlineStr">
        <is>
          <t>★</t>
        </is>
      </c>
      <c r="I1029" s="11" t="inlineStr">
        <is>
          <t>Not started</t>
        </is>
      </c>
      <c r="J1029" s="13" t="n"/>
      <c r="K1029" s="10" t="inlineStr"/>
      <c r="L1029" s="14" t="inlineStr">
        <is>
          <t>▶ watch</t>
        </is>
      </c>
      <c r="M1029" s="10" t="inlineStr">
        <is>
          <t>Morcos et al. 2011, PNAS 108:E1293 · Figliuzzi et al. 2016, Mol Biol Evol 33:268 (DCA for fitness)</t>
        </is>
      </c>
      <c r="N1029" s="14" t="inlineStr">
        <is>
          <t>read ↗</t>
        </is>
      </c>
      <c r="O1029" s="11" t="inlineStr">
        <is>
          <t>section reading (2 of 5)</t>
        </is>
      </c>
      <c r="P1029" s="10" t="inlineStr">
        <is>
          <t>Proteins, structure, molecular design; Q.3 Fitness prediction and variant effects</t>
        </is>
      </c>
    </row>
    <row r="1030">
      <c r="A1030" s="15" t="n">
        <v>1029</v>
      </c>
      <c r="B1030" s="15" t="inlineStr">
        <is>
          <t>Part II - The Method Atlas</t>
        </is>
      </c>
      <c r="C1030" s="16" t="inlineStr">
        <is>
          <t>O.1 The framework</t>
        </is>
      </c>
      <c r="D1030" s="10" t="inlineStr">
        <is>
          <t>A Gentle Introduction to Graph Neural Networks</t>
        </is>
      </c>
      <c r="E1030" s="10" t="inlineStr">
        <is>
          <t>Sanchez-Lengeling (Broad MIA</t>
        </is>
      </c>
      <c r="F1030" s="11" t="inlineStr">
        <is>
          <t>44:53</t>
        </is>
      </c>
      <c r="G1030" s="11" t="n">
        <v>0.75</v>
      </c>
      <c r="H1030" s="12" t="inlineStr">
        <is>
          <t>★</t>
        </is>
      </c>
      <c r="I1030" s="11" t="inlineStr">
        <is>
          <t>Not started</t>
        </is>
      </c>
      <c r="J1030" s="13" t="n"/>
      <c r="K1030" s="10" t="inlineStr"/>
      <c r="L1030" s="14" t="inlineStr">
        <is>
          <t>▶ watch</t>
        </is>
      </c>
      <c r="M1030" s="10" t="inlineStr">
        <is>
          <t>Bronstein et al. 2021, arXiv:2104.13478 (Geometric Deep Learning: Grids, Groups, Graphs, Geodesics, and Gauges) · Gilmer et al. 2017, ICML (message passing neural networks)</t>
        </is>
      </c>
      <c r="N1030" s="14" t="inlineStr">
        <is>
          <t>read ↗</t>
        </is>
      </c>
      <c r="O1030" s="11" t="inlineStr">
        <is>
          <t>section reading (2 of 3)</t>
        </is>
      </c>
      <c r="P1030" s="10" t="inlineStr">
        <is>
          <t>Proteins, structure, molecular design</t>
        </is>
      </c>
    </row>
    <row r="1031">
      <c r="A1031" s="15" t="n">
        <v>1030</v>
      </c>
      <c r="B1031" s="15" t="inlineStr">
        <is>
          <t>Part II - The Method Atlas</t>
        </is>
      </c>
      <c r="C1031" s="16" t="inlineStr">
        <is>
          <t>O.1 The framework</t>
        </is>
      </c>
      <c r="D1031" s="10" t="inlineStr">
        <is>
          <t>Geometric deep learning for functional protein design</t>
        </is>
      </c>
      <c r="E1031" s="10" t="inlineStr">
        <is>
          <t>Michael Bronstein (Broad MIA</t>
        </is>
      </c>
      <c r="F1031" s="11" t="inlineStr">
        <is>
          <t>1:09:06</t>
        </is>
      </c>
      <c r="G1031" s="11" t="n">
        <v>1.15</v>
      </c>
      <c r="H1031" s="12" t="inlineStr">
        <is>
          <t>★</t>
        </is>
      </c>
      <c r="I1031" s="11" t="inlineStr">
        <is>
          <t>Not started</t>
        </is>
      </c>
      <c r="J1031" s="13" t="n"/>
      <c r="K1031" s="10" t="inlineStr"/>
      <c r="L1031" s="14" t="inlineStr">
        <is>
          <t>▶ watch</t>
        </is>
      </c>
      <c r="M1031" s="10" t="inlineStr">
        <is>
          <t>Bronstein et al. 2021, arXiv:2104.13478 (Geometric Deep Learning: Grids, Groups, Graphs, Geodesics, and Gauges) · Gilmer et al. 2017, ICML (message passing neural networks)</t>
        </is>
      </c>
      <c r="N1031" s="14" t="inlineStr">
        <is>
          <t>read ↗</t>
        </is>
      </c>
      <c r="O1031" s="11" t="inlineStr">
        <is>
          <t>section reading (2 of 3)</t>
        </is>
      </c>
      <c r="P1031" s="10" t="inlineStr">
        <is>
          <t>Proteins, structure, molecular design</t>
        </is>
      </c>
    </row>
    <row r="1032">
      <c r="A1032" s="15" t="n">
        <v>1031</v>
      </c>
      <c r="B1032" s="15" t="inlineStr">
        <is>
          <t>Part II - The Method Atlas</t>
        </is>
      </c>
      <c r="C1032" s="16" t="inlineStr">
        <is>
          <t>O.1 The framework</t>
        </is>
      </c>
      <c r="D1032" s="10" t="inlineStr">
        <is>
          <t>Harnessing Geometric ML for Molecular Design</t>
        </is>
      </c>
      <c r="E1032" s="10" t="inlineStr">
        <is>
          <t>Bronstein (ML4DD Day 3</t>
        </is>
      </c>
      <c r="F1032" s="11" t="inlineStr">
        <is>
          <t>1:08:23</t>
        </is>
      </c>
      <c r="G1032" s="11" t="n">
        <v>1.14</v>
      </c>
      <c r="H1032" s="12" t="inlineStr"/>
      <c r="I1032" s="11" t="inlineStr">
        <is>
          <t>Not started</t>
        </is>
      </c>
      <c r="J1032" s="13" t="n"/>
      <c r="K1032" s="10" t="inlineStr"/>
      <c r="L1032" s="14" t="inlineStr">
        <is>
          <t>▶ watch</t>
        </is>
      </c>
      <c r="M1032" s="10" t="inlineStr">
        <is>
          <t>Bronstein et al. 2021, arXiv:2104.13478 (Geometric Deep Learning: Grids, Groups, Graphs, Geodesics, and Gauges) · Gilmer et al. 2017, ICML (message passing neural networks)</t>
        </is>
      </c>
      <c r="N1032" s="14" t="inlineStr">
        <is>
          <t>read ↗</t>
        </is>
      </c>
      <c r="O1032" s="11" t="inlineStr">
        <is>
          <t>section reading (2 of 3)</t>
        </is>
      </c>
      <c r="P1032" s="10" t="inlineStr">
        <is>
          <t>ML4DD Summer School 2024 - 13 sessions</t>
        </is>
      </c>
    </row>
    <row r="1033">
      <c r="A1033" s="15" t="n">
        <v>1032</v>
      </c>
      <c r="B1033" s="15" t="inlineStr">
        <is>
          <t>Part II - The Method Atlas</t>
        </is>
      </c>
      <c r="C1033" s="16" t="inlineStr">
        <is>
          <t>O.1 The framework</t>
        </is>
      </c>
      <c r="D1033" s="10" t="inlineStr">
        <is>
          <t>Learning Geometry &amp; 3D Symmetries</t>
        </is>
      </c>
      <c r="E1033" s="10" t="inlineStr">
        <is>
          <t>Mario Geiger, NVIDIA (ML4DD Day 1</t>
        </is>
      </c>
      <c r="F1033" s="11" t="inlineStr">
        <is>
          <t>45:18</t>
        </is>
      </c>
      <c r="G1033" s="11" t="n">
        <v>0.76</v>
      </c>
      <c r="H1033" s="12" t="inlineStr">
        <is>
          <t>★</t>
        </is>
      </c>
      <c r="I1033" s="11" t="inlineStr">
        <is>
          <t>Not started</t>
        </is>
      </c>
      <c r="J1033" s="13" t="n"/>
      <c r="K1033" s="10" t="inlineStr"/>
      <c r="L1033" s="14" t="inlineStr">
        <is>
          <t>▶ watch</t>
        </is>
      </c>
      <c r="M1033" s="10" t="inlineStr">
        <is>
          <t>Satorras et al. 2021, ICML (EGNN)</t>
        </is>
      </c>
      <c r="N1033" s="14" t="inlineStr">
        <is>
          <t>read ↗</t>
        </is>
      </c>
      <c r="O1033" s="11" t="inlineStr">
        <is>
          <t>paired reading</t>
        </is>
      </c>
      <c r="P1033" s="10" t="inlineStr">
        <is>
          <t>ML4DD Summer School 2024 - 13 sessions</t>
        </is>
      </c>
    </row>
    <row r="1034">
      <c r="A1034" s="15" t="n">
        <v>1033</v>
      </c>
      <c r="B1034" s="15" t="inlineStr">
        <is>
          <t>Part II - The Method Atlas</t>
        </is>
      </c>
      <c r="C1034" s="16" t="inlineStr">
        <is>
          <t>O.2 Equivariant architectures for atoms</t>
        </is>
      </c>
      <c r="D1034" s="10" t="inlineStr">
        <is>
          <t>An Orientation in Symmetry-Aware ML Methods</t>
        </is>
      </c>
      <c r="E1034" s="10" t="inlineStr">
        <is>
          <t>Tess Smidt (MIT</t>
        </is>
      </c>
      <c r="F1034" s="11" t="inlineStr">
        <is>
          <t>1:01</t>
        </is>
      </c>
      <c r="G1034" s="11" t="n">
        <v>0.02</v>
      </c>
      <c r="H1034" s="12" t="inlineStr">
        <is>
          <t>★</t>
        </is>
      </c>
      <c r="I1034" s="11" t="inlineStr">
        <is>
          <t>Not started</t>
        </is>
      </c>
      <c r="J1034" s="13" t="n"/>
      <c r="K1034" s="10" t="inlineStr"/>
      <c r="L1034" s="14" t="inlineStr">
        <is>
          <t>▶ watch</t>
        </is>
      </c>
      <c r="M1034" s="10" t="inlineStr">
        <is>
          <t>Thomas et al. 2018, arXiv:1802.08219</t>
        </is>
      </c>
      <c r="N1034" s="14" t="inlineStr">
        <is>
          <t>read ↗</t>
        </is>
      </c>
      <c r="O1034" s="11" t="inlineStr">
        <is>
          <t>paired reading</t>
        </is>
      </c>
      <c r="P1034" s="10" t="inlineStr">
        <is>
          <t>3. Geometric deep learning and equivariance</t>
        </is>
      </c>
    </row>
    <row r="1035">
      <c r="A1035" s="15" t="n">
        <v>1034</v>
      </c>
      <c r="B1035" s="15" t="inlineStr">
        <is>
          <t>Part II - The Method Atlas</t>
        </is>
      </c>
      <c r="C1035" s="16" t="inlineStr">
        <is>
          <t>O.2 Equivariant architectures for atoms</t>
        </is>
      </c>
      <c r="D1035" s="10" t="inlineStr">
        <is>
          <t>Euclidean neural networks to understand and design atomistic systems</t>
        </is>
      </c>
      <c r="E1035" s="10" t="inlineStr">
        <is>
          <t>Tess Smidt (Harvard CMSA</t>
        </is>
      </c>
      <c r="F1035" s="11" t="inlineStr">
        <is>
          <t>55:00</t>
        </is>
      </c>
      <c r="G1035" s="11" t="n">
        <v>0.92</v>
      </c>
      <c r="H1035" s="12" t="inlineStr">
        <is>
          <t>★</t>
        </is>
      </c>
      <c r="I1035" s="11" t="inlineStr">
        <is>
          <t>Not started</t>
        </is>
      </c>
      <c r="J1035" s="13" t="n"/>
      <c r="K1035" s="10" t="inlineStr"/>
      <c r="L1035" s="14" t="inlineStr">
        <is>
          <t>▶ watch</t>
        </is>
      </c>
      <c r="M1035" s="10" t="inlineStr">
        <is>
          <t>Thomas et al. 2018, arXiv:1802.08219 (tensor field networks) · Fuchs et al. 2020, NeurIPS (SE(3)-Transformers)</t>
        </is>
      </c>
      <c r="N1035" s="14" t="inlineStr">
        <is>
          <t>read ↗</t>
        </is>
      </c>
      <c r="O1035" s="11" t="inlineStr">
        <is>
          <t>section reading (2 of 7)</t>
        </is>
      </c>
      <c r="P1035" s="10" t="inlineStr">
        <is>
          <t>3. Geometric deep learning and equivariance</t>
        </is>
      </c>
    </row>
    <row r="1036">
      <c r="A1036" s="15" t="n">
        <v>1035</v>
      </c>
      <c r="B1036" s="15" t="inlineStr">
        <is>
          <t>Part II - The Method Atlas</t>
        </is>
      </c>
      <c r="C1036" s="16" t="inlineStr">
        <is>
          <t>O.2 Equivariant architectures for atoms</t>
        </is>
      </c>
      <c r="D1036" s="10" t="inlineStr">
        <is>
          <t>Symmetry-Aware Neural Networks with e3nn (MRS tutorial</t>
        </is>
      </c>
      <c r="E1036" s="10" t="inlineStr">
        <is>
          <t>Smidt, Geiger et al.</t>
        </is>
      </c>
      <c r="F1036" s="11" t="inlineStr"/>
      <c r="G1036" s="11" t="n">
        <v>0</v>
      </c>
      <c r="H1036" s="12" t="inlineStr">
        <is>
          <t>★</t>
        </is>
      </c>
      <c r="I1036" s="11" t="inlineStr">
        <is>
          <t>Not started</t>
        </is>
      </c>
      <c r="J1036" s="13" t="n"/>
      <c r="K1036" s="10" t="inlineStr"/>
      <c r="L1036" s="14" t="inlineStr">
        <is>
          <t>▶ watch</t>
        </is>
      </c>
      <c r="M1036" s="10" t="inlineStr">
        <is>
          <t>Thomas et al. 2018, arXiv:1802.08219 (tensor field networks) · Fuchs et al. 2020, NeurIPS (SE(3)-Transformers)</t>
        </is>
      </c>
      <c r="N1036" s="14" t="inlineStr">
        <is>
          <t>read ↗</t>
        </is>
      </c>
      <c r="O1036" s="11" t="inlineStr">
        <is>
          <t>section reading (2 of 7)</t>
        </is>
      </c>
      <c r="P1036" s="10" t="inlineStr">
        <is>
          <t>3. Geometric deep learning and equivariance</t>
        </is>
      </c>
    </row>
    <row r="1037">
      <c r="A1037" s="15" t="n">
        <v>1036</v>
      </c>
      <c r="B1037" s="15" t="inlineStr">
        <is>
          <t>Part II - The Method Atlas</t>
        </is>
      </c>
      <c r="C1037" s="16" t="inlineStr">
        <is>
          <t>O.2 Equivariant architectures for atoms</t>
        </is>
      </c>
      <c r="D1037" s="10" t="inlineStr">
        <is>
          <t>Symmetries in Inference and Learning</t>
        </is>
      </c>
      <c r="E1037" s="10" t="inlineStr">
        <is>
          <t>Max Welling (TUM AI</t>
        </is>
      </c>
      <c r="F1037" s="11" t="inlineStr">
        <is>
          <t>57:00</t>
        </is>
      </c>
      <c r="G1037" s="11" t="n">
        <v>0.95</v>
      </c>
      <c r="H1037" s="12" t="inlineStr">
        <is>
          <t>★</t>
        </is>
      </c>
      <c r="I1037" s="11" t="inlineStr">
        <is>
          <t>Not started</t>
        </is>
      </c>
      <c r="J1037" s="13" t="n"/>
      <c r="K1037" s="10" t="inlineStr"/>
      <c r="L1037" s="14" t="inlineStr">
        <is>
          <t>▶ watch</t>
        </is>
      </c>
      <c r="M1037" s="10" t="inlineStr">
        <is>
          <t>His argument for data efficiency</t>
        </is>
      </c>
      <c r="N1037" s="14" t="inlineStr">
        <is>
          <t>read ↗</t>
        </is>
      </c>
      <c r="O1037" s="11" t="inlineStr">
        <is>
          <t>paired reading</t>
        </is>
      </c>
      <c r="P1037" s="10" t="inlineStr">
        <is>
          <t>3. Geometric deep learning and equivariance</t>
        </is>
      </c>
    </row>
    <row r="1038">
      <c r="A1038" s="15" t="n">
        <v>1037</v>
      </c>
      <c r="B1038" s="15" t="inlineStr">
        <is>
          <t>Part II - The Method Atlas</t>
        </is>
      </c>
      <c r="C1038" s="16" t="inlineStr">
        <is>
          <t>O.2 Equivariant architectures for atoms</t>
        </is>
      </c>
      <c r="D1038" s="10" t="inlineStr">
        <is>
          <t>Is Distance Matrix Enough for Geometric Deep Learning?</t>
        </is>
      </c>
      <c r="E1038" s="10" t="inlineStr">
        <is>
          <t>Zian Li (Valence</t>
        </is>
      </c>
      <c r="F1038" s="11" t="inlineStr">
        <is>
          <t>1:04:15</t>
        </is>
      </c>
      <c r="G1038" s="11" t="n">
        <v>1.07</v>
      </c>
      <c r="H1038" s="12" t="inlineStr"/>
      <c r="I1038" s="11" t="inlineStr">
        <is>
          <t>Not started</t>
        </is>
      </c>
      <c r="J1038" s="13" t="n"/>
      <c r="K1038" s="10" t="inlineStr"/>
      <c r="L1038" s="14" t="inlineStr">
        <is>
          <t>▶ watch</t>
        </is>
      </c>
      <c r="M1038" s="10" t="inlineStr">
        <is>
          <t>Thomas et al. 2018, arXiv:1802.08219 (tensor field networks) · Fuchs et al. 2020, NeurIPS (SE(3)-Transformers)</t>
        </is>
      </c>
      <c r="N1038" s="14" t="inlineStr">
        <is>
          <t>read ↗</t>
        </is>
      </c>
      <c r="O1038" s="11" t="inlineStr">
        <is>
          <t>section reading (2 of 7)</t>
        </is>
      </c>
      <c r="P1038" s="10" t="inlineStr">
        <is>
          <t>Docking, chemistry and generative molecular design</t>
        </is>
      </c>
    </row>
    <row r="1039">
      <c r="A1039" s="15" t="n">
        <v>1038</v>
      </c>
      <c r="B1039" s="15" t="inlineStr">
        <is>
          <t>Part II - The Method Atlas</t>
        </is>
      </c>
      <c r="C1039" s="16" t="inlineStr">
        <is>
          <t>O.2 Equivariant architectures for atoms</t>
        </is>
      </c>
      <c r="D1039" s="10" t="inlineStr">
        <is>
          <t>Learning 3D Representations of Molecular Chirality</t>
        </is>
      </c>
      <c r="E1039" s="10" t="inlineStr">
        <is>
          <t>Keir Adams (MIT, Valence</t>
        </is>
      </c>
      <c r="F1039" s="11" t="inlineStr">
        <is>
          <t>1:09:59</t>
        </is>
      </c>
      <c r="G1039" s="11" t="n">
        <v>1.17</v>
      </c>
      <c r="H1039" s="12" t="inlineStr"/>
      <c r="I1039" s="11" t="inlineStr">
        <is>
          <t>Not started</t>
        </is>
      </c>
      <c r="J1039" s="13" t="n"/>
      <c r="K1039" s="10" t="inlineStr"/>
      <c r="L1039" s="14" t="inlineStr">
        <is>
          <t>▶ watch</t>
        </is>
      </c>
      <c r="M1039" s="10" t="inlineStr">
        <is>
          <t>Thomas et al. 2018, arXiv:1802.08219 (tensor field networks) · Fuchs et al. 2020, NeurIPS (SE(3)-Transformers)</t>
        </is>
      </c>
      <c r="N1039" s="14" t="inlineStr">
        <is>
          <t>read ↗</t>
        </is>
      </c>
      <c r="O1039" s="11" t="inlineStr">
        <is>
          <t>section reading (2 of 7)</t>
        </is>
      </c>
      <c r="P1039" s="10" t="inlineStr">
        <is>
          <t>Docking, chemistry and generative molecular design</t>
        </is>
      </c>
    </row>
    <row r="1040">
      <c r="A1040" s="15" t="n">
        <v>1039</v>
      </c>
      <c r="B1040" s="15" t="inlineStr">
        <is>
          <t>Part II - The Method Atlas</t>
        </is>
      </c>
      <c r="C1040" s="16" t="inlineStr">
        <is>
          <t>O.2 Equivariant architectures for atoms</t>
        </is>
      </c>
      <c r="D1040" s="10" t="inlineStr">
        <is>
          <t>ChiENN: Molecular Chirality with Graph Neural Networks</t>
        </is>
      </c>
      <c r="E1040" s="10" t="inlineStr">
        <is>
          <t>Gaiński (Valence</t>
        </is>
      </c>
      <c r="F1040" s="11" t="inlineStr">
        <is>
          <t>50:33</t>
        </is>
      </c>
      <c r="G1040" s="11" t="n">
        <v>0.84</v>
      </c>
      <c r="H1040" s="12" t="inlineStr"/>
      <c r="I1040" s="11" t="inlineStr">
        <is>
          <t>Not started</t>
        </is>
      </c>
      <c r="J1040" s="13" t="n"/>
      <c r="K1040" s="10" t="inlineStr"/>
      <c r="L1040" s="14" t="inlineStr">
        <is>
          <t>▶ watch</t>
        </is>
      </c>
      <c r="M1040" s="10" t="inlineStr">
        <is>
          <t>Thomas et al. 2018, arXiv:1802.08219 (tensor field networks) · Fuchs et al. 2020, NeurIPS (SE(3)-Transformers)</t>
        </is>
      </c>
      <c r="N1040" s="14" t="inlineStr">
        <is>
          <t>read ↗</t>
        </is>
      </c>
      <c r="O1040" s="11" t="inlineStr">
        <is>
          <t>section reading (2 of 7)</t>
        </is>
      </c>
      <c r="P1040" s="10" t="inlineStr">
        <is>
          <t>Docking, chemistry and generative molecular design</t>
        </is>
      </c>
    </row>
    <row r="1041">
      <c r="A1041" s="15" t="n">
        <v>1040</v>
      </c>
      <c r="B1041" s="15" t="inlineStr">
        <is>
          <t>Part II - The Method Atlas</t>
        </is>
      </c>
      <c r="C1041" s="16" t="inlineStr">
        <is>
          <t>O.2 Equivariant architectures for atoms</t>
        </is>
      </c>
      <c r="D1041" s="10" t="inlineStr">
        <is>
          <t>Torsional Diffusion for Molecular Conformer Generation</t>
        </is>
      </c>
      <c r="E1041" s="10" t="inlineStr">
        <is>
          <t>Corso &amp; Jing (Valence</t>
        </is>
      </c>
      <c r="F1041" s="11" t="inlineStr">
        <is>
          <t>1:36:42</t>
        </is>
      </c>
      <c r="G1041" s="11" t="n">
        <v>1.61</v>
      </c>
      <c r="H1041" s="12" t="inlineStr">
        <is>
          <t>★</t>
        </is>
      </c>
      <c r="I1041" s="11" t="inlineStr">
        <is>
          <t>Not started</t>
        </is>
      </c>
      <c r="J1041" s="13" t="n"/>
      <c r="K1041" s="10" t="inlineStr"/>
      <c r="L1041" s="14" t="inlineStr">
        <is>
          <t>▶ watch</t>
        </is>
      </c>
      <c r="M1041" s="10" t="inlineStr">
        <is>
          <t>Thomas et al. 2018, arXiv:1802.08219 (tensor field networks) · Fuchs et al. 2020, NeurIPS (SE(3)-Transformers)</t>
        </is>
      </c>
      <c r="N1041" s="14" t="inlineStr">
        <is>
          <t>read ↗</t>
        </is>
      </c>
      <c r="O1041" s="11" t="inlineStr">
        <is>
          <t>section reading (2 of 7)</t>
        </is>
      </c>
      <c r="P1041" s="10" t="inlineStr">
        <is>
          <t>Docking, chemistry and generative molecular design</t>
        </is>
      </c>
    </row>
    <row r="1042">
      <c r="A1042" s="15" t="n">
        <v>1041</v>
      </c>
      <c r="B1042" s="15" t="inlineStr">
        <is>
          <t>Part II - The Method Atlas</t>
        </is>
      </c>
      <c r="C1042" s="16" t="inlineStr">
        <is>
          <t>O.2 Equivariant architectures for atoms</t>
        </is>
      </c>
      <c r="D1042" s="10" t="inlineStr">
        <is>
          <t>Protein Representation Learning by Geometric Structure Pretraining</t>
        </is>
      </c>
      <c r="E1042" s="10" t="inlineStr">
        <is>
          <t>Zhang (Valence</t>
        </is>
      </c>
      <c r="F1042" s="11" t="inlineStr">
        <is>
          <t>53:20</t>
        </is>
      </c>
      <c r="G1042" s="11" t="n">
        <v>0.89</v>
      </c>
      <c r="H1042" s="12" t="inlineStr"/>
      <c r="I1042" s="11" t="inlineStr">
        <is>
          <t>Not started</t>
        </is>
      </c>
      <c r="J1042" s="13" t="n"/>
      <c r="K1042" s="10" t="inlineStr"/>
      <c r="L1042" s="14" t="inlineStr">
        <is>
          <t>▶ watch</t>
        </is>
      </c>
      <c r="M1042" s="10" t="inlineStr">
        <is>
          <t>Thomas et al. 2018, arXiv:1802.08219 (tensor field networks) · Fuchs et al. 2020, NeurIPS (SE(3)-Transformers)</t>
        </is>
      </c>
      <c r="N1042" s="14" t="inlineStr">
        <is>
          <t>read ↗</t>
        </is>
      </c>
      <c r="O1042" s="11" t="inlineStr">
        <is>
          <t>section reading (2 of 7)</t>
        </is>
      </c>
      <c r="P1042" s="10" t="inlineStr">
        <is>
          <t>Structure prediction, design and biomolecular foundation models</t>
        </is>
      </c>
    </row>
    <row r="1043">
      <c r="A1043" s="15" t="n">
        <v>1042</v>
      </c>
      <c r="B1043" s="15" t="inlineStr">
        <is>
          <t>Part II - The Method Atlas</t>
        </is>
      </c>
      <c r="C1043" s="16" t="inlineStr">
        <is>
          <t>O.3 The challenge to the orthodoxy</t>
        </is>
      </c>
      <c r="D1043" s="10" t="inlineStr">
        <is>
          <t>AlphaFold3 review (note the architecture change</t>
        </is>
      </c>
      <c r="E1043" s="10" t="inlineStr">
        <is>
          <t>Ovchinnikov (BPDMC</t>
        </is>
      </c>
      <c r="F1043" s="11" t="inlineStr">
        <is>
          <t>1:12:58</t>
        </is>
      </c>
      <c r="G1043" s="11" t="n">
        <v>1.22</v>
      </c>
      <c r="H1043" s="12" t="inlineStr">
        <is>
          <t>★</t>
        </is>
      </c>
      <c r="I1043" s="11" t="inlineStr">
        <is>
          <t>Not started</t>
        </is>
      </c>
      <c r="J1043" s="13" t="n"/>
      <c r="K1043" s="10" t="inlineStr"/>
      <c r="L1043" s="14" t="inlineStr">
        <is>
          <t>▶ watch</t>
        </is>
      </c>
      <c r="M1043" s="10" t="inlineStr">
        <is>
          <t>Abramson et al. 2024, Nature 630:493 (AlphaFold3 - which dropped the equivariant frame machinery for a diffusion module with data augmentation)</t>
        </is>
      </c>
      <c r="N1043" s="14" t="inlineStr">
        <is>
          <t>read ↗</t>
        </is>
      </c>
      <c r="O1043" s="11" t="inlineStr">
        <is>
          <t>names ALPHAFOLD3</t>
        </is>
      </c>
      <c r="P1043" s="10" t="inlineStr">
        <is>
          <t>2024; P.4 AlphaFold3 and the co-folding era; R.10 The framing talks and the skeptics</t>
        </is>
      </c>
    </row>
    <row r="1044">
      <c r="A1044" s="15" t="n">
        <v>1043</v>
      </c>
      <c r="B1044" s="15" t="inlineStr">
        <is>
          <t>Part II - The Method Atlas</t>
        </is>
      </c>
      <c r="C1044" s="16" t="inlineStr">
        <is>
          <t>P.1 The architecture, properly</t>
        </is>
      </c>
      <c r="D1044" s="10" t="inlineStr">
        <is>
          <t>AlphaFold: improved structure prediction using potentials from deep learning</t>
        </is>
      </c>
      <c r="E1044" s="10" t="inlineStr">
        <is>
          <t>AlphaFold1</t>
        </is>
      </c>
      <c r="F1044" s="11" t="inlineStr">
        <is>
          <t>1:02:40</t>
        </is>
      </c>
      <c r="G1044" s="11" t="n">
        <v>1.04</v>
      </c>
      <c r="H1044" s="12" t="inlineStr">
        <is>
          <t>★</t>
        </is>
      </c>
      <c r="I1044" s="11" t="inlineStr">
        <is>
          <t>Not started</t>
        </is>
      </c>
      <c r="J1044" s="13" t="n"/>
      <c r="K1044" s="10" t="inlineStr"/>
      <c r="L1044" s="14" t="inlineStr">
        <is>
          <t>▶ watch</t>
        </is>
      </c>
      <c r="M1044" s="10" t="inlineStr">
        <is>
          <t>Senior et al. 2020, Nature 577 (AF1) · Jumper et al. 2021, Nature 596 - and the Supplementary Information, which is the real paper</t>
        </is>
      </c>
      <c r="N1044" s="14" t="inlineStr">
        <is>
          <t>read ↗</t>
        </is>
      </c>
      <c r="O1044" s="11" t="inlineStr">
        <is>
          <t>section reading</t>
        </is>
      </c>
      <c r="P1044" s="10" t="inlineStr">
        <is>
          <t>The channel itself</t>
        </is>
      </c>
    </row>
    <row r="1045">
      <c r="A1045" s="15" t="n">
        <v>1044</v>
      </c>
      <c r="B1045" s="15" t="inlineStr">
        <is>
          <t>Part II - The Method Atlas</t>
        </is>
      </c>
      <c r="C1045" s="16" t="inlineStr">
        <is>
          <t>P.1 The architecture, properly</t>
        </is>
      </c>
      <c r="D1045" s="10" t="inlineStr">
        <is>
          <t>CASP-16: From AlphaFold1 to AlphaFold2</t>
        </is>
      </c>
      <c r="E1045" s="10" t="inlineStr">
        <is>
          <t>John Jumper</t>
        </is>
      </c>
      <c r="F1045" s="11" t="inlineStr">
        <is>
          <t>55:15</t>
        </is>
      </c>
      <c r="G1045" s="11" t="n">
        <v>0.92</v>
      </c>
      <c r="H1045" s="12" t="inlineStr">
        <is>
          <t>★</t>
        </is>
      </c>
      <c r="I1045" s="11" t="inlineStr">
        <is>
          <t>Not started</t>
        </is>
      </c>
      <c r="J1045" s="13" t="n"/>
      <c r="K1045" s="10" t="inlineStr"/>
      <c r="L1045" s="14" t="inlineStr">
        <is>
          <t>▶ watch</t>
        </is>
      </c>
      <c r="M1045" s="10" t="inlineStr">
        <is>
          <t>Senior et al. 2020, Nature 577 (AF1) · Jumper et al. 2021, Nature 596 - and the Supplementary Information, which is the real paper</t>
        </is>
      </c>
      <c r="N1045" s="14" t="inlineStr">
        <is>
          <t>read ↗</t>
        </is>
      </c>
      <c r="O1045" s="11" t="inlineStr">
        <is>
          <t>section reading</t>
        </is>
      </c>
      <c r="P1045" s="10" t="inlineStr"/>
    </row>
    <row r="1046">
      <c r="A1046" s="15" t="n">
        <v>1045</v>
      </c>
      <c r="B1046" s="15" t="inlineStr">
        <is>
          <t>Part II - The Method Atlas</t>
        </is>
      </c>
      <c r="C1046" s="16" t="inlineStr">
        <is>
          <t>P.1 The architecture, properly</t>
        </is>
      </c>
      <c r="D1046" s="10" t="inlineStr">
        <is>
          <t>Kendrew Lecture: Highly accurate protein structure prediction</t>
        </is>
      </c>
      <c r="E1046" s="10" t="inlineStr">
        <is>
          <t>John Jumper (MRC LMB</t>
        </is>
      </c>
      <c r="F1046" s="11" t="inlineStr">
        <is>
          <t>58:49</t>
        </is>
      </c>
      <c r="G1046" s="11" t="n">
        <v>0.98</v>
      </c>
      <c r="H1046" s="12" t="inlineStr"/>
      <c r="I1046" s="11" t="inlineStr">
        <is>
          <t>Not started</t>
        </is>
      </c>
      <c r="J1046" s="13" t="n"/>
      <c r="K1046" s="10" t="inlineStr"/>
      <c r="L1046" s="14" t="inlineStr">
        <is>
          <t>▶ watch</t>
        </is>
      </c>
      <c r="M1046" s="10" t="inlineStr">
        <is>
          <t>Senior et al. 2020, Nature 577 (AF1) · Jumper et al. 2021, Nature 596 - and the Supplementary Information, which is the real paper</t>
        </is>
      </c>
      <c r="N1046" s="14" t="inlineStr">
        <is>
          <t>read ↗</t>
        </is>
      </c>
      <c r="O1046" s="11" t="inlineStr">
        <is>
          <t>section reading</t>
        </is>
      </c>
      <c r="P1046" s="10" t="inlineStr"/>
    </row>
    <row r="1047">
      <c r="A1047" s="15" t="n">
        <v>1046</v>
      </c>
      <c r="B1047" s="15" t="inlineStr">
        <is>
          <t>Part II - The Method Atlas</t>
        </is>
      </c>
      <c r="C1047" s="16" t="inlineStr">
        <is>
          <t>P.1 The architecture, properly</t>
        </is>
      </c>
      <c r="D1047" s="10" t="inlineStr">
        <is>
          <t>AlphaFold and its implications for understanding biology</t>
        </is>
      </c>
      <c r="E1047" s="10" t="inlineStr">
        <is>
          <t>John Jumper (NGBS2022</t>
        </is>
      </c>
      <c r="F1047" s="11" t="inlineStr">
        <is>
          <t>34:50</t>
        </is>
      </c>
      <c r="G1047" s="11" t="n">
        <v>0.58</v>
      </c>
      <c r="H1047" s="12" t="inlineStr"/>
      <c r="I1047" s="11" t="inlineStr">
        <is>
          <t>Not started</t>
        </is>
      </c>
      <c r="J1047" s="13" t="n"/>
      <c r="K1047" s="10" t="inlineStr"/>
      <c r="L1047" s="14" t="inlineStr">
        <is>
          <t>▶ watch</t>
        </is>
      </c>
      <c r="M1047" s="10" t="inlineStr">
        <is>
          <t>Senior et al. 2020, Nature 577 (AF1) · Jumper et al. 2021, Nature 596 - and the Supplementary Information, which is the real paper</t>
        </is>
      </c>
      <c r="N1047" s="14" t="inlineStr">
        <is>
          <t>read ↗</t>
        </is>
      </c>
      <c r="O1047" s="11" t="inlineStr">
        <is>
          <t>section reading</t>
        </is>
      </c>
      <c r="P1047" s="10" t="inlineStr"/>
    </row>
    <row r="1048">
      <c r="A1048" s="15" t="n">
        <v>1047</v>
      </c>
      <c r="B1048" s="15" t="inlineStr">
        <is>
          <t>Part II - The Method Atlas</t>
        </is>
      </c>
      <c r="C1048" s="16" t="inlineStr">
        <is>
          <t>P.1 The architecture, properly</t>
        </is>
      </c>
      <c r="D1048" s="10" t="inlineStr">
        <is>
          <t>ML for protein structure prediction, Part 2: AlphaFold2 architecture</t>
        </is>
      </c>
      <c r="E1048" s="10" t="inlineStr">
        <is>
          <t>Nazim Bouatta (Harvard CMSA</t>
        </is>
      </c>
      <c r="F1048" s="11" t="inlineStr">
        <is>
          <t>1:18:32</t>
        </is>
      </c>
      <c r="G1048" s="11" t="n">
        <v>1.31</v>
      </c>
      <c r="H1048" s="12" t="inlineStr">
        <is>
          <t>★</t>
        </is>
      </c>
      <c r="I1048" s="11" t="inlineStr">
        <is>
          <t>Not started</t>
        </is>
      </c>
      <c r="J1048" s="13" t="n"/>
      <c r="K1048" s="10" t="inlineStr"/>
      <c r="L1048" s="14" t="inlineStr">
        <is>
          <t>▶ watch</t>
        </is>
      </c>
      <c r="M1048" s="10" t="inlineStr">
        <is>
          <t>Senior et al. 2020, Nature 577 (AF1) · Jumper et al. 2021, Nature 596 - and the Supplementary Information, which is the real paper</t>
        </is>
      </c>
      <c r="N1048" s="14" t="inlineStr">
        <is>
          <t>read ↗</t>
        </is>
      </c>
      <c r="O1048" s="11" t="inlineStr">
        <is>
          <t>section reading</t>
        </is>
      </c>
      <c r="P1048" s="10" t="inlineStr">
        <is>
          <t>E.7.2 Triangle attention - the memory wall nobody has written about</t>
        </is>
      </c>
    </row>
    <row r="1049">
      <c r="A1049" s="15" t="n">
        <v>1048</v>
      </c>
      <c r="B1049" s="15" t="inlineStr">
        <is>
          <t>Part II - The Method Atlas</t>
        </is>
      </c>
      <c r="C1049" s="16" t="inlineStr">
        <is>
          <t>P.1 The architecture, properly</t>
        </is>
      </c>
      <c r="D1049" s="10" t="inlineStr">
        <is>
          <t>Part 1: Algorithm space</t>
        </is>
      </c>
      <c r="E1049" s="10" t="inlineStr">
        <is>
          <t>Nazim Bouatta</t>
        </is>
      </c>
      <c r="F1049" s="11" t="inlineStr">
        <is>
          <t>1:30:25</t>
        </is>
      </c>
      <c r="G1049" s="11" t="n">
        <v>1.51</v>
      </c>
      <c r="H1049" s="12" t="inlineStr"/>
      <c r="I1049" s="11" t="inlineStr">
        <is>
          <t>Not started</t>
        </is>
      </c>
      <c r="J1049" s="13" t="n"/>
      <c r="K1049" s="10" t="inlineStr"/>
      <c r="L1049" s="14" t="inlineStr">
        <is>
          <t>▶ watch</t>
        </is>
      </c>
      <c r="M1049" s="10" t="inlineStr">
        <is>
          <t>Senior et al. 2020, Nature 577 (AF1) · Jumper et al. 2021, Nature 596 - and the Supplementary Information, which is the real paper</t>
        </is>
      </c>
      <c r="N1049" s="14" t="inlineStr">
        <is>
          <t>read ↗</t>
        </is>
      </c>
      <c r="O1049" s="11" t="inlineStr">
        <is>
          <t>section reading</t>
        </is>
      </c>
      <c r="P1049" s="10" t="inlineStr"/>
    </row>
    <row r="1050">
      <c r="A1050" s="15" t="n">
        <v>1049</v>
      </c>
      <c r="B1050" s="15" t="inlineStr">
        <is>
          <t>Part II - The Method Atlas</t>
        </is>
      </c>
      <c r="C1050" s="16" t="inlineStr">
        <is>
          <t>P.1 The architecture, properly</t>
        </is>
      </c>
      <c r="D1050" s="10" t="inlineStr">
        <is>
          <t>Part 3: AlphaFold2 and OpenFold</t>
        </is>
      </c>
      <c r="E1050" s="10" t="inlineStr">
        <is>
          <t>Nazim Bouatta</t>
        </is>
      </c>
      <c r="F1050" s="11" t="inlineStr">
        <is>
          <t>1:32:35</t>
        </is>
      </c>
      <c r="G1050" s="11" t="n">
        <v>1.54</v>
      </c>
      <c r="H1050" s="12" t="inlineStr"/>
      <c r="I1050" s="11" t="inlineStr">
        <is>
          <t>Not started</t>
        </is>
      </c>
      <c r="J1050" s="13" t="n"/>
      <c r="K1050" s="10" t="inlineStr"/>
      <c r="L1050" s="14" t="inlineStr">
        <is>
          <t>▶ watch</t>
        </is>
      </c>
      <c r="M1050" s="10" t="inlineStr">
        <is>
          <t>Senior et al. 2020, Nature 577 (AF1) · Jumper et al. 2021, Nature 596 - and the Supplementary Information, which is the real paper</t>
        </is>
      </c>
      <c r="N1050" s="14" t="inlineStr">
        <is>
          <t>read ↗</t>
        </is>
      </c>
      <c r="O1050" s="11" t="inlineStr">
        <is>
          <t>section reading</t>
        </is>
      </c>
      <c r="P1050" s="10" t="inlineStr"/>
    </row>
    <row r="1051">
      <c r="A1051" s="15" t="n">
        <v>1050</v>
      </c>
      <c r="B1051" s="15" t="inlineStr">
        <is>
          <t>Part II - The Method Atlas</t>
        </is>
      </c>
      <c r="C1051" s="16" t="inlineStr">
        <is>
          <t>The critical talks - watch these too</t>
        </is>
      </c>
      <c r="D1051" s="10" t="inlineStr">
        <is>
          <t>Initial reaction to AlphaFold2 right after CASP14</t>
        </is>
      </c>
      <c r="E1051" s="10" t="inlineStr">
        <is>
          <t>BPDMC, Dec 2020</t>
        </is>
      </c>
      <c r="F1051" s="11" t="inlineStr">
        <is>
          <t>1:17:30</t>
        </is>
      </c>
      <c r="G1051" s="11" t="n">
        <v>1.29</v>
      </c>
      <c r="H1051" s="12" t="inlineStr">
        <is>
          <t>★</t>
        </is>
      </c>
      <c r="I1051" s="11" t="inlineStr">
        <is>
          <t>Not started</t>
        </is>
      </c>
      <c r="J1051" s="13" t="n"/>
      <c r="K1051" s="10" t="inlineStr"/>
      <c r="L1051" s="14" t="inlineStr">
        <is>
          <t>▶ watch</t>
        </is>
      </c>
      <c r="M1051" s="10" t="inlineStr">
        <is>
          <t>Senior et al. 2020, Nature 577 (AF1) · Jumper et al. 2021, Nature 596 - and the Supplementary Information, which is the real paper</t>
        </is>
      </c>
      <c r="N1051" s="14" t="inlineStr">
        <is>
          <t>read ↗</t>
        </is>
      </c>
      <c r="O1051" s="11" t="inlineStr">
        <is>
          <t>reading for P.1 The architecture, properly</t>
        </is>
      </c>
      <c r="P1051" s="10" t="inlineStr">
        <is>
          <t>2021; S.1 The blind assessments</t>
        </is>
      </c>
    </row>
    <row r="1052">
      <c r="A1052" s="15" t="n">
        <v>1051</v>
      </c>
      <c r="B1052" s="15" t="inlineStr">
        <is>
          <t>Part II - The Method Atlas</t>
        </is>
      </c>
      <c r="C1052" s="16" t="inlineStr">
        <is>
          <t>The critical talks - watch these too</t>
        </is>
      </c>
      <c r="D1052" s="10" t="inlineStr">
        <is>
          <t>AlphaFold 2: Is Protein Folding Solved?</t>
        </is>
      </c>
      <c r="E1052" s="10" t="inlineStr">
        <is>
          <t>AISC, 2021</t>
        </is>
      </c>
      <c r="F1052" s="11" t="inlineStr">
        <is>
          <t>59:57</t>
        </is>
      </c>
      <c r="G1052" s="11" t="n">
        <v>1</v>
      </c>
      <c r="H1052" s="12" t="inlineStr"/>
      <c r="I1052" s="11" t="inlineStr">
        <is>
          <t>Not started</t>
        </is>
      </c>
      <c r="J1052" s="13" t="n"/>
      <c r="K1052" s="10" t="inlineStr"/>
      <c r="L1052" s="14" t="inlineStr">
        <is>
          <t>▶ watch</t>
        </is>
      </c>
      <c r="M1052" s="10" t="inlineStr">
        <is>
          <t>Senior et al. 2020, Nature 577 (AF1) · Jumper et al. 2021, Nature 596 - and the Supplementary Information, which is the real paper</t>
        </is>
      </c>
      <c r="N1052" s="14" t="inlineStr">
        <is>
          <t>read ↗</t>
        </is>
      </c>
      <c r="O1052" s="11" t="inlineStr">
        <is>
          <t>reading for P.1 The architecture, properly</t>
        </is>
      </c>
      <c r="P1052" s="10" t="inlineStr"/>
    </row>
    <row r="1053">
      <c r="A1053" s="15" t="n">
        <v>1052</v>
      </c>
      <c r="B1053" s="15" t="inlineStr">
        <is>
          <t>Part II - The Method Atlas</t>
        </is>
      </c>
      <c r="C1053" s="16" t="inlineStr">
        <is>
          <t>P.2 OpenFold - what retraining revealed</t>
        </is>
      </c>
      <c r="D1053" s="10" t="inlineStr">
        <is>
          <t>OpenFold: Lessons and insights from rebuilding and retraining AlphaFold2</t>
        </is>
      </c>
      <c r="E1053" s="10" t="inlineStr">
        <is>
          <t>Mohammed AlQuraishi (IPAM</t>
        </is>
      </c>
      <c r="F1053" s="11" t="inlineStr">
        <is>
          <t>48:13</t>
        </is>
      </c>
      <c r="G1053" s="11" t="n">
        <v>0.8</v>
      </c>
      <c r="H1053" s="12" t="inlineStr">
        <is>
          <t>★</t>
        </is>
      </c>
      <c r="I1053" s="11" t="inlineStr">
        <is>
          <t>Not started</t>
        </is>
      </c>
      <c r="J1053" s="13" t="n"/>
      <c r="K1053" s="10" t="inlineStr"/>
      <c r="L1053" s="14" t="inlineStr">
        <is>
          <t>▶ watch</t>
        </is>
      </c>
      <c r="M1053" s="10" t="inlineStr">
        <is>
          <t>Ahdritz et al. 2024, Nature Methods 21 - [landmark]. The only systematic account of what AF2 actually learns, in what order, and how much training data it needs. Retraining is the one experiment that turns a black box into an object of study</t>
        </is>
      </c>
      <c r="N1053" s="14" t="inlineStr">
        <is>
          <t>read ↗</t>
        </is>
      </c>
      <c r="O1053" s="11" t="inlineStr">
        <is>
          <t>section reading</t>
        </is>
      </c>
      <c r="P1053" s="10" t="inlineStr">
        <is>
          <t>E.7.1 AlphaFold, OpenFold and what training actually costs</t>
        </is>
      </c>
    </row>
    <row r="1054">
      <c r="A1054" s="15" t="n">
        <v>1053</v>
      </c>
      <c r="B1054" s="15" t="inlineStr">
        <is>
          <t>Part II - The Method Atlas</t>
        </is>
      </c>
      <c r="C1054" s="16" t="inlineStr">
        <is>
          <t>P.2 OpenFold - what retraining revealed</t>
        </is>
      </c>
      <c r="D1054" s="10" t="inlineStr">
        <is>
          <t>OpenFold (Valence Labs version</t>
        </is>
      </c>
      <c r="E1054" s="10" t="inlineStr">
        <is>
          <t>Mohammed AlQuraishi</t>
        </is>
      </c>
      <c r="F1054" s="11" t="inlineStr">
        <is>
          <t>39:28</t>
        </is>
      </c>
      <c r="G1054" s="11" t="n">
        <v>0.66</v>
      </c>
      <c r="H1054" s="12" t="inlineStr">
        <is>
          <t>★</t>
        </is>
      </c>
      <c r="I1054" s="11" t="inlineStr">
        <is>
          <t>Not started</t>
        </is>
      </c>
      <c r="J1054" s="13" t="n"/>
      <c r="K1054" s="10" t="inlineStr"/>
      <c r="L1054" s="14" t="inlineStr">
        <is>
          <t>▶ watch</t>
        </is>
      </c>
      <c r="M1054" s="10" t="inlineStr">
        <is>
          <t>Ahdritz et al. 2024, Nature Methods 21 - [landmark]. The only systematic account of what AF2 actually learns, in what order, and how much training data it needs. Retraining is the one experiment that turns a black box into an object of study</t>
        </is>
      </c>
      <c r="N1054" s="14" t="inlineStr">
        <is>
          <t>read ↗</t>
        </is>
      </c>
      <c r="O1054" s="11" t="inlineStr">
        <is>
          <t>section reading</t>
        </is>
      </c>
      <c r="P1054" s="10" t="inlineStr">
        <is>
          <t>E.7.1 AlphaFold, OpenFold and what training actually costs; Structure prediction, design and biomolecular foundation models</t>
        </is>
      </c>
    </row>
    <row r="1055">
      <c r="A1055" s="15" t="n">
        <v>1054</v>
      </c>
      <c r="B1055" s="15" t="inlineStr">
        <is>
          <t>Part II - The Method Atlas</t>
        </is>
      </c>
      <c r="C1055" s="16" t="inlineStr">
        <is>
          <t>P.2 OpenFold - what retraining revealed</t>
        </is>
      </c>
      <c r="D1055" s="10" t="inlineStr">
        <is>
          <t>OpenFold, long technical version</t>
        </is>
      </c>
      <c r="E1055" s="10" t="inlineStr">
        <is>
          <t>OpenBioML</t>
        </is>
      </c>
      <c r="F1055" s="11" t="inlineStr">
        <is>
          <t>1:03:55</t>
        </is>
      </c>
      <c r="G1055" s="11" t="n">
        <v>1.07</v>
      </c>
      <c r="H1055" s="12" t="inlineStr"/>
      <c r="I1055" s="11" t="inlineStr">
        <is>
          <t>Not started</t>
        </is>
      </c>
      <c r="J1055" s="13" t="n"/>
      <c r="K1055" s="10" t="inlineStr"/>
      <c r="L1055" s="14" t="inlineStr">
        <is>
          <t>▶ watch</t>
        </is>
      </c>
      <c r="M1055" s="10" t="inlineStr">
        <is>
          <t>Ahdritz et al. 2024, Nature Methods 21 - [landmark]. The only systematic account of what AF2 actually learns, in what order, and how much training data it needs. Retraining is the one experiment that turns a black box into an object of study</t>
        </is>
      </c>
      <c r="N1055" s="14" t="inlineStr">
        <is>
          <t>read ↗</t>
        </is>
      </c>
      <c r="O1055" s="11" t="inlineStr">
        <is>
          <t>section reading</t>
        </is>
      </c>
      <c r="P1055" s="10" t="inlineStr">
        <is>
          <t>E.7.1 AlphaFold, OpenFold and what training actually costs</t>
        </is>
      </c>
    </row>
    <row r="1056">
      <c r="A1056" s="15" t="n">
        <v>1055</v>
      </c>
      <c r="B1056" s="15" t="inlineStr">
        <is>
          <t>Part II - The Method Atlas</t>
        </is>
      </c>
      <c r="C1056" s="16" t="inlineStr">
        <is>
          <t>P.2 OpenFold - what retraining revealed</t>
        </is>
      </c>
      <c r="D1056" s="10" t="inlineStr">
        <is>
          <t>OpenFold (practical</t>
        </is>
      </c>
      <c r="E1056" s="10" t="inlineStr">
        <is>
          <t>SBGrid</t>
        </is>
      </c>
      <c r="F1056" s="11" t="inlineStr">
        <is>
          <t>1:01:48</t>
        </is>
      </c>
      <c r="G1056" s="11" t="n">
        <v>1.03</v>
      </c>
      <c r="H1056" s="12" t="inlineStr"/>
      <c r="I1056" s="11" t="inlineStr">
        <is>
          <t>Not started</t>
        </is>
      </c>
      <c r="J1056" s="13" t="n"/>
      <c r="K1056" s="10" t="inlineStr"/>
      <c r="L1056" s="14" t="inlineStr">
        <is>
          <t>▶ watch</t>
        </is>
      </c>
      <c r="M1056" s="10" t="inlineStr">
        <is>
          <t>Ahdritz et al. 2024, Nature Methods 21 - [landmark]. The only systematic account of what AF2 actually learns, in what order, and how much training data it needs. Retraining is the one experiment that turns a black box into an object of study</t>
        </is>
      </c>
      <c r="N1056" s="14" t="inlineStr">
        <is>
          <t>read ↗</t>
        </is>
      </c>
      <c r="O1056" s="11" t="inlineStr">
        <is>
          <t>section reading</t>
        </is>
      </c>
      <c r="P1056" s="10" t="inlineStr">
        <is>
          <t>E.7.1 AlphaFold, OpenFold and what training actually costs</t>
        </is>
      </c>
    </row>
    <row r="1057">
      <c r="A1057" s="15" t="n">
        <v>1056</v>
      </c>
      <c r="B1057" s="15" t="inlineStr">
        <is>
          <t>Part II - The Method Atlas</t>
        </is>
      </c>
      <c r="C1057" s="16" t="inlineStr">
        <is>
          <t>P.2 OpenFold - what retraining revealed</t>
        </is>
      </c>
      <c r="D1057" s="10" t="inlineStr">
        <is>
          <t>OpenFold3 and AQAffinity</t>
        </is>
      </c>
      <c r="E1057" s="10" t="inlineStr">
        <is>
          <t>SandboxAQ</t>
        </is>
      </c>
      <c r="F1057" s="11" t="inlineStr">
        <is>
          <t>56:50</t>
        </is>
      </c>
      <c r="G1057" s="11" t="n">
        <v>0.95</v>
      </c>
      <c r="H1057" s="12" t="inlineStr"/>
      <c r="I1057" s="11" t="inlineStr">
        <is>
          <t>Not started</t>
        </is>
      </c>
      <c r="J1057" s="13" t="n"/>
      <c r="K1057" s="10" t="inlineStr"/>
      <c r="L1057" s="14" t="inlineStr">
        <is>
          <t>▶ watch</t>
        </is>
      </c>
      <c r="M1057" s="10" t="inlineStr">
        <is>
          <t>Ahdritz et al. 2024, Nature Methods 21 - [landmark]. The only systematic account of what AF2 actually learns, in what order, and how much training data it needs. Retraining is the one experiment that turns a black box into an object of study</t>
        </is>
      </c>
      <c r="N1057" s="14" t="inlineStr">
        <is>
          <t>read ↗</t>
        </is>
      </c>
      <c r="O1057" s="11" t="inlineStr">
        <is>
          <t>section reading</t>
        </is>
      </c>
      <c r="P1057" s="10" t="inlineStr"/>
    </row>
    <row r="1058">
      <c r="A1058" s="15" t="n">
        <v>1057</v>
      </c>
      <c r="B1058" s="15" t="inlineStr">
        <is>
          <t>Part II - The Method Atlas</t>
        </is>
      </c>
      <c r="C1058" s="16" t="inlineStr">
        <is>
          <t>P.2 OpenFold - what retraining revealed</t>
        </is>
      </c>
      <c r="D1058" s="10" t="inlineStr">
        <is>
          <t>OpenFold3 for Biological Structure Prediction</t>
        </is>
      </c>
      <c r="E1058" s="10" t="inlineStr">
        <is>
          <t>Vecura AI4LIFE</t>
        </is>
      </c>
      <c r="F1058" s="11" t="inlineStr">
        <is>
          <t>42:44</t>
        </is>
      </c>
      <c r="G1058" s="11" t="n">
        <v>0.71</v>
      </c>
      <c r="H1058" s="12" t="inlineStr"/>
      <c r="I1058" s="11" t="inlineStr">
        <is>
          <t>Not started</t>
        </is>
      </c>
      <c r="J1058" s="13" t="n"/>
      <c r="K1058" s="10" t="inlineStr"/>
      <c r="L1058" s="14" t="inlineStr">
        <is>
          <t>▶ watch</t>
        </is>
      </c>
      <c r="M1058" s="10" t="inlineStr">
        <is>
          <t>Ahdritz et al. 2024, Nature Methods 21 - [landmark]. The only systematic account of what AF2 actually learns, in what order, and how much training data it needs. Retraining is the one experiment that turns a black box into an object of study</t>
        </is>
      </c>
      <c r="N1058" s="14" t="inlineStr">
        <is>
          <t>read ↗</t>
        </is>
      </c>
      <c r="O1058" s="11" t="inlineStr">
        <is>
          <t>section reading</t>
        </is>
      </c>
      <c r="P1058" s="10" t="inlineStr"/>
    </row>
    <row r="1059">
      <c r="A1059" s="15" t="n">
        <v>1058</v>
      </c>
      <c r="B1059" s="15" t="inlineStr">
        <is>
          <t>Part II - The Method Atlas</t>
        </is>
      </c>
      <c r="C1059" s="16" t="inlineStr">
        <is>
          <t>P.3 The RoseTTAFold line</t>
        </is>
      </c>
      <c r="D1059" s="10" t="inlineStr">
        <is>
          <t>Minkyung Baek</t>
        </is>
      </c>
      <c r="E1059" s="10" t="inlineStr">
        <is>
          <t>RoseTTAFold</t>
        </is>
      </c>
      <c r="F1059" s="11" t="inlineStr">
        <is>
          <t>55:57</t>
        </is>
      </c>
      <c r="G1059" s="11" t="n">
        <v>0.93</v>
      </c>
      <c r="H1059" s="12" t="inlineStr"/>
      <c r="I1059" s="11" t="inlineStr">
        <is>
          <t>Not started</t>
        </is>
      </c>
      <c r="J1059" s="13" t="n"/>
      <c r="K1059" s="10" t="inlineStr"/>
      <c r="L1059" s="14" t="inlineStr">
        <is>
          <t>▶ watch</t>
        </is>
      </c>
      <c r="M1059" s="10" t="inlineStr">
        <is>
          <t>Baek et al. 2021, Science 373 · Baek et al. 2023, bioRxiv (RF2)</t>
        </is>
      </c>
      <c r="N1059" s="14" t="inlineStr">
        <is>
          <t>read ↗</t>
        </is>
      </c>
      <c r="O1059" s="11" t="inlineStr">
        <is>
          <t>section reading (2 of 3)</t>
        </is>
      </c>
      <c r="P1059" s="10" t="inlineStr"/>
    </row>
    <row r="1060">
      <c r="A1060" s="15" t="n">
        <v>1059</v>
      </c>
      <c r="B1060" s="15" t="inlineStr">
        <is>
          <t>Part II - The Method Atlas</t>
        </is>
      </c>
      <c r="C1060" s="16" t="inlineStr">
        <is>
          <t>P.3 The RoseTTAFold line</t>
        </is>
      </c>
      <c r="D1060" s="10" t="inlineStr">
        <is>
          <t>CASP15 predictor talk</t>
        </is>
      </c>
      <c r="E1060" s="10" t="inlineStr">
        <is>
          <t>Minkyung Baek</t>
        </is>
      </c>
      <c r="F1060" s="11" t="inlineStr">
        <is>
          <t>45:18</t>
        </is>
      </c>
      <c r="G1060" s="11" t="n">
        <v>0.76</v>
      </c>
      <c r="H1060" s="12" t="inlineStr"/>
      <c r="I1060" s="11" t="inlineStr">
        <is>
          <t>Not started</t>
        </is>
      </c>
      <c r="J1060" s="13" t="n"/>
      <c r="K1060" s="10" t="inlineStr"/>
      <c r="L1060" s="14" t="inlineStr">
        <is>
          <t>▶ watch</t>
        </is>
      </c>
      <c r="M1060" s="10" t="inlineStr">
        <is>
          <t>Baek et al. 2021, Science 373 · Baek et al. 2023, bioRxiv (RF2)</t>
        </is>
      </c>
      <c r="N1060" s="14" t="inlineStr">
        <is>
          <t>read ↗</t>
        </is>
      </c>
      <c r="O1060" s="11" t="inlineStr">
        <is>
          <t>section reading (2 of 3)</t>
        </is>
      </c>
      <c r="P1060" s="10" t="inlineStr"/>
    </row>
    <row r="1061">
      <c r="A1061" s="15" t="n">
        <v>1060</v>
      </c>
      <c r="B1061" s="15" t="inlineStr">
        <is>
          <t>Part II - The Method Atlas</t>
        </is>
      </c>
      <c r="C1061" s="16" t="inlineStr">
        <is>
          <t>P.3 The RoseTTAFold line</t>
        </is>
      </c>
      <c r="D1061" s="10" t="inlineStr">
        <is>
          <t>Generalized Biomolecular Modeling and Design with RFAA</t>
        </is>
      </c>
      <c r="E1061" s="10" t="inlineStr">
        <is>
          <t>Rohith Krishna (Valence</t>
        </is>
      </c>
      <c r="F1061" s="11" t="inlineStr">
        <is>
          <t>1:04:54</t>
        </is>
      </c>
      <c r="G1061" s="11" t="n">
        <v>1.08</v>
      </c>
      <c r="H1061" s="12" t="inlineStr">
        <is>
          <t>★</t>
        </is>
      </c>
      <c r="I1061" s="11" t="inlineStr">
        <is>
          <t>Not started</t>
        </is>
      </c>
      <c r="J1061" s="13" t="n"/>
      <c r="K1061" s="10" t="inlineStr"/>
      <c r="L1061" s="14" t="inlineStr">
        <is>
          <t>▶ watch</t>
        </is>
      </c>
      <c r="M1061" s="10" t="inlineStr">
        <is>
          <t>Krishna et al. 2024, Science 384 (RFAA)</t>
        </is>
      </c>
      <c r="N1061" s="14" t="inlineStr">
        <is>
          <t>read ↗</t>
        </is>
      </c>
      <c r="O1061" s="11" t="inlineStr">
        <is>
          <t>names RFAA</t>
        </is>
      </c>
      <c r="P1061" s="10" t="inlineStr">
        <is>
          <t>R.2 Backbone generation; R.9 Protein-nucleic acid and co-design; Structure prediction, design and biomolecular foundation models</t>
        </is>
      </c>
    </row>
    <row r="1062">
      <c r="A1062" s="15" t="n">
        <v>1061</v>
      </c>
      <c r="B1062" s="15" t="inlineStr">
        <is>
          <t>Part II - The Method Atlas</t>
        </is>
      </c>
      <c r="C1062" s="16" t="inlineStr">
        <is>
          <t>P.3 The RoseTTAFold line</t>
        </is>
      </c>
      <c r="D1062" s="10" t="inlineStr">
        <is>
          <t>Molecular ML Reading Group: RoseTTAFold All-Atom</t>
        </is>
      </c>
      <c r="E1062" s="10" t="inlineStr">
        <is>
          <t>MaomLab (critical</t>
        </is>
      </c>
      <c r="F1062" s="11" t="inlineStr">
        <is>
          <t>51:00</t>
        </is>
      </c>
      <c r="G1062" s="11" t="n">
        <v>0.85</v>
      </c>
      <c r="H1062" s="12" t="inlineStr"/>
      <c r="I1062" s="11" t="inlineStr">
        <is>
          <t>Not started</t>
        </is>
      </c>
      <c r="J1062" s="13" t="n"/>
      <c r="K1062" s="10" t="inlineStr"/>
      <c r="L1062" s="14" t="inlineStr">
        <is>
          <t>▶ watch</t>
        </is>
      </c>
      <c r="M1062" s="10" t="inlineStr">
        <is>
          <t>Baek et al. 2021, Science 373 · Baek et al. 2023, bioRxiv (RF2)</t>
        </is>
      </c>
      <c r="N1062" s="14" t="inlineStr">
        <is>
          <t>read ↗</t>
        </is>
      </c>
      <c r="O1062" s="11" t="inlineStr">
        <is>
          <t>section reading (2 of 3)</t>
        </is>
      </c>
      <c r="P1062" s="10" t="inlineStr"/>
    </row>
    <row r="1063">
      <c r="A1063" s="15" t="n">
        <v>1062</v>
      </c>
      <c r="B1063" s="15" t="inlineStr">
        <is>
          <t>Part II - The Method Atlas</t>
        </is>
      </c>
      <c r="C1063" s="16" t="inlineStr">
        <is>
          <t>P.3 The RoseTTAFold line</t>
        </is>
      </c>
      <c r="D1063" s="10" t="inlineStr">
        <is>
          <t>Accelerating Biomolecular Modeling with AtomWorks and RF3</t>
        </is>
      </c>
      <c r="E1063" s="10" t="inlineStr">
        <is>
          <t>RF3 / AtomWorks</t>
        </is>
      </c>
      <c r="F1063" s="11" t="inlineStr">
        <is>
          <t>51:17</t>
        </is>
      </c>
      <c r="G1063" s="11" t="n">
        <v>0.85</v>
      </c>
      <c r="H1063" s="12" t="inlineStr"/>
      <c r="I1063" s="11" t="inlineStr">
        <is>
          <t>Not started</t>
        </is>
      </c>
      <c r="J1063" s="13" t="n"/>
      <c r="K1063" s="10" t="inlineStr"/>
      <c r="L1063" s="14" t="inlineStr">
        <is>
          <t>▶ watch</t>
        </is>
      </c>
      <c r="M1063" s="10" t="inlineStr">
        <is>
          <t>Baek et al. 2021, Science 373 · Baek et al. 2023, bioRxiv (RF2)</t>
        </is>
      </c>
      <c r="N1063" s="14" t="inlineStr">
        <is>
          <t>read ↗</t>
        </is>
      </c>
      <c r="O1063" s="11" t="inlineStr">
        <is>
          <t>section reading (2 of 3)</t>
        </is>
      </c>
      <c r="P1063" s="10" t="inlineStr">
        <is>
          <t>2025; R.9 Protein-nucleic acid and co-design</t>
        </is>
      </c>
    </row>
    <row r="1064">
      <c r="A1064" s="15" t="n">
        <v>1063</v>
      </c>
      <c r="B1064" s="15" t="inlineStr">
        <is>
          <t>Part II - The Method Atlas</t>
        </is>
      </c>
      <c r="C1064" s="16" t="inlineStr">
        <is>
          <t>P.3 The RoseTTAFold line</t>
        </is>
      </c>
      <c r="D1064" s="10" t="inlineStr">
        <is>
          <t>ML4PE Early Career Talk</t>
        </is>
      </c>
      <c r="E1064" s="10" t="inlineStr">
        <is>
          <t>Rohith Krishna</t>
        </is>
      </c>
      <c r="F1064" s="11" t="inlineStr">
        <is>
          <t>56:22</t>
        </is>
      </c>
      <c r="G1064" s="11" t="n">
        <v>0.9399999999999999</v>
      </c>
      <c r="H1064" s="12" t="inlineStr"/>
      <c r="I1064" s="11" t="inlineStr">
        <is>
          <t>Not started</t>
        </is>
      </c>
      <c r="J1064" s="13" t="n"/>
      <c r="K1064" s="10" t="inlineStr"/>
      <c r="L1064" s="14" t="inlineStr">
        <is>
          <t>▶ watch</t>
        </is>
      </c>
      <c r="M1064" s="10" t="inlineStr">
        <is>
          <t>Baek et al. 2021, Science 373 · Baek et al. 2023, bioRxiv (RF2)</t>
        </is>
      </c>
      <c r="N1064" s="14" t="inlineStr">
        <is>
          <t>read ↗</t>
        </is>
      </c>
      <c r="O1064" s="11" t="inlineStr">
        <is>
          <t>section reading (2 of 3)</t>
        </is>
      </c>
      <c r="P1064" s="10" t="inlineStr">
        <is>
          <t>ML4PE Early Career Seminar Series - 15 talks</t>
        </is>
      </c>
    </row>
    <row r="1065">
      <c r="A1065" s="15" t="n">
        <v>1064</v>
      </c>
      <c r="B1065" s="15" t="inlineStr">
        <is>
          <t>Part II - The Method Atlas</t>
        </is>
      </c>
      <c r="C1065" s="16" t="inlineStr">
        <is>
          <t>P.4 AlphaFold3 and the co-folding era</t>
        </is>
      </c>
      <c r="D1065" s="10" t="inlineStr">
        <is>
          <t>Towards Rational Drug Design with AlphaFold 3</t>
        </is>
      </c>
      <c r="E1065" s="10" t="inlineStr">
        <is>
          <t>Max Jaderberg (Isomorphic</t>
        </is>
      </c>
      <c r="F1065" s="11" t="inlineStr">
        <is>
          <t>50:28</t>
        </is>
      </c>
      <c r="G1065" s="11" t="n">
        <v>0.84</v>
      </c>
      <c r="H1065" s="12" t="inlineStr">
        <is>
          <t>★</t>
        </is>
      </c>
      <c r="I1065" s="11" t="inlineStr">
        <is>
          <t>Not started</t>
        </is>
      </c>
      <c r="J1065" s="13" t="n"/>
      <c r="K1065" s="10" t="inlineStr"/>
      <c r="L1065" s="14" t="inlineStr">
        <is>
          <t>▶ watch</t>
        </is>
      </c>
      <c r="M1065" s="10" t="inlineStr">
        <is>
          <t>Abramson et al. 2024, Nature 630 (AF3) [landmark] · Evans et al. 2021, bioRxiv (AF-Multimer)</t>
        </is>
      </c>
      <c r="N1065" s="14" t="inlineStr">
        <is>
          <t>read ↗</t>
        </is>
      </c>
      <c r="O1065" s="11" t="inlineStr">
        <is>
          <t>section reading (2 of 5)</t>
        </is>
      </c>
      <c r="P1065" s="10" t="inlineStr">
        <is>
          <t>Structure prediction, design and biomolecular foundation models</t>
        </is>
      </c>
    </row>
    <row r="1066">
      <c r="A1066" s="15" t="n">
        <v>1065</v>
      </c>
      <c r="B1066" s="15" t="inlineStr">
        <is>
          <t>Part II - The Method Atlas</t>
        </is>
      </c>
      <c r="C1066" s="16" t="inlineStr">
        <is>
          <t>P.4 AlphaFold3 and the co-folding era</t>
        </is>
      </c>
      <c r="D1066" s="10" t="inlineStr">
        <is>
          <t>Lessons from implementing AlphaFold3 in the wild</t>
        </is>
      </c>
      <c r="E1066" s="10" t="inlineStr">
        <is>
          <t>Arda Goreci (Ligo Biosciences</t>
        </is>
      </c>
      <c r="F1066" s="11" t="inlineStr">
        <is>
          <t>25:52</t>
        </is>
      </c>
      <c r="G1066" s="11" t="n">
        <v>0.43</v>
      </c>
      <c r="H1066" s="12" t="inlineStr">
        <is>
          <t>★</t>
        </is>
      </c>
      <c r="I1066" s="11" t="inlineStr">
        <is>
          <t>Not started</t>
        </is>
      </c>
      <c r="J1066" s="13" t="n"/>
      <c r="K1066" s="10" t="inlineStr"/>
      <c r="L1066" s="14" t="inlineStr">
        <is>
          <t>▶ watch</t>
        </is>
      </c>
      <c r="M1066" s="10" t="inlineStr">
        <is>
          <t>Abramson et al. 2024, Nature 630 (AF3) [landmark] · Evans et al. 2021, bioRxiv (AF-Multimer)</t>
        </is>
      </c>
      <c r="N1066" s="14" t="inlineStr">
        <is>
          <t>read ↗</t>
        </is>
      </c>
      <c r="O1066" s="11" t="inlineStr">
        <is>
          <t>section reading (2 of 5)</t>
        </is>
      </c>
      <c r="P1066" s="10" t="inlineStr">
        <is>
          <t>2024; E.7.1 AlphaFold, OpenFold and what training actually costs</t>
        </is>
      </c>
    </row>
    <row r="1067">
      <c r="A1067" s="15" t="n">
        <v>1066</v>
      </c>
      <c r="B1067" s="15" t="inlineStr">
        <is>
          <t>Part II - The Method Atlas</t>
        </is>
      </c>
      <c r="C1067" s="16" t="inlineStr">
        <is>
          <t>P.4 AlphaFold3 and the co-folding era</t>
        </is>
      </c>
      <c r="D1067" s="10" t="inlineStr">
        <is>
          <t>What's new and why it matters (practical</t>
        </is>
      </c>
      <c r="E1067" s="10" t="inlineStr">
        <is>
          <t>AlphaFold3</t>
        </is>
      </c>
      <c r="F1067" s="11" t="inlineStr">
        <is>
          <t>24:46</t>
        </is>
      </c>
      <c r="G1067" s="11" t="n">
        <v>0.41</v>
      </c>
      <c r="H1067" s="12" t="inlineStr"/>
      <c r="I1067" s="11" t="inlineStr">
        <is>
          <t>Not started</t>
        </is>
      </c>
      <c r="J1067" s="13" t="n"/>
      <c r="K1067" s="10" t="inlineStr"/>
      <c r="L1067" s="14" t="inlineStr">
        <is>
          <t>▶ watch</t>
        </is>
      </c>
      <c r="M1067" s="10" t="inlineStr">
        <is>
          <t>Abramson et al. 2024, Nature 630 (AF3) [landmark] · Evans et al. 2021, bioRxiv (AF-Multimer)</t>
        </is>
      </c>
      <c r="N1067" s="14" t="inlineStr">
        <is>
          <t>read ↗</t>
        </is>
      </c>
      <c r="O1067" s="11" t="inlineStr">
        <is>
          <t>section reading (2 of 5)</t>
        </is>
      </c>
      <c r="P1067" s="10" t="inlineStr">
        <is>
          <t>ML for Protein Design Bootcamp (2026) - 13 videos</t>
        </is>
      </c>
    </row>
    <row r="1068">
      <c r="A1068" s="15" t="n">
        <v>1067</v>
      </c>
      <c r="B1068" s="15" t="inlineStr">
        <is>
          <t>Part II - The Method Atlas</t>
        </is>
      </c>
      <c r="C1068" s="16" t="inlineStr">
        <is>
          <t>P.4 AlphaFold3 and the co-folding era</t>
        </is>
      </c>
      <c r="D1068" s="10" t="inlineStr">
        <is>
          <t>Democratizing Biomolecular Interaction Modeling</t>
        </is>
      </c>
      <c r="E1068" s="10" t="inlineStr">
        <is>
          <t>Wohlwend &amp; Corso (Proxima</t>
        </is>
      </c>
      <c r="F1068" s="11" t="inlineStr">
        <is>
          <t>40:59</t>
        </is>
      </c>
      <c r="G1068" s="11" t="n">
        <v>0.68</v>
      </c>
      <c r="H1068" s="12" t="inlineStr">
        <is>
          <t>★</t>
        </is>
      </c>
      <c r="I1068" s="11" t="inlineStr">
        <is>
          <t>Not started</t>
        </is>
      </c>
      <c r="J1068" s="13" t="n"/>
      <c r="K1068" s="10" t="inlineStr"/>
      <c r="L1068" s="14" t="inlineStr">
        <is>
          <t>▶ watch</t>
        </is>
      </c>
      <c r="M1068" s="10" t="inlineStr">
        <is>
          <t>Abramson et al. 2024, Nature 630 (AF3) [landmark] · Evans et al. 2021, bioRxiv (AF-Multimer)</t>
        </is>
      </c>
      <c r="N1068" s="14" t="inlineStr">
        <is>
          <t>read ↗</t>
        </is>
      </c>
      <c r="O1068" s="11" t="inlineStr">
        <is>
          <t>section reading (2 of 5)</t>
        </is>
      </c>
      <c r="P1068" s="10" t="inlineStr"/>
    </row>
    <row r="1069">
      <c r="A1069" s="15" t="n">
        <v>1068</v>
      </c>
      <c r="B1069" s="15" t="inlineStr">
        <is>
          <t>Part II - The Method Atlas</t>
        </is>
      </c>
      <c r="C1069" s="16" t="inlineStr">
        <is>
          <t>P.4 AlphaFold3 and the co-folding era</t>
        </is>
      </c>
      <c r="D1069" s="10" t="inlineStr">
        <is>
          <t>Boltz-1 and the Future of Biomolecular Foundation Models</t>
        </is>
      </c>
      <c r="E1069" s="10" t="inlineStr">
        <is>
          <t>Corso &amp; Wohlwend (BPDMC</t>
        </is>
      </c>
      <c r="F1069" s="11" t="inlineStr">
        <is>
          <t>1:09:45</t>
        </is>
      </c>
      <c r="G1069" s="11" t="n">
        <v>1.16</v>
      </c>
      <c r="H1069" s="12" t="inlineStr">
        <is>
          <t>★</t>
        </is>
      </c>
      <c r="I1069" s="11" t="inlineStr">
        <is>
          <t>Not started</t>
        </is>
      </c>
      <c r="J1069" s="13" t="n"/>
      <c r="K1069" s="10" t="inlineStr"/>
      <c r="L1069" s="14" t="inlineStr">
        <is>
          <t>▶ watch</t>
        </is>
      </c>
      <c r="M1069" s="10" t="inlineStr">
        <is>
          <t>Abramson et al. 2024, Nature 630 (AF3) [landmark] · Evans et al. 2021, bioRxiv (AF-Multimer)</t>
        </is>
      </c>
      <c r="N1069" s="14" t="inlineStr">
        <is>
          <t>read ↗</t>
        </is>
      </c>
      <c r="O1069" s="11" t="inlineStr">
        <is>
          <t>section reading (2 of 5)</t>
        </is>
      </c>
      <c r="P1069" s="10" t="inlineStr">
        <is>
          <t>2025; E.7.1 AlphaFold, OpenFold and what training actually costs</t>
        </is>
      </c>
    </row>
    <row r="1070">
      <c r="A1070" s="15" t="n">
        <v>1069</v>
      </c>
      <c r="B1070" s="15" t="inlineStr">
        <is>
          <t>Part II - The Method Atlas</t>
        </is>
      </c>
      <c r="C1070" s="16" t="inlineStr">
        <is>
          <t>P.4 AlphaFold3 and the co-folding era</t>
        </is>
      </c>
      <c r="D1070" s="10" t="inlineStr">
        <is>
          <t>Chai Discovery's Bitter Lesson: Drug Design Is Another Scaling Problem</t>
        </is>
      </c>
      <c r="E1070" s="10" t="inlineStr">
        <is>
          <t>Meier &amp; Dent (Sequoia</t>
        </is>
      </c>
      <c r="F1070" s="11" t="inlineStr">
        <is>
          <t>47:23</t>
        </is>
      </c>
      <c r="G1070" s="11" t="n">
        <v>0.79</v>
      </c>
      <c r="H1070" s="12" t="inlineStr"/>
      <c r="I1070" s="11" t="inlineStr">
        <is>
          <t>Not started</t>
        </is>
      </c>
      <c r="J1070" s="13" t="n"/>
      <c r="K1070" s="10" t="inlineStr"/>
      <c r="L1070" s="14" t="inlineStr">
        <is>
          <t>▶ watch</t>
        </is>
      </c>
      <c r="M1070" s="10" t="inlineStr">
        <is>
          <t>Abramson et al. 2024, Nature 630 (AF3) [landmark] · Evans et al. 2021, bioRxiv (AF-Multimer)</t>
        </is>
      </c>
      <c r="N1070" s="14" t="inlineStr">
        <is>
          <t>read ↗</t>
        </is>
      </c>
      <c r="O1070" s="11" t="inlineStr">
        <is>
          <t>section reading (2 of 5)</t>
        </is>
      </c>
      <c r="P1070" s="10" t="inlineStr"/>
    </row>
    <row r="1071">
      <c r="A1071" s="15" t="n">
        <v>1070</v>
      </c>
      <c r="B1071" s="15" t="inlineStr">
        <is>
          <t>Part II - The Method Atlas</t>
        </is>
      </c>
      <c r="C1071" s="16" t="inlineStr">
        <is>
          <t>P.4 AlphaFold3 and the co-folding era</t>
        </is>
      </c>
      <c r="D1071" s="10" t="inlineStr">
        <is>
          <t>No Priors Ep. 121</t>
        </is>
      </c>
      <c r="E1071" s="10" t="inlineStr">
        <is>
          <t>Chai-1</t>
        </is>
      </c>
      <c r="F1071" s="11" t="inlineStr">
        <is>
          <t>49:28</t>
        </is>
      </c>
      <c r="G1071" s="11" t="n">
        <v>0.82</v>
      </c>
      <c r="H1071" s="12" t="inlineStr"/>
      <c r="I1071" s="11" t="inlineStr">
        <is>
          <t>Not started</t>
        </is>
      </c>
      <c r="J1071" s="13" t="n"/>
      <c r="K1071" s="10" t="inlineStr"/>
      <c r="L1071" s="14" t="inlineStr">
        <is>
          <t>▶ watch</t>
        </is>
      </c>
      <c r="M1071" s="10" t="inlineStr">
        <is>
          <t>Abramson et al. 2024, Nature 630 (AF3) [landmark] · Evans et al. 2021, bioRxiv (AF-Multimer)</t>
        </is>
      </c>
      <c r="N1071" s="14" t="inlineStr">
        <is>
          <t>read ↗</t>
        </is>
      </c>
      <c r="O1071" s="11" t="inlineStr">
        <is>
          <t>section reading (2 of 5)</t>
        </is>
      </c>
      <c r="P1071" s="10" t="inlineStr"/>
    </row>
    <row r="1072">
      <c r="A1072" s="15" t="n">
        <v>1071</v>
      </c>
      <c r="B1072" s="15" t="inlineStr">
        <is>
          <t>Part II - The Method Atlas</t>
        </is>
      </c>
      <c r="C1072" s="16" t="inlineStr">
        <is>
          <t>P.4 AlphaFold3 and the co-folding era</t>
        </is>
      </c>
      <c r="D1072" s="10" t="inlineStr">
        <is>
          <t>Scaling Biomolecular Structure Prediction</t>
        </is>
      </c>
      <c r="E1072" s="10" t="inlineStr">
        <is>
          <t>Zhou &amp; Lu (Valence</t>
        </is>
      </c>
      <c r="F1072" s="11" t="inlineStr">
        <is>
          <t>59:59</t>
        </is>
      </c>
      <c r="G1072" s="11" t="n">
        <v>1</v>
      </c>
      <c r="H1072" s="12" t="inlineStr">
        <is>
          <t>★</t>
        </is>
      </c>
      <c r="I1072" s="11" t="inlineStr">
        <is>
          <t>Not started</t>
        </is>
      </c>
      <c r="J1072" s="13" t="n"/>
      <c r="K1072" s="10" t="inlineStr"/>
      <c r="L1072" s="14" t="inlineStr">
        <is>
          <t>▶ watch</t>
        </is>
      </c>
      <c r="M1072" s="10" t="inlineStr">
        <is>
          <t>Abramson et al. 2024, Nature 630 (AF3) [landmark] · Evans et al. 2021, bioRxiv (AF-Multimer)</t>
        </is>
      </c>
      <c r="N1072" s="14" t="inlineStr">
        <is>
          <t>read ↗</t>
        </is>
      </c>
      <c r="O1072" s="11" t="inlineStr">
        <is>
          <t>section reading (2 of 5)</t>
        </is>
      </c>
      <c r="P1072" s="10" t="inlineStr">
        <is>
          <t>E.7.1 AlphaFold, OpenFold and what training actually costs; Structure prediction, design and biomolecular foundation models</t>
        </is>
      </c>
    </row>
    <row r="1073">
      <c r="A1073" s="15" t="n">
        <v>1072</v>
      </c>
      <c r="B1073" s="15" t="inlineStr">
        <is>
          <t>Part II - The Method Atlas</t>
        </is>
      </c>
      <c r="C1073" s="16" t="inlineStr">
        <is>
          <t>P.4 AlphaFold3 and the co-folding era</t>
        </is>
      </c>
      <c r="D1073" s="10" t="inlineStr">
        <is>
          <t>AlphaFold workshop Part 2</t>
        </is>
      </c>
      <c r="E1073" s="10" t="inlineStr">
        <is>
          <t>Roland Dunbrack (Utah</t>
        </is>
      </c>
      <c r="F1073" s="11" t="inlineStr">
        <is>
          <t>1:05:56</t>
        </is>
      </c>
      <c r="G1073" s="11" t="n">
        <v>1.1</v>
      </c>
      <c r="H1073" s="12" t="inlineStr"/>
      <c r="I1073" s="11" t="inlineStr">
        <is>
          <t>Not started</t>
        </is>
      </c>
      <c r="J1073" s="13" t="n"/>
      <c r="K1073" s="10" t="inlineStr"/>
      <c r="L1073" s="14" t="inlineStr">
        <is>
          <t>▶ watch</t>
        </is>
      </c>
      <c r="M1073" s="10" t="inlineStr">
        <is>
          <t>Abramson et al. 2024, Nature 630 (AF3) [landmark] · Evans et al. 2021, bioRxiv (AF-Multimer)</t>
        </is>
      </c>
      <c r="N1073" s="14" t="inlineStr">
        <is>
          <t>read ↗</t>
        </is>
      </c>
      <c r="O1073" s="11" t="inlineStr">
        <is>
          <t>section reading (2 of 5)</t>
        </is>
      </c>
      <c r="P1073" s="10" t="inlineStr"/>
    </row>
    <row r="1074">
      <c r="A1074" s="15" t="n">
        <v>1073</v>
      </c>
      <c r="B1074" s="15" t="inlineStr">
        <is>
          <t>Part II - The Method Atlas</t>
        </is>
      </c>
      <c r="C1074" s="16" t="inlineStr">
        <is>
          <t>P.5 Older lineages and single-sequence prediction</t>
        </is>
      </c>
      <c r="D1074" s="10" t="inlineStr">
        <is>
          <t>CASP15 predictor talk</t>
        </is>
      </c>
      <c r="E1074" s="10" t="inlineStr">
        <is>
          <t>Jianyi Yang</t>
        </is>
      </c>
      <c r="F1074" s="11" t="inlineStr">
        <is>
          <t>22:12</t>
        </is>
      </c>
      <c r="G1074" s="11" t="n">
        <v>0.37</v>
      </c>
      <c r="H1074" s="12" t="inlineStr"/>
      <c r="I1074" s="11" t="inlineStr">
        <is>
          <t>Not started</t>
        </is>
      </c>
      <c r="J1074" s="13" t="n"/>
      <c r="K1074" s="10" t="inlineStr"/>
      <c r="L1074" s="14" t="inlineStr">
        <is>
          <t>▶ watch</t>
        </is>
      </c>
      <c r="M1074" s="10" t="inlineStr">
        <is>
          <t>Yang et al. 2020, PNAS 117 (trRosetta) · Yang et al. 2015, Nat Methods 12 (I-TASSER)</t>
        </is>
      </c>
      <c r="N1074" s="14" t="inlineStr">
        <is>
          <t>read ↗</t>
        </is>
      </c>
      <c r="O1074" s="11" t="inlineStr">
        <is>
          <t>section reading (2 of 6)</t>
        </is>
      </c>
      <c r="P1074" s="10" t="inlineStr"/>
    </row>
    <row r="1075">
      <c r="A1075" s="15" t="n">
        <v>1074</v>
      </c>
      <c r="B1075" s="15" t="inlineStr">
        <is>
          <t>Part II - The Method Atlas</t>
        </is>
      </c>
      <c r="C1075" s="16" t="inlineStr">
        <is>
          <t>P.5 Older lineages and single-sequence prediction</t>
        </is>
      </c>
      <c r="D1075" s="10" t="inlineStr">
        <is>
          <t>Protein Structure Prediction</t>
        </is>
      </c>
      <c r="E1075" s="10" t="inlineStr">
        <is>
          <t>Yang Zhang</t>
        </is>
      </c>
      <c r="F1075" s="11" t="inlineStr">
        <is>
          <t>1:14:36</t>
        </is>
      </c>
      <c r="G1075" s="11" t="n">
        <v>1.24</v>
      </c>
      <c r="H1075" s="12" t="inlineStr"/>
      <c r="I1075" s="11" t="inlineStr">
        <is>
          <t>Not started</t>
        </is>
      </c>
      <c r="J1075" s="13" t="n"/>
      <c r="K1075" s="10" t="inlineStr"/>
      <c r="L1075" s="14" t="inlineStr">
        <is>
          <t>▶ watch</t>
        </is>
      </c>
      <c r="M1075" s="10" t="inlineStr">
        <is>
          <t>Yang et al. 2020, PNAS 117 (trRosetta) · Yang et al. 2015, Nat Methods 12 (I-TASSER)</t>
        </is>
      </c>
      <c r="N1075" s="14" t="inlineStr">
        <is>
          <t>read ↗</t>
        </is>
      </c>
      <c r="O1075" s="11" t="inlineStr">
        <is>
          <t>section reading (2 of 6)</t>
        </is>
      </c>
      <c r="P1075" s="10" t="inlineStr"/>
    </row>
    <row r="1076">
      <c r="A1076" s="15" t="n">
        <v>1075</v>
      </c>
      <c r="B1076" s="15" t="inlineStr">
        <is>
          <t>Part II - The Method Atlas</t>
        </is>
      </c>
      <c r="C1076" s="16" t="inlineStr">
        <is>
          <t>P.5 Older lineages and single-sequence prediction</t>
        </is>
      </c>
      <c r="D1076" s="10" t="inlineStr">
        <is>
          <t>CASP-16 predictor talk</t>
        </is>
      </c>
      <c r="E1076" s="10" t="inlineStr">
        <is>
          <t>Wei Zheng</t>
        </is>
      </c>
      <c r="F1076" s="11" t="inlineStr">
        <is>
          <t>14:24</t>
        </is>
      </c>
      <c r="G1076" s="11" t="n">
        <v>0.24</v>
      </c>
      <c r="H1076" s="12" t="inlineStr"/>
      <c r="I1076" s="11" t="inlineStr">
        <is>
          <t>Not started</t>
        </is>
      </c>
      <c r="J1076" s="13" t="n"/>
      <c r="K1076" s="10" t="inlineStr"/>
      <c r="L1076" s="14" t="inlineStr">
        <is>
          <t>▶ watch</t>
        </is>
      </c>
      <c r="M1076" s="10" t="inlineStr">
        <is>
          <t>Yang et al. 2020, PNAS 117 (trRosetta) · Yang et al. 2015, Nat Methods 12 (I-TASSER)</t>
        </is>
      </c>
      <c r="N1076" s="14" t="inlineStr">
        <is>
          <t>read ↗</t>
        </is>
      </c>
      <c r="O1076" s="11" t="inlineStr">
        <is>
          <t>section reading (2 of 6)</t>
        </is>
      </c>
      <c r="P1076" s="10" t="inlineStr"/>
    </row>
    <row r="1077">
      <c r="A1077" s="15" t="n">
        <v>1076</v>
      </c>
      <c r="B1077" s="15" t="inlineStr">
        <is>
          <t>Part II - The Method Atlas</t>
        </is>
      </c>
      <c r="C1077" s="16" t="inlineStr">
        <is>
          <t>P.5 Older lineages and single-sequence prediction</t>
        </is>
      </c>
      <c r="D1077" s="10" t="inlineStr">
        <is>
          <t>CASP-16 predictor talk</t>
        </is>
      </c>
      <c r="E1077" s="10" t="inlineStr">
        <is>
          <t>Jianlin Cheng</t>
        </is>
      </c>
      <c r="F1077" s="11" t="inlineStr">
        <is>
          <t>14:43</t>
        </is>
      </c>
      <c r="G1077" s="11" t="n">
        <v>0.25</v>
      </c>
      <c r="H1077" s="12" t="inlineStr"/>
      <c r="I1077" s="11" t="inlineStr">
        <is>
          <t>Not started</t>
        </is>
      </c>
      <c r="J1077" s="13" t="n"/>
      <c r="K1077" s="10" t="inlineStr"/>
      <c r="L1077" s="14" t="inlineStr">
        <is>
          <t>▶ watch</t>
        </is>
      </c>
      <c r="M1077" s="10" t="inlineStr">
        <is>
          <t>Yang et al. 2020, PNAS 117 (trRosetta) · Yang et al. 2015, Nat Methods 12 (I-TASSER)</t>
        </is>
      </c>
      <c r="N1077" s="14" t="inlineStr">
        <is>
          <t>read ↗</t>
        </is>
      </c>
      <c r="O1077" s="11" t="inlineStr">
        <is>
          <t>section reading (2 of 6)</t>
        </is>
      </c>
      <c r="P1077" s="10" t="inlineStr"/>
    </row>
    <row r="1078">
      <c r="A1078" s="15" t="n">
        <v>1077</v>
      </c>
      <c r="B1078" s="15" t="inlineStr">
        <is>
          <t>Part II - The Method Atlas</t>
        </is>
      </c>
      <c r="C1078" s="16" t="inlineStr">
        <is>
          <t>P.5 Older lineages and single-sequence prediction</t>
        </is>
      </c>
      <c r="D1078" s="10" t="inlineStr">
        <is>
          <t>Structure Prediction with ESMFold</t>
        </is>
      </c>
      <c r="E1078" s="10" t="inlineStr">
        <is>
          <t>ESMFold</t>
        </is>
      </c>
      <c r="F1078" s="11" t="inlineStr">
        <is>
          <t>10:32</t>
        </is>
      </c>
      <c r="G1078" s="11" t="n">
        <v>0.18</v>
      </c>
      <c r="H1078" s="12" t="inlineStr"/>
      <c r="I1078" s="11" t="inlineStr">
        <is>
          <t>Not started</t>
        </is>
      </c>
      <c r="J1078" s="13" t="n"/>
      <c r="K1078" s="10" t="inlineStr"/>
      <c r="L1078" s="14" t="inlineStr">
        <is>
          <t>▶ watch</t>
        </is>
      </c>
      <c r="M1078" s="10" t="inlineStr">
        <is>
          <t>Lin et al. 2023, Science 379 (ESMFold)</t>
        </is>
      </c>
      <c r="N1078" s="14" t="inlineStr">
        <is>
          <t>read ↗</t>
        </is>
      </c>
      <c r="O1078" s="11" t="inlineStr">
        <is>
          <t>names ESMFOLD</t>
        </is>
      </c>
      <c r="P1078" s="10" t="inlineStr">
        <is>
          <t>ML Methods for Protein Modeling (2025) - 18 videos</t>
        </is>
      </c>
    </row>
    <row r="1079">
      <c r="A1079" s="15" t="n">
        <v>1078</v>
      </c>
      <c r="B1079" s="15" t="inlineStr">
        <is>
          <t>Part II - The Method Atlas</t>
        </is>
      </c>
      <c r="C1079" s="16" t="inlineStr">
        <is>
          <t>P.5 Older lineages and single-sequence prediction</t>
        </is>
      </c>
      <c r="D1079" s="10" t="inlineStr">
        <is>
          <t>Biomolecular Structure Prediction with ESMFold2</t>
        </is>
      </c>
      <c r="E1079" s="10" t="inlineStr">
        <is>
          <t>ESMFold2</t>
        </is>
      </c>
      <c r="F1079" s="11" t="inlineStr">
        <is>
          <t>56:59</t>
        </is>
      </c>
      <c r="G1079" s="11" t="n">
        <v>0.95</v>
      </c>
      <c r="H1079" s="12" t="inlineStr"/>
      <c r="I1079" s="11" t="inlineStr">
        <is>
          <t>Not started</t>
        </is>
      </c>
      <c r="J1079" s="13" t="n"/>
      <c r="K1079" s="10" t="inlineStr"/>
      <c r="L1079" s="14" t="inlineStr">
        <is>
          <t>▶ watch</t>
        </is>
      </c>
      <c r="M1079" s="10" t="inlineStr">
        <is>
          <t>Yang et al. 2020, PNAS 117 (trRosetta) · Yang et al. 2015, Nat Methods 12 (I-TASSER)</t>
        </is>
      </c>
      <c r="N1079" s="14" t="inlineStr">
        <is>
          <t>read ↗</t>
        </is>
      </c>
      <c r="O1079" s="11" t="inlineStr">
        <is>
          <t>section reading (2 of 6)</t>
        </is>
      </c>
      <c r="P1079" s="10" t="inlineStr"/>
    </row>
    <row r="1080">
      <c r="A1080" s="15" t="n">
        <v>1079</v>
      </c>
      <c r="B1080" s="15" t="inlineStr">
        <is>
          <t>Part II - The Method Atlas</t>
        </is>
      </c>
      <c r="C1080" s="16" t="inlineStr">
        <is>
          <t>P.5 Older lineages and single-sequence prediction</t>
        </is>
      </c>
      <c r="D1080" s="10" t="inlineStr">
        <is>
          <t>Predicting protein structures from single sequences</t>
        </is>
      </c>
      <c r="E1080" s="10" t="inlineStr">
        <is>
          <t>Nazim Bouatta (BPDMC</t>
        </is>
      </c>
      <c r="F1080" s="11" t="inlineStr">
        <is>
          <t>1:33:06</t>
        </is>
      </c>
      <c r="G1080" s="11" t="n">
        <v>1.55</v>
      </c>
      <c r="H1080" s="12" t="inlineStr">
        <is>
          <t>★</t>
        </is>
      </c>
      <c r="I1080" s="11" t="inlineStr">
        <is>
          <t>Not started</t>
        </is>
      </c>
      <c r="J1080" s="13" t="n"/>
      <c r="K1080" s="10" t="inlineStr"/>
      <c r="L1080" s="14" t="inlineStr">
        <is>
          <t>▶ watch</t>
        </is>
      </c>
      <c r="M1080" s="10" t="inlineStr">
        <is>
          <t>Yang et al. 2020, PNAS 117 (trRosetta) · Yang et al. 2015, Nat Methods 12 (I-TASSER)</t>
        </is>
      </c>
      <c r="N1080" s="14" t="inlineStr">
        <is>
          <t>read ↗</t>
        </is>
      </c>
      <c r="O1080" s="11" t="inlineStr">
        <is>
          <t>section reading (2 of 6)</t>
        </is>
      </c>
      <c r="P1080" s="10" t="inlineStr">
        <is>
          <t>2021</t>
        </is>
      </c>
    </row>
    <row r="1081">
      <c r="A1081" s="15" t="n">
        <v>1080</v>
      </c>
      <c r="B1081" s="15" t="inlineStr">
        <is>
          <t>Part II - The Method Atlas</t>
        </is>
      </c>
      <c r="C1081" s="16" t="inlineStr">
        <is>
          <t>P.5 Older lineages and single-sequence prediction</t>
        </is>
      </c>
      <c r="D1081" s="10" t="inlineStr">
        <is>
          <t>MIA: End-to-end differentiable learning of protein structure</t>
        </is>
      </c>
      <c r="E1081" s="10" t="inlineStr">
        <is>
          <t>Mohammed AlQuraishi (Broad</t>
        </is>
      </c>
      <c r="F1081" s="11" t="inlineStr">
        <is>
          <t>56:12</t>
        </is>
      </c>
      <c r="G1081" s="11" t="n">
        <v>0.9399999999999999</v>
      </c>
      <c r="H1081" s="12" t="inlineStr">
        <is>
          <t>★</t>
        </is>
      </c>
      <c r="I1081" s="11" t="inlineStr">
        <is>
          <t>Not started</t>
        </is>
      </c>
      <c r="J1081" s="13" t="n"/>
      <c r="K1081" s="10" t="inlineStr"/>
      <c r="L1081" s="14" t="inlineStr">
        <is>
          <t>▶ watch</t>
        </is>
      </c>
      <c r="M1081" s="10" t="inlineStr">
        <is>
          <t>AlQuraishi 2019, Cell Systems 8 (RGN)</t>
        </is>
      </c>
      <c r="N1081" s="14" t="inlineStr">
        <is>
          <t>read ↗</t>
        </is>
      </c>
      <c r="O1081" s="11" t="inlineStr">
        <is>
          <t>names ALQURAISHI</t>
        </is>
      </c>
      <c r="P1081" s="10" t="inlineStr">
        <is>
          <t>Proteins, structure, molecular design</t>
        </is>
      </c>
    </row>
    <row r="1082">
      <c r="A1082" s="15" t="n">
        <v>1081</v>
      </c>
      <c r="B1082" s="15" t="inlineStr">
        <is>
          <t>Part II - The Method Atlas</t>
        </is>
      </c>
      <c r="C1082" s="16" t="inlineStr">
        <is>
          <t>P.5 Older lineages and single-sequence prediction</t>
        </is>
      </c>
      <c r="D1082" s="10" t="inlineStr">
        <is>
          <t>Making protein folding accessible to all</t>
        </is>
      </c>
      <c r="E1082" s="10" t="inlineStr">
        <is>
          <t>ColabFold</t>
        </is>
      </c>
      <c r="F1082" s="11" t="inlineStr">
        <is>
          <t>1:46:09</t>
        </is>
      </c>
      <c r="G1082" s="11" t="n">
        <v>1.77</v>
      </c>
      <c r="H1082" s="12" t="inlineStr">
        <is>
          <t>★</t>
        </is>
      </c>
      <c r="I1082" s="11" t="inlineStr">
        <is>
          <t>Not started</t>
        </is>
      </c>
      <c r="J1082" s="13" t="n"/>
      <c r="K1082" s="10" t="inlineStr"/>
      <c r="L1082" s="14" t="inlineStr">
        <is>
          <t>▶ watch</t>
        </is>
      </c>
      <c r="M1082" s="10" t="inlineStr">
        <is>
          <t>Mirdita et al. 2022, Nat Methods 19 (ColabFold)</t>
        </is>
      </c>
      <c r="N1082" s="14" t="inlineStr">
        <is>
          <t>read ↗</t>
        </is>
      </c>
      <c r="O1082" s="11" t="inlineStr">
        <is>
          <t>names COLABFOLD</t>
        </is>
      </c>
      <c r="P1082" s="10" t="inlineStr">
        <is>
          <t>2021; E.7.6 The data pipeline - where the time actually goes</t>
        </is>
      </c>
    </row>
    <row r="1083">
      <c r="A1083" s="15" t="n">
        <v>1082</v>
      </c>
      <c r="B1083" s="15" t="inlineStr">
        <is>
          <t>Part II - The Method Atlas</t>
        </is>
      </c>
      <c r="C1083" s="16" t="inlineStr">
        <is>
          <t>P.5 Older lineages and single-sequence prediction</t>
        </is>
      </c>
      <c r="D1083" s="10" t="inlineStr">
        <is>
          <t>Structure Prediction with AlphaFold2 and OpenFold</t>
        </is>
      </c>
      <c r="E1083" s="10" t="inlineStr">
        <is>
          <t>RosettaCommons</t>
        </is>
      </c>
      <c r="F1083" s="11" t="inlineStr">
        <is>
          <t>1:39:36</t>
        </is>
      </c>
      <c r="G1083" s="11" t="n">
        <v>1.66</v>
      </c>
      <c r="H1083" s="12" t="inlineStr">
        <is>
          <t>★</t>
        </is>
      </c>
      <c r="I1083" s="11" t="inlineStr">
        <is>
          <t>Not started</t>
        </is>
      </c>
      <c r="J1083" s="13" t="n"/>
      <c r="K1083" s="10" t="inlineStr"/>
      <c r="L1083" s="14" t="inlineStr">
        <is>
          <t>▶ watch</t>
        </is>
      </c>
      <c r="M1083" s="10" t="inlineStr">
        <is>
          <t>Yang et al. 2020, PNAS 117 (trRosetta) · Yang et al. 2015, Nat Methods 12 (I-TASSER)</t>
        </is>
      </c>
      <c r="N1083" s="14" t="inlineStr">
        <is>
          <t>read ↗</t>
        </is>
      </c>
      <c r="O1083" s="11" t="inlineStr">
        <is>
          <t>section reading (2 of 6)</t>
        </is>
      </c>
      <c r="P1083" s="10" t="inlineStr">
        <is>
          <t>ML Methods for Protein Modeling (2025) - 18 videos</t>
        </is>
      </c>
    </row>
    <row r="1084">
      <c r="A1084" s="15" t="n">
        <v>1083</v>
      </c>
      <c r="B1084" s="15" t="inlineStr">
        <is>
          <t>Part II - The Method Atlas</t>
        </is>
      </c>
      <c r="C1084" s="16" t="inlineStr">
        <is>
          <t>P.6 Conformational ensembles - the frontier</t>
        </is>
      </c>
      <c r="D1084" s="10" t="inlineStr">
        <is>
          <t>Understanding fold-switching proteins by combining AF2 and sequence clustering</t>
        </is>
      </c>
      <c r="E1084" s="10" t="inlineStr">
        <is>
          <t>Hannah Wayment-Steele (BPDMC</t>
        </is>
      </c>
      <c r="F1084" s="11" t="inlineStr">
        <is>
          <t>59:18</t>
        </is>
      </c>
      <c r="G1084" s="11" t="n">
        <v>0.99</v>
      </c>
      <c r="H1084" s="12" t="inlineStr">
        <is>
          <t>★</t>
        </is>
      </c>
      <c r="I1084" s="11" t="inlineStr">
        <is>
          <t>Not started</t>
        </is>
      </c>
      <c r="J1084" s="13" t="n"/>
      <c r="K1084" s="10" t="inlineStr"/>
      <c r="L1084" s="14" t="inlineStr">
        <is>
          <t>▶ watch</t>
        </is>
      </c>
      <c r="M1084" s="10" t="inlineStr">
        <is>
          <t>Wayment-Steele et al. 2024, Nature 625 [landmark] · Wallner 2023, Bioinformatics 39</t>
        </is>
      </c>
      <c r="N1084" s="14" t="inlineStr">
        <is>
          <t>read ↗</t>
        </is>
      </c>
      <c r="O1084" s="11" t="inlineStr">
        <is>
          <t>section reading (2 of 7)</t>
        </is>
      </c>
      <c r="P1084" s="10" t="inlineStr">
        <is>
          <t>2023</t>
        </is>
      </c>
    </row>
    <row r="1085">
      <c r="A1085" s="15" t="n">
        <v>1084</v>
      </c>
      <c r="B1085" s="15" t="inlineStr">
        <is>
          <t>Part II - The Method Atlas</t>
        </is>
      </c>
      <c r="C1085" s="16" t="inlineStr">
        <is>
          <t>P.6 Conformational ensembles - the frontier</t>
        </is>
      </c>
      <c r="D1085" s="10" t="inlineStr">
        <is>
          <t>Predicting and discovering proteins with multiple conformational states</t>
        </is>
      </c>
      <c r="E1085" s="10" t="inlineStr">
        <is>
          <t>Hannah Wayment-Steele (ML4PE</t>
        </is>
      </c>
      <c r="F1085" s="11" t="inlineStr">
        <is>
          <t>47:49</t>
        </is>
      </c>
      <c r="G1085" s="11" t="n">
        <v>0.8</v>
      </c>
      <c r="H1085" s="12" t="inlineStr"/>
      <c r="I1085" s="11" t="inlineStr">
        <is>
          <t>Not started</t>
        </is>
      </c>
      <c r="J1085" s="13" t="n"/>
      <c r="K1085" s="10" t="inlineStr"/>
      <c r="L1085" s="14" t="inlineStr">
        <is>
          <t>▶ watch</t>
        </is>
      </c>
      <c r="M1085" s="10" t="inlineStr">
        <is>
          <t>Wayment-Steele et al. 2024, Nature 625 [landmark] · Wallner 2023, Bioinformatics 39</t>
        </is>
      </c>
      <c r="N1085" s="14" t="inlineStr">
        <is>
          <t>read ↗</t>
        </is>
      </c>
      <c r="O1085" s="11" t="inlineStr">
        <is>
          <t>section reading (2 of 7)</t>
        </is>
      </c>
      <c r="P1085" s="10" t="inlineStr">
        <is>
          <t>2023</t>
        </is>
      </c>
    </row>
    <row r="1086">
      <c r="A1086" s="15" t="n">
        <v>1085</v>
      </c>
      <c r="B1086" s="15" t="inlineStr">
        <is>
          <t>Part II - The Method Atlas</t>
        </is>
      </c>
      <c r="C1086" s="16" t="inlineStr">
        <is>
          <t>P.6 Conformational ensembles - the frontier</t>
        </is>
      </c>
      <c r="D1086" s="10" t="inlineStr">
        <is>
          <t>CASP15 predictor talk</t>
        </is>
      </c>
      <c r="E1086" s="10" t="inlineStr">
        <is>
          <t>AFsample</t>
        </is>
      </c>
      <c r="F1086" s="11" t="inlineStr">
        <is>
          <t>21:07</t>
        </is>
      </c>
      <c r="G1086" s="11" t="n">
        <v>0.35</v>
      </c>
      <c r="H1086" s="12" t="inlineStr"/>
      <c r="I1086" s="11" t="inlineStr">
        <is>
          <t>Not started</t>
        </is>
      </c>
      <c r="J1086" s="13" t="n"/>
      <c r="K1086" s="10" t="inlineStr"/>
      <c r="L1086" s="14" t="inlineStr">
        <is>
          <t>▶ watch</t>
        </is>
      </c>
      <c r="M1086" s="10" t="inlineStr">
        <is>
          <t>Wayment-Steele et al. 2024, Nature 625 [landmark] · Wallner 2023, Bioinformatics 39</t>
        </is>
      </c>
      <c r="N1086" s="14" t="inlineStr">
        <is>
          <t>read ↗</t>
        </is>
      </c>
      <c r="O1086" s="11" t="inlineStr">
        <is>
          <t>section reading (2 of 7)</t>
        </is>
      </c>
      <c r="P1086" s="10" t="inlineStr"/>
    </row>
    <row r="1087">
      <c r="A1087" s="15" t="n">
        <v>1086</v>
      </c>
      <c r="B1087" s="15" t="inlineStr">
        <is>
          <t>Part II - The Method Atlas</t>
        </is>
      </c>
      <c r="C1087" s="16" t="inlineStr">
        <is>
          <t>P.6 Conformational ensembles - the frontier</t>
        </is>
      </c>
      <c r="D1087" s="10" t="inlineStr">
        <is>
          <t>Emulation of protein equilibrium ensembles</t>
        </is>
      </c>
      <c r="E1087" s="10" t="inlineStr">
        <is>
          <t>Jiménez-Luna &amp; Xie (Proxima</t>
        </is>
      </c>
      <c r="F1087" s="11" t="inlineStr">
        <is>
          <t>53:45</t>
        </is>
      </c>
      <c r="G1087" s="11" t="n">
        <v>0.9</v>
      </c>
      <c r="H1087" s="12" t="inlineStr"/>
      <c r="I1087" s="11" t="inlineStr">
        <is>
          <t>Not started</t>
        </is>
      </c>
      <c r="J1087" s="13" t="n"/>
      <c r="K1087" s="10" t="inlineStr"/>
      <c r="L1087" s="14" t="inlineStr">
        <is>
          <t>▶ watch</t>
        </is>
      </c>
      <c r="M1087" s="10" t="inlineStr">
        <is>
          <t>Wayment-Steele et al. 2024, Nature 625 [landmark] · Wallner 2023, Bioinformatics 39</t>
        </is>
      </c>
      <c r="N1087" s="14" t="inlineStr">
        <is>
          <t>read ↗</t>
        </is>
      </c>
      <c r="O1087" s="11" t="inlineStr">
        <is>
          <t>section reading (2 of 7)</t>
        </is>
      </c>
      <c r="P1087" s="10" t="inlineStr"/>
    </row>
    <row r="1088">
      <c r="A1088" s="15" t="n">
        <v>1087</v>
      </c>
      <c r="B1088" s="15" t="inlineStr">
        <is>
          <t>Part II - The Method Atlas</t>
        </is>
      </c>
      <c r="C1088" s="16" t="inlineStr">
        <is>
          <t>P.6 Conformational ensembles - the frontier</t>
        </is>
      </c>
      <c r="D1088" s="10" t="inlineStr">
        <is>
          <t>third treatment</t>
        </is>
      </c>
      <c r="E1088" s="10" t="inlineStr">
        <is>
          <t>Andrew Foong</t>
        </is>
      </c>
      <c r="F1088" s="11" t="inlineStr">
        <is>
          <t>58:12</t>
        </is>
      </c>
      <c r="G1088" s="11" t="n">
        <v>0.97</v>
      </c>
      <c r="H1088" s="12" t="inlineStr"/>
      <c r="I1088" s="11" t="inlineStr">
        <is>
          <t>Not started</t>
        </is>
      </c>
      <c r="J1088" s="13" t="n"/>
      <c r="K1088" s="10" t="inlineStr"/>
      <c r="L1088" s="14" t="inlineStr">
        <is>
          <t>▶ watch</t>
        </is>
      </c>
      <c r="M1088" s="10" t="inlineStr">
        <is>
          <t>Wayment-Steele et al. 2024, Nature 625 [landmark] · Wallner 2023, Bioinformatics 39</t>
        </is>
      </c>
      <c r="N1088" s="14" t="inlineStr">
        <is>
          <t>read ↗</t>
        </is>
      </c>
      <c r="O1088" s="11" t="inlineStr">
        <is>
          <t>section reading (2 of 7)</t>
        </is>
      </c>
      <c r="P1088" s="10" t="inlineStr"/>
    </row>
    <row r="1089">
      <c r="A1089" s="15" t="n">
        <v>1088</v>
      </c>
      <c r="B1089" s="15" t="inlineStr">
        <is>
          <t>Part II - The Method Atlas</t>
        </is>
      </c>
      <c r="C1089" s="16" t="inlineStr">
        <is>
          <t>P.6 Conformational ensembles - the frontier</t>
        </is>
      </c>
      <c r="D1089" s="10" t="inlineStr">
        <is>
          <t>Towards Predicting Equilibrium Distributions for Molecular Systems</t>
        </is>
      </c>
      <c r="E1089" s="10" t="inlineStr">
        <is>
          <t>Shuxin Zheng (Valence</t>
        </is>
      </c>
      <c r="F1089" s="11" t="inlineStr">
        <is>
          <t>1:12:14</t>
        </is>
      </c>
      <c r="G1089" s="11" t="n">
        <v>1.2</v>
      </c>
      <c r="H1089" s="12" t="inlineStr"/>
      <c r="I1089" s="11" t="inlineStr">
        <is>
          <t>Not started</t>
        </is>
      </c>
      <c r="J1089" s="13" t="n"/>
      <c r="K1089" s="10" t="inlineStr"/>
      <c r="L1089" s="14" t="inlineStr">
        <is>
          <t>▶ watch</t>
        </is>
      </c>
      <c r="M1089" s="10" t="inlineStr">
        <is>
          <t>Wayment-Steele et al. 2024, Nature 625 [landmark] · Wallner 2023, Bioinformatics 39</t>
        </is>
      </c>
      <c r="N1089" s="14" t="inlineStr">
        <is>
          <t>read ↗</t>
        </is>
      </c>
      <c r="O1089" s="11" t="inlineStr">
        <is>
          <t>section reading (2 of 7)</t>
        </is>
      </c>
      <c r="P1089" s="10" t="inlineStr"/>
    </row>
    <row r="1090">
      <c r="A1090" s="15" t="n">
        <v>1089</v>
      </c>
      <c r="B1090" s="15" t="inlineStr">
        <is>
          <t>Part II - The Method Atlas</t>
        </is>
      </c>
      <c r="C1090" s="16" t="inlineStr">
        <is>
          <t>P.6 Conformational ensembles - the frontier</t>
        </is>
      </c>
      <c r="D1090" s="10" t="inlineStr">
        <is>
          <t>Advancing molecular simulation with deep learning</t>
        </is>
      </c>
      <c r="E1090" s="10" t="inlineStr">
        <is>
          <t>Frank Noé</t>
        </is>
      </c>
      <c r="F1090" s="11" t="inlineStr">
        <is>
          <t>58:32</t>
        </is>
      </c>
      <c r="G1090" s="11" t="n">
        <v>0.98</v>
      </c>
      <c r="H1090" s="12" t="inlineStr"/>
      <c r="I1090" s="11" t="inlineStr">
        <is>
          <t>Not started</t>
        </is>
      </c>
      <c r="J1090" s="13" t="n"/>
      <c r="K1090" s="10" t="inlineStr"/>
      <c r="L1090" s="14" t="inlineStr">
        <is>
          <t>▶ watch</t>
        </is>
      </c>
      <c r="M1090" s="10" t="inlineStr">
        <is>
          <t>Wayment-Steele et al. 2024, Nature 625 [landmark] · Wallner 2023, Bioinformatics 39</t>
        </is>
      </c>
      <c r="N1090" s="14" t="inlineStr">
        <is>
          <t>read ↗</t>
        </is>
      </c>
      <c r="O1090" s="11" t="inlineStr">
        <is>
          <t>section reading (2 of 7)</t>
        </is>
      </c>
      <c r="P1090" s="10" t="inlineStr"/>
    </row>
    <row r="1091">
      <c r="A1091" s="15" t="n">
        <v>1090</v>
      </c>
      <c r="B1091" s="15" t="inlineStr">
        <is>
          <t>Part II - The Method Atlas</t>
        </is>
      </c>
      <c r="C1091" s="16" t="inlineStr">
        <is>
          <t>P.6 Conformational ensembles - the frontier</t>
        </is>
      </c>
      <c r="D1091" s="10" t="inlineStr">
        <is>
          <t>ML4PE Early Career Talk</t>
        </is>
      </c>
      <c r="E1091" s="10" t="inlineStr">
        <is>
          <t>Soojung Yang</t>
        </is>
      </c>
      <c r="F1091" s="11" t="inlineStr">
        <is>
          <t>58:36</t>
        </is>
      </c>
      <c r="G1091" s="11" t="n">
        <v>0.98</v>
      </c>
      <c r="H1091" s="12" t="inlineStr"/>
      <c r="I1091" s="11" t="inlineStr">
        <is>
          <t>Not started</t>
        </is>
      </c>
      <c r="J1091" s="13" t="n"/>
      <c r="K1091" s="10" t="inlineStr"/>
      <c r="L1091" s="14" t="inlineStr">
        <is>
          <t>▶ watch</t>
        </is>
      </c>
      <c r="M1091" s="10" t="inlineStr">
        <is>
          <t>Wayment-Steele et al. 2024, Nature 625 [landmark] · Wallner 2023, Bioinformatics 39</t>
        </is>
      </c>
      <c r="N1091" s="14" t="inlineStr">
        <is>
          <t>read ↗</t>
        </is>
      </c>
      <c r="O1091" s="11" t="inlineStr">
        <is>
          <t>section reading (2 of 7)</t>
        </is>
      </c>
      <c r="P1091" s="10" t="inlineStr">
        <is>
          <t>ML4PE Early Career Seminar Series - 15 talks</t>
        </is>
      </c>
    </row>
    <row r="1092">
      <c r="A1092" s="15" t="n">
        <v>1091</v>
      </c>
      <c r="B1092" s="15" t="inlineStr">
        <is>
          <t>Part II - The Method Atlas</t>
        </is>
      </c>
      <c r="C1092" s="16" t="inlineStr">
        <is>
          <t>P.7 Co-folding, ligands, and the validity critique</t>
        </is>
      </c>
      <c r="D1092" s="10" t="inlineStr">
        <is>
          <t>Diffusion Steps, Twists, and Turns for Molecular Docking</t>
        </is>
      </c>
      <c r="E1092" s="10" t="inlineStr">
        <is>
          <t>Valence Labs / M2D2</t>
        </is>
      </c>
      <c r="F1092" s="11" t="inlineStr">
        <is>
          <t>56:43</t>
        </is>
      </c>
      <c r="G1092" s="11" t="n">
        <v>0.95</v>
      </c>
      <c r="H1092" s="12" t="inlineStr">
        <is>
          <t>★</t>
        </is>
      </c>
      <c r="I1092" s="11" t="inlineStr">
        <is>
          <t>Not started</t>
        </is>
      </c>
      <c r="J1092" s="13" t="n"/>
      <c r="K1092" s="10" t="inlineStr"/>
      <c r="L1092" s="14" t="inlineStr">
        <is>
          <t>▶ watch</t>
        </is>
      </c>
      <c r="M1092" s="10" t="inlineStr">
        <is>
          <t>Corso et al. 2023, ICLR (DiffDock) · Buttenschoen, Morris &amp; Deane 2024, Chem Sci 15 (PoseBusters) [landmark]</t>
        </is>
      </c>
      <c r="N1092" s="14" t="inlineStr">
        <is>
          <t>read ↗</t>
        </is>
      </c>
      <c r="O1092" s="11" t="inlineStr">
        <is>
          <t>section reading (2 of 6)</t>
        </is>
      </c>
      <c r="P1092" s="10" t="inlineStr">
        <is>
          <t>Docking, chemistry and generative molecular design</t>
        </is>
      </c>
    </row>
    <row r="1093">
      <c r="A1093" s="15" t="n">
        <v>1092</v>
      </c>
      <c r="B1093" s="15" t="inlineStr">
        <is>
          <t>Part II - The Method Atlas</t>
        </is>
      </c>
      <c r="C1093" s="16" t="inlineStr">
        <is>
          <t>P.7 Co-folding, ligands, and the validity critique</t>
        </is>
      </c>
      <c r="D1093" s="10" t="inlineStr">
        <is>
          <t>long version with discussion</t>
        </is>
      </c>
      <c r="E1093" s="10" t="inlineStr">
        <is>
          <t>DiffDock</t>
        </is>
      </c>
      <c r="F1093" s="11" t="inlineStr">
        <is>
          <t>1:36:23</t>
        </is>
      </c>
      <c r="G1093" s="11" t="n">
        <v>1.61</v>
      </c>
      <c r="H1093" s="12" t="inlineStr">
        <is>
          <t>★</t>
        </is>
      </c>
      <c r="I1093" s="11" t="inlineStr">
        <is>
          <t>Not started</t>
        </is>
      </c>
      <c r="J1093" s="13" t="n"/>
      <c r="K1093" s="10" t="inlineStr"/>
      <c r="L1093" s="14" t="inlineStr">
        <is>
          <t>▶ watch</t>
        </is>
      </c>
      <c r="M1093" s="10" t="inlineStr">
        <is>
          <t>Corso et al. 2023, ICLR (DiffDock)</t>
        </is>
      </c>
      <c r="N1093" s="14" t="inlineStr">
        <is>
          <t>read ↗</t>
        </is>
      </c>
      <c r="O1093" s="11" t="inlineStr">
        <is>
          <t>names DIFFDOCK</t>
        </is>
      </c>
      <c r="P1093" s="10" t="inlineStr">
        <is>
          <t>2023</t>
        </is>
      </c>
    </row>
    <row r="1094">
      <c r="A1094" s="15" t="n">
        <v>1093</v>
      </c>
      <c r="B1094" s="15" t="inlineStr">
        <is>
          <t>Part II - The Method Atlas</t>
        </is>
      </c>
      <c r="C1094" s="16" t="inlineStr">
        <is>
          <t>P.7 Co-folding, ligands, and the validity critique</t>
        </is>
      </c>
      <c r="D1094" s="10" t="inlineStr">
        <is>
          <t>practical</t>
        </is>
      </c>
      <c r="E1094" s="10" t="inlineStr">
        <is>
          <t>DiffDock</t>
        </is>
      </c>
      <c r="F1094" s="11" t="inlineStr">
        <is>
          <t>43:41</t>
        </is>
      </c>
      <c r="G1094" s="11" t="n">
        <v>0.73</v>
      </c>
      <c r="H1094" s="12" t="inlineStr"/>
      <c r="I1094" s="11" t="inlineStr">
        <is>
          <t>Not started</t>
        </is>
      </c>
      <c r="J1094" s="13" t="n"/>
      <c r="K1094" s="10" t="inlineStr"/>
      <c r="L1094" s="14" t="inlineStr">
        <is>
          <t>▶ watch</t>
        </is>
      </c>
      <c r="M1094" s="10" t="inlineStr">
        <is>
          <t>Corso et al. 2023, ICLR (DiffDock)</t>
        </is>
      </c>
      <c r="N1094" s="14" t="inlineStr">
        <is>
          <t>read ↗</t>
        </is>
      </c>
      <c r="O1094" s="11" t="inlineStr">
        <is>
          <t>names DIFFDOCK</t>
        </is>
      </c>
      <c r="P1094" s="10" t="inlineStr"/>
    </row>
    <row r="1095">
      <c r="A1095" s="15" t="n">
        <v>1094</v>
      </c>
      <c r="B1095" s="15" t="inlineStr">
        <is>
          <t>Part II - The Method Atlas</t>
        </is>
      </c>
      <c r="C1095" s="16" t="inlineStr">
        <is>
          <t>P.7 Co-folding, ligands, and the validity critique</t>
        </is>
      </c>
      <c r="D1095" s="10" t="inlineStr">
        <is>
          <t>Protein Docking with DiffDock-PP</t>
        </is>
      </c>
      <c r="E1095" s="10" t="inlineStr">
        <is>
          <t>DiffDock-PP</t>
        </is>
      </c>
      <c r="F1095" s="11" t="inlineStr">
        <is>
          <t>21:19</t>
        </is>
      </c>
      <c r="G1095" s="11" t="n">
        <v>0.36</v>
      </c>
      <c r="H1095" s="12" t="inlineStr"/>
      <c r="I1095" s="11" t="inlineStr">
        <is>
          <t>Not started</t>
        </is>
      </c>
      <c r="J1095" s="13" t="n"/>
      <c r="K1095" s="10" t="inlineStr"/>
      <c r="L1095" s="14" t="inlineStr">
        <is>
          <t>▶ watch</t>
        </is>
      </c>
      <c r="M1095" s="10" t="inlineStr">
        <is>
          <t>Corso et al. 2023, ICLR (DiffDock)</t>
        </is>
      </c>
      <c r="N1095" s="14" t="inlineStr">
        <is>
          <t>read ↗</t>
        </is>
      </c>
      <c r="O1095" s="11" t="inlineStr">
        <is>
          <t>names DIFFDOCK</t>
        </is>
      </c>
      <c r="P1095" s="10" t="inlineStr">
        <is>
          <t>ML Methods for Protein Modeling (2025) - 18 videos</t>
        </is>
      </c>
    </row>
    <row r="1096">
      <c r="A1096" s="15" t="n">
        <v>1095</v>
      </c>
      <c r="B1096" s="15" t="inlineStr">
        <is>
          <t>Part II - The Method Atlas</t>
        </is>
      </c>
      <c r="C1096" s="16" t="inlineStr">
        <is>
          <t>P.7 Co-folding, ligands, and the validity critique</t>
        </is>
      </c>
      <c r="D1096" s="10" t="inlineStr">
        <is>
          <t>AI-based docking methods fail to generate physically valid poses</t>
        </is>
      </c>
      <c r="E1096" s="10" t="inlineStr">
        <is>
          <t>Martin Buttenschoen (Valence</t>
        </is>
      </c>
      <c r="F1096" s="11" t="inlineStr">
        <is>
          <t>34:28</t>
        </is>
      </c>
      <c r="G1096" s="11" t="n">
        <v>0.57</v>
      </c>
      <c r="H1096" s="12" t="inlineStr">
        <is>
          <t>★</t>
        </is>
      </c>
      <c r="I1096" s="11" t="inlineStr">
        <is>
          <t>Not started</t>
        </is>
      </c>
      <c r="J1096" s="13" t="n"/>
      <c r="K1096" s="10" t="inlineStr"/>
      <c r="L1096" s="14" t="inlineStr">
        <is>
          <t>▶ watch</t>
        </is>
      </c>
      <c r="M1096" s="10" t="inlineStr">
        <is>
          <t>Corso et al. 2023, ICLR (DiffDock) · Buttenschoen, Morris &amp; Deane 2024, Chem Sci 15 (PoseBusters) [landmark]</t>
        </is>
      </c>
      <c r="N1096" s="14" t="inlineStr">
        <is>
          <t>read ↗</t>
        </is>
      </c>
      <c r="O1096" s="11" t="inlineStr">
        <is>
          <t>section reading (2 of 6)</t>
        </is>
      </c>
      <c r="P1096" s="10" t="inlineStr">
        <is>
          <t>Docking, chemistry and generative molecular design; S.1 The blind assessments</t>
        </is>
      </c>
    </row>
    <row r="1097">
      <c r="A1097" s="15" t="n">
        <v>1096</v>
      </c>
      <c r="B1097" s="15" t="inlineStr">
        <is>
          <t>Part II - The Method Atlas</t>
        </is>
      </c>
      <c r="C1097" s="16" t="inlineStr">
        <is>
          <t>P.7 Co-folding, ligands, and the validity critique</t>
        </is>
      </c>
      <c r="D1097" s="10" t="inlineStr">
        <is>
          <t>New benchmarks for molecular interactions</t>
        </is>
      </c>
      <c r="E1097" s="10" t="inlineStr">
        <is>
          <t>Cao, Durairaj, Kovtun (Proxima</t>
        </is>
      </c>
      <c r="F1097" s="11" t="inlineStr">
        <is>
          <t>59:55</t>
        </is>
      </c>
      <c r="G1097" s="11" t="n">
        <v>1</v>
      </c>
      <c r="H1097" s="12" t="inlineStr"/>
      <c r="I1097" s="11" t="inlineStr">
        <is>
          <t>Not started</t>
        </is>
      </c>
      <c r="J1097" s="13" t="n"/>
      <c r="K1097" s="10" t="inlineStr"/>
      <c r="L1097" s="14" t="inlineStr">
        <is>
          <t>▶ watch</t>
        </is>
      </c>
      <c r="M1097" s="10" t="inlineStr">
        <is>
          <t>Corso et al. 2023, ICLR (DiffDock) · Buttenschoen, Morris &amp; Deane 2024, Chem Sci 15 (PoseBusters) [landmark]</t>
        </is>
      </c>
      <c r="N1097" s="14" t="inlineStr">
        <is>
          <t>read ↗</t>
        </is>
      </c>
      <c r="O1097" s="11" t="inlineStr">
        <is>
          <t>section reading (2 of 6)</t>
        </is>
      </c>
      <c r="P1097" s="10" t="inlineStr"/>
    </row>
    <row r="1098">
      <c r="A1098" s="15" t="n">
        <v>1097</v>
      </c>
      <c r="B1098" s="15" t="inlineStr">
        <is>
          <t>Part II - The Method Atlas</t>
        </is>
      </c>
      <c r="C1098" s="16" t="inlineStr">
        <is>
          <t>P.7 Co-folding, ligands, and the validity critique</t>
        </is>
      </c>
      <c r="D1098" s="10" t="inlineStr">
        <is>
          <t>Vladas Oleinikovas (RDKit UGM</t>
        </is>
      </c>
      <c r="E1098" s="10" t="inlineStr">
        <is>
          <t>PLINDER</t>
        </is>
      </c>
      <c r="F1098" s="11" t="inlineStr">
        <is>
          <t>35:08</t>
        </is>
      </c>
      <c r="G1098" s="11" t="n">
        <v>0.59</v>
      </c>
      <c r="H1098" s="12" t="inlineStr"/>
      <c r="I1098" s="11" t="inlineStr">
        <is>
          <t>Not started</t>
        </is>
      </c>
      <c r="J1098" s="13" t="n"/>
      <c r="K1098" s="10" t="inlineStr"/>
      <c r="L1098" s="14" t="inlineStr">
        <is>
          <t>▶ watch</t>
        </is>
      </c>
      <c r="M1098" s="10" t="inlineStr">
        <is>
          <t>Durairaj et al. 2024, ICML ML4LMS (PLINDER)</t>
        </is>
      </c>
      <c r="N1098" s="14" t="inlineStr">
        <is>
          <t>read ↗</t>
        </is>
      </c>
      <c r="O1098" s="11" t="inlineStr">
        <is>
          <t>names PLINDER</t>
        </is>
      </c>
      <c r="P1098" s="10" t="inlineStr"/>
    </row>
    <row r="1099">
      <c r="A1099" s="15" t="n">
        <v>1098</v>
      </c>
      <c r="B1099" s="15" t="inlineStr">
        <is>
          <t>Part II - The Method Atlas</t>
        </is>
      </c>
      <c r="C1099" s="16" t="inlineStr">
        <is>
          <t>P.7 Co-folding, ligands, and the validity critique</t>
        </is>
      </c>
      <c r="D1099" s="10" t="inlineStr">
        <is>
          <t>Molecular ML Reading Group</t>
        </is>
      </c>
      <c r="E1099" s="10" t="inlineStr">
        <is>
          <t>Umol</t>
        </is>
      </c>
      <c r="F1099" s="11" t="inlineStr">
        <is>
          <t>54:07</t>
        </is>
      </c>
      <c r="G1099" s="11" t="n">
        <v>0.9</v>
      </c>
      <c r="H1099" s="12" t="inlineStr"/>
      <c r="I1099" s="11" t="inlineStr">
        <is>
          <t>Not started</t>
        </is>
      </c>
      <c r="J1099" s="13" t="n"/>
      <c r="K1099" s="10" t="inlineStr"/>
      <c r="L1099" s="14" t="inlineStr">
        <is>
          <t>▶ watch</t>
        </is>
      </c>
      <c r="M1099" s="10" t="inlineStr">
        <is>
          <t>Corso et al. 2023, ICLR (DiffDock) · Buttenschoen, Morris &amp; Deane 2024, Chem Sci 15 (PoseBusters) [landmark]</t>
        </is>
      </c>
      <c r="N1099" s="14" t="inlineStr">
        <is>
          <t>read ↗</t>
        </is>
      </c>
      <c r="O1099" s="11" t="inlineStr">
        <is>
          <t>section reading (2 of 6)</t>
        </is>
      </c>
      <c r="P1099" s="10" t="inlineStr"/>
    </row>
    <row r="1100">
      <c r="A1100" s="15" t="n">
        <v>1099</v>
      </c>
      <c r="B1100" s="15" t="inlineStr">
        <is>
          <t>Part II - The Method Atlas</t>
        </is>
      </c>
      <c r="C1100" s="16" t="inlineStr">
        <is>
          <t>P.7 Co-folding, ligands, and the validity critique</t>
        </is>
      </c>
      <c r="D1100" s="10" t="inlineStr">
        <is>
          <t>Dynamic-backbone protein-ligand complex prediction</t>
        </is>
      </c>
      <c r="E1100" s="10" t="inlineStr">
        <is>
          <t>Zhuoran Qiao (ML4PE</t>
        </is>
      </c>
      <c r="F1100" s="11" t="inlineStr">
        <is>
          <t>42:49</t>
        </is>
      </c>
      <c r="G1100" s="11" t="n">
        <v>0.71</v>
      </c>
      <c r="H1100" s="12" t="inlineStr"/>
      <c r="I1100" s="11" t="inlineStr">
        <is>
          <t>Not started</t>
        </is>
      </c>
      <c r="J1100" s="13" t="n"/>
      <c r="K1100" s="10" t="inlineStr"/>
      <c r="L1100" s="14" t="inlineStr">
        <is>
          <t>▶ watch</t>
        </is>
      </c>
      <c r="M1100" s="10" t="inlineStr">
        <is>
          <t>Corso et al. 2023, ICLR (DiffDock) · Buttenschoen, Morris &amp; Deane 2024, Chem Sci 15 (PoseBusters) [landmark]</t>
        </is>
      </c>
      <c r="N1100" s="14" t="inlineStr">
        <is>
          <t>read ↗</t>
        </is>
      </c>
      <c r="O1100" s="11" t="inlineStr">
        <is>
          <t>section reading (2 of 6)</t>
        </is>
      </c>
      <c r="P1100" s="10" t="inlineStr">
        <is>
          <t>2023</t>
        </is>
      </c>
    </row>
    <row r="1101">
      <c r="A1101" s="15" t="n">
        <v>1100</v>
      </c>
      <c r="B1101" s="15" t="inlineStr">
        <is>
          <t>Part II - The Method Atlas</t>
        </is>
      </c>
      <c r="C1101" s="16" t="inlineStr">
        <is>
          <t>P.7 Co-folding, ligands, and the validity critique</t>
        </is>
      </c>
      <c r="D1101" s="10" t="inlineStr">
        <is>
          <t>Harmonic Self-Conditioned Flow Matching for Multi-Ligand Docking</t>
        </is>
      </c>
      <c r="E1101" s="10" t="inlineStr">
        <is>
          <t>Hannes Stärk (Valence</t>
        </is>
      </c>
      <c r="F1101" s="11" t="inlineStr">
        <is>
          <t>59:47</t>
        </is>
      </c>
      <c r="G1101" s="11" t="n">
        <v>1</v>
      </c>
      <c r="H1101" s="12" t="inlineStr"/>
      <c r="I1101" s="11" t="inlineStr">
        <is>
          <t>Not started</t>
        </is>
      </c>
      <c r="J1101" s="13" t="n"/>
      <c r="K1101" s="10" t="inlineStr"/>
      <c r="L1101" s="14" t="inlineStr">
        <is>
          <t>▶ watch</t>
        </is>
      </c>
      <c r="M1101" s="10" t="inlineStr">
        <is>
          <t>Corso et al. 2023, ICLR (DiffDock) · Buttenschoen, Morris &amp; Deane 2024, Chem Sci 15 (PoseBusters) [landmark]</t>
        </is>
      </c>
      <c r="N1101" s="14" t="inlineStr">
        <is>
          <t>read ↗</t>
        </is>
      </c>
      <c r="O1101" s="11" t="inlineStr">
        <is>
          <t>section reading (2 of 6)</t>
        </is>
      </c>
      <c r="P1101" s="10" t="inlineStr">
        <is>
          <t>Docking, chemistry and generative molecular design</t>
        </is>
      </c>
    </row>
    <row r="1102">
      <c r="A1102" s="15" t="n">
        <v>1101</v>
      </c>
      <c r="B1102" s="15" t="inlineStr">
        <is>
          <t>Part II - The Method Atlas</t>
        </is>
      </c>
      <c r="C1102" s="16" t="inlineStr">
        <is>
          <t>P.8 Protein-peptide and specialist regimes</t>
        </is>
      </c>
      <c r="D1102" s="10" t="inlineStr">
        <is>
          <t>Interpreting state-of-the-art structure predictors for protein-peptide complexes</t>
        </is>
      </c>
      <c r="E1102" s="10" t="inlineStr">
        <is>
          <t>BPDMC, 2025</t>
        </is>
      </c>
      <c r="F1102" s="11" t="inlineStr">
        <is>
          <t>58:12</t>
        </is>
      </c>
      <c r="G1102" s="11" t="n">
        <v>0.97</v>
      </c>
      <c r="H1102" s="12" t="inlineStr">
        <is>
          <t>★</t>
        </is>
      </c>
      <c r="I1102" s="11" t="inlineStr">
        <is>
          <t>Not started</t>
        </is>
      </c>
      <c r="J1102" s="13" t="n"/>
      <c r="K1102" s="10" t="inlineStr"/>
      <c r="L1102" s="14" t="inlineStr">
        <is>
          <t>▶ watch</t>
        </is>
      </c>
      <c r="M1102" s="10" t="inlineStr">
        <is>
          <t>Corso et al. 2023, ICLR (DiffDock) · Buttenschoen, Morris &amp; Deane 2024, Chem Sci 15 (PoseBusters) [landmark]</t>
        </is>
      </c>
      <c r="N1102" s="14" t="inlineStr">
        <is>
          <t>read ↗</t>
        </is>
      </c>
      <c r="O1102" s="11" t="inlineStr">
        <is>
          <t>reading for P.7 Co-folding, ligands, and the validit</t>
        </is>
      </c>
      <c r="P1102" s="10" t="inlineStr">
        <is>
          <t>2025; R.6 Peptides and macrocycles</t>
        </is>
      </c>
    </row>
    <row r="1103">
      <c r="A1103" s="15" t="n">
        <v>1102</v>
      </c>
      <c r="B1103" s="15" t="inlineStr">
        <is>
          <t>Part II - The Method Atlas</t>
        </is>
      </c>
      <c r="C1103" s="16" t="inlineStr">
        <is>
          <t>P.8 Protein-peptide and specialist regimes</t>
        </is>
      </c>
      <c r="D1103" s="10" t="inlineStr">
        <is>
          <t>Cyclic peptide structure prediction and design using AlphaFold</t>
        </is>
      </c>
      <c r="E1103" s="10" t="inlineStr">
        <is>
          <t>ML4PE</t>
        </is>
      </c>
      <c r="F1103" s="11" t="inlineStr">
        <is>
          <t>1:07:20</t>
        </is>
      </c>
      <c r="G1103" s="11" t="n">
        <v>1.12</v>
      </c>
      <c r="H1103" s="12" t="inlineStr"/>
      <c r="I1103" s="11" t="inlineStr">
        <is>
          <t>Not started</t>
        </is>
      </c>
      <c r="J1103" s="13" t="n"/>
      <c r="K1103" s="10" t="inlineStr"/>
      <c r="L1103" s="14" t="inlineStr">
        <is>
          <t>▶ watch</t>
        </is>
      </c>
      <c r="M1103" s="10" t="inlineStr">
        <is>
          <t>Corso et al. 2023, ICLR (DiffDock) · Buttenschoen, Morris &amp; Deane 2024, Chem Sci 15 (PoseBusters) [landmark]</t>
        </is>
      </c>
      <c r="N1103" s="14" t="inlineStr">
        <is>
          <t>read ↗</t>
        </is>
      </c>
      <c r="O1103" s="11" t="inlineStr">
        <is>
          <t>reading for P.7 Co-folding, ligands, and the validit</t>
        </is>
      </c>
      <c r="P1103" s="10" t="inlineStr">
        <is>
          <t>2023; R.6 Peptides and macrocycles</t>
        </is>
      </c>
    </row>
    <row r="1104">
      <c r="A1104" s="15" t="n">
        <v>1103</v>
      </c>
      <c r="B1104" s="15" t="inlineStr">
        <is>
          <t>Part II - The Method Atlas</t>
        </is>
      </c>
      <c r="C1104" s="16" t="inlineStr">
        <is>
          <t>P.8 Protein-peptide and specialist regimes</t>
        </is>
      </c>
      <c r="D1104" s="10" t="inlineStr">
        <is>
          <t>Disorder Challenge Virtual Discussion</t>
        </is>
      </c>
      <c r="E1104" s="10" t="inlineStr">
        <is>
          <t>CASP16, Kretsch &amp; Oas</t>
        </is>
      </c>
      <c r="F1104" s="11" t="inlineStr">
        <is>
          <t>39:05</t>
        </is>
      </c>
      <c r="G1104" s="11" t="n">
        <v>0.65</v>
      </c>
      <c r="H1104" s="12" t="inlineStr"/>
      <c r="I1104" s="11" t="inlineStr">
        <is>
          <t>Not started</t>
        </is>
      </c>
      <c r="J1104" s="13" t="n"/>
      <c r="K1104" s="10" t="inlineStr"/>
      <c r="L1104" s="14" t="inlineStr">
        <is>
          <t>▶ watch</t>
        </is>
      </c>
      <c r="M1104" s="10" t="inlineStr">
        <is>
          <t>Corso et al. 2023, ICLR (DiffDock) · Buttenschoen, Morris &amp; Deane 2024, Chem Sci 15 (PoseBusters) [landmark]</t>
        </is>
      </c>
      <c r="N1104" s="14" t="inlineStr">
        <is>
          <t>read ↗</t>
        </is>
      </c>
      <c r="O1104" s="11" t="inlineStr">
        <is>
          <t>reading for P.7 Co-folding, ligands, and the validit</t>
        </is>
      </c>
      <c r="P1104" s="10" t="inlineStr"/>
    </row>
    <row r="1105">
      <c r="A1105" s="15" t="n">
        <v>1104</v>
      </c>
      <c r="B1105" s="15" t="inlineStr">
        <is>
          <t>Part II - The Method Atlas</t>
        </is>
      </c>
      <c r="C1105" s="16" t="inlineStr">
        <is>
          <t>P.8 Protein-peptide and specialist regimes</t>
        </is>
      </c>
      <c r="D1105" s="10" t="inlineStr">
        <is>
          <t>CASP15 disorder assessment</t>
        </is>
      </c>
      <c r="E1105" s="10" t="inlineStr">
        <is>
          <t>Damiano Piovesan</t>
        </is>
      </c>
      <c r="F1105" s="11" t="inlineStr">
        <is>
          <t>20:21</t>
        </is>
      </c>
      <c r="G1105" s="11" t="n">
        <v>0.34</v>
      </c>
      <c r="H1105" s="12" t="inlineStr"/>
      <c r="I1105" s="11" t="inlineStr">
        <is>
          <t>Not started</t>
        </is>
      </c>
      <c r="J1105" s="13" t="n"/>
      <c r="K1105" s="10" t="inlineStr"/>
      <c r="L1105" s="14" t="inlineStr">
        <is>
          <t>▶ watch</t>
        </is>
      </c>
      <c r="M1105" s="10" t="inlineStr">
        <is>
          <t>Corso et al. 2023, ICLR (DiffDock) · Buttenschoen, Morris &amp; Deane 2024, Chem Sci 15 (PoseBusters) [landmark]</t>
        </is>
      </c>
      <c r="N1105" s="14" t="inlineStr">
        <is>
          <t>read ↗</t>
        </is>
      </c>
      <c r="O1105" s="11" t="inlineStr">
        <is>
          <t>reading for P.7 Co-folding, ligands, and the validit</t>
        </is>
      </c>
      <c r="P1105" s="10" t="inlineStr"/>
    </row>
    <row r="1106">
      <c r="A1106" s="15" t="n">
        <v>1105</v>
      </c>
      <c r="B1106" s="15" t="inlineStr">
        <is>
          <t>Part II - The Method Atlas</t>
        </is>
      </c>
      <c r="C1106" s="16" t="inlineStr">
        <is>
          <t>P.9 Where this goes next</t>
        </is>
      </c>
      <c r="D1106" s="10" t="inlineStr">
        <is>
          <t>What could AlphaFold 4 look like?</t>
        </is>
      </c>
      <c r="E1106" s="10" t="inlineStr">
        <is>
          <t>Sergey Ovchinnikov (Owl Posting</t>
        </is>
      </c>
      <c r="F1106" s="11" t="inlineStr">
        <is>
          <t>2:06:40</t>
        </is>
      </c>
      <c r="G1106" s="11" t="n">
        <v>2.11</v>
      </c>
      <c r="H1106" s="12" t="inlineStr">
        <is>
          <t>★</t>
        </is>
      </c>
      <c r="I1106" s="11" t="inlineStr">
        <is>
          <t>Not started</t>
        </is>
      </c>
      <c r="J1106" s="13" t="n"/>
      <c r="K1106" s="10" t="inlineStr"/>
      <c r="L1106" s="14" t="inlineStr">
        <is>
          <t>▶ watch</t>
        </is>
      </c>
      <c r="M1106" s="10" t="inlineStr">
        <is>
          <t>Corso et al. 2023, ICLR (DiffDock) · Buttenschoen, Morris &amp; Deane 2024, Chem Sci 15 (PoseBusters) [landmark]</t>
        </is>
      </c>
      <c r="N1106" s="14" t="inlineStr">
        <is>
          <t>read ↗</t>
        </is>
      </c>
      <c r="O1106" s="11" t="inlineStr">
        <is>
          <t>reading for P.7 Co-folding, ligands, and the validit</t>
        </is>
      </c>
      <c r="P1106" s="10" t="inlineStr">
        <is>
          <t>E.7.1 AlphaFold, OpenFold and what training actually costs</t>
        </is>
      </c>
    </row>
    <row r="1107">
      <c r="A1107" s="15" t="n">
        <v>1106</v>
      </c>
      <c r="B1107" s="15" t="inlineStr">
        <is>
          <t>Part II - The Method Atlas</t>
        </is>
      </c>
      <c r="C1107" s="16" t="inlineStr">
        <is>
          <t>P.9 Where this goes next</t>
        </is>
      </c>
      <c r="D1107" s="10" t="inlineStr">
        <is>
          <t>Inverting protein structure prediction models to solve problems in biology</t>
        </is>
      </c>
      <c r="E1107" s="10" t="inlineStr">
        <is>
          <t>Sergey Ovchinnikov</t>
        </is>
      </c>
      <c r="F1107" s="11" t="inlineStr">
        <is>
          <t>1:29:16</t>
        </is>
      </c>
      <c r="G1107" s="11" t="n">
        <v>1.49</v>
      </c>
      <c r="H1107" s="12" t="inlineStr">
        <is>
          <t>★</t>
        </is>
      </c>
      <c r="I1107" s="11" t="inlineStr">
        <is>
          <t>Not started</t>
        </is>
      </c>
      <c r="J1107" s="13" t="n"/>
      <c r="K1107" s="10" t="inlineStr"/>
      <c r="L1107" s="14" t="inlineStr">
        <is>
          <t>▶ watch</t>
        </is>
      </c>
      <c r="M1107" s="10" t="inlineStr">
        <is>
          <t>Corso et al. 2023, ICLR (DiffDock) · Buttenschoen, Morris &amp; Deane 2024, Chem Sci 15 (PoseBusters) [landmark]</t>
        </is>
      </c>
      <c r="N1107" s="14" t="inlineStr">
        <is>
          <t>read ↗</t>
        </is>
      </c>
      <c r="O1107" s="11" t="inlineStr">
        <is>
          <t>reading for P.7 Co-folding, ligands, and the validit</t>
        </is>
      </c>
      <c r="P1107" s="10" t="inlineStr">
        <is>
          <t>R.3 Hallucination and inverting predictors</t>
        </is>
      </c>
    </row>
    <row r="1108">
      <c r="A1108" s="15" t="n">
        <v>1107</v>
      </c>
      <c r="B1108" s="15" t="inlineStr">
        <is>
          <t>Part II - The Method Atlas</t>
        </is>
      </c>
      <c r="C1108" s="16" t="inlineStr">
        <is>
          <t>P.9 Where this goes next</t>
        </is>
      </c>
      <c r="D1108" s="10" t="inlineStr">
        <is>
          <t>Using AI for protein structure modeling and design</t>
        </is>
      </c>
      <c r="E1108" s="10" t="inlineStr">
        <is>
          <t>Sergey Ovchinnikov (Harvard CMSA</t>
        </is>
      </c>
      <c r="F1108" s="11" t="inlineStr">
        <is>
          <t>47:32</t>
        </is>
      </c>
      <c r="G1108" s="11" t="n">
        <v>0.79</v>
      </c>
      <c r="H1108" s="12" t="inlineStr"/>
      <c r="I1108" s="11" t="inlineStr">
        <is>
          <t>Not started</t>
        </is>
      </c>
      <c r="J1108" s="13" t="n"/>
      <c r="K1108" s="10" t="inlineStr"/>
      <c r="L1108" s="14" t="inlineStr">
        <is>
          <t>▶ watch</t>
        </is>
      </c>
      <c r="M1108" s="10" t="inlineStr">
        <is>
          <t>Corso et al. 2023, ICLR (DiffDock) · Buttenschoen, Morris &amp; Deane 2024, Chem Sci 15 (PoseBusters) [landmark]</t>
        </is>
      </c>
      <c r="N1108" s="14" t="inlineStr">
        <is>
          <t>read ↗</t>
        </is>
      </c>
      <c r="O1108" s="11" t="inlineStr">
        <is>
          <t>reading for P.7 Co-folding, ligands, and the validit</t>
        </is>
      </c>
      <c r="P1108" s="10" t="inlineStr"/>
    </row>
    <row r="1109">
      <c r="A1109" s="15" t="n">
        <v>1108</v>
      </c>
      <c r="B1109" s="15" t="inlineStr">
        <is>
          <t>Part II - The Method Atlas</t>
        </is>
      </c>
      <c r="C1109" s="16" t="inlineStr">
        <is>
          <t>P.9 Where this goes next</t>
        </is>
      </c>
      <c r="D1109" s="10" t="inlineStr">
        <is>
          <t>Protein Structure Prediction in a Post-AlphaFold2 World</t>
        </is>
      </c>
      <c r="E1109" s="10" t="inlineStr">
        <is>
          <t>Mohammed AlQuraishi</t>
        </is>
      </c>
      <c r="F1109" s="11" t="inlineStr">
        <is>
          <t>54:16</t>
        </is>
      </c>
      <c r="G1109" s="11" t="n">
        <v>0.9</v>
      </c>
      <c r="H1109" s="12" t="inlineStr"/>
      <c r="I1109" s="11" t="inlineStr">
        <is>
          <t>Not started</t>
        </is>
      </c>
      <c r="J1109" s="13" t="n"/>
      <c r="K1109" s="10" t="inlineStr"/>
      <c r="L1109" s="14" t="inlineStr">
        <is>
          <t>▶ watch</t>
        </is>
      </c>
      <c r="M1109" s="10" t="inlineStr">
        <is>
          <t>Corso et al. 2023, ICLR (DiffDock) · Buttenschoen, Morris &amp; Deane 2024, Chem Sci 15 (PoseBusters) [landmark]</t>
        </is>
      </c>
      <c r="N1109" s="14" t="inlineStr">
        <is>
          <t>read ↗</t>
        </is>
      </c>
      <c r="O1109" s="11" t="inlineStr">
        <is>
          <t>reading for P.7 Co-folding, ligands, and the validit</t>
        </is>
      </c>
      <c r="P1109" s="10" t="inlineStr"/>
    </row>
    <row r="1110">
      <c r="A1110" s="15" t="n">
        <v>1109</v>
      </c>
      <c r="B1110" s="15" t="inlineStr">
        <is>
          <t>Part II - The Method Atlas</t>
        </is>
      </c>
      <c r="C1110" s="16" t="inlineStr">
        <is>
          <t>P.9 Where this goes next</t>
        </is>
      </c>
      <c r="D1110" s="10" t="inlineStr">
        <is>
          <t>The State of Protein Structure Prediction and Friends</t>
        </is>
      </c>
      <c r="E1110" s="10" t="inlineStr">
        <is>
          <t>Mohammed AlQuraishi (Simons</t>
        </is>
      </c>
      <c r="F1110" s="11" t="inlineStr">
        <is>
          <t>1:05:31</t>
        </is>
      </c>
      <c r="G1110" s="11" t="n">
        <v>1.09</v>
      </c>
      <c r="H1110" s="12" t="inlineStr"/>
      <c r="I1110" s="11" t="inlineStr">
        <is>
          <t>Not started</t>
        </is>
      </c>
      <c r="J1110" s="13" t="n"/>
      <c r="K1110" s="10" t="inlineStr"/>
      <c r="L1110" s="14" t="inlineStr">
        <is>
          <t>▶ watch</t>
        </is>
      </c>
      <c r="M1110" s="10" t="inlineStr">
        <is>
          <t>Corso et al. 2023, ICLR (DiffDock) · Buttenschoen, Morris &amp; Deane 2024, Chem Sci 15 (PoseBusters) [landmark]</t>
        </is>
      </c>
      <c r="N1110" s="14" t="inlineStr">
        <is>
          <t>read ↗</t>
        </is>
      </c>
      <c r="O1110" s="11" t="inlineStr">
        <is>
          <t>reading for P.7 Co-folding, ligands, and the validit</t>
        </is>
      </c>
      <c r="P1110" s="10" t="inlineStr">
        <is>
          <t>R.10 The framing talks and the skeptics</t>
        </is>
      </c>
    </row>
    <row r="1111">
      <c r="A1111" s="15" t="n">
        <v>1110</v>
      </c>
      <c r="B1111" s="15" t="inlineStr">
        <is>
          <t>Part II - The Method Atlas</t>
        </is>
      </c>
      <c r="C1111" s="16" t="inlineStr">
        <is>
          <t>P.9 Where this goes next</t>
        </is>
      </c>
      <c r="D1111" s="10" t="inlineStr">
        <is>
          <t>Lecture 11: Protein Language Models (MLCB24</t>
        </is>
      </c>
      <c r="E1111" s="10" t="inlineStr">
        <is>
          <t>Manolis Kellis (MIT</t>
        </is>
      </c>
      <c r="F1111" s="11" t="inlineStr">
        <is>
          <t>1:23:08</t>
        </is>
      </c>
      <c r="G1111" s="11" t="n">
        <v>1.39</v>
      </c>
      <c r="H1111" s="12" t="inlineStr"/>
      <c r="I1111" s="11" t="inlineStr">
        <is>
          <t>Not started</t>
        </is>
      </c>
      <c r="J1111" s="13" t="n"/>
      <c r="K1111" s="10" t="inlineStr"/>
      <c r="L1111" s="14" t="inlineStr">
        <is>
          <t>▶ watch</t>
        </is>
      </c>
      <c r="M1111" s="10" t="inlineStr">
        <is>
          <t>Corso et al. 2023, ICLR (DiffDock) · Buttenschoen, Morris &amp; Deane 2024, Chem Sci 15 (PoseBusters) [landmark]</t>
        </is>
      </c>
      <c r="N1111" s="14" t="inlineStr">
        <is>
          <t>read ↗</t>
        </is>
      </c>
      <c r="O1111" s="11" t="inlineStr">
        <is>
          <t>reading for P.7 Co-folding, ligands, and the validit</t>
        </is>
      </c>
      <c r="P1111" s="10" t="inlineStr"/>
    </row>
    <row r="1112">
      <c r="A1112" s="15" t="n">
        <v>1111</v>
      </c>
      <c r="B1112" s="15" t="inlineStr">
        <is>
          <t>Part II - The Method Atlas</t>
        </is>
      </c>
      <c r="C1112" s="16" t="inlineStr">
        <is>
          <t>Q.1 The ESM line</t>
        </is>
      </c>
      <c r="D1112" s="10" t="inlineStr">
        <is>
          <t>Evolutionary Scale Language Models</t>
        </is>
      </c>
      <c r="E1112" s="10" t="inlineStr">
        <is>
          <t>Alexander Rives (MLCB 2023</t>
        </is>
      </c>
      <c r="F1112" s="11" t="inlineStr">
        <is>
          <t>54:32</t>
        </is>
      </c>
      <c r="G1112" s="11" t="n">
        <v>0.91</v>
      </c>
      <c r="H1112" s="12" t="inlineStr">
        <is>
          <t>★</t>
        </is>
      </c>
      <c r="I1112" s="11" t="inlineStr">
        <is>
          <t>Not started</t>
        </is>
      </c>
      <c r="J1112" s="13" t="n"/>
      <c r="K1112" s="10" t="inlineStr"/>
      <c r="L1112" s="14" t="inlineStr">
        <is>
          <t>▶ watch</t>
        </is>
      </c>
      <c r="M1112" s="10" t="inlineStr">
        <is>
          <t>Rives et al. 2021, PNAS 118:e2016239118 (ESM-1b) · Lin et al. 2023, Science 379:1123 (ESM-2 / ESMFold)</t>
        </is>
      </c>
      <c r="N1112" s="14" t="inlineStr">
        <is>
          <t>read ↗</t>
        </is>
      </c>
      <c r="O1112" s="11" t="inlineStr">
        <is>
          <t>section reading (2 of 5)</t>
        </is>
      </c>
      <c r="P1112" s="10" t="inlineStr">
        <is>
          <t>MLCB 2023 - selected full talks</t>
        </is>
      </c>
    </row>
    <row r="1113">
      <c r="A1113" s="15" t="n">
        <v>1112</v>
      </c>
      <c r="B1113" s="15" t="inlineStr">
        <is>
          <t>Part II - The Method Atlas</t>
        </is>
      </c>
      <c r="C1113" s="16" t="inlineStr">
        <is>
          <t>Q.1 The ESM line</t>
        </is>
      </c>
      <c r="D1113" s="10" t="inlineStr">
        <is>
          <t>ESM3: Simulating 500 million years of evolution</t>
        </is>
      </c>
      <c r="E1113" s="10" t="inlineStr">
        <is>
          <t>Roshan Rao (ML4PE</t>
        </is>
      </c>
      <c r="F1113" s="11" t="inlineStr">
        <is>
          <t>1:05:08</t>
        </is>
      </c>
      <c r="G1113" s="11" t="n">
        <v>1.09</v>
      </c>
      <c r="H1113" s="12" t="inlineStr">
        <is>
          <t>★</t>
        </is>
      </c>
      <c r="I1113" s="11" t="inlineStr">
        <is>
          <t>Not started</t>
        </is>
      </c>
      <c r="J1113" s="13" t="n"/>
      <c r="K1113" s="10" t="inlineStr"/>
      <c r="L1113" s="14" t="inlineStr">
        <is>
          <t>▶ watch</t>
        </is>
      </c>
      <c r="M1113" s="10" t="inlineStr">
        <is>
          <t>Hayes et al. 2025, Science 387:850 (ESM3)</t>
        </is>
      </c>
      <c r="N1113" s="14" t="inlineStr">
        <is>
          <t>read ↗</t>
        </is>
      </c>
      <c r="O1113" s="11" t="inlineStr">
        <is>
          <t>names ESM3</t>
        </is>
      </c>
      <c r="P1113" s="10" t="inlineStr">
        <is>
          <t>2024</t>
        </is>
      </c>
    </row>
    <row r="1114">
      <c r="A1114" s="15" t="n">
        <v>1113</v>
      </c>
      <c r="B1114" s="15" t="inlineStr">
        <is>
          <t>Part II - The Method Atlas</t>
        </is>
      </c>
      <c r="C1114" s="16" t="inlineStr">
        <is>
          <t>Q.1 The ESM line</t>
        </is>
      </c>
      <c r="D1114" s="10" t="inlineStr">
        <is>
          <t>Learning to read and write protein evolution</t>
        </is>
      </c>
      <c r="E1114" s="10" t="inlineStr">
        <is>
          <t>Brian Hie (Broad MIA</t>
        </is>
      </c>
      <c r="F1114" s="11" t="inlineStr">
        <is>
          <t>1:02:35</t>
        </is>
      </c>
      <c r="G1114" s="11" t="n">
        <v>1.04</v>
      </c>
      <c r="H1114" s="12" t="inlineStr"/>
      <c r="I1114" s="11" t="inlineStr">
        <is>
          <t>Not started</t>
        </is>
      </c>
      <c r="J1114" s="13" t="n"/>
      <c r="K1114" s="10" t="inlineStr"/>
      <c r="L1114" s="14" t="inlineStr">
        <is>
          <t>▶ watch</t>
        </is>
      </c>
      <c r="M1114" s="10" t="inlineStr">
        <is>
          <t>Rives et al. 2021, PNAS 118:e2016239118 (ESM-1b) · Lin et al. 2023, Science 379:1123 (ESM-2 / ESMFold)</t>
        </is>
      </c>
      <c r="N1114" s="14" t="inlineStr">
        <is>
          <t>read ↗</t>
        </is>
      </c>
      <c r="O1114" s="11" t="inlineStr">
        <is>
          <t>section reading (2 of 5)</t>
        </is>
      </c>
      <c r="P1114" s="10" t="inlineStr">
        <is>
          <t>Proteins, structure, molecular design</t>
        </is>
      </c>
    </row>
    <row r="1115">
      <c r="A1115" s="15" t="n">
        <v>1114</v>
      </c>
      <c r="B1115" s="15" t="inlineStr">
        <is>
          <t>Part II - The Method Atlas</t>
        </is>
      </c>
      <c r="C1115" s="16" t="inlineStr">
        <is>
          <t>Q.1 The ESM line</t>
        </is>
      </c>
      <c r="D1115" s="10" t="inlineStr">
        <is>
          <t>Efficient evolution of human antibodies from general PLMs</t>
        </is>
      </c>
      <c r="E1115" s="10" t="inlineStr">
        <is>
          <t>Brian Hie (ML4PE</t>
        </is>
      </c>
      <c r="F1115" s="11" t="inlineStr">
        <is>
          <t>54:11</t>
        </is>
      </c>
      <c r="G1115" s="11" t="n">
        <v>0.9</v>
      </c>
      <c r="H1115" s="12" t="inlineStr"/>
      <c r="I1115" s="11" t="inlineStr">
        <is>
          <t>Not started</t>
        </is>
      </c>
      <c r="J1115" s="13" t="n"/>
      <c r="K1115" s="10" t="inlineStr"/>
      <c r="L1115" s="14" t="inlineStr">
        <is>
          <t>▶ watch</t>
        </is>
      </c>
      <c r="M1115" s="10" t="inlineStr">
        <is>
          <t>Rives et al. 2021, PNAS 118:e2016239118 (ESM-1b) · Lin et al. 2023, Science 379:1123 (ESM-2 / ESMFold)</t>
        </is>
      </c>
      <c r="N1115" s="14" t="inlineStr">
        <is>
          <t>read ↗</t>
        </is>
      </c>
      <c r="O1115" s="11" t="inlineStr">
        <is>
          <t>section reading (2 of 5)</t>
        </is>
      </c>
      <c r="P1115" s="10" t="inlineStr">
        <is>
          <t>2022</t>
        </is>
      </c>
    </row>
    <row r="1116">
      <c r="A1116" s="15" t="n">
        <v>1115</v>
      </c>
      <c r="B1116" s="15" t="inlineStr">
        <is>
          <t>Part II - The Method Atlas</t>
        </is>
      </c>
      <c r="C1116" s="16" t="inlineStr">
        <is>
          <t>Q.1 The ESM line</t>
        </is>
      </c>
      <c r="D1116" s="10" t="inlineStr">
        <is>
          <t>Early Career Seminar #3</t>
        </is>
      </c>
      <c r="E1116" s="10" t="inlineStr">
        <is>
          <t>Brian Hie (ML4PE</t>
        </is>
      </c>
      <c r="F1116" s="11" t="inlineStr">
        <is>
          <t>49:35</t>
        </is>
      </c>
      <c r="G1116" s="11" t="n">
        <v>0.83</v>
      </c>
      <c r="H1116" s="12" t="inlineStr"/>
      <c r="I1116" s="11" t="inlineStr">
        <is>
          <t>Not started</t>
        </is>
      </c>
      <c r="J1116" s="13" t="n"/>
      <c r="K1116" s="10" t="inlineStr"/>
      <c r="L1116" s="14" t="inlineStr">
        <is>
          <t>▶ watch</t>
        </is>
      </c>
      <c r="M1116" s="10" t="inlineStr">
        <is>
          <t>Rives et al. 2021, PNAS 118:e2016239118 (ESM-1b) · Lin et al. 2023, Science 379:1123 (ESM-2 / ESMFold)</t>
        </is>
      </c>
      <c r="N1116" s="14" t="inlineStr">
        <is>
          <t>read ↗</t>
        </is>
      </c>
      <c r="O1116" s="11" t="inlineStr">
        <is>
          <t>section reading (2 of 5)</t>
        </is>
      </c>
      <c r="P1116" s="10" t="inlineStr">
        <is>
          <t>ML4PE Early Career Seminar Series - 15 talks</t>
        </is>
      </c>
    </row>
    <row r="1117">
      <c r="A1117" s="15" t="n">
        <v>1116</v>
      </c>
      <c r="B1117" s="15" t="inlineStr">
        <is>
          <t>Part II - The Method Atlas</t>
        </is>
      </c>
      <c r="C1117" s="16" t="inlineStr">
        <is>
          <t>Q.1 The ESM line</t>
        </is>
      </c>
      <c r="D1117" s="10" t="inlineStr">
        <is>
          <t>Multimodal Deep Learning for Protein Engineering</t>
        </is>
      </c>
      <c r="E1117" s="10" t="inlineStr">
        <is>
          <t>Kevin K. Yang (Valence</t>
        </is>
      </c>
      <c r="F1117" s="11" t="inlineStr">
        <is>
          <t>1:02:31</t>
        </is>
      </c>
      <c r="G1117" s="11" t="n">
        <v>1.04</v>
      </c>
      <c r="H1117" s="12" t="inlineStr"/>
      <c r="I1117" s="11" t="inlineStr">
        <is>
          <t>Not started</t>
        </is>
      </c>
      <c r="J1117" s="13" t="n"/>
      <c r="K1117" s="10" t="inlineStr"/>
      <c r="L1117" s="14" t="inlineStr">
        <is>
          <t>▶ watch</t>
        </is>
      </c>
      <c r="M1117" s="10" t="inlineStr">
        <is>
          <t>Rives et al. 2021, PNAS 118:e2016239118 (ESM-1b) · Lin et al. 2023, Science 379:1123 (ESM-2 / ESMFold)</t>
        </is>
      </c>
      <c r="N1117" s="14" t="inlineStr">
        <is>
          <t>read ↗</t>
        </is>
      </c>
      <c r="O1117" s="11" t="inlineStr">
        <is>
          <t>section reading (2 of 5)</t>
        </is>
      </c>
      <c r="P1117" s="10" t="inlineStr">
        <is>
          <t>Structure prediction, design and biomolecular foundation models</t>
        </is>
      </c>
    </row>
    <row r="1118">
      <c r="A1118" s="15" t="n">
        <v>1117</v>
      </c>
      <c r="B1118" s="15" t="inlineStr">
        <is>
          <t>Part II - The Method Atlas</t>
        </is>
      </c>
      <c r="C1118" s="16" t="inlineStr">
        <is>
          <t>Q.1 The ESM line</t>
        </is>
      </c>
      <c r="D1118" s="10" t="inlineStr">
        <is>
          <t>Protein Language Models (tutorial</t>
        </is>
      </c>
      <c r="E1118" s="10" t="inlineStr">
        <is>
          <t>RosettaCommons</t>
        </is>
      </c>
      <c r="F1118" s="11" t="inlineStr">
        <is>
          <t>33:49</t>
        </is>
      </c>
      <c r="G1118" s="11" t="n">
        <v>0.5600000000000001</v>
      </c>
      <c r="H1118" s="12" t="inlineStr"/>
      <c r="I1118" s="11" t="inlineStr">
        <is>
          <t>Not started</t>
        </is>
      </c>
      <c r="J1118" s="13" t="n"/>
      <c r="K1118" s="10" t="inlineStr"/>
      <c r="L1118" s="14" t="inlineStr">
        <is>
          <t>▶ watch</t>
        </is>
      </c>
      <c r="M1118" s="10" t="inlineStr">
        <is>
          <t>Rives et al. 2021, PNAS 118:e2016239118 (ESM-1b) · Lin et al. 2023, Science 379:1123 (ESM-2 / ESMFold)</t>
        </is>
      </c>
      <c r="N1118" s="14" t="inlineStr">
        <is>
          <t>read ↗</t>
        </is>
      </c>
      <c r="O1118" s="11" t="inlineStr">
        <is>
          <t>section reading (2 of 5)</t>
        </is>
      </c>
      <c r="P1118" s="10" t="inlineStr">
        <is>
          <t>RaMP Bootcamp 2023 - 12 videos (the PyRosetta core</t>
        </is>
      </c>
    </row>
    <row r="1119">
      <c r="A1119" s="15" t="n">
        <v>1118</v>
      </c>
      <c r="B1119" s="15" t="inlineStr">
        <is>
          <t>Part II - The Method Atlas</t>
        </is>
      </c>
      <c r="C1119" s="16" t="inlineStr">
        <is>
          <t>Q.1 The ESM line</t>
        </is>
      </c>
      <c r="D1119" s="10" t="inlineStr">
        <is>
          <t>How to Make the Most of Your Masked LM for Protein Engineering</t>
        </is>
      </c>
      <c r="E1119" s="10" t="inlineStr">
        <is>
          <t>Calvin McCarter, BigHat (ML4PE</t>
        </is>
      </c>
      <c r="F1119" s="11" t="inlineStr">
        <is>
          <t>53:10</t>
        </is>
      </c>
      <c r="G1119" s="11" t="n">
        <v>0.89</v>
      </c>
      <c r="H1119" s="12" t="inlineStr">
        <is>
          <t>★</t>
        </is>
      </c>
      <c r="I1119" s="11" t="inlineStr">
        <is>
          <t>Not started</t>
        </is>
      </c>
      <c r="J1119" s="13" t="n"/>
      <c r="K1119" s="10" t="inlineStr"/>
      <c r="L1119" s="14" t="inlineStr">
        <is>
          <t>▶ watch</t>
        </is>
      </c>
      <c r="M1119" s="10" t="inlineStr">
        <is>
          <t>Rives et al. 2021, PNAS 118:e2016239118 (ESM-1b) · Lin et al. 2023, Science 379:1123 (ESM-2 / ESMFold)</t>
        </is>
      </c>
      <c r="N1119" s="14" t="inlineStr">
        <is>
          <t>read ↗</t>
        </is>
      </c>
      <c r="O1119" s="11" t="inlineStr">
        <is>
          <t>section reading (2 of 5)</t>
        </is>
      </c>
      <c r="P1119" s="10" t="inlineStr">
        <is>
          <t>2026 - posted but not on the schedule page</t>
        </is>
      </c>
    </row>
    <row r="1120">
      <c r="A1120" s="15" t="n">
        <v>1119</v>
      </c>
      <c r="B1120" s="15" t="inlineStr">
        <is>
          <t>Part II - The Method Atlas</t>
        </is>
      </c>
      <c r="C1120" s="16" t="inlineStr">
        <is>
          <t>Q.1 The ESM line</t>
        </is>
      </c>
      <c r="D1120" s="10" t="inlineStr">
        <is>
          <t>Scaling down: MSA Pairformer</t>
        </is>
      </c>
      <c r="E1120" s="10" t="inlineStr">
        <is>
          <t>Yo Akiyama, MIT (ML4PE</t>
        </is>
      </c>
      <c r="F1120" s="11" t="inlineStr">
        <is>
          <t>37:59</t>
        </is>
      </c>
      <c r="G1120" s="11" t="n">
        <v>0.63</v>
      </c>
      <c r="H1120" s="12" t="inlineStr"/>
      <c r="I1120" s="11" t="inlineStr">
        <is>
          <t>Not started</t>
        </is>
      </c>
      <c r="J1120" s="13" t="n"/>
      <c r="K1120" s="10" t="inlineStr"/>
      <c r="L1120" s="14" t="inlineStr">
        <is>
          <t>▶ watch</t>
        </is>
      </c>
      <c r="M1120" s="10" t="inlineStr">
        <is>
          <t>Rives et al. 2021, PNAS 118:e2016239118 (ESM-1b) · Lin et al. 2023, Science 379:1123 (ESM-2 / ESMFold)</t>
        </is>
      </c>
      <c r="N1120" s="14" t="inlineStr">
        <is>
          <t>read ↗</t>
        </is>
      </c>
      <c r="O1120" s="11" t="inlineStr">
        <is>
          <t>section reading (2 of 5)</t>
        </is>
      </c>
      <c r="P1120" s="10" t="inlineStr">
        <is>
          <t>2025; E.7.2 Triangle attention - the memory wall nobody has written about</t>
        </is>
      </c>
    </row>
    <row r="1121">
      <c r="A1121" s="15" t="n">
        <v>1120</v>
      </c>
      <c r="B1121" s="15" t="inlineStr">
        <is>
          <t>Part II - The Method Atlas</t>
        </is>
      </c>
      <c r="C1121" s="16" t="inlineStr">
        <is>
          <t>Q.2 Generative protein language models</t>
        </is>
      </c>
      <c r="D1121" s="10" t="inlineStr">
        <is>
          <t>A Deep Unsupervised Language Model for Protein Design</t>
        </is>
      </c>
      <c r="E1121" s="10" t="inlineStr">
        <is>
          <t>Noelia Ferruz (ML4PE</t>
        </is>
      </c>
      <c r="F1121" s="11" t="inlineStr">
        <is>
          <t>1:05:20</t>
        </is>
      </c>
      <c r="G1121" s="11" t="n">
        <v>1.09</v>
      </c>
      <c r="H1121" s="12" t="inlineStr"/>
      <c r="I1121" s="11" t="inlineStr">
        <is>
          <t>Not started</t>
        </is>
      </c>
      <c r="J1121" s="13" t="n"/>
      <c r="K1121" s="10" t="inlineStr"/>
      <c r="L1121" s="14" t="inlineStr">
        <is>
          <t>▶ watch</t>
        </is>
      </c>
      <c r="M1121" s="10" t="inlineStr">
        <is>
          <t>Ferruz et al. 2022, Nat Commun 13:4348 (ProtGPT2) · Madani et al. 2023, Nat Biotechnol 41:1099 (ProGen)</t>
        </is>
      </c>
      <c r="N1121" s="14" t="inlineStr">
        <is>
          <t>read ↗</t>
        </is>
      </c>
      <c r="O1121" s="11" t="inlineStr">
        <is>
          <t>section reading (2 of 7)</t>
        </is>
      </c>
      <c r="P1121" s="10" t="inlineStr">
        <is>
          <t>2022</t>
        </is>
      </c>
    </row>
    <row r="1122">
      <c r="A1122" s="15" t="n">
        <v>1121</v>
      </c>
      <c r="B1122" s="15" t="inlineStr">
        <is>
          <t>Part II - The Method Atlas</t>
        </is>
      </c>
      <c r="C1122" s="16" t="inlineStr">
        <is>
          <t>Q.2 Generative protein language models</t>
        </is>
      </c>
      <c r="D1122" s="10" t="inlineStr">
        <is>
          <t>Early Career Seminar #2</t>
        </is>
      </c>
      <c r="E1122" s="10" t="inlineStr">
        <is>
          <t>Noelia Ferruz (ML4PE</t>
        </is>
      </c>
      <c r="F1122" s="11" t="inlineStr">
        <is>
          <t>56:15</t>
        </is>
      </c>
      <c r="G1122" s="11" t="n">
        <v>0.9399999999999999</v>
      </c>
      <c r="H1122" s="12" t="inlineStr"/>
      <c r="I1122" s="11" t="inlineStr">
        <is>
          <t>Not started</t>
        </is>
      </c>
      <c r="J1122" s="13" t="n"/>
      <c r="K1122" s="10" t="inlineStr"/>
      <c r="L1122" s="14" t="inlineStr">
        <is>
          <t>▶ watch</t>
        </is>
      </c>
      <c r="M1122" s="10" t="inlineStr">
        <is>
          <t>Ferruz et al. 2022, Nat Commun 13:4348 (ProtGPT2) · Madani et al. 2023, Nat Biotechnol 41:1099 (ProGen)</t>
        </is>
      </c>
      <c r="N1122" s="14" t="inlineStr">
        <is>
          <t>read ↗</t>
        </is>
      </c>
      <c r="O1122" s="11" t="inlineStr">
        <is>
          <t>section reading (2 of 7)</t>
        </is>
      </c>
      <c r="P1122" s="10" t="inlineStr">
        <is>
          <t>ML4PE Early Career Seminar Series - 15 talks</t>
        </is>
      </c>
    </row>
    <row r="1123">
      <c r="A1123" s="15" t="n">
        <v>1122</v>
      </c>
      <c r="B1123" s="15" t="inlineStr">
        <is>
          <t>Part II - The Method Atlas</t>
        </is>
      </c>
      <c r="C1123" s="16" t="inlineStr">
        <is>
          <t>Q.2 Generative protein language models</t>
        </is>
      </c>
      <c r="D1123" s="10" t="inlineStr">
        <is>
          <t>Scaling Unlocks Broader Generation and Deeper Functional Understanding</t>
        </is>
      </c>
      <c r="E1123" s="10" t="inlineStr">
        <is>
          <t>Aadyot Bhatnagar, Profluent (ML4PE</t>
        </is>
      </c>
      <c r="F1123" s="11" t="inlineStr">
        <is>
          <t>1:07:20</t>
        </is>
      </c>
      <c r="G1123" s="11" t="n">
        <v>1.12</v>
      </c>
      <c r="H1123" s="12" t="inlineStr">
        <is>
          <t>★</t>
        </is>
      </c>
      <c r="I1123" s="11" t="inlineStr">
        <is>
          <t>Not started</t>
        </is>
      </c>
      <c r="J1123" s="13" t="n"/>
      <c r="K1123" s="10" t="inlineStr"/>
      <c r="L1123" s="14" t="inlineStr">
        <is>
          <t>▶ watch</t>
        </is>
      </c>
      <c r="M1123" s="10" t="inlineStr">
        <is>
          <t>Ferruz et al. 2022, Nat Commun 13:4348 (ProtGPT2) · Madani et al. 2023, Nat Biotechnol 41:1099 (ProGen)</t>
        </is>
      </c>
      <c r="N1123" s="14" t="inlineStr">
        <is>
          <t>read ↗</t>
        </is>
      </c>
      <c r="O1123" s="11" t="inlineStr">
        <is>
          <t>section reading (2 of 7)</t>
        </is>
      </c>
      <c r="P1123" s="10" t="inlineStr">
        <is>
          <t>2025</t>
        </is>
      </c>
    </row>
    <row r="1124">
      <c r="A1124" s="15" t="n">
        <v>1123</v>
      </c>
      <c r="B1124" s="15" t="inlineStr">
        <is>
          <t>Part II - The Method Atlas</t>
        </is>
      </c>
      <c r="C1124" s="16" t="inlineStr">
        <is>
          <t>Q.2 Generative protein language models</t>
        </is>
      </c>
      <c r="D1124" s="10" t="inlineStr">
        <is>
          <t>Understanding protein function with a multimodal retrieval-augmented foundation model</t>
        </is>
      </c>
      <c r="E1124" s="10" t="inlineStr">
        <is>
          <t>Tristan Bepler (ML4PE</t>
        </is>
      </c>
      <c r="F1124" s="11" t="inlineStr">
        <is>
          <t>54:12</t>
        </is>
      </c>
      <c r="G1124" s="11" t="n">
        <v>0.9</v>
      </c>
      <c r="H1124" s="12" t="inlineStr">
        <is>
          <t>★</t>
        </is>
      </c>
      <c r="I1124" s="11" t="inlineStr">
        <is>
          <t>Not started</t>
        </is>
      </c>
      <c r="J1124" s="13" t="n"/>
      <c r="K1124" s="10" t="inlineStr"/>
      <c r="L1124" s="14" t="inlineStr">
        <is>
          <t>▶ watch</t>
        </is>
      </c>
      <c r="M1124" s="10" t="inlineStr">
        <is>
          <t>Ferruz et al. 2022, Nat Commun 13:4348 (ProtGPT2) · Madani et al. 2023, Nat Biotechnol 41:1099 (ProGen)</t>
        </is>
      </c>
      <c r="N1124" s="14" t="inlineStr">
        <is>
          <t>read ↗</t>
        </is>
      </c>
      <c r="O1124" s="11" t="inlineStr">
        <is>
          <t>section reading (2 of 7)</t>
        </is>
      </c>
      <c r="P1124" s="10" t="inlineStr">
        <is>
          <t>2025</t>
        </is>
      </c>
    </row>
    <row r="1125">
      <c r="A1125" s="15" t="n">
        <v>1124</v>
      </c>
      <c r="B1125" s="15" t="inlineStr">
        <is>
          <t>Part II - The Method Atlas</t>
        </is>
      </c>
      <c r="C1125" s="16" t="inlineStr">
        <is>
          <t>Q.2 Generative protein language models</t>
        </is>
      </c>
      <c r="D1125" s="10" t="inlineStr">
        <is>
          <t>Scaling sequence diversity for improved protein generation</t>
        </is>
      </c>
      <c r="E1125" s="10" t="inlineStr">
        <is>
          <t>Dayhoff Atlas</t>
        </is>
      </c>
      <c r="F1125" s="11" t="inlineStr">
        <is>
          <t>57:46</t>
        </is>
      </c>
      <c r="G1125" s="11" t="n">
        <v>0.96</v>
      </c>
      <c r="H1125" s="12" t="inlineStr"/>
      <c r="I1125" s="11" t="inlineStr">
        <is>
          <t>Not started</t>
        </is>
      </c>
      <c r="J1125" s="13" t="n"/>
      <c r="K1125" s="10" t="inlineStr"/>
      <c r="L1125" s="14" t="inlineStr">
        <is>
          <t>▶ watch</t>
        </is>
      </c>
      <c r="M1125" s="10" t="inlineStr">
        <is>
          <t>Ferruz et al. 2022, Nat Commun 13:4348 (ProtGPT2) · Madani et al. 2023, Nat Biotechnol 41:1099 (ProGen)</t>
        </is>
      </c>
      <c r="N1125" s="14" t="inlineStr">
        <is>
          <t>read ↗</t>
        </is>
      </c>
      <c r="O1125" s="11" t="inlineStr">
        <is>
          <t>section reading (2 of 7)</t>
        </is>
      </c>
      <c r="P1125" s="10" t="inlineStr">
        <is>
          <t>2025</t>
        </is>
      </c>
    </row>
    <row r="1126">
      <c r="A1126" s="15" t="n">
        <v>1125</v>
      </c>
      <c r="B1126" s="15" t="inlineStr">
        <is>
          <t>Part II - The Method Atlas</t>
        </is>
      </c>
      <c r="C1126" s="16" t="inlineStr">
        <is>
          <t>Q.2 Generative protein language models</t>
        </is>
      </c>
      <c r="D1126" s="10" t="inlineStr">
        <is>
          <t>Diffusion Language Models Are Versatile Protein Learners</t>
        </is>
      </c>
      <c r="E1126" s="10" t="inlineStr">
        <is>
          <t>Zaixiang Zheng, ByteDance (ML4PE</t>
        </is>
      </c>
      <c r="F1126" s="11" t="inlineStr">
        <is>
          <t>1:13:19</t>
        </is>
      </c>
      <c r="G1126" s="11" t="n">
        <v>1.22</v>
      </c>
      <c r="H1126" s="12" t="inlineStr"/>
      <c r="I1126" s="11" t="inlineStr">
        <is>
          <t>Not started</t>
        </is>
      </c>
      <c r="J1126" s="13" t="n"/>
      <c r="K1126" s="10" t="inlineStr"/>
      <c r="L1126" s="14" t="inlineStr">
        <is>
          <t>▶ watch</t>
        </is>
      </c>
      <c r="M1126" s="10" t="inlineStr">
        <is>
          <t>Ferruz et al. 2022, Nat Commun 13:4348 (ProtGPT2) · Madani et al. 2023, Nat Biotechnol 41:1099 (ProGen)</t>
        </is>
      </c>
      <c r="N1126" s="14" t="inlineStr">
        <is>
          <t>read ↗</t>
        </is>
      </c>
      <c r="O1126" s="11" t="inlineStr">
        <is>
          <t>section reading (2 of 7)</t>
        </is>
      </c>
      <c r="P1126" s="10" t="inlineStr">
        <is>
          <t>2024</t>
        </is>
      </c>
    </row>
    <row r="1127">
      <c r="A1127" s="15" t="n">
        <v>1126</v>
      </c>
      <c r="B1127" s="15" t="inlineStr">
        <is>
          <t>Part II - The Method Atlas</t>
        </is>
      </c>
      <c r="C1127" s="16" t="inlineStr">
        <is>
          <t>Q.2 Generative protein language models</t>
        </is>
      </c>
      <c r="D1127" s="10" t="inlineStr">
        <is>
          <t>Protein generation with evolutionary diffusion</t>
        </is>
      </c>
      <c r="E1127" s="10" t="inlineStr">
        <is>
          <t>Kevin Yang, MSR (ML4PE</t>
        </is>
      </c>
      <c r="F1127" s="11" t="inlineStr">
        <is>
          <t>59:46</t>
        </is>
      </c>
      <c r="G1127" s="11" t="n">
        <v>1</v>
      </c>
      <c r="H1127" s="12" t="inlineStr">
        <is>
          <t>★</t>
        </is>
      </c>
      <c r="I1127" s="11" t="inlineStr">
        <is>
          <t>Not started</t>
        </is>
      </c>
      <c r="J1127" s="13" t="n"/>
      <c r="K1127" s="10" t="inlineStr"/>
      <c r="L1127" s="14" t="inlineStr">
        <is>
          <t>▶ watch</t>
        </is>
      </c>
      <c r="M1127" s="10" t="inlineStr">
        <is>
          <t>Ferruz et al. 2022, Nat Commun 13:4348 (ProtGPT2) · Madani et al. 2023, Nat Biotechnol 41:1099 (ProGen)</t>
        </is>
      </c>
      <c r="N1127" s="14" t="inlineStr">
        <is>
          <t>read ↗</t>
        </is>
      </c>
      <c r="O1127" s="11" t="inlineStr">
        <is>
          <t>section reading (2 of 7)</t>
        </is>
      </c>
      <c r="P1127" s="10" t="inlineStr">
        <is>
          <t>2023; R.2 Backbone generation</t>
        </is>
      </c>
    </row>
    <row r="1128">
      <c r="A1128" s="15" t="n">
        <v>1127</v>
      </c>
      <c r="B1128" s="15" t="inlineStr">
        <is>
          <t>Part II - The Method Atlas</t>
        </is>
      </c>
      <c r="C1128" s="16" t="inlineStr">
        <is>
          <t>Q.2 Generative protein language models</t>
        </is>
      </c>
      <c r="D1128" s="10" t="inlineStr">
        <is>
          <t>Discrete diffusion models for generative protein design</t>
        </is>
      </c>
      <c r="E1128" s="10" t="inlineStr">
        <is>
          <t>Sarah Alamdari (BPDMC</t>
        </is>
      </c>
      <c r="F1128" s="11" t="inlineStr">
        <is>
          <t>1:00:13</t>
        </is>
      </c>
      <c r="G1128" s="11" t="n">
        <v>1</v>
      </c>
      <c r="H1128" s="12" t="inlineStr"/>
      <c r="I1128" s="11" t="inlineStr">
        <is>
          <t>Not started</t>
        </is>
      </c>
      <c r="J1128" s="13" t="n"/>
      <c r="K1128" s="10" t="inlineStr"/>
      <c r="L1128" s="14" t="inlineStr">
        <is>
          <t>▶ watch</t>
        </is>
      </c>
      <c r="M1128" s="10" t="inlineStr">
        <is>
          <t>Ferruz et al. 2022, Nat Commun 13:4348 (ProtGPT2) · Madani et al. 2023, Nat Biotechnol 41:1099 (ProGen)</t>
        </is>
      </c>
      <c r="N1128" s="14" t="inlineStr">
        <is>
          <t>read ↗</t>
        </is>
      </c>
      <c r="O1128" s="11" t="inlineStr">
        <is>
          <t>section reading (2 of 7)</t>
        </is>
      </c>
      <c r="P1128" s="10" t="inlineStr">
        <is>
          <t>2024; R.2 Backbone generation</t>
        </is>
      </c>
    </row>
    <row r="1129">
      <c r="A1129" s="15" t="n">
        <v>1128</v>
      </c>
      <c r="B1129" s="15" t="inlineStr">
        <is>
          <t>Part II - The Method Atlas</t>
        </is>
      </c>
      <c r="C1129" s="16" t="inlineStr">
        <is>
          <t>Q.2 Generative protein language models</t>
        </is>
      </c>
      <c r="D1129" s="10" t="inlineStr">
        <is>
          <t>Protein Discovery with Discrete Walk-Jump Sampling</t>
        </is>
      </c>
      <c r="E1129" s="10" t="inlineStr">
        <is>
          <t>Nathan Frey (Valence</t>
        </is>
      </c>
      <c r="F1129" s="11" t="inlineStr">
        <is>
          <t>55:11</t>
        </is>
      </c>
      <c r="G1129" s="11" t="n">
        <v>0.92</v>
      </c>
      <c r="H1129" s="12" t="inlineStr"/>
      <c r="I1129" s="11" t="inlineStr">
        <is>
          <t>Not started</t>
        </is>
      </c>
      <c r="J1129" s="13" t="n"/>
      <c r="K1129" s="10" t="inlineStr"/>
      <c r="L1129" s="14" t="inlineStr">
        <is>
          <t>▶ watch</t>
        </is>
      </c>
      <c r="M1129" s="10" t="inlineStr">
        <is>
          <t>Ferruz et al. 2022, Nat Commun 13:4348 (ProtGPT2) · Madani et al. 2023, Nat Biotechnol 41:1099 (ProGen)</t>
        </is>
      </c>
      <c r="N1129" s="14" t="inlineStr">
        <is>
          <t>read ↗</t>
        </is>
      </c>
      <c r="O1129" s="11" t="inlineStr">
        <is>
          <t>section reading (2 of 7)</t>
        </is>
      </c>
      <c r="P1129" s="10" t="inlineStr">
        <is>
          <t>Structure prediction, design and biomolecular foundation models</t>
        </is>
      </c>
    </row>
    <row r="1130">
      <c r="A1130" s="15" t="n">
        <v>1129</v>
      </c>
      <c r="B1130" s="15" t="inlineStr">
        <is>
          <t>Part II - The Method Atlas</t>
        </is>
      </c>
      <c r="C1130" s="16" t="inlineStr">
        <is>
          <t>Q.2 Generative protein language models</t>
        </is>
      </c>
      <c r="D1130" s="10" t="inlineStr">
        <is>
          <t>Protein Design with Guided Discrete Diffusion</t>
        </is>
      </c>
      <c r="E1130" s="10" t="inlineStr">
        <is>
          <t>Stanton &amp; Gruver (ML4PE</t>
        </is>
      </c>
      <c r="F1130" s="11" t="inlineStr">
        <is>
          <t>58:05</t>
        </is>
      </c>
      <c r="G1130" s="11" t="n">
        <v>0.97</v>
      </c>
      <c r="H1130" s="12" t="inlineStr"/>
      <c r="I1130" s="11" t="inlineStr">
        <is>
          <t>Not started</t>
        </is>
      </c>
      <c r="J1130" s="13" t="n"/>
      <c r="K1130" s="10" t="inlineStr"/>
      <c r="L1130" s="14" t="inlineStr">
        <is>
          <t>▶ watch</t>
        </is>
      </c>
      <c r="M1130" s="10" t="inlineStr">
        <is>
          <t>Ferruz et al. 2022, Nat Commun 13:4348 (ProtGPT2) · Madani et al. 2023, Nat Biotechnol 41:1099 (ProGen)</t>
        </is>
      </c>
      <c r="N1130" s="14" t="inlineStr">
        <is>
          <t>read ↗</t>
        </is>
      </c>
      <c r="O1130" s="11" t="inlineStr">
        <is>
          <t>section reading (2 of 7)</t>
        </is>
      </c>
      <c r="P1130" s="10" t="inlineStr">
        <is>
          <t>2023</t>
        </is>
      </c>
    </row>
    <row r="1131">
      <c r="A1131" s="15" t="n">
        <v>1130</v>
      </c>
      <c r="B1131" s="15" t="inlineStr">
        <is>
          <t>Part II - The Method Atlas</t>
        </is>
      </c>
      <c r="C1131" s="16" t="inlineStr">
        <is>
          <t>Q.2 Generative protein language models</t>
        </is>
      </c>
      <c r="D1131" s="10" t="inlineStr">
        <is>
          <t>Template-based protein editing</t>
        </is>
      </c>
      <c r="E1131" s="10" t="inlineStr">
        <is>
          <t>Kapil Devkota, Duke (ML4PE</t>
        </is>
      </c>
      <c r="F1131" s="11" t="inlineStr">
        <is>
          <t>40:51</t>
        </is>
      </c>
      <c r="G1131" s="11" t="n">
        <v>0.68</v>
      </c>
      <c r="H1131" s="12" t="inlineStr"/>
      <c r="I1131" s="11" t="inlineStr">
        <is>
          <t>Not started</t>
        </is>
      </c>
      <c r="J1131" s="13" t="n"/>
      <c r="K1131" s="10" t="inlineStr"/>
      <c r="L1131" s="14" t="inlineStr">
        <is>
          <t>▶ watch</t>
        </is>
      </c>
      <c r="M1131" s="10" t="inlineStr">
        <is>
          <t>Ferruz et al. 2022, Nat Commun 13:4348 (ProtGPT2) · Madani et al. 2023, Nat Biotechnol 41:1099 (ProGen)</t>
        </is>
      </c>
      <c r="N1131" s="14" t="inlineStr">
        <is>
          <t>read ↗</t>
        </is>
      </c>
      <c r="O1131" s="11" t="inlineStr">
        <is>
          <t>section reading (2 of 7)</t>
        </is>
      </c>
      <c r="P1131" s="10" t="inlineStr">
        <is>
          <t>2024</t>
        </is>
      </c>
    </row>
    <row r="1132">
      <c r="A1132" s="15" t="n">
        <v>1131</v>
      </c>
      <c r="B1132" s="15" t="inlineStr">
        <is>
          <t>Part II - The Method Atlas</t>
        </is>
      </c>
      <c r="C1132" s="16" t="inlineStr">
        <is>
          <t>Q.2 Generative protein language models</t>
        </is>
      </c>
      <c r="D1132" s="10" t="inlineStr">
        <is>
          <t>Concept Bottleneck Language Models for Protein Design</t>
        </is>
      </c>
      <c r="E1132" s="10" t="inlineStr">
        <is>
          <t>Abdelsalam &amp; Frey (ML4PE</t>
        </is>
      </c>
      <c r="F1132" s="11" t="inlineStr">
        <is>
          <t>51:46</t>
        </is>
      </c>
      <c r="G1132" s="11" t="n">
        <v>0.86</v>
      </c>
      <c r="H1132" s="12" t="inlineStr"/>
      <c r="I1132" s="11" t="inlineStr">
        <is>
          <t>Not started</t>
        </is>
      </c>
      <c r="J1132" s="13" t="n"/>
      <c r="K1132" s="10" t="inlineStr"/>
      <c r="L1132" s="14" t="inlineStr">
        <is>
          <t>▶ watch</t>
        </is>
      </c>
      <c r="M1132" s="10" t="inlineStr">
        <is>
          <t>Ferruz et al. 2022, Nat Commun 13:4348 (ProtGPT2) · Madani et al. 2023, Nat Biotechnol 41:1099 (ProGen)</t>
        </is>
      </c>
      <c r="N1132" s="14" t="inlineStr">
        <is>
          <t>read ↗</t>
        </is>
      </c>
      <c r="O1132" s="11" t="inlineStr">
        <is>
          <t>section reading (2 of 7)</t>
        </is>
      </c>
      <c r="P1132" s="10" t="inlineStr">
        <is>
          <t>2025</t>
        </is>
      </c>
    </row>
    <row r="1133">
      <c r="A1133" s="15" t="n">
        <v>1132</v>
      </c>
      <c r="B1133" s="15" t="inlineStr">
        <is>
          <t>Part II - The Method Atlas</t>
        </is>
      </c>
      <c r="C1133" s="16" t="inlineStr">
        <is>
          <t>Q.2 Generative protein language models</t>
        </is>
      </c>
      <c r="D1133" s="10" t="inlineStr">
        <is>
          <t>Proteo-R1: Reasoning Foundation Models for De Novo Protein Design</t>
        </is>
      </c>
      <c r="E1133" s="10" t="inlineStr">
        <is>
          <t>Reasoning models</t>
        </is>
      </c>
      <c r="F1133" s="11" t="inlineStr">
        <is>
          <t>52:36</t>
        </is>
      </c>
      <c r="G1133" s="11" t="n">
        <v>0.88</v>
      </c>
      <c r="H1133" s="12" t="inlineStr"/>
      <c r="I1133" s="11" t="inlineStr">
        <is>
          <t>Not started</t>
        </is>
      </c>
      <c r="J1133" s="13" t="n"/>
      <c r="K1133" s="10" t="inlineStr"/>
      <c r="L1133" s="14" t="inlineStr">
        <is>
          <t>▶ watch</t>
        </is>
      </c>
      <c r="M1133" s="10" t="inlineStr">
        <is>
          <t>Ferruz et al. 2022, Nat Commun 13:4348 (ProtGPT2) · Madani et al. 2023, Nat Biotechnol 41:1099 (ProGen)</t>
        </is>
      </c>
      <c r="N1133" s="14" t="inlineStr">
        <is>
          <t>read ↗</t>
        </is>
      </c>
      <c r="O1133" s="11" t="inlineStr">
        <is>
          <t>section reading (2 of 7)</t>
        </is>
      </c>
      <c r="P1133" s="10" t="inlineStr">
        <is>
          <t>2026 - posted but not on the schedule page</t>
        </is>
      </c>
    </row>
    <row r="1134">
      <c r="A1134" s="15" t="n">
        <v>1133</v>
      </c>
      <c r="B1134" s="15" t="inlineStr">
        <is>
          <t>Part II - The Method Atlas</t>
        </is>
      </c>
      <c r="C1134" s="16" t="inlineStr">
        <is>
          <t>Q.2 Generative protein language models</t>
        </is>
      </c>
      <c r="D1134" s="10" t="inlineStr">
        <is>
          <t>Design of highly functional genome editors by modeling the universe of CRISPR-Cas sequences</t>
        </is>
      </c>
      <c r="E1134" s="10" t="inlineStr">
        <is>
          <t>The CRISPR case</t>
        </is>
      </c>
      <c r="F1134" s="11" t="inlineStr">
        <is>
          <t>1:00:14</t>
        </is>
      </c>
      <c r="G1134" s="11" t="n">
        <v>1</v>
      </c>
      <c r="H1134" s="12" t="inlineStr">
        <is>
          <t>★</t>
        </is>
      </c>
      <c r="I1134" s="11" t="inlineStr">
        <is>
          <t>Not started</t>
        </is>
      </c>
      <c r="J1134" s="13" t="n"/>
      <c r="K1134" s="10" t="inlineStr"/>
      <c r="L1134" s="14" t="inlineStr">
        <is>
          <t>▶ watch</t>
        </is>
      </c>
      <c r="M1134" s="10" t="inlineStr">
        <is>
          <t>Ferruz et al. 2022, Nat Commun 13:4348 (ProtGPT2) · Madani et al. 2023, Nat Biotechnol 41:1099 (ProGen)</t>
        </is>
      </c>
      <c r="N1134" s="14" t="inlineStr">
        <is>
          <t>read ↗</t>
        </is>
      </c>
      <c r="O1134" s="11" t="inlineStr">
        <is>
          <t>section reading (2 of 7)</t>
        </is>
      </c>
      <c r="P1134" s="10" t="inlineStr">
        <is>
          <t>2024</t>
        </is>
      </c>
    </row>
    <row r="1135">
      <c r="A1135" s="15" t="n">
        <v>1134</v>
      </c>
      <c r="B1135" s="15" t="inlineStr">
        <is>
          <t>Part II - The Method Atlas</t>
        </is>
      </c>
      <c r="C1135" s="16" t="inlineStr">
        <is>
          <t>Q.3 Fitness prediction and variant effects</t>
        </is>
      </c>
      <c r="D1135" s="10" t="inlineStr">
        <is>
          <t>Structure &amp;amp; fitness from genomic sequences</t>
        </is>
      </c>
      <c r="E1135" s="10" t="inlineStr">
        <is>
          <t>Debora Marks (Broad MIA</t>
        </is>
      </c>
      <c r="F1135" s="11" t="inlineStr">
        <is>
          <t>1:48:55</t>
        </is>
      </c>
      <c r="G1135" s="11" t="n">
        <v>1.82</v>
      </c>
      <c r="H1135" s="12" t="inlineStr">
        <is>
          <t>★</t>
        </is>
      </c>
      <c r="I1135" s="11" t="inlineStr">
        <is>
          <t>Not started</t>
        </is>
      </c>
      <c r="J1135" s="13" t="n"/>
      <c r="K1135" s="10" t="inlineStr"/>
      <c r="L1135" s="14" t="inlineStr">
        <is>
          <t>▶ watch</t>
        </is>
      </c>
      <c r="M1135" s="10" t="inlineStr">
        <is>
          <t>Hopf et al. 2017, Nat Biotechnol 35:128; Riesselman et al. 2018, Nat Methods 15:816</t>
        </is>
      </c>
      <c r="N1135" s="14" t="inlineStr">
        <is>
          <t>read ↗</t>
        </is>
      </c>
      <c r="O1135" s="11" t="inlineStr">
        <is>
          <t>paired reading</t>
        </is>
      </c>
      <c r="P1135" s="10" t="inlineStr">
        <is>
          <t>Proteins, structure, molecular design</t>
        </is>
      </c>
    </row>
    <row r="1136">
      <c r="A1136" s="15" t="n">
        <v>1135</v>
      </c>
      <c r="B1136" s="15" t="inlineStr">
        <is>
          <t>Part II - The Method Atlas</t>
        </is>
      </c>
      <c r="C1136" s="16" t="inlineStr">
        <is>
          <t>Q.3 Fitness prediction and variant effects</t>
        </is>
      </c>
      <c r="D1136" s="10" t="inlineStr">
        <is>
          <t>Alignment-free models for protein and antibody design</t>
        </is>
      </c>
      <c r="E1136" s="10" t="inlineStr">
        <is>
          <t>Marks &amp; Kollasch (Broad MIA</t>
        </is>
      </c>
      <c r="F1136" s="11" t="inlineStr">
        <is>
          <t>1:40:20</t>
        </is>
      </c>
      <c r="G1136" s="11" t="n">
        <v>1.67</v>
      </c>
      <c r="H1136" s="12" t="inlineStr"/>
      <c r="I1136" s="11" t="inlineStr">
        <is>
          <t>Not started</t>
        </is>
      </c>
      <c r="J1136" s="13" t="n"/>
      <c r="K1136" s="10" t="inlineStr"/>
      <c r="L1136" s="14" t="inlineStr">
        <is>
          <t>▶ watch</t>
        </is>
      </c>
      <c r="M1136" s="10" t="inlineStr">
        <is>
          <t>Riesselman et al. 2018, Nat Methods 15:816 (DeepSequence) · Frazer et al. 2021, Nature 599:91 (EVE)</t>
        </is>
      </c>
      <c r="N1136" s="14" t="inlineStr">
        <is>
          <t>read ↗</t>
        </is>
      </c>
      <c r="O1136" s="11" t="inlineStr">
        <is>
          <t>section reading (2 of 6)</t>
        </is>
      </c>
      <c r="P1136" s="10" t="inlineStr">
        <is>
          <t>Proteins, structure, molecular design</t>
        </is>
      </c>
    </row>
    <row r="1137">
      <c r="A1137" s="15" t="n">
        <v>1136</v>
      </c>
      <c r="B1137" s="15" t="inlineStr">
        <is>
          <t>Part II - The Method Atlas</t>
        </is>
      </c>
      <c r="C1137" s="16" t="inlineStr">
        <is>
          <t>Q.3 Fitness prediction and variant effects</t>
        </is>
      </c>
      <c r="D1137" s="10" t="inlineStr">
        <is>
          <t>Dias, Frazer &amp; Shin (Broad MIA</t>
        </is>
      </c>
      <c r="E1137" s="10" t="inlineStr">
        <is>
          <t>Variant interpretation</t>
        </is>
      </c>
      <c r="F1137" s="11" t="inlineStr">
        <is>
          <t>1:37:29</t>
        </is>
      </c>
      <c r="G1137" s="11" t="n">
        <v>1.62</v>
      </c>
      <c r="H1137" s="12" t="inlineStr"/>
      <c r="I1137" s="11" t="inlineStr">
        <is>
          <t>Not started</t>
        </is>
      </c>
      <c r="J1137" s="13" t="n"/>
      <c r="K1137" s="10" t="inlineStr"/>
      <c r="L1137" s="14" t="inlineStr">
        <is>
          <t>▶ watch</t>
        </is>
      </c>
      <c r="M1137" s="10" t="inlineStr">
        <is>
          <t>Riesselman et al. 2018, Nat Methods 15:816 (DeepSequence) · Frazer et al. 2021, Nature 599:91 (EVE)</t>
        </is>
      </c>
      <c r="N1137" s="14" t="inlineStr">
        <is>
          <t>read ↗</t>
        </is>
      </c>
      <c r="O1137" s="11" t="inlineStr">
        <is>
          <t>section reading (2 of 6)</t>
        </is>
      </c>
      <c r="P1137" s="10" t="inlineStr">
        <is>
          <t>Proteins, structure, molecular design</t>
        </is>
      </c>
    </row>
    <row r="1138">
      <c r="A1138" s="15" t="n">
        <v>1137</v>
      </c>
      <c r="B1138" s="15" t="inlineStr">
        <is>
          <t>Part II - The Method Atlas</t>
        </is>
      </c>
      <c r="C1138" s="16" t="inlineStr">
        <is>
          <t>Q.3 Fitness prediction and variant effects</t>
        </is>
      </c>
      <c r="D1138" s="10" t="inlineStr">
        <is>
          <t>Hybrid protein language models for fitness prediction</t>
        </is>
      </c>
      <c r="E1138" s="10" t="inlineStr">
        <is>
          <t>Pascal Notin (ML4PE</t>
        </is>
      </c>
      <c r="F1138" s="11" t="inlineStr">
        <is>
          <t>52:58</t>
        </is>
      </c>
      <c r="G1138" s="11" t="n">
        <v>0.88</v>
      </c>
      <c r="H1138" s="12" t="inlineStr">
        <is>
          <t>★</t>
        </is>
      </c>
      <c r="I1138" s="11" t="inlineStr">
        <is>
          <t>Not started</t>
        </is>
      </c>
      <c r="J1138" s="13" t="n"/>
      <c r="K1138" s="10" t="inlineStr"/>
      <c r="L1138" s="14" t="inlineStr">
        <is>
          <t>▶ watch</t>
        </is>
      </c>
      <c r="M1138" s="10" t="inlineStr">
        <is>
          <t>Riesselman et al. 2018, Nat Methods 15:816 (DeepSequence) · Frazer et al. 2021, Nature 599:91 (EVE)</t>
        </is>
      </c>
      <c r="N1138" s="14" t="inlineStr">
        <is>
          <t>read ↗</t>
        </is>
      </c>
      <c r="O1138" s="11" t="inlineStr">
        <is>
          <t>section reading (2 of 6)</t>
        </is>
      </c>
      <c r="P1138" s="10" t="inlineStr">
        <is>
          <t>2023</t>
        </is>
      </c>
    </row>
    <row r="1139">
      <c r="A1139" s="15" t="n">
        <v>1138</v>
      </c>
      <c r="B1139" s="15" t="inlineStr">
        <is>
          <t>Part II - The Method Atlas</t>
        </is>
      </c>
      <c r="C1139" s="16" t="inlineStr">
        <is>
          <t>Q.3 Fitness prediction and variant effects</t>
        </is>
      </c>
      <c r="D1139" s="10" t="inlineStr">
        <is>
          <t>Mutational Effect Transfer Learning for Protein Design</t>
        </is>
      </c>
      <c r="E1139" s="10" t="inlineStr">
        <is>
          <t>Sam Gelman (ML4PE</t>
        </is>
      </c>
      <c r="F1139" s="11" t="inlineStr">
        <is>
          <t>59:13</t>
        </is>
      </c>
      <c r="G1139" s="11" t="n">
        <v>0.99</v>
      </c>
      <c r="H1139" s="12" t="inlineStr"/>
      <c r="I1139" s="11" t="inlineStr">
        <is>
          <t>Not started</t>
        </is>
      </c>
      <c r="J1139" s="13" t="n"/>
      <c r="K1139" s="10" t="inlineStr"/>
      <c r="L1139" s="14" t="inlineStr">
        <is>
          <t>▶ watch</t>
        </is>
      </c>
      <c r="M1139" s="10" t="inlineStr">
        <is>
          <t>Riesselman et al. 2018, Nat Methods 15:816 (DeepSequence) · Frazer et al. 2021, Nature 599:91 (EVE)</t>
        </is>
      </c>
      <c r="N1139" s="14" t="inlineStr">
        <is>
          <t>read ↗</t>
        </is>
      </c>
      <c r="O1139" s="11" t="inlineStr">
        <is>
          <t>section reading (2 of 6)</t>
        </is>
      </c>
      <c r="P1139" s="10" t="inlineStr">
        <is>
          <t>2023</t>
        </is>
      </c>
    </row>
    <row r="1140">
      <c r="A1140" s="15" t="n">
        <v>1139</v>
      </c>
      <c r="B1140" s="15" t="inlineStr">
        <is>
          <t>Part II - The Method Atlas</t>
        </is>
      </c>
      <c r="C1140" s="16" t="inlineStr">
        <is>
          <t>Q.3 Fitness prediction and variant effects</t>
        </is>
      </c>
      <c r="D1140" s="10" t="inlineStr">
        <is>
          <t>Learning Protein Fitness Models from Evolutionary and Experimental Data</t>
        </is>
      </c>
      <c r="E1140" s="10" t="inlineStr">
        <is>
          <t>Chloe Hsu (ML4PE</t>
        </is>
      </c>
      <c r="F1140" s="11" t="inlineStr">
        <is>
          <t>56:51</t>
        </is>
      </c>
      <c r="G1140" s="11" t="n">
        <v>0.95</v>
      </c>
      <c r="H1140" s="12" t="inlineStr"/>
      <c r="I1140" s="11" t="inlineStr">
        <is>
          <t>Not started</t>
        </is>
      </c>
      <c r="J1140" s="13" t="n"/>
      <c r="K1140" s="10" t="inlineStr"/>
      <c r="L1140" s="14" t="inlineStr">
        <is>
          <t>▶ watch</t>
        </is>
      </c>
      <c r="M1140" s="10" t="inlineStr">
        <is>
          <t>Riesselman et al. 2018, Nat Methods 15:816 (DeepSequence) · Frazer et al. 2021, Nature 599:91 (EVE)</t>
        </is>
      </c>
      <c r="N1140" s="14" t="inlineStr">
        <is>
          <t>read ↗</t>
        </is>
      </c>
      <c r="O1140" s="11" t="inlineStr">
        <is>
          <t>section reading (2 of 6)</t>
        </is>
      </c>
      <c r="P1140" s="10" t="inlineStr">
        <is>
          <t>2022</t>
        </is>
      </c>
    </row>
    <row r="1141">
      <c r="A1141" s="15" t="n">
        <v>1140</v>
      </c>
      <c r="B1141" s="15" t="inlineStr">
        <is>
          <t>Part II - The Method Atlas</t>
        </is>
      </c>
      <c r="C1141" s="16" t="inlineStr">
        <is>
          <t>Q.3 Fitness prediction and variant effects</t>
        </is>
      </c>
      <c r="D1141" s="10" t="inlineStr">
        <is>
          <t>Rapid protein evolution by few-shot learning with a PLM</t>
        </is>
      </c>
      <c r="E1141" s="10" t="inlineStr">
        <is>
          <t>Kaiyi Jiang, MIT (ML4PE</t>
        </is>
      </c>
      <c r="F1141" s="11" t="inlineStr">
        <is>
          <t>58:18</t>
        </is>
      </c>
      <c r="G1141" s="11" t="n">
        <v>0.97</v>
      </c>
      <c r="H1141" s="12" t="inlineStr"/>
      <c r="I1141" s="11" t="inlineStr">
        <is>
          <t>Not started</t>
        </is>
      </c>
      <c r="J1141" s="13" t="n"/>
      <c r="K1141" s="10" t="inlineStr"/>
      <c r="L1141" s="14" t="inlineStr">
        <is>
          <t>▶ watch</t>
        </is>
      </c>
      <c r="M1141" s="10" t="inlineStr">
        <is>
          <t>Riesselman et al. 2018, Nat Methods 15:816 (DeepSequence) · Frazer et al. 2021, Nature 599:91 (EVE)</t>
        </is>
      </c>
      <c r="N1141" s="14" t="inlineStr">
        <is>
          <t>read ↗</t>
        </is>
      </c>
      <c r="O1141" s="11" t="inlineStr">
        <is>
          <t>section reading (2 of 6)</t>
        </is>
      </c>
      <c r="P1141" s="10" t="inlineStr">
        <is>
          <t>2024</t>
        </is>
      </c>
    </row>
    <row r="1142">
      <c r="A1142" s="15" t="n">
        <v>1141</v>
      </c>
      <c r="B1142" s="15" t="inlineStr">
        <is>
          <t>Part II - The Method Atlas</t>
        </is>
      </c>
      <c r="C1142" s="16" t="inlineStr">
        <is>
          <t>Q.3 Fitness prediction and variant effects</t>
        </is>
      </c>
      <c r="D1142" s="10" t="inlineStr">
        <is>
          <t>Site-wise mutation effects enable combinatorial protein variant design</t>
        </is>
      </c>
      <c r="E1142" s="10" t="inlineStr">
        <is>
          <t>David Ding (ML4PE</t>
        </is>
      </c>
      <c r="F1142" s="11" t="inlineStr">
        <is>
          <t>51:49</t>
        </is>
      </c>
      <c r="G1142" s="11" t="n">
        <v>0.86</v>
      </c>
      <c r="H1142" s="12" t="inlineStr"/>
      <c r="I1142" s="11" t="inlineStr">
        <is>
          <t>Not started</t>
        </is>
      </c>
      <c r="J1142" s="13" t="n"/>
      <c r="K1142" s="10" t="inlineStr"/>
      <c r="L1142" s="14" t="inlineStr">
        <is>
          <t>▶ watch</t>
        </is>
      </c>
      <c r="M1142" s="10" t="inlineStr">
        <is>
          <t>Riesselman et al. 2018, Nat Methods 15:816 (DeepSequence) · Frazer et al. 2021, Nature 599:91 (EVE)</t>
        </is>
      </c>
      <c r="N1142" s="14" t="inlineStr">
        <is>
          <t>read ↗</t>
        </is>
      </c>
      <c r="O1142" s="11" t="inlineStr">
        <is>
          <t>section reading (2 of 6)</t>
        </is>
      </c>
      <c r="P1142" s="10" t="inlineStr">
        <is>
          <t>2023</t>
        </is>
      </c>
    </row>
    <row r="1143">
      <c r="A1143" s="15" t="n">
        <v>1142</v>
      </c>
      <c r="B1143" s="15" t="inlineStr">
        <is>
          <t>Part II - The Method Atlas</t>
        </is>
      </c>
      <c r="C1143" s="16" t="inlineStr">
        <is>
          <t>Q.3 Fitness prediction and variant effects</t>
        </is>
      </c>
      <c r="D1143" s="10" t="inlineStr">
        <is>
          <t>Jun Cheng, DeepMind (Broad MIA</t>
        </is>
      </c>
      <c r="E1143" s="10" t="inlineStr">
        <is>
          <t>AlphaMissense</t>
        </is>
      </c>
      <c r="F1143" s="11" t="inlineStr">
        <is>
          <t>1:22:31</t>
        </is>
      </c>
      <c r="G1143" s="11" t="n">
        <v>1.38</v>
      </c>
      <c r="H1143" s="12" t="inlineStr">
        <is>
          <t>★</t>
        </is>
      </c>
      <c r="I1143" s="11" t="inlineStr">
        <is>
          <t>Not started</t>
        </is>
      </c>
      <c r="J1143" s="13" t="n"/>
      <c r="K1143" s="10" t="inlineStr"/>
      <c r="L1143" s="14" t="inlineStr">
        <is>
          <t>▶ watch</t>
        </is>
      </c>
      <c r="M1143" s="10" t="inlineStr">
        <is>
          <t>Cheng et al. 2023, Science 381:eadg7492 (AlphaMissense)</t>
        </is>
      </c>
      <c r="N1143" s="14" t="inlineStr">
        <is>
          <t>read ↗</t>
        </is>
      </c>
      <c r="O1143" s="11" t="inlineStr">
        <is>
          <t>names ALPHAMISSENSE</t>
        </is>
      </c>
      <c r="P1143" s="10" t="inlineStr">
        <is>
          <t>Proteins, structure, molecular design</t>
        </is>
      </c>
    </row>
    <row r="1144">
      <c r="A1144" s="15" t="n">
        <v>1143</v>
      </c>
      <c r="B1144" s="15" t="inlineStr">
        <is>
          <t>Part II - The Method Atlas</t>
        </is>
      </c>
      <c r="C1144" s="16" t="inlineStr">
        <is>
          <t>Q.3 Fitness prediction and variant effects</t>
        </is>
      </c>
      <c r="D1144" s="10" t="inlineStr">
        <is>
          <t>Engineering Proteins with 3D Convolutional Neural Networks</t>
        </is>
      </c>
      <c r="E1144" s="10" t="inlineStr">
        <is>
          <t>Danny Diaz, UT Austin (ML4PE</t>
        </is>
      </c>
      <c r="F1144" s="11" t="inlineStr">
        <is>
          <t>1:12:19</t>
        </is>
      </c>
      <c r="G1144" s="11" t="n">
        <v>1.21</v>
      </c>
      <c r="H1144" s="12" t="inlineStr"/>
      <c r="I1144" s="11" t="inlineStr">
        <is>
          <t>Not started</t>
        </is>
      </c>
      <c r="J1144" s="13" t="n"/>
      <c r="K1144" s="10" t="inlineStr"/>
      <c r="L1144" s="14" t="inlineStr">
        <is>
          <t>▶ watch</t>
        </is>
      </c>
      <c r="M1144" s="10" t="inlineStr">
        <is>
          <t>Riesselman et al. 2018, Nat Methods 15:816 (DeepSequence) · Frazer et al. 2021, Nature 599:91 (EVE)</t>
        </is>
      </c>
      <c r="N1144" s="14" t="inlineStr">
        <is>
          <t>read ↗</t>
        </is>
      </c>
      <c r="O1144" s="11" t="inlineStr">
        <is>
          <t>section reading (2 of 6)</t>
        </is>
      </c>
      <c r="P1144" s="10" t="inlineStr">
        <is>
          <t>2022</t>
        </is>
      </c>
    </row>
    <row r="1145">
      <c r="A1145" s="15" t="n">
        <v>1144</v>
      </c>
      <c r="B1145" s="15" t="inlineStr">
        <is>
          <t>Part II - The Method Atlas</t>
        </is>
      </c>
      <c r="C1145" s="16" t="inlineStr">
        <is>
          <t>Q.3 Fitness prediction and variant effects</t>
        </is>
      </c>
      <c r="D1145" s="10" t="inlineStr">
        <is>
          <t>Conformal prediction under feedback covariate shift for biomolecular design</t>
        </is>
      </c>
      <c r="E1145" s="10" t="inlineStr">
        <is>
          <t>Clara Wong-Fannjiang (ML4PE</t>
        </is>
      </c>
      <c r="F1145" s="11" t="inlineStr">
        <is>
          <t>58:45</t>
        </is>
      </c>
      <c r="G1145" s="11" t="n">
        <v>0.98</v>
      </c>
      <c r="H1145" s="12" t="inlineStr">
        <is>
          <t>★</t>
        </is>
      </c>
      <c r="I1145" s="11" t="inlineStr">
        <is>
          <t>Not started</t>
        </is>
      </c>
      <c r="J1145" s="13" t="n"/>
      <c r="K1145" s="10" t="inlineStr"/>
      <c r="L1145" s="14" t="inlineStr">
        <is>
          <t>▶ watch</t>
        </is>
      </c>
      <c r="M1145" s="10" t="inlineStr">
        <is>
          <t>Riesselman et al. 2018, Nat Methods 15:816 (DeepSequence) · Frazer et al. 2021, Nature 599:91 (EVE)</t>
        </is>
      </c>
      <c r="N1145" s="14" t="inlineStr">
        <is>
          <t>read ↗</t>
        </is>
      </c>
      <c r="O1145" s="11" t="inlineStr">
        <is>
          <t>section reading (2 of 6)</t>
        </is>
      </c>
      <c r="P1145" s="10" t="inlineStr">
        <is>
          <t>2022; S.3 Statistics and experimental design</t>
        </is>
      </c>
    </row>
    <row r="1146">
      <c r="A1146" s="15" t="n">
        <v>1145</v>
      </c>
      <c r="B1146" s="15" t="inlineStr">
        <is>
          <t>Part II - The Method Atlas</t>
        </is>
      </c>
      <c r="C1146" s="16" t="inlineStr">
        <is>
          <t>Q.3 Fitness prediction and variant effects</t>
        </is>
      </c>
      <c r="D1146" s="10" t="inlineStr">
        <is>
          <t>Beyond the training set: detecting distribution shift</t>
        </is>
      </c>
      <c r="E1146" s="10" t="inlineStr">
        <is>
          <t>Farhan Damani (MLCB 2023</t>
        </is>
      </c>
      <c r="F1146" s="11" t="inlineStr">
        <is>
          <t>24:14</t>
        </is>
      </c>
      <c r="G1146" s="11" t="n">
        <v>0.4</v>
      </c>
      <c r="H1146" s="12" t="inlineStr">
        <is>
          <t>★</t>
        </is>
      </c>
      <c r="I1146" s="11" t="inlineStr">
        <is>
          <t>Not started</t>
        </is>
      </c>
      <c r="J1146" s="13" t="n"/>
      <c r="K1146" s="10" t="inlineStr"/>
      <c r="L1146" s="14" t="inlineStr">
        <is>
          <t>▶ watch</t>
        </is>
      </c>
      <c r="M1146" s="10" t="inlineStr">
        <is>
          <t>Riesselman et al. 2018, Nat Methods 15:816 (DeepSequence) · Frazer et al. 2021, Nature 599:91 (EVE)</t>
        </is>
      </c>
      <c r="N1146" s="14" t="inlineStr">
        <is>
          <t>read ↗</t>
        </is>
      </c>
      <c r="O1146" s="11" t="inlineStr">
        <is>
          <t>section reading (2 of 6)</t>
        </is>
      </c>
      <c r="P1146" s="10" t="inlineStr">
        <is>
          <t>MLCB 2023 - selected full talks; S.3 Statistics and experimental design</t>
        </is>
      </c>
    </row>
    <row r="1147">
      <c r="A1147" s="15" t="n">
        <v>1146</v>
      </c>
      <c r="B1147" s="15" t="inlineStr">
        <is>
          <t>Part II - The Method Atlas</t>
        </is>
      </c>
      <c r="C1147" s="16" t="inlineStr">
        <is>
          <t>Q.3 Fitness prediction and variant effects</t>
        </is>
      </c>
      <c r="D1147" s="10" t="inlineStr">
        <is>
          <t>Bayesian Optimization of Antibodies Informed by a Generative Model of Evolving Sequences</t>
        </is>
      </c>
      <c r="E1147" s="10" t="inlineStr">
        <is>
          <t>Alan Amin, NYU (ML4PE</t>
        </is>
      </c>
      <c r="F1147" s="11" t="inlineStr">
        <is>
          <t>39:53</t>
        </is>
      </c>
      <c r="G1147" s="11" t="n">
        <v>0.66</v>
      </c>
      <c r="H1147" s="12" t="inlineStr"/>
      <c r="I1147" s="11" t="inlineStr">
        <is>
          <t>Not started</t>
        </is>
      </c>
      <c r="J1147" s="13" t="n"/>
      <c r="K1147" s="10" t="inlineStr"/>
      <c r="L1147" s="14" t="inlineStr">
        <is>
          <t>▶ watch</t>
        </is>
      </c>
      <c r="M1147" s="10" t="inlineStr">
        <is>
          <t>Riesselman et al. 2018, Nat Methods 15:816 (DeepSequence) · Frazer et al. 2021, Nature 599:91 (EVE)</t>
        </is>
      </c>
      <c r="N1147" s="14" t="inlineStr">
        <is>
          <t>read ↗</t>
        </is>
      </c>
      <c r="O1147" s="11" t="inlineStr">
        <is>
          <t>section reading (2 of 6)</t>
        </is>
      </c>
      <c r="P1147" s="10" t="inlineStr">
        <is>
          <t>2025</t>
        </is>
      </c>
    </row>
    <row r="1148">
      <c r="A1148" s="15" t="n">
        <v>1147</v>
      </c>
      <c r="B1148" s="15" t="inlineStr">
        <is>
          <t>Part II - The Method Atlas</t>
        </is>
      </c>
      <c r="C1148" s="16" t="inlineStr">
        <is>
          <t>Q.3 Fitness prediction and variant effects</t>
        </is>
      </c>
      <c r="D1148" s="10" t="inlineStr">
        <is>
          <t>Pre-trained Ensembles for Bayesian Optimization of Protein Sequences</t>
        </is>
      </c>
      <c r="E1148" s="10" t="inlineStr">
        <is>
          <t>Ziyue Yang (Valence</t>
        </is>
      </c>
      <c r="F1148" s="11" t="inlineStr">
        <is>
          <t>49:01</t>
        </is>
      </c>
      <c r="G1148" s="11" t="n">
        <v>0.82</v>
      </c>
      <c r="H1148" s="12" t="inlineStr"/>
      <c r="I1148" s="11" t="inlineStr">
        <is>
          <t>Not started</t>
        </is>
      </c>
      <c r="J1148" s="13" t="n"/>
      <c r="K1148" s="10" t="inlineStr"/>
      <c r="L1148" s="14" t="inlineStr">
        <is>
          <t>▶ watch</t>
        </is>
      </c>
      <c r="M1148" s="10" t="inlineStr">
        <is>
          <t>Riesselman et al. 2018, Nat Methods 15:816 (DeepSequence) · Frazer et al. 2021, Nature 599:91 (EVE)</t>
        </is>
      </c>
      <c r="N1148" s="14" t="inlineStr">
        <is>
          <t>read ↗</t>
        </is>
      </c>
      <c r="O1148" s="11" t="inlineStr">
        <is>
          <t>section reading (2 of 6)</t>
        </is>
      </c>
      <c r="P1148" s="10" t="inlineStr">
        <is>
          <t>Docking, chemistry and generative molecular design</t>
        </is>
      </c>
    </row>
    <row r="1149">
      <c r="A1149" s="15" t="n">
        <v>1148</v>
      </c>
      <c r="B1149" s="15" t="inlineStr">
        <is>
          <t>Part II - The Method Atlas</t>
        </is>
      </c>
      <c r="C1149" s="16" t="inlineStr">
        <is>
          <t>Q.4 Interpretability of protein models</t>
        </is>
      </c>
      <c r="D1149" s="10" t="inlineStr">
        <is>
          <t>InterPLM: Discovering Interpretable Features in PLMs via Sparse Autoencoders</t>
        </is>
      </c>
      <c r="E1149" s="10" t="inlineStr">
        <is>
          <t>Elana Simon, Stanford (ML4PE</t>
        </is>
      </c>
      <c r="F1149" s="11" t="inlineStr">
        <is>
          <t>59:42</t>
        </is>
      </c>
      <c r="G1149" s="11" t="n">
        <v>0.99</v>
      </c>
      <c r="H1149" s="12" t="inlineStr">
        <is>
          <t>★</t>
        </is>
      </c>
      <c r="I1149" s="11" t="inlineStr">
        <is>
          <t>Not started</t>
        </is>
      </c>
      <c r="J1149" s="13" t="n"/>
      <c r="K1149" s="10" t="inlineStr"/>
      <c r="L1149" s="14" t="inlineStr">
        <is>
          <t>▶ watch</t>
        </is>
      </c>
      <c r="M1149" s="10" t="inlineStr">
        <is>
          <t>Simon &amp; Zou 2024, bioRxiv (InterPLM)</t>
        </is>
      </c>
      <c r="N1149" s="14" t="inlineStr">
        <is>
          <t>read ↗</t>
        </is>
      </c>
      <c r="O1149" s="11" t="inlineStr">
        <is>
          <t>names INTERPLM</t>
        </is>
      </c>
      <c r="P1149" s="10" t="inlineStr">
        <is>
          <t>2025</t>
        </is>
      </c>
    </row>
    <row r="1150">
      <c r="A1150" s="15" t="n">
        <v>1149</v>
      </c>
      <c r="B1150" s="15" t="inlineStr">
        <is>
          <t>Part II - The Method Atlas</t>
        </is>
      </c>
      <c r="C1150" s="16" t="inlineStr">
        <is>
          <t>Q.4 Interpretability of protein models</t>
        </is>
      </c>
      <c r="D1150" s="10" t="inlineStr">
        <is>
          <t>Decomposing protein and genomic language models to understand what they learn</t>
        </is>
      </c>
      <c r="E1150" s="10" t="inlineStr">
        <is>
          <t>Sergey Ovchinnikov (MLCB 2024</t>
        </is>
      </c>
      <c r="F1150" s="11" t="inlineStr">
        <is>
          <t>56:09</t>
        </is>
      </c>
      <c r="G1150" s="11" t="n">
        <v>0.9399999999999999</v>
      </c>
      <c r="H1150" s="12" t="inlineStr">
        <is>
          <t>★</t>
        </is>
      </c>
      <c r="I1150" s="11" t="inlineStr">
        <is>
          <t>Not started</t>
        </is>
      </c>
      <c r="J1150" s="13" t="n"/>
      <c r="K1150" s="10" t="inlineStr"/>
      <c r="L1150" s="14" t="inlineStr">
        <is>
          <t>▶ watch</t>
        </is>
      </c>
      <c r="M1150" s="10" t="inlineStr">
        <is>
          <t>Simon &amp; Zou 2024, bioRxiv (InterPLM) · Rao et al. 2021, ICML (MSA Transformer)</t>
        </is>
      </c>
      <c r="N1150" s="14" t="inlineStr">
        <is>
          <t>read ↗</t>
        </is>
      </c>
      <c r="O1150" s="11" t="inlineStr">
        <is>
          <t>section reading (2 of 4)</t>
        </is>
      </c>
      <c r="P1150" s="10" t="inlineStr">
        <is>
          <t>MLCB 2024 - the protein and genomics core</t>
        </is>
      </c>
    </row>
    <row r="1151">
      <c r="A1151" s="15" t="n">
        <v>1150</v>
      </c>
      <c r="B1151" s="15" t="inlineStr">
        <is>
          <t>Part II - The Method Atlas</t>
        </is>
      </c>
      <c r="C1151" s="16" t="inlineStr">
        <is>
          <t>Q.4 Interpretability of protein models</t>
        </is>
      </c>
      <c r="D1151" s="10" t="inlineStr">
        <is>
          <t>Small But Mighty: What an LSTM Reveals About Protein Design and About ML</t>
        </is>
      </c>
      <c r="E1151" s="10" t="inlineStr">
        <is>
          <t>Joanna Slusky (BPDMC</t>
        </is>
      </c>
      <c r="F1151" s="11" t="inlineStr">
        <is>
          <t>1:14:04</t>
        </is>
      </c>
      <c r="G1151" s="11" t="n">
        <v>1.23</v>
      </c>
      <c r="H1151" s="12" t="inlineStr">
        <is>
          <t>★</t>
        </is>
      </c>
      <c r="I1151" s="11" t="inlineStr">
        <is>
          <t>Not started</t>
        </is>
      </c>
      <c r="J1151" s="13" t="n"/>
      <c r="K1151" s="10" t="inlineStr"/>
      <c r="L1151" s="14" t="inlineStr">
        <is>
          <t>▶ watch</t>
        </is>
      </c>
      <c r="M1151" s="10" t="inlineStr">
        <is>
          <t>Simon &amp; Zou 2024, bioRxiv (InterPLM) · Rao et al. 2021, ICML (MSA Transformer)</t>
        </is>
      </c>
      <c r="N1151" s="14" t="inlineStr">
        <is>
          <t>read ↗</t>
        </is>
      </c>
      <c r="O1151" s="11" t="inlineStr">
        <is>
          <t>section reading (2 of 4)</t>
        </is>
      </c>
      <c r="P1151" s="10" t="inlineStr">
        <is>
          <t>2024</t>
        </is>
      </c>
    </row>
    <row r="1152">
      <c r="A1152" s="15" t="n">
        <v>1151</v>
      </c>
      <c r="B1152" s="15" t="inlineStr">
        <is>
          <t>Part II - The Method Atlas</t>
        </is>
      </c>
      <c r="C1152" s="16" t="inlineStr">
        <is>
          <t>Q.4 Interpretability of protein models</t>
        </is>
      </c>
      <c r="D1152" s="10" t="inlineStr">
        <is>
          <t>Towards biophysically interpretable sequence models</t>
        </is>
      </c>
      <c r="E1152" s="10" t="inlineStr">
        <is>
          <t>Maria Chikina (MLCB 2024</t>
        </is>
      </c>
      <c r="F1152" s="11" t="inlineStr">
        <is>
          <t>51:41</t>
        </is>
      </c>
      <c r="G1152" s="11" t="n">
        <v>0.86</v>
      </c>
      <c r="H1152" s="12" t="inlineStr">
        <is>
          <t>★</t>
        </is>
      </c>
      <c r="I1152" s="11" t="inlineStr">
        <is>
          <t>Not started</t>
        </is>
      </c>
      <c r="J1152" s="13" t="n"/>
      <c r="K1152" s="10" t="inlineStr"/>
      <c r="L1152" s="14" t="inlineStr">
        <is>
          <t>▶ watch</t>
        </is>
      </c>
      <c r="M1152" s="10" t="inlineStr">
        <is>
          <t>Simon &amp; Zou 2024, bioRxiv (InterPLM) · Rao et al. 2021, ICML (MSA Transformer)</t>
        </is>
      </c>
      <c r="N1152" s="14" t="inlineStr">
        <is>
          <t>read ↗</t>
        </is>
      </c>
      <c r="O1152" s="11" t="inlineStr">
        <is>
          <t>section reading (2 of 4)</t>
        </is>
      </c>
      <c r="P1152" s="10" t="inlineStr">
        <is>
          <t>MLCB 2024 - the protein and genomics core</t>
        </is>
      </c>
    </row>
    <row r="1153">
      <c r="A1153" s="15" t="n">
        <v>1152</v>
      </c>
      <c r="B1153" s="15" t="inlineStr">
        <is>
          <t>Part II - The Method Atlas</t>
        </is>
      </c>
      <c r="C1153" s="16" t="inlineStr">
        <is>
          <t>Q.4 Interpretability of protein models</t>
        </is>
      </c>
      <c r="D1153" s="10" t="inlineStr">
        <is>
          <t>Singular value decomposition of protein sequences</t>
        </is>
      </c>
      <c r="E1153" s="10" t="inlineStr">
        <is>
          <t>Gina El Nesr (ML4PE</t>
        </is>
      </c>
      <c r="F1153" s="11" t="inlineStr">
        <is>
          <t>36:17</t>
        </is>
      </c>
      <c r="G1153" s="11" t="n">
        <v>0.6</v>
      </c>
      <c r="H1153" s="12" t="inlineStr"/>
      <c r="I1153" s="11" t="inlineStr">
        <is>
          <t>Not started</t>
        </is>
      </c>
      <c r="J1153" s="13" t="n"/>
      <c r="K1153" s="10" t="inlineStr"/>
      <c r="L1153" s="14" t="inlineStr">
        <is>
          <t>▶ watch</t>
        </is>
      </c>
      <c r="M1153" s="10" t="inlineStr">
        <is>
          <t>Simon &amp; Zou 2024, bioRxiv (InterPLM) · Rao et al. 2021, ICML (MSA Transformer)</t>
        </is>
      </c>
      <c r="N1153" s="14" t="inlineStr">
        <is>
          <t>read ↗</t>
        </is>
      </c>
      <c r="O1153" s="11" t="inlineStr">
        <is>
          <t>section reading (2 of 4)</t>
        </is>
      </c>
      <c r="P1153" s="10" t="inlineStr">
        <is>
          <t>2023</t>
        </is>
      </c>
    </row>
    <row r="1154">
      <c r="A1154" s="15" t="n">
        <v>1153</v>
      </c>
      <c r="B1154" s="15" t="inlineStr">
        <is>
          <t>Part II - The Method Atlas</t>
        </is>
      </c>
      <c r="C1154" s="16" t="inlineStr">
        <is>
          <t>Q.4 Interpretability of protein models</t>
        </is>
      </c>
      <c r="D1154" s="10" t="inlineStr">
        <is>
          <t>Jointly Embedding Protein Structures and Sequences through Residue Level Alignment</t>
        </is>
      </c>
      <c r="E1154" s="10" t="inlineStr">
        <is>
          <t>Foster Birnbaum (BPDMC</t>
        </is>
      </c>
      <c r="F1154" s="11" t="inlineStr">
        <is>
          <t>1:05:21</t>
        </is>
      </c>
      <c r="G1154" s="11" t="n">
        <v>1.09</v>
      </c>
      <c r="H1154" s="12" t="inlineStr"/>
      <c r="I1154" s="11" t="inlineStr">
        <is>
          <t>Not started</t>
        </is>
      </c>
      <c r="J1154" s="13" t="n"/>
      <c r="K1154" s="10" t="inlineStr"/>
      <c r="L1154" s="14" t="inlineStr">
        <is>
          <t>▶ watch</t>
        </is>
      </c>
      <c r="M1154" s="10" t="inlineStr">
        <is>
          <t>Simon &amp; Zou 2024, bioRxiv (InterPLM) · Rao et al. 2021, ICML (MSA Transformer)</t>
        </is>
      </c>
      <c r="N1154" s="14" t="inlineStr">
        <is>
          <t>read ↗</t>
        </is>
      </c>
      <c r="O1154" s="11" t="inlineStr">
        <is>
          <t>section reading (2 of 4)</t>
        </is>
      </c>
      <c r="P1154" s="10" t="inlineStr">
        <is>
          <t>2024</t>
        </is>
      </c>
    </row>
    <row r="1155">
      <c r="A1155" s="15" t="n">
        <v>1154</v>
      </c>
      <c r="B1155" s="15" t="inlineStr">
        <is>
          <t>Part II - The Method Atlas</t>
        </is>
      </c>
      <c r="C1155" s="16" t="inlineStr">
        <is>
          <t>Q.4 Interpretability of protein models</t>
        </is>
      </c>
      <c r="D1155" s="10" t="inlineStr">
        <is>
          <t>Adaptive Protein Tokenization</t>
        </is>
      </c>
      <c r="E1155" s="10" t="inlineStr">
        <is>
          <t>Rohit Dilip, Caltech (Valence</t>
        </is>
      </c>
      <c r="F1155" s="11" t="inlineStr">
        <is>
          <t>1:00:04</t>
        </is>
      </c>
      <c r="G1155" s="11" t="n">
        <v>1</v>
      </c>
      <c r="H1155" s="12" t="inlineStr"/>
      <c r="I1155" s="11" t="inlineStr">
        <is>
          <t>Not started</t>
        </is>
      </c>
      <c r="J1155" s="13" t="n"/>
      <c r="K1155" s="10" t="inlineStr"/>
      <c r="L1155" s="14" t="inlineStr">
        <is>
          <t>▶ watch</t>
        </is>
      </c>
      <c r="M1155" s="10" t="inlineStr">
        <is>
          <t>Simon &amp; Zou 2024, bioRxiv (InterPLM) · Rao et al. 2021, ICML (MSA Transformer)</t>
        </is>
      </c>
      <c r="N1155" s="14" t="inlineStr">
        <is>
          <t>read ↗</t>
        </is>
      </c>
      <c r="O1155" s="11" t="inlineStr">
        <is>
          <t>section reading (2 of 4)</t>
        </is>
      </c>
      <c r="P1155" s="10" t="inlineStr">
        <is>
          <t>Structure prediction, design and biomolecular foundation models</t>
        </is>
      </c>
    </row>
    <row r="1156">
      <c r="A1156" s="15" t="n">
        <v>1155</v>
      </c>
      <c r="B1156" s="15" t="inlineStr">
        <is>
          <t>Part II - The Method Atlas</t>
        </is>
      </c>
      <c r="C1156" s="16" t="inlineStr">
        <is>
          <t>Q.4 Interpretability of protein models</t>
        </is>
      </c>
      <c r="D1156" s="10" t="inlineStr">
        <is>
          <t>CHEAP: Tokenized and Continuous Embedding Compressions</t>
        </is>
      </c>
      <c r="E1156" s="10" t="inlineStr">
        <is>
          <t>Amy Lu, Berkeley (Valence</t>
        </is>
      </c>
      <c r="F1156" s="11" t="inlineStr">
        <is>
          <t>1:27:22</t>
        </is>
      </c>
      <c r="G1156" s="11" t="n">
        <v>1.46</v>
      </c>
      <c r="H1156" s="12" t="inlineStr"/>
      <c r="I1156" s="11" t="inlineStr">
        <is>
          <t>Not started</t>
        </is>
      </c>
      <c r="J1156" s="13" t="n"/>
      <c r="K1156" s="10" t="inlineStr"/>
      <c r="L1156" s="14" t="inlineStr">
        <is>
          <t>▶ watch</t>
        </is>
      </c>
      <c r="M1156" s="10" t="inlineStr">
        <is>
          <t>Simon &amp; Zou 2024, bioRxiv (InterPLM) · Rao et al. 2021, ICML (MSA Transformer)</t>
        </is>
      </c>
      <c r="N1156" s="14" t="inlineStr">
        <is>
          <t>read ↗</t>
        </is>
      </c>
      <c r="O1156" s="11" t="inlineStr">
        <is>
          <t>section reading (2 of 4)</t>
        </is>
      </c>
      <c r="P1156" s="10" t="inlineStr">
        <is>
          <t>Structure prediction, design and biomolecular foundation models</t>
        </is>
      </c>
    </row>
    <row r="1157">
      <c r="A1157" s="15" t="n">
        <v>1156</v>
      </c>
      <c r="B1157" s="15" t="inlineStr">
        <is>
          <t>Part II - The Method Atlas</t>
        </is>
      </c>
      <c r="C1157" s="16" t="inlineStr">
        <is>
          <t>Q.4 Interpretability of protein models</t>
        </is>
      </c>
      <c r="D1157" s="10" t="inlineStr">
        <is>
          <t>The Continuous Language of Protein Structure</t>
        </is>
      </c>
      <c r="E1157" s="10" t="inlineStr">
        <is>
          <t>Ben Murrell, Karolinska (Valence</t>
        </is>
      </c>
      <c r="F1157" s="11" t="inlineStr">
        <is>
          <t>55:56</t>
        </is>
      </c>
      <c r="G1157" s="11" t="n">
        <v>0.93</v>
      </c>
      <c r="H1157" s="12" t="inlineStr"/>
      <c r="I1157" s="11" t="inlineStr">
        <is>
          <t>Not started</t>
        </is>
      </c>
      <c r="J1157" s="13" t="n"/>
      <c r="K1157" s="10" t="inlineStr"/>
      <c r="L1157" s="14" t="inlineStr">
        <is>
          <t>▶ watch</t>
        </is>
      </c>
      <c r="M1157" s="10" t="inlineStr">
        <is>
          <t>Simon &amp; Zou 2024, bioRxiv (InterPLM) · Rao et al. 2021, ICML (MSA Transformer)</t>
        </is>
      </c>
      <c r="N1157" s="14" t="inlineStr">
        <is>
          <t>read ↗</t>
        </is>
      </c>
      <c r="O1157" s="11" t="inlineStr">
        <is>
          <t>section reading (2 of 4)</t>
        </is>
      </c>
      <c r="P1157" s="10" t="inlineStr">
        <is>
          <t>Structure prediction, design and biomolecular foundation models</t>
        </is>
      </c>
    </row>
    <row r="1158">
      <c r="A1158" s="15" t="n">
        <v>1157</v>
      </c>
      <c r="B1158" s="15" t="inlineStr">
        <is>
          <t>Part II - The Method Atlas</t>
        </is>
      </c>
      <c r="C1158" s="16" t="inlineStr">
        <is>
          <t>Q.5 Genomic and RNA language models</t>
        </is>
      </c>
      <c r="D1158" s="10" t="inlineStr">
        <is>
          <t>Sequence modeling and design from molecular to genome scale</t>
        </is>
      </c>
      <c r="E1158" s="10" t="inlineStr">
        <is>
          <t>Nguyen &amp; Hie (ML4PE</t>
        </is>
      </c>
      <c r="F1158" s="11" t="inlineStr">
        <is>
          <t>1:06:46</t>
        </is>
      </c>
      <c r="G1158" s="11" t="n">
        <v>1.11</v>
      </c>
      <c r="H1158" s="12" t="inlineStr">
        <is>
          <t>★</t>
        </is>
      </c>
      <c r="I1158" s="11" t="inlineStr">
        <is>
          <t>Not started</t>
        </is>
      </c>
      <c r="J1158" s="13" t="n"/>
      <c r="K1158" s="10" t="inlineStr"/>
      <c r="L1158" s="14" t="inlineStr">
        <is>
          <t>▶ watch</t>
        </is>
      </c>
      <c r="M1158" s="10" t="inlineStr">
        <is>
          <t>Nguyen et al. 2024, Science 386:eado9336 (Evo) · Brixi et al. 2025, bioRxiv (Evo 2)</t>
        </is>
      </c>
      <c r="N1158" s="14" t="inlineStr">
        <is>
          <t>read ↗</t>
        </is>
      </c>
      <c r="O1158" s="11" t="inlineStr">
        <is>
          <t>section reading (2 of 9)</t>
        </is>
      </c>
      <c r="P1158" s="10" t="inlineStr">
        <is>
          <t>2024</t>
        </is>
      </c>
    </row>
    <row r="1159">
      <c r="A1159" s="15" t="n">
        <v>1158</v>
      </c>
      <c r="B1159" s="15" t="inlineStr">
        <is>
          <t>Part II - The Method Atlas</t>
        </is>
      </c>
      <c r="C1159" s="16" t="inlineStr">
        <is>
          <t>Q.5 Genomic and RNA language models</t>
        </is>
      </c>
      <c r="D1159" s="10" t="inlineStr">
        <is>
          <t>Genome modeling and design across all domains of life</t>
        </is>
      </c>
      <c r="E1159" s="10" t="inlineStr">
        <is>
          <t>Garyk Brixi, Stanford (ML4PE</t>
        </is>
      </c>
      <c r="F1159" s="11" t="inlineStr">
        <is>
          <t>34:46</t>
        </is>
      </c>
      <c r="G1159" s="11" t="n">
        <v>0.58</v>
      </c>
      <c r="H1159" s="12" t="inlineStr">
        <is>
          <t>★</t>
        </is>
      </c>
      <c r="I1159" s="11" t="inlineStr">
        <is>
          <t>Not started</t>
        </is>
      </c>
      <c r="J1159" s="13" t="n"/>
      <c r="K1159" s="10" t="inlineStr"/>
      <c r="L1159" s="14" t="inlineStr">
        <is>
          <t>▶ watch</t>
        </is>
      </c>
      <c r="M1159" s="10" t="inlineStr">
        <is>
          <t>Nguyen et al. 2024, Science 386:eado9336 (Evo) · Brixi et al. 2025, bioRxiv (Evo 2)</t>
        </is>
      </c>
      <c r="N1159" s="14" t="inlineStr">
        <is>
          <t>read ↗</t>
        </is>
      </c>
      <c r="O1159" s="11" t="inlineStr">
        <is>
          <t>section reading (2 of 9)</t>
        </is>
      </c>
      <c r="P1159" s="10" t="inlineStr">
        <is>
          <t>2025</t>
        </is>
      </c>
    </row>
    <row r="1160">
      <c r="A1160" s="15" t="n">
        <v>1159</v>
      </c>
      <c r="B1160" s="15" t="inlineStr">
        <is>
          <t>Part II - The Method Atlas</t>
        </is>
      </c>
      <c r="C1160" s="16" t="inlineStr">
        <is>
          <t>Q.5 Genomic and RNA language models</t>
        </is>
      </c>
      <c r="D1160" s="10" t="inlineStr">
        <is>
          <t>Generative design of novel bacteriophages with genome language models</t>
        </is>
      </c>
      <c r="E1160" s="10" t="inlineStr">
        <is>
          <t>Samuel King (ML4PE</t>
        </is>
      </c>
      <c r="F1160" s="11" t="inlineStr">
        <is>
          <t>40:23</t>
        </is>
      </c>
      <c r="G1160" s="11" t="n">
        <v>0.67</v>
      </c>
      <c r="H1160" s="12" t="inlineStr"/>
      <c r="I1160" s="11" t="inlineStr">
        <is>
          <t>Not started</t>
        </is>
      </c>
      <c r="J1160" s="13" t="n"/>
      <c r="K1160" s="10" t="inlineStr"/>
      <c r="L1160" s="14" t="inlineStr">
        <is>
          <t>▶ watch</t>
        </is>
      </c>
      <c r="M1160" s="10" t="inlineStr">
        <is>
          <t>Nguyen et al. 2024, Science 386:eado9336 (Evo) · Brixi et al. 2025, bioRxiv (Evo 2)</t>
        </is>
      </c>
      <c r="N1160" s="14" t="inlineStr">
        <is>
          <t>read ↗</t>
        </is>
      </c>
      <c r="O1160" s="11" t="inlineStr">
        <is>
          <t>section reading (2 of 9)</t>
        </is>
      </c>
      <c r="P1160" s="10" t="inlineStr">
        <is>
          <t>2025</t>
        </is>
      </c>
    </row>
    <row r="1161">
      <c r="A1161" s="15" t="n">
        <v>1160</v>
      </c>
      <c r="B1161" s="15" t="inlineStr">
        <is>
          <t>Part II - The Method Atlas</t>
        </is>
      </c>
      <c r="C1161" s="16" t="inlineStr">
        <is>
          <t>Q.5 Genomic and RNA language models</t>
        </is>
      </c>
      <c r="D1161" s="10" t="inlineStr">
        <is>
          <t>King, primer by Hie (Broad MIA</t>
        </is>
      </c>
      <c r="E1161" s="10" t="inlineStr">
        <is>
          <t>Generative Genome Design</t>
        </is>
      </c>
      <c r="F1161" s="11" t="inlineStr">
        <is>
          <t>2:00:11</t>
        </is>
      </c>
      <c r="G1161" s="11" t="n">
        <v>2</v>
      </c>
      <c r="H1161" s="12" t="inlineStr"/>
      <c r="I1161" s="11" t="inlineStr">
        <is>
          <t>Not started</t>
        </is>
      </c>
      <c r="J1161" s="13" t="n"/>
      <c r="K1161" s="10" t="inlineStr"/>
      <c r="L1161" s="14" t="inlineStr">
        <is>
          <t>▶ watch</t>
        </is>
      </c>
      <c r="M1161" s="10" t="inlineStr">
        <is>
          <t>Nguyen et al. 2024, Science 386:eado9336 (Evo) · Brixi et al. 2025, bioRxiv (Evo 2)</t>
        </is>
      </c>
      <c r="N1161" s="14" t="inlineStr">
        <is>
          <t>read ↗</t>
        </is>
      </c>
      <c r="O1161" s="11" t="inlineStr">
        <is>
          <t>section reading (2 of 9)</t>
        </is>
      </c>
      <c r="P1161" s="10" t="inlineStr">
        <is>
          <t>Proteins, structure, molecular design</t>
        </is>
      </c>
    </row>
    <row r="1162">
      <c r="A1162" s="15" t="n">
        <v>1161</v>
      </c>
      <c r="B1162" s="15" t="inlineStr">
        <is>
          <t>Part II - The Method Atlas</t>
        </is>
      </c>
      <c r="C1162" s="16" t="inlineStr">
        <is>
          <t>Q.5 Genomic and RNA language models</t>
        </is>
      </c>
      <c r="D1162" s="10" t="inlineStr">
        <is>
          <t>The Nucleotide Transformer: building and evaluating robust foundation models</t>
        </is>
      </c>
      <c r="E1162" s="10" t="inlineStr">
        <is>
          <t>Nucleotide Transformer</t>
        </is>
      </c>
      <c r="F1162" s="11" t="inlineStr">
        <is>
          <t>19:05</t>
        </is>
      </c>
      <c r="G1162" s="11" t="n">
        <v>0.32</v>
      </c>
      <c r="H1162" s="12" t="inlineStr"/>
      <c r="I1162" s="11" t="inlineStr">
        <is>
          <t>Not started</t>
        </is>
      </c>
      <c r="J1162" s="13" t="n"/>
      <c r="K1162" s="10" t="inlineStr"/>
      <c r="L1162" s="14" t="inlineStr">
        <is>
          <t>▶ watch</t>
        </is>
      </c>
      <c r="M1162" s="10" t="inlineStr">
        <is>
          <t>Nguyen et al. 2024, Science 386:eado9336 (Evo) · Brixi et al. 2025, bioRxiv (Evo 2)</t>
        </is>
      </c>
      <c r="N1162" s="14" t="inlineStr">
        <is>
          <t>read ↗</t>
        </is>
      </c>
      <c r="O1162" s="11" t="inlineStr">
        <is>
          <t>section reading (2 of 9)</t>
        </is>
      </c>
      <c r="P1162" s="10" t="inlineStr">
        <is>
          <t>MLCB 2024 - the protein and genomics core</t>
        </is>
      </c>
    </row>
    <row r="1163">
      <c r="A1163" s="15" t="n">
        <v>1162</v>
      </c>
      <c r="B1163" s="15" t="inlineStr">
        <is>
          <t>Part II - The Method Atlas</t>
        </is>
      </c>
      <c r="C1163" s="16" t="inlineStr">
        <is>
          <t>Q.5 Genomic and RNA language models</t>
        </is>
      </c>
      <c r="D1163" s="10" t="inlineStr">
        <is>
          <t>Genomic language model predicts protein co-regulation and function</t>
        </is>
      </c>
      <c r="E1163" s="10" t="inlineStr">
        <is>
          <t>Yunha Hwang (MLCB 2023</t>
        </is>
      </c>
      <c r="F1163" s="11" t="inlineStr">
        <is>
          <t>19:52</t>
        </is>
      </c>
      <c r="G1163" s="11" t="n">
        <v>0.33</v>
      </c>
      <c r="H1163" s="12" t="inlineStr"/>
      <c r="I1163" s="11" t="inlineStr">
        <is>
          <t>Not started</t>
        </is>
      </c>
      <c r="J1163" s="13" t="n"/>
      <c r="K1163" s="10" t="inlineStr"/>
      <c r="L1163" s="14" t="inlineStr">
        <is>
          <t>▶ watch</t>
        </is>
      </c>
      <c r="M1163" s="10" t="inlineStr">
        <is>
          <t>Nguyen et al. 2024, Science 386:eado9336 (Evo) · Brixi et al. 2025, bioRxiv (Evo 2)</t>
        </is>
      </c>
      <c r="N1163" s="14" t="inlineStr">
        <is>
          <t>read ↗</t>
        </is>
      </c>
      <c r="O1163" s="11" t="inlineStr">
        <is>
          <t>section reading (2 of 9)</t>
        </is>
      </c>
      <c r="P1163" s="10" t="inlineStr">
        <is>
          <t>MLCB 2023 - selected full talks</t>
        </is>
      </c>
    </row>
    <row r="1164">
      <c r="A1164" s="15" t="n">
        <v>1163</v>
      </c>
      <c r="B1164" s="15" t="inlineStr">
        <is>
          <t>Part II - The Method Atlas</t>
        </is>
      </c>
      <c r="C1164" s="16" t="inlineStr">
        <is>
          <t>Q.5 Genomic and RNA language models</t>
        </is>
      </c>
      <c r="D1164" s="10" t="inlineStr">
        <is>
          <t>Shedding light on functional dark matter with genomic language modeling</t>
        </is>
      </c>
      <c r="E1164" s="10" t="inlineStr">
        <is>
          <t>Yunha Hwang (BPDMC</t>
        </is>
      </c>
      <c r="F1164" s="11" t="inlineStr">
        <is>
          <t>46:39</t>
        </is>
      </c>
      <c r="G1164" s="11" t="n">
        <v>0.78</v>
      </c>
      <c r="H1164" s="12" t="inlineStr"/>
      <c r="I1164" s="11" t="inlineStr">
        <is>
          <t>Not started</t>
        </is>
      </c>
      <c r="J1164" s="13" t="n"/>
      <c r="K1164" s="10" t="inlineStr"/>
      <c r="L1164" s="14" t="inlineStr">
        <is>
          <t>▶ watch</t>
        </is>
      </c>
      <c r="M1164" s="10" t="inlineStr">
        <is>
          <t>Nguyen et al. 2024, Science 386:eado9336 (Evo) · Brixi et al. 2025, bioRxiv (Evo 2)</t>
        </is>
      </c>
      <c r="N1164" s="14" t="inlineStr">
        <is>
          <t>read ↗</t>
        </is>
      </c>
      <c r="O1164" s="11" t="inlineStr">
        <is>
          <t>section reading (2 of 9)</t>
        </is>
      </c>
      <c r="P1164" s="10" t="inlineStr">
        <is>
          <t>2024</t>
        </is>
      </c>
    </row>
    <row r="1165">
      <c r="A1165" s="15" t="n">
        <v>1164</v>
      </c>
      <c r="B1165" s="15" t="inlineStr">
        <is>
          <t>Part II - The Method Atlas</t>
        </is>
      </c>
      <c r="C1165" s="16" t="inlineStr">
        <is>
          <t>Q.5 Genomic and RNA language models</t>
        </is>
      </c>
      <c r="D1165" s="10" t="inlineStr">
        <is>
          <t>An Open MetaGenomic corpus for mixed-modality genomic language modeling</t>
        </is>
      </c>
      <c r="E1165" s="10" t="inlineStr">
        <is>
          <t>Andre Cornman (ML4PE</t>
        </is>
      </c>
      <c r="F1165" s="11" t="inlineStr">
        <is>
          <t>20:38</t>
        </is>
      </c>
      <c r="G1165" s="11" t="n">
        <v>0.34</v>
      </c>
      <c r="H1165" s="12" t="inlineStr"/>
      <c r="I1165" s="11" t="inlineStr">
        <is>
          <t>Not started</t>
        </is>
      </c>
      <c r="J1165" s="13" t="n"/>
      <c r="K1165" s="10" t="inlineStr"/>
      <c r="L1165" s="14" t="inlineStr">
        <is>
          <t>▶ watch</t>
        </is>
      </c>
      <c r="M1165" s="10" t="inlineStr">
        <is>
          <t>Nguyen et al. 2024, Science 386:eado9336 (Evo) · Brixi et al. 2025, bioRxiv (Evo 2)</t>
        </is>
      </c>
      <c r="N1165" s="14" t="inlineStr">
        <is>
          <t>read ↗</t>
        </is>
      </c>
      <c r="O1165" s="11" t="inlineStr">
        <is>
          <t>section reading (2 of 9)</t>
        </is>
      </c>
      <c r="P1165" s="10" t="inlineStr">
        <is>
          <t>2024</t>
        </is>
      </c>
    </row>
    <row r="1166">
      <c r="A1166" s="15" t="n">
        <v>1165</v>
      </c>
      <c r="B1166" s="15" t="inlineStr">
        <is>
          <t>Part II - The Method Atlas</t>
        </is>
      </c>
      <c r="C1166" s="16" t="inlineStr">
        <is>
          <t>Q.5 Genomic and RNA language models</t>
        </is>
      </c>
      <c r="D1166" s="10" t="inlineStr">
        <is>
          <t>Personal genome interpretation with sequence-to-function models</t>
        </is>
      </c>
      <c r="E1166" s="10" t="inlineStr">
        <is>
          <t>Nilah Ioannidis, Berkeley (MLCB</t>
        </is>
      </c>
      <c r="F1166" s="11" t="inlineStr">
        <is>
          <t>51:35</t>
        </is>
      </c>
      <c r="G1166" s="11" t="n">
        <v>0.86</v>
      </c>
      <c r="H1166" s="12" t="inlineStr">
        <is>
          <t>★</t>
        </is>
      </c>
      <c r="I1166" s="11" t="inlineStr">
        <is>
          <t>Not started</t>
        </is>
      </c>
      <c r="J1166" s="13" t="n"/>
      <c r="K1166" s="10" t="inlineStr"/>
      <c r="L1166" s="14" t="inlineStr">
        <is>
          <t>▶ watch</t>
        </is>
      </c>
      <c r="M1166" s="10" t="inlineStr">
        <is>
          <t>Nguyen et al. 2024, Science 386:eado9336 (Evo) · Brixi et al. 2025, bioRxiv (Evo 2)</t>
        </is>
      </c>
      <c r="N1166" s="14" t="inlineStr">
        <is>
          <t>read ↗</t>
        </is>
      </c>
      <c r="O1166" s="11" t="inlineStr">
        <is>
          <t>section reading (2 of 9)</t>
        </is>
      </c>
      <c r="P1166" s="10" t="inlineStr">
        <is>
          <t>MLCB 2024 - the protein and genomics core</t>
        </is>
      </c>
    </row>
    <row r="1167">
      <c r="A1167" s="15" t="n">
        <v>1166</v>
      </c>
      <c r="B1167" s="15" t="inlineStr">
        <is>
          <t>Part II - The Method Atlas</t>
        </is>
      </c>
      <c r="C1167" s="16" t="inlineStr">
        <is>
          <t>Q.5 Genomic and RNA language models</t>
        </is>
      </c>
      <c r="D1167" s="10" t="inlineStr">
        <is>
          <t>Sequence basis of transcription initiation in the human genome</t>
        </is>
      </c>
      <c r="E1167" s="10" t="inlineStr">
        <is>
          <t>Jian Zhou, UTSW (MLCB</t>
        </is>
      </c>
      <c r="F1167" s="11" t="inlineStr">
        <is>
          <t>47:59</t>
        </is>
      </c>
      <c r="G1167" s="11" t="n">
        <v>0.8</v>
      </c>
      <c r="H1167" s="12" t="inlineStr"/>
      <c r="I1167" s="11" t="inlineStr">
        <is>
          <t>Not started</t>
        </is>
      </c>
      <c r="J1167" s="13" t="n"/>
      <c r="K1167" s="10" t="inlineStr"/>
      <c r="L1167" s="14" t="inlineStr">
        <is>
          <t>▶ watch</t>
        </is>
      </c>
      <c r="M1167" s="10" t="inlineStr">
        <is>
          <t>Nguyen et al. 2024, Science 386:eado9336 (Evo) · Brixi et al. 2025, bioRxiv (Evo 2)</t>
        </is>
      </c>
      <c r="N1167" s="14" t="inlineStr">
        <is>
          <t>read ↗</t>
        </is>
      </c>
      <c r="O1167" s="11" t="inlineStr">
        <is>
          <t>section reading (2 of 9)</t>
        </is>
      </c>
      <c r="P1167" s="10" t="inlineStr">
        <is>
          <t>MLCB 2024 - the protein and genomics core</t>
        </is>
      </c>
    </row>
    <row r="1168">
      <c r="A1168" s="15" t="n">
        <v>1167</v>
      </c>
      <c r="B1168" s="15" t="inlineStr">
        <is>
          <t>Part II - The Method Atlas</t>
        </is>
      </c>
      <c r="C1168" s="16" t="inlineStr">
        <is>
          <t>Q.5 Genomic and RNA language models</t>
        </is>
      </c>
      <c r="D1168" s="10" t="inlineStr">
        <is>
          <t>Fine-tuning on Personal Genomes Improves Expression prediction</t>
        </is>
      </c>
      <c r="E1168" s="10" t="inlineStr">
        <is>
          <t>Shiron Drusinsky, UCSF (MLCB</t>
        </is>
      </c>
      <c r="F1168" s="11" t="inlineStr">
        <is>
          <t>19:53</t>
        </is>
      </c>
      <c r="G1168" s="11" t="n">
        <v>0.33</v>
      </c>
      <c r="H1168" s="12" t="inlineStr"/>
      <c r="I1168" s="11" t="inlineStr">
        <is>
          <t>Not started</t>
        </is>
      </c>
      <c r="J1168" s="13" t="n"/>
      <c r="K1168" s="10" t="inlineStr"/>
      <c r="L1168" s="14" t="inlineStr">
        <is>
          <t>▶ watch</t>
        </is>
      </c>
      <c r="M1168" s="10" t="inlineStr">
        <is>
          <t>Nguyen et al. 2024, Science 386:eado9336 (Evo) · Brixi et al. 2025, bioRxiv (Evo 2)</t>
        </is>
      </c>
      <c r="N1168" s="14" t="inlineStr">
        <is>
          <t>read ↗</t>
        </is>
      </c>
      <c r="O1168" s="11" t="inlineStr">
        <is>
          <t>section reading (2 of 9)</t>
        </is>
      </c>
      <c r="P1168" s="10" t="inlineStr">
        <is>
          <t>MLCB 2024 - the protein and genomics core</t>
        </is>
      </c>
    </row>
    <row r="1169">
      <c r="A1169" s="15" t="n">
        <v>1168</v>
      </c>
      <c r="B1169" s="15" t="inlineStr">
        <is>
          <t>Part II - The Method Atlas</t>
        </is>
      </c>
      <c r="C1169" s="16" t="inlineStr">
        <is>
          <t>Q.5 Genomic and RNA language models</t>
        </is>
      </c>
      <c r="D1169" s="10" t="inlineStr">
        <is>
          <t>DART-Eval: a comprehensive benchmark for DNA language models</t>
        </is>
      </c>
      <c r="E1169" s="10" t="inlineStr">
        <is>
          <t>Wang, Patel &amp; Singhal, Stanford (MLCB</t>
        </is>
      </c>
      <c r="F1169" s="11" t="inlineStr">
        <is>
          <t>19:36</t>
        </is>
      </c>
      <c r="G1169" s="11" t="n">
        <v>0.33</v>
      </c>
      <c r="H1169" s="12" t="inlineStr">
        <is>
          <t>★</t>
        </is>
      </c>
      <c r="I1169" s="11" t="inlineStr">
        <is>
          <t>Not started</t>
        </is>
      </c>
      <c r="J1169" s="13" t="n"/>
      <c r="K1169" s="10" t="inlineStr"/>
      <c r="L1169" s="14" t="inlineStr">
        <is>
          <t>▶ watch</t>
        </is>
      </c>
      <c r="M1169" s="10" t="inlineStr">
        <is>
          <t>Nguyen et al. 2024, Science 386:eado9336 (Evo) · Brixi et al. 2025, bioRxiv (Evo 2)</t>
        </is>
      </c>
      <c r="N1169" s="14" t="inlineStr">
        <is>
          <t>read ↗</t>
        </is>
      </c>
      <c r="O1169" s="11" t="inlineStr">
        <is>
          <t>section reading (2 of 9)</t>
        </is>
      </c>
      <c r="P1169" s="10" t="inlineStr">
        <is>
          <t>MLCB 2024 - the protein and genomics core; S.1 The blind assessments</t>
        </is>
      </c>
    </row>
    <row r="1170">
      <c r="A1170" s="15" t="n">
        <v>1169</v>
      </c>
      <c r="B1170" s="15" t="inlineStr">
        <is>
          <t>Part II - The Method Atlas</t>
        </is>
      </c>
      <c r="C1170" s="16" t="inlineStr">
        <is>
          <t>Q.5 Genomic and RNA language models</t>
        </is>
      </c>
      <c r="D1170" s="10" t="inlineStr">
        <is>
          <t>RNA Function, Design, and Modeling</t>
        </is>
      </c>
      <c r="E1170" s="10" t="inlineStr">
        <is>
          <t>Silvi Rouskin, HMS (BPDMC</t>
        </is>
      </c>
      <c r="F1170" s="11" t="inlineStr">
        <is>
          <t>59:33</t>
        </is>
      </c>
      <c r="G1170" s="11" t="n">
        <v>0.99</v>
      </c>
      <c r="H1170" s="12" t="inlineStr"/>
      <c r="I1170" s="11" t="inlineStr">
        <is>
          <t>Not started</t>
        </is>
      </c>
      <c r="J1170" s="13" t="n"/>
      <c r="K1170" s="10" t="inlineStr"/>
      <c r="L1170" s="14" t="inlineStr">
        <is>
          <t>▶ watch</t>
        </is>
      </c>
      <c r="M1170" s="10" t="inlineStr">
        <is>
          <t>Nguyen et al. 2024, Science 386:eado9336 (Evo) · Brixi et al. 2025, bioRxiv (Evo 2)</t>
        </is>
      </c>
      <c r="N1170" s="14" t="inlineStr">
        <is>
          <t>read ↗</t>
        </is>
      </c>
      <c r="O1170" s="11" t="inlineStr">
        <is>
          <t>section reading (2 of 9)</t>
        </is>
      </c>
      <c r="P1170" s="10" t="inlineStr">
        <is>
          <t>2025; R.9 Protein-nucleic acid and co-design</t>
        </is>
      </c>
    </row>
    <row r="1171">
      <c r="A1171" s="15" t="n">
        <v>1170</v>
      </c>
      <c r="B1171" s="15" t="inlineStr">
        <is>
          <t>Part II - The Method Atlas</t>
        </is>
      </c>
      <c r="C1171" s="16" t="inlineStr">
        <is>
          <t>Q.5 Genomic and RNA language models</t>
        </is>
      </c>
      <c r="D1171" s="10" t="inlineStr">
        <is>
          <t>AI-Driven RNA Structure Prediction</t>
        </is>
      </c>
      <c r="E1171" s="10" t="inlineStr">
        <is>
          <t>Mile Šikić (MLSB 2025</t>
        </is>
      </c>
      <c r="F1171" s="11" t="inlineStr">
        <is>
          <t>24:37</t>
        </is>
      </c>
      <c r="G1171" s="11" t="n">
        <v>0.41</v>
      </c>
      <c r="H1171" s="12" t="inlineStr"/>
      <c r="I1171" s="11" t="inlineStr">
        <is>
          <t>Not started</t>
        </is>
      </c>
      <c r="J1171" s="13" t="n"/>
      <c r="K1171" s="10" t="inlineStr"/>
      <c r="L1171" s="14" t="inlineStr">
        <is>
          <t>▶ watch</t>
        </is>
      </c>
      <c r="M1171" s="10" t="inlineStr">
        <is>
          <t>Nguyen et al. 2024, Science 386:eado9336 (Evo) · Brixi et al. 2025, bioRxiv (Evo 2)</t>
        </is>
      </c>
      <c r="N1171" s="14" t="inlineStr">
        <is>
          <t>read ↗</t>
        </is>
      </c>
      <c r="O1171" s="11" t="inlineStr">
        <is>
          <t>section reading (2 of 9)</t>
        </is>
      </c>
      <c r="P1171" s="10" t="inlineStr">
        <is>
          <t>A.5 MLSB Workshop - 10 talks (complete</t>
        </is>
      </c>
    </row>
    <row r="1172">
      <c r="A1172" s="15" t="n">
        <v>1171</v>
      </c>
      <c r="B1172" s="15" t="inlineStr">
        <is>
          <t>Part II - The Method Atlas</t>
        </is>
      </c>
      <c r="C1172" s="16" t="inlineStr">
        <is>
          <t>Q.5 Genomic and RNA language models</t>
        </is>
      </c>
      <c r="D1172" s="10" t="inlineStr">
        <is>
          <t>gRNAde: Geometric Deep Learning for 3D RNA inverse design</t>
        </is>
      </c>
      <c r="E1172" s="10" t="inlineStr">
        <is>
          <t>Chaitanya Joshi, Cambridge (Valence</t>
        </is>
      </c>
      <c r="F1172" s="11" t="inlineStr">
        <is>
          <t>1:06:02</t>
        </is>
      </c>
      <c r="G1172" s="11" t="n">
        <v>1.1</v>
      </c>
      <c r="H1172" s="12" t="inlineStr">
        <is>
          <t>★</t>
        </is>
      </c>
      <c r="I1172" s="11" t="inlineStr">
        <is>
          <t>Not started</t>
        </is>
      </c>
      <c r="J1172" s="13" t="n"/>
      <c r="K1172" s="10" t="inlineStr"/>
      <c r="L1172" s="14" t="inlineStr">
        <is>
          <t>▶ watch</t>
        </is>
      </c>
      <c r="M1172" s="10" t="inlineStr">
        <is>
          <t>Nguyen et al. 2024, Science 386:eado9336 (Evo) · Brixi et al. 2025, bioRxiv (Evo 2)</t>
        </is>
      </c>
      <c r="N1172" s="14" t="inlineStr">
        <is>
          <t>read ↗</t>
        </is>
      </c>
      <c r="O1172" s="11" t="inlineStr">
        <is>
          <t>section reading (2 of 9)</t>
        </is>
      </c>
      <c r="P1172" s="10" t="inlineStr">
        <is>
          <t>Nucleic acids and genome-scale</t>
        </is>
      </c>
    </row>
    <row r="1173">
      <c r="A1173" s="15" t="n">
        <v>1172</v>
      </c>
      <c r="B1173" s="15" t="inlineStr">
        <is>
          <t>Part II - The Method Atlas</t>
        </is>
      </c>
      <c r="C1173" s="16" t="inlineStr">
        <is>
          <t>Q.5 Genomic and RNA language models</t>
        </is>
      </c>
      <c r="D1173" s="10" t="inlineStr">
        <is>
          <t>RNA-FrameFlow: Flow Matching for RNA backbone generation</t>
        </is>
      </c>
      <c r="E1173" s="10" t="inlineStr">
        <is>
          <t>Rishabh Anand, NUS (MLCB</t>
        </is>
      </c>
      <c r="F1173" s="11" t="inlineStr">
        <is>
          <t>23:44</t>
        </is>
      </c>
      <c r="G1173" s="11" t="n">
        <v>0.4</v>
      </c>
      <c r="H1173" s="12" t="inlineStr"/>
      <c r="I1173" s="11" t="inlineStr">
        <is>
          <t>Not started</t>
        </is>
      </c>
      <c r="J1173" s="13" t="n"/>
      <c r="K1173" s="10" t="inlineStr"/>
      <c r="L1173" s="14" t="inlineStr">
        <is>
          <t>▶ watch</t>
        </is>
      </c>
      <c r="M1173" s="10" t="inlineStr">
        <is>
          <t>Nguyen et al. 2024, Science 386:eado9336 (Evo) · Brixi et al. 2025, bioRxiv (Evo 2)</t>
        </is>
      </c>
      <c r="N1173" s="14" t="inlineStr">
        <is>
          <t>read ↗</t>
        </is>
      </c>
      <c r="O1173" s="11" t="inlineStr">
        <is>
          <t>section reading (2 of 9)</t>
        </is>
      </c>
      <c r="P1173" s="10" t="inlineStr">
        <is>
          <t>MLCB 2024 - the protein and genomics core</t>
        </is>
      </c>
    </row>
    <row r="1174">
      <c r="A1174" s="15" t="n">
        <v>1173</v>
      </c>
      <c r="B1174" s="15" t="inlineStr">
        <is>
          <t>Part II - The Method Atlas</t>
        </is>
      </c>
      <c r="C1174" s="16" t="inlineStr">
        <is>
          <t>Q.5 Genomic and RNA language models</t>
        </is>
      </c>
      <c r="D1174" s="10" t="inlineStr">
        <is>
          <t>Beyond Sequence: Impact of Geometric Context for RNA Property Prediction</t>
        </is>
      </c>
      <c r="E1174" s="10" t="inlineStr">
        <is>
          <t>RNA geometry</t>
        </is>
      </c>
      <c r="F1174" s="11" t="inlineStr">
        <is>
          <t>53:32</t>
        </is>
      </c>
      <c r="G1174" s="11" t="n">
        <v>0.89</v>
      </c>
      <c r="H1174" s="12" t="inlineStr"/>
      <c r="I1174" s="11" t="inlineStr">
        <is>
          <t>Not started</t>
        </is>
      </c>
      <c r="J1174" s="13" t="n"/>
      <c r="K1174" s="10" t="inlineStr"/>
      <c r="L1174" s="14" t="inlineStr">
        <is>
          <t>▶ watch</t>
        </is>
      </c>
      <c r="M1174" s="10" t="inlineStr">
        <is>
          <t>Nguyen et al. 2024, Science 386:eado9336 (Evo) · Brixi et al. 2025, bioRxiv (Evo 2)</t>
        </is>
      </c>
      <c r="N1174" s="14" t="inlineStr">
        <is>
          <t>read ↗</t>
        </is>
      </c>
      <c r="O1174" s="11" t="inlineStr">
        <is>
          <t>section reading (2 of 9)</t>
        </is>
      </c>
      <c r="P1174" s="10" t="inlineStr">
        <is>
          <t>Nucleic acids and genome-scale</t>
        </is>
      </c>
    </row>
    <row r="1175">
      <c r="A1175" s="15" t="n">
        <v>1174</v>
      </c>
      <c r="B1175" s="15" t="inlineStr">
        <is>
          <t>Part II - The Method Atlas</t>
        </is>
      </c>
      <c r="C1175" s="16" t="inlineStr">
        <is>
          <t>Q.5 Genomic and RNA language models</t>
        </is>
      </c>
      <c r="D1175" s="10" t="inlineStr">
        <is>
          <t>A long-context RNA foundation model for predicting transcriptome architecture</t>
        </is>
      </c>
      <c r="E1175" s="10" t="inlineStr">
        <is>
          <t>Ali Saberi (Valence</t>
        </is>
      </c>
      <c r="F1175" s="11" t="inlineStr">
        <is>
          <t>1:29:27</t>
        </is>
      </c>
      <c r="G1175" s="11" t="n">
        <v>1.49</v>
      </c>
      <c r="H1175" s="12" t="inlineStr"/>
      <c r="I1175" s="11" t="inlineStr">
        <is>
          <t>Not started</t>
        </is>
      </c>
      <c r="J1175" s="13" t="n"/>
      <c r="K1175" s="10" t="inlineStr"/>
      <c r="L1175" s="14" t="inlineStr">
        <is>
          <t>▶ watch</t>
        </is>
      </c>
      <c r="M1175" s="10" t="inlineStr">
        <is>
          <t>Nguyen et al. 2024, Science 386:eado9336 (Evo) · Brixi et al. 2025, bioRxiv (Evo 2)</t>
        </is>
      </c>
      <c r="N1175" s="14" t="inlineStr">
        <is>
          <t>read ↗</t>
        </is>
      </c>
      <c r="O1175" s="11" t="inlineStr">
        <is>
          <t>section reading (2 of 9)</t>
        </is>
      </c>
      <c r="P1175" s="10" t="inlineStr">
        <is>
          <t>Nucleic acids and genome-scale</t>
        </is>
      </c>
    </row>
    <row r="1176">
      <c r="A1176" s="15" t="n">
        <v>1175</v>
      </c>
      <c r="B1176" s="15" t="inlineStr">
        <is>
          <t>Part II - The Method Atlas</t>
        </is>
      </c>
      <c r="C1176" s="16" t="inlineStr">
        <is>
          <t>Q.5 Genomic and RNA language models</t>
        </is>
      </c>
      <c r="D1176" s="10" t="inlineStr">
        <is>
          <t>Deciphering the RNA structural code</t>
        </is>
      </c>
      <c r="E1176" s="10" t="inlineStr">
        <is>
          <t>Khoroshkin &amp; Karimzadeh (Broad MIA</t>
        </is>
      </c>
      <c r="F1176" s="11" t="inlineStr">
        <is>
          <t>1:42:39</t>
        </is>
      </c>
      <c r="G1176" s="11" t="n">
        <v>1.71</v>
      </c>
      <c r="H1176" s="12" t="inlineStr"/>
      <c r="I1176" s="11" t="inlineStr">
        <is>
          <t>Not started</t>
        </is>
      </c>
      <c r="J1176" s="13" t="n"/>
      <c r="K1176" s="10" t="inlineStr"/>
      <c r="L1176" s="14" t="inlineStr">
        <is>
          <t>▶ watch</t>
        </is>
      </c>
      <c r="M1176" s="10" t="inlineStr">
        <is>
          <t>Nguyen et al. 2024, Science 386:eado9336 (Evo) · Brixi et al. 2025, bioRxiv (Evo 2)</t>
        </is>
      </c>
      <c r="N1176" s="14" t="inlineStr">
        <is>
          <t>read ↗</t>
        </is>
      </c>
      <c r="O1176" s="11" t="inlineStr">
        <is>
          <t>section reading (2 of 9)</t>
        </is>
      </c>
      <c r="P1176" s="10" t="inlineStr">
        <is>
          <t>Proteins, structure, molecular design</t>
        </is>
      </c>
    </row>
    <row r="1177">
      <c r="A1177" s="15" t="n">
        <v>1176</v>
      </c>
      <c r="B1177" s="15" t="inlineStr">
        <is>
          <t>Part II - The Method Atlas</t>
        </is>
      </c>
      <c r="C1177" s="16" t="inlineStr">
        <is>
          <t>Q.5 Genomic and RNA language models</t>
        </is>
      </c>
      <c r="D1177" s="10" t="inlineStr">
        <is>
          <t>Designing DNA with Tunable Regulatory activity</t>
        </is>
      </c>
      <c r="E1177" s="10" t="inlineStr">
        <is>
          <t>Anirban Sarkar, CSHL (MLCB</t>
        </is>
      </c>
      <c r="F1177" s="11" t="inlineStr">
        <is>
          <t>20:08</t>
        </is>
      </c>
      <c r="G1177" s="11" t="n">
        <v>0.34</v>
      </c>
      <c r="H1177" s="12" t="inlineStr"/>
      <c r="I1177" s="11" t="inlineStr">
        <is>
          <t>Not started</t>
        </is>
      </c>
      <c r="J1177" s="13" t="n"/>
      <c r="K1177" s="10" t="inlineStr"/>
      <c r="L1177" s="14" t="inlineStr">
        <is>
          <t>▶ watch</t>
        </is>
      </c>
      <c r="M1177" s="10" t="inlineStr">
        <is>
          <t>Nguyen et al. 2024, Science 386:eado9336 (Evo) · Brixi et al. 2025, bioRxiv (Evo 2)</t>
        </is>
      </c>
      <c r="N1177" s="14" t="inlineStr">
        <is>
          <t>read ↗</t>
        </is>
      </c>
      <c r="O1177" s="11" t="inlineStr">
        <is>
          <t>section reading (2 of 9)</t>
        </is>
      </c>
      <c r="P1177" s="10" t="inlineStr">
        <is>
          <t>MLCB 2024 - the protein and genomics core</t>
        </is>
      </c>
    </row>
    <row r="1178">
      <c r="A1178" s="15" t="n">
        <v>1177</v>
      </c>
      <c r="B1178" s="15" t="inlineStr">
        <is>
          <t>Part II - The Method Atlas</t>
        </is>
      </c>
      <c r="C1178" s="16" t="inlineStr">
        <is>
          <t>Q.5 Genomic and RNA language models</t>
        </is>
      </c>
      <c r="D1178" s="10" t="inlineStr">
        <is>
          <t>Deep exploration networks for engineering functional DNA sequences</t>
        </is>
      </c>
      <c r="E1178" s="10" t="inlineStr">
        <is>
          <t>Johannes Linder, UW (MLCB 2019</t>
        </is>
      </c>
      <c r="F1178" s="11" t="inlineStr">
        <is>
          <t>13:24</t>
        </is>
      </c>
      <c r="G1178" s="11" t="n">
        <v>0.22</v>
      </c>
      <c r="H1178" s="12" t="inlineStr"/>
      <c r="I1178" s="11" t="inlineStr">
        <is>
          <t>Not started</t>
        </is>
      </c>
      <c r="J1178" s="13" t="n"/>
      <c r="K1178" s="10" t="inlineStr"/>
      <c r="L1178" s="14" t="inlineStr">
        <is>
          <t>▶ watch</t>
        </is>
      </c>
      <c r="M1178" s="10" t="inlineStr">
        <is>
          <t>Nguyen et al. 2024, Science 386:eado9336 (Evo) · Brixi et al. 2025, bioRxiv (Evo 2)</t>
        </is>
      </c>
      <c r="N1178" s="14" t="inlineStr">
        <is>
          <t>read ↗</t>
        </is>
      </c>
      <c r="O1178" s="11" t="inlineStr">
        <is>
          <t>section reading (2 of 9)</t>
        </is>
      </c>
      <c r="P1178" s="10" t="inlineStr">
        <is>
          <t>MLCB 2019 - the early-method talks that aged well</t>
        </is>
      </c>
    </row>
    <row r="1179">
      <c r="A1179" s="15" t="n">
        <v>1178</v>
      </c>
      <c r="B1179" s="15" t="inlineStr">
        <is>
          <t>Part II - The Method Atlas</t>
        </is>
      </c>
      <c r="C1179" s="16" t="inlineStr">
        <is>
          <t>Q.5 Genomic and RNA language models</t>
        </is>
      </c>
      <c r="D1179" s="10" t="inlineStr">
        <is>
          <t>A high-level design language for generative biology with Proto</t>
        </is>
      </c>
      <c r="E1179" s="10" t="inlineStr">
        <is>
          <t>Aditi Merchant, Stanford/Arc (ML4PE</t>
        </is>
      </c>
      <c r="F1179" s="11" t="inlineStr">
        <is>
          <t>58:56</t>
        </is>
      </c>
      <c r="G1179" s="11" t="n">
        <v>0.98</v>
      </c>
      <c r="H1179" s="12" t="inlineStr"/>
      <c r="I1179" s="11" t="inlineStr">
        <is>
          <t>Not started</t>
        </is>
      </c>
      <c r="J1179" s="13" t="n"/>
      <c r="K1179" s="10" t="inlineStr"/>
      <c r="L1179" s="14" t="inlineStr">
        <is>
          <t>▶ watch</t>
        </is>
      </c>
      <c r="M1179" s="10" t="inlineStr">
        <is>
          <t>Nguyen et al. 2024, Science 386:eado9336 (Evo) · Brixi et al. 2025, bioRxiv (Evo 2)</t>
        </is>
      </c>
      <c r="N1179" s="14" t="inlineStr">
        <is>
          <t>read ↗</t>
        </is>
      </c>
      <c r="O1179" s="11" t="inlineStr">
        <is>
          <t>section reading (2 of 9)</t>
        </is>
      </c>
      <c r="P1179" s="10" t="inlineStr">
        <is>
          <t>2026 - posted but not on the schedule page</t>
        </is>
      </c>
    </row>
    <row r="1180">
      <c r="A1180" s="15" t="n">
        <v>1179</v>
      </c>
      <c r="B1180" s="15" t="inlineStr">
        <is>
          <t>Part II - The Method Atlas</t>
        </is>
      </c>
      <c r="C1180" s="16" t="inlineStr">
        <is>
          <t>Q.6 Function prediction and search</t>
        </is>
      </c>
      <c r="D1180" s="10" t="inlineStr">
        <is>
          <t>Enzyme function prediction using contrastive learning</t>
        </is>
      </c>
      <c r="E1180" s="10" t="inlineStr">
        <is>
          <t>Tianhao Yu, UIUC (ML4PE</t>
        </is>
      </c>
      <c r="F1180" s="11" t="inlineStr">
        <is>
          <t>54:16</t>
        </is>
      </c>
      <c r="G1180" s="11" t="n">
        <v>0.9</v>
      </c>
      <c r="H1180" s="12" t="inlineStr">
        <is>
          <t>★</t>
        </is>
      </c>
      <c r="I1180" s="11" t="inlineStr">
        <is>
          <t>Not started</t>
        </is>
      </c>
      <c r="J1180" s="13" t="n"/>
      <c r="K1180" s="10" t="inlineStr"/>
      <c r="L1180" s="14" t="inlineStr">
        <is>
          <t>▶ watch</t>
        </is>
      </c>
      <c r="M1180" s="10" t="inlineStr">
        <is>
          <t>Yu et al. 2023, Science 379:1358 (CLEAN) · van Kempen et al. 2024, Nat Biotechnol 42:243 (Foldseek)</t>
        </is>
      </c>
      <c r="N1180" s="14" t="inlineStr">
        <is>
          <t>read ↗</t>
        </is>
      </c>
      <c r="O1180" s="11" t="inlineStr">
        <is>
          <t>section reading (2 of 5)</t>
        </is>
      </c>
      <c r="P1180" s="10" t="inlineStr">
        <is>
          <t>2024</t>
        </is>
      </c>
    </row>
    <row r="1181">
      <c r="A1181" s="15" t="n">
        <v>1180</v>
      </c>
      <c r="B1181" s="15" t="inlineStr">
        <is>
          <t>Part II - The Method Atlas</t>
        </is>
      </c>
      <c r="C1181" s="16" t="inlineStr">
        <is>
          <t>Q.6 Function prediction and search</t>
        </is>
      </c>
      <c r="D1181" s="10" t="inlineStr">
        <is>
          <t>Protein function prediction using function-aware domain embeddings</t>
        </is>
      </c>
      <c r="E1181" s="10" t="inlineStr">
        <is>
          <t>Nabil Ibtehaz, Purdue (ML4PE</t>
        </is>
      </c>
      <c r="F1181" s="11" t="inlineStr">
        <is>
          <t>57:46</t>
        </is>
      </c>
      <c r="G1181" s="11" t="n">
        <v>0.96</v>
      </c>
      <c r="H1181" s="12" t="inlineStr"/>
      <c r="I1181" s="11" t="inlineStr">
        <is>
          <t>Not started</t>
        </is>
      </c>
      <c r="J1181" s="13" t="n"/>
      <c r="K1181" s="10" t="inlineStr"/>
      <c r="L1181" s="14" t="inlineStr">
        <is>
          <t>▶ watch</t>
        </is>
      </c>
      <c r="M1181" s="10" t="inlineStr">
        <is>
          <t>Yu et al. 2023, Science 379:1358 (CLEAN) · van Kempen et al. 2024, Nat Biotechnol 42:243 (Foldseek)</t>
        </is>
      </c>
      <c r="N1181" s="14" t="inlineStr">
        <is>
          <t>read ↗</t>
        </is>
      </c>
      <c r="O1181" s="11" t="inlineStr">
        <is>
          <t>section reading (2 of 5)</t>
        </is>
      </c>
      <c r="P1181" s="10" t="inlineStr">
        <is>
          <t>2024</t>
        </is>
      </c>
    </row>
    <row r="1182">
      <c r="A1182" s="15" t="n">
        <v>1181</v>
      </c>
      <c r="B1182" s="15" t="inlineStr">
        <is>
          <t>Part II - The Method Atlas</t>
        </is>
      </c>
      <c r="C1182" s="16" t="inlineStr">
        <is>
          <t>Q.6 Function prediction and search</t>
        </is>
      </c>
      <c r="D1182" s="10" t="inlineStr">
        <is>
          <t>Kaggle 1st place: CAFA 5 Protein Function Prediction</t>
        </is>
      </c>
      <c r="E1182" s="10" t="inlineStr">
        <is>
          <t>GoCurator, Fudan (ML4PE</t>
        </is>
      </c>
      <c r="F1182" s="11" t="inlineStr">
        <is>
          <t>35:49</t>
        </is>
      </c>
      <c r="G1182" s="11" t="n">
        <v>0.6</v>
      </c>
      <c r="H1182" s="12" t="inlineStr"/>
      <c r="I1182" s="11" t="inlineStr">
        <is>
          <t>Not started</t>
        </is>
      </c>
      <c r="J1182" s="13" t="n"/>
      <c r="K1182" s="10" t="inlineStr"/>
      <c r="L1182" s="14" t="inlineStr">
        <is>
          <t>▶ watch</t>
        </is>
      </c>
      <c r="M1182" s="10" t="inlineStr">
        <is>
          <t>Radivojac et al. 2013, Nat Methods 10:221 (CAFA)</t>
        </is>
      </c>
      <c r="N1182" s="14" t="inlineStr">
        <is>
          <t>read ↗</t>
        </is>
      </c>
      <c r="O1182" s="11" t="inlineStr">
        <is>
          <t>names CAFA</t>
        </is>
      </c>
      <c r="P1182" s="10" t="inlineStr">
        <is>
          <t>2024</t>
        </is>
      </c>
    </row>
    <row r="1183">
      <c r="A1183" s="15" t="n">
        <v>1182</v>
      </c>
      <c r="B1183" s="15" t="inlineStr">
        <is>
          <t>Part II - The Method Atlas</t>
        </is>
      </c>
      <c r="C1183" s="16" t="inlineStr">
        <is>
          <t>Q.6 Function prediction and search</t>
        </is>
      </c>
      <c r="D1183" s="10" t="inlineStr">
        <is>
          <t>A general model to predict small molecule substrates of enzymes</t>
        </is>
      </c>
      <c r="E1183" s="10" t="inlineStr">
        <is>
          <t>Alexander Kroll (ML4PE</t>
        </is>
      </c>
      <c r="F1183" s="11" t="inlineStr">
        <is>
          <t>57:47</t>
        </is>
      </c>
      <c r="G1183" s="11" t="n">
        <v>0.96</v>
      </c>
      <c r="H1183" s="12" t="inlineStr"/>
      <c r="I1183" s="11" t="inlineStr">
        <is>
          <t>Not started</t>
        </is>
      </c>
      <c r="J1183" s="13" t="n"/>
      <c r="K1183" s="10" t="inlineStr"/>
      <c r="L1183" s="14" t="inlineStr">
        <is>
          <t>▶ watch</t>
        </is>
      </c>
      <c r="M1183" s="10" t="inlineStr">
        <is>
          <t>Yu et al. 2023, Science 379:1358 (CLEAN) · van Kempen et al. 2024, Nat Biotechnol 42:243 (Foldseek)</t>
        </is>
      </c>
      <c r="N1183" s="14" t="inlineStr">
        <is>
          <t>read ↗</t>
        </is>
      </c>
      <c r="O1183" s="11" t="inlineStr">
        <is>
          <t>section reading (2 of 5)</t>
        </is>
      </c>
      <c r="P1183" s="10" t="inlineStr">
        <is>
          <t>2024</t>
        </is>
      </c>
    </row>
    <row r="1184">
      <c r="A1184" s="15" t="n">
        <v>1183</v>
      </c>
      <c r="B1184" s="15" t="inlineStr">
        <is>
          <t>Part II - The Method Atlas</t>
        </is>
      </c>
      <c r="C1184" s="16" t="inlineStr">
        <is>
          <t>Q.6 Function prediction and search</t>
        </is>
      </c>
      <c r="D1184" s="10" t="inlineStr">
        <is>
          <t>A Benchmark Suite for the Classification and Retrieval of Enzymes</t>
        </is>
      </c>
      <c r="E1184" s="10" t="inlineStr">
        <is>
          <t>Jason Yang, Caltech (ML4PE</t>
        </is>
      </c>
      <c r="F1184" s="11" t="inlineStr">
        <is>
          <t>47:02</t>
        </is>
      </c>
      <c r="G1184" s="11" t="n">
        <v>0.78</v>
      </c>
      <c r="H1184" s="12" t="inlineStr">
        <is>
          <t>★</t>
        </is>
      </c>
      <c r="I1184" s="11" t="inlineStr">
        <is>
          <t>Not started</t>
        </is>
      </c>
      <c r="J1184" s="13" t="n"/>
      <c r="K1184" s="10" t="inlineStr"/>
      <c r="L1184" s="14" t="inlineStr">
        <is>
          <t>▶ watch</t>
        </is>
      </c>
      <c r="M1184" s="10" t="inlineStr">
        <is>
          <t>Yu et al. 2023, Science 379:1358 (CLEAN) · van Kempen et al. 2024, Nat Biotechnol 42:243 (Foldseek)</t>
        </is>
      </c>
      <c r="N1184" s="14" t="inlineStr">
        <is>
          <t>read ↗</t>
        </is>
      </c>
      <c r="O1184" s="11" t="inlineStr">
        <is>
          <t>section reading (2 of 5)</t>
        </is>
      </c>
      <c r="P1184" s="10" t="inlineStr">
        <is>
          <t>2024; S.1 The blind assessments</t>
        </is>
      </c>
    </row>
    <row r="1185">
      <c r="A1185" s="15" t="n">
        <v>1184</v>
      </c>
      <c r="B1185" s="15" t="inlineStr">
        <is>
          <t>Part II - The Method Atlas</t>
        </is>
      </c>
      <c r="C1185" s="16" t="inlineStr">
        <is>
          <t>Q.6 Function prediction and search</t>
        </is>
      </c>
      <c r="D1185" s="10" t="inlineStr">
        <is>
          <t>Navigating the Protein Universe through Tri-Modal Contrastive Learning</t>
        </is>
      </c>
      <c r="E1185" s="10" t="inlineStr">
        <is>
          <t>Jin Su, Westlake (ML4PE</t>
        </is>
      </c>
      <c r="F1185" s="11" t="inlineStr">
        <is>
          <t>48:35</t>
        </is>
      </c>
      <c r="G1185" s="11" t="n">
        <v>0.8100000000000001</v>
      </c>
      <c r="H1185" s="12" t="inlineStr"/>
      <c r="I1185" s="11" t="inlineStr">
        <is>
          <t>Not started</t>
        </is>
      </c>
      <c r="J1185" s="13" t="n"/>
      <c r="K1185" s="10" t="inlineStr"/>
      <c r="L1185" s="14" t="inlineStr">
        <is>
          <t>▶ watch</t>
        </is>
      </c>
      <c r="M1185" s="10" t="inlineStr">
        <is>
          <t>Yu et al. 2023, Science 379:1358 (CLEAN) · van Kempen et al. 2024, Nat Biotechnol 42:243 (Foldseek)</t>
        </is>
      </c>
      <c r="N1185" s="14" t="inlineStr">
        <is>
          <t>read ↗</t>
        </is>
      </c>
      <c r="O1185" s="11" t="inlineStr">
        <is>
          <t>section reading (2 of 5)</t>
        </is>
      </c>
      <c r="P1185" s="10" t="inlineStr">
        <is>
          <t>2024</t>
        </is>
      </c>
    </row>
    <row r="1186">
      <c r="A1186" s="15" t="n">
        <v>1185</v>
      </c>
      <c r="B1186" s="15" t="inlineStr">
        <is>
          <t>Part II - The Method Atlas</t>
        </is>
      </c>
      <c r="C1186" s="16" t="inlineStr">
        <is>
          <t>Q.6 Function prediction and search</t>
        </is>
      </c>
      <c r="D1186" s="10" t="inlineStr">
        <is>
          <t>Multimodal protein language models for deciphering protein function</t>
        </is>
      </c>
      <c r="E1186" s="10" t="inlineStr">
        <is>
          <t>Zitnik Lab (Broad MIA</t>
        </is>
      </c>
      <c r="F1186" s="11" t="inlineStr">
        <is>
          <t>1:30:33</t>
        </is>
      </c>
      <c r="G1186" s="11" t="n">
        <v>1.51</v>
      </c>
      <c r="H1186" s="12" t="inlineStr"/>
      <c r="I1186" s="11" t="inlineStr">
        <is>
          <t>Not started</t>
        </is>
      </c>
      <c r="J1186" s="13" t="n"/>
      <c r="K1186" s="10" t="inlineStr"/>
      <c r="L1186" s="14" t="inlineStr">
        <is>
          <t>▶ watch</t>
        </is>
      </c>
      <c r="M1186" s="10" t="inlineStr">
        <is>
          <t>Yu et al. 2023, Science 379:1358 (CLEAN) · van Kempen et al. 2024, Nat Biotechnol 42:243 (Foldseek)</t>
        </is>
      </c>
      <c r="N1186" s="14" t="inlineStr">
        <is>
          <t>read ↗</t>
        </is>
      </c>
      <c r="O1186" s="11" t="inlineStr">
        <is>
          <t>section reading (2 of 5)</t>
        </is>
      </c>
      <c r="P1186" s="10" t="inlineStr">
        <is>
          <t>Proteins, structure, molecular design</t>
        </is>
      </c>
    </row>
    <row r="1187">
      <c r="A1187" s="15" t="n">
        <v>1186</v>
      </c>
      <c r="B1187" s="15" t="inlineStr">
        <is>
          <t>Part II - The Method Atlas</t>
        </is>
      </c>
      <c r="C1187" s="16" t="inlineStr">
        <is>
          <t>Q.6 Function prediction and search</t>
        </is>
      </c>
      <c r="D1187" s="10" t="inlineStr">
        <is>
          <t>PTM-Mamba: A PTM-Aware Protein Language Model</t>
        </is>
      </c>
      <c r="E1187" s="10" t="inlineStr">
        <is>
          <t>Zhangzhi Peng, Duke (ML4PE</t>
        </is>
      </c>
      <c r="F1187" s="11" t="inlineStr">
        <is>
          <t>46:47</t>
        </is>
      </c>
      <c r="G1187" s="11" t="n">
        <v>0.78</v>
      </c>
      <c r="H1187" s="12" t="inlineStr"/>
      <c r="I1187" s="11" t="inlineStr">
        <is>
          <t>Not started</t>
        </is>
      </c>
      <c r="J1187" s="13" t="n"/>
      <c r="K1187" s="10" t="inlineStr"/>
      <c r="L1187" s="14" t="inlineStr">
        <is>
          <t>▶ watch</t>
        </is>
      </c>
      <c r="M1187" s="10" t="inlineStr">
        <is>
          <t>Yu et al. 2023, Science 379:1358 (CLEAN) · van Kempen et al. 2024, Nat Biotechnol 42:243 (Foldseek)</t>
        </is>
      </c>
      <c r="N1187" s="14" t="inlineStr">
        <is>
          <t>read ↗</t>
        </is>
      </c>
      <c r="O1187" s="11" t="inlineStr">
        <is>
          <t>section reading (2 of 5)</t>
        </is>
      </c>
      <c r="P1187" s="10" t="inlineStr">
        <is>
          <t>2024</t>
        </is>
      </c>
    </row>
    <row r="1188">
      <c r="A1188" s="15" t="n">
        <v>1187</v>
      </c>
      <c r="B1188" s="15" t="inlineStr">
        <is>
          <t>Part II - The Method Atlas</t>
        </is>
      </c>
      <c r="C1188" s="16" t="inlineStr">
        <is>
          <t>Q.6 Function prediction and search</t>
        </is>
      </c>
      <c r="D1188" s="10" t="inlineStr">
        <is>
          <t>Protein Fold Recognition with Recurrent Kernel Networks</t>
        </is>
      </c>
      <c r="E1188" s="10" t="inlineStr">
        <is>
          <t>Dexiong Chen, Inria (MLCB</t>
        </is>
      </c>
      <c r="F1188" s="11" t="inlineStr">
        <is>
          <t>11:54</t>
        </is>
      </c>
      <c r="G1188" s="11" t="n">
        <v>0.2</v>
      </c>
      <c r="H1188" s="12" t="inlineStr"/>
      <c r="I1188" s="11" t="inlineStr">
        <is>
          <t>Not started</t>
        </is>
      </c>
      <c r="J1188" s="13" t="n"/>
      <c r="K1188" s="10" t="inlineStr"/>
      <c r="L1188" s="14" t="inlineStr">
        <is>
          <t>▶ watch</t>
        </is>
      </c>
      <c r="M1188" s="10" t="inlineStr">
        <is>
          <t>Yu et al. 2023, Science 379:1358 (CLEAN) · van Kempen et al. 2024, Nat Biotechnol 42:243 (Foldseek)</t>
        </is>
      </c>
      <c r="N1188" s="14" t="inlineStr">
        <is>
          <t>read ↗</t>
        </is>
      </c>
      <c r="O1188" s="11" t="inlineStr">
        <is>
          <t>section reading (2 of 5)</t>
        </is>
      </c>
      <c r="P1188" s="10" t="inlineStr">
        <is>
          <t>MLCB 2019 - the early-method talks that aged well</t>
        </is>
      </c>
    </row>
    <row r="1189">
      <c r="A1189" s="15" t="n">
        <v>1188</v>
      </c>
      <c r="B1189" s="15" t="inlineStr">
        <is>
          <t>Part II - The Method Atlas</t>
        </is>
      </c>
      <c r="C1189" s="16" t="inlineStr">
        <is>
          <t>R.1 Inverse folding and sequence design</t>
        </is>
      </c>
      <c r="D1189" s="10" t="inlineStr">
        <is>
          <t>Robust deep learning based protein sequence design using ProteinMPNN</t>
        </is>
      </c>
      <c r="E1189" s="10" t="inlineStr">
        <is>
          <t>Justas Dauparas (ML4PE</t>
        </is>
      </c>
      <c r="F1189" s="11" t="inlineStr">
        <is>
          <t>53:42</t>
        </is>
      </c>
      <c r="G1189" s="11" t="n">
        <v>0.9</v>
      </c>
      <c r="H1189" s="12" t="inlineStr">
        <is>
          <t>★</t>
        </is>
      </c>
      <c r="I1189" s="11" t="inlineStr">
        <is>
          <t>Not started</t>
        </is>
      </c>
      <c r="J1189" s="13" t="n"/>
      <c r="K1189" s="10" t="inlineStr"/>
      <c r="L1189" s="14" t="inlineStr">
        <is>
          <t>▶ watch</t>
        </is>
      </c>
      <c r="M1189" s="10" t="inlineStr">
        <is>
          <t>Dauparas et al. 2022, Science 378:49 (ProteinMPNN) [landmark]</t>
        </is>
      </c>
      <c r="N1189" s="14" t="inlineStr">
        <is>
          <t>read ↗</t>
        </is>
      </c>
      <c r="O1189" s="11" t="inlineStr">
        <is>
          <t>names PROTEINMPNN</t>
        </is>
      </c>
      <c r="P1189" s="10" t="inlineStr">
        <is>
          <t>2022</t>
        </is>
      </c>
    </row>
    <row r="1190">
      <c r="A1190" s="15" t="n">
        <v>1189</v>
      </c>
      <c r="B1190" s="15" t="inlineStr">
        <is>
          <t>Part II - The Method Atlas</t>
        </is>
      </c>
      <c r="C1190" s="16" t="inlineStr">
        <is>
          <t>R.1 Inverse folding and sequence design</t>
        </is>
      </c>
      <c r="D1190" s="10" t="inlineStr">
        <is>
          <t>Sequence Design with ProteinMPNN (hands-on</t>
        </is>
      </c>
      <c r="E1190" s="10" t="inlineStr">
        <is>
          <t>ProteinMPNN</t>
        </is>
      </c>
      <c r="F1190" s="11" t="inlineStr">
        <is>
          <t>33:41</t>
        </is>
      </c>
      <c r="G1190" s="11" t="n">
        <v>0.5600000000000001</v>
      </c>
      <c r="H1190" s="12" t="inlineStr"/>
      <c r="I1190" s="11" t="inlineStr">
        <is>
          <t>Not started</t>
        </is>
      </c>
      <c r="J1190" s="13" t="n"/>
      <c r="K1190" s="10" t="inlineStr"/>
      <c r="L1190" s="14" t="inlineStr">
        <is>
          <t>▶ watch</t>
        </is>
      </c>
      <c r="M1190" s="10" t="inlineStr">
        <is>
          <t>Dauparas et al. 2022, Science 378:49 (ProteinMPNN) [landmark]</t>
        </is>
      </c>
      <c r="N1190" s="14" t="inlineStr">
        <is>
          <t>read ↗</t>
        </is>
      </c>
      <c r="O1190" s="11" t="inlineStr">
        <is>
          <t>names PROTEINMPNN</t>
        </is>
      </c>
      <c r="P1190" s="10" t="inlineStr">
        <is>
          <t>ML Methods for Protein Modeling (2025) - 18 videos</t>
        </is>
      </c>
    </row>
    <row r="1191">
      <c r="A1191" s="15" t="n">
        <v>1190</v>
      </c>
      <c r="B1191" s="15" t="inlineStr">
        <is>
          <t>Part II - The Method Atlas</t>
        </is>
      </c>
      <c r="C1191" s="16" t="inlineStr">
        <is>
          <t>R.1 Inverse folding and sequence design</t>
        </is>
      </c>
      <c r="D1191" s="10" t="inlineStr">
        <is>
          <t>MPNN: ML for protein sequence design</t>
        </is>
      </c>
      <c r="E1191" s="10" t="inlineStr">
        <is>
          <t>ProteinMPNN</t>
        </is>
      </c>
      <c r="F1191" s="11" t="inlineStr">
        <is>
          <t>25:31</t>
        </is>
      </c>
      <c r="G1191" s="11" t="n">
        <v>0.43</v>
      </c>
      <c r="H1191" s="12" t="inlineStr"/>
      <c r="I1191" s="11" t="inlineStr">
        <is>
          <t>Not started</t>
        </is>
      </c>
      <c r="J1191" s="13" t="n"/>
      <c r="K1191" s="10" t="inlineStr"/>
      <c r="L1191" s="14" t="inlineStr">
        <is>
          <t>▶ watch</t>
        </is>
      </c>
      <c r="M1191" s="10" t="inlineStr">
        <is>
          <t>Dauparas et al. 2022, Science 378:49 (ProteinMPNN) [landmark]</t>
        </is>
      </c>
      <c r="N1191" s="14" t="inlineStr">
        <is>
          <t>read ↗</t>
        </is>
      </c>
      <c r="O1191" s="11" t="inlineStr">
        <is>
          <t>names PROTEINMPNN</t>
        </is>
      </c>
      <c r="P1191" s="10" t="inlineStr">
        <is>
          <t>RaMP Bootcamp 2023 - 12 videos (the PyRosetta core</t>
        </is>
      </c>
    </row>
    <row r="1192">
      <c r="A1192" s="15" t="n">
        <v>1191</v>
      </c>
      <c r="B1192" s="15" t="inlineStr">
        <is>
          <t>Part II - The Method Atlas</t>
        </is>
      </c>
      <c r="C1192" s="16" t="inlineStr">
        <is>
          <t>R.1 Inverse folding and sequence design</t>
        </is>
      </c>
      <c r="D1192" s="10" t="inlineStr">
        <is>
          <t>Inverse folding using ProteinMPNN</t>
        </is>
      </c>
      <c r="E1192" s="10" t="inlineStr">
        <is>
          <t>ProteinMPNN</t>
        </is>
      </c>
      <c r="F1192" s="11" t="inlineStr">
        <is>
          <t>29:56</t>
        </is>
      </c>
      <c r="G1192" s="11" t="n">
        <v>0.5</v>
      </c>
      <c r="H1192" s="12" t="inlineStr"/>
      <c r="I1192" s="11" t="inlineStr">
        <is>
          <t>Not started</t>
        </is>
      </c>
      <c r="J1192" s="13" t="n"/>
      <c r="K1192" s="10" t="inlineStr"/>
      <c r="L1192" s="14" t="inlineStr">
        <is>
          <t>▶ watch</t>
        </is>
      </c>
      <c r="M1192" s="10" t="inlineStr">
        <is>
          <t>Dauparas et al. 2022, Science 378:49 (ProteinMPNN) [landmark]</t>
        </is>
      </c>
      <c r="N1192" s="14" t="inlineStr">
        <is>
          <t>read ↗</t>
        </is>
      </c>
      <c r="O1192" s="11" t="inlineStr">
        <is>
          <t>names PROTEINMPNN</t>
        </is>
      </c>
      <c r="P1192" s="10" t="inlineStr">
        <is>
          <t>ML for Protein Design Bootcamp (2026) - 13 videos</t>
        </is>
      </c>
    </row>
    <row r="1193">
      <c r="A1193" s="15" t="n">
        <v>1192</v>
      </c>
      <c r="B1193" s="15" t="inlineStr">
        <is>
          <t>Part II - The Method Atlas</t>
        </is>
      </c>
      <c r="C1193" s="16" t="inlineStr">
        <is>
          <t>R.1 Inverse folding and sequence design</t>
        </is>
      </c>
      <c r="D1193" s="10" t="inlineStr">
        <is>
          <t>Sequence Design with LigandMPNN</t>
        </is>
      </c>
      <c r="E1193" s="10" t="inlineStr">
        <is>
          <t>LigandMPNN</t>
        </is>
      </c>
      <c r="F1193" s="11" t="inlineStr">
        <is>
          <t>17:39</t>
        </is>
      </c>
      <c r="G1193" s="11" t="n">
        <v>0.29</v>
      </c>
      <c r="H1193" s="12" t="inlineStr"/>
      <c r="I1193" s="11" t="inlineStr">
        <is>
          <t>Not started</t>
        </is>
      </c>
      <c r="J1193" s="13" t="n"/>
      <c r="K1193" s="10" t="inlineStr"/>
      <c r="L1193" s="14" t="inlineStr">
        <is>
          <t>▶ watch</t>
        </is>
      </c>
      <c r="M1193" s="10" t="inlineStr">
        <is>
          <t>Dauparas et al. 2025, Nat Methods 22:717 (LigandMPNN)</t>
        </is>
      </c>
      <c r="N1193" s="14" t="inlineStr">
        <is>
          <t>read ↗</t>
        </is>
      </c>
      <c r="O1193" s="11" t="inlineStr">
        <is>
          <t>names LIGANDMPNN</t>
        </is>
      </c>
      <c r="P1193" s="10" t="inlineStr">
        <is>
          <t>ML Methods for Protein Modeling (2025) - 18 videos</t>
        </is>
      </c>
    </row>
    <row r="1194">
      <c r="A1194" s="15" t="n">
        <v>1193</v>
      </c>
      <c r="B1194" s="15" t="inlineStr">
        <is>
          <t>Part II - The Method Atlas</t>
        </is>
      </c>
      <c r="C1194" s="16" t="inlineStr">
        <is>
          <t>R.1 Inverse folding and sequence design</t>
        </is>
      </c>
      <c r="D1194" s="10" t="inlineStr">
        <is>
          <t>Adapting protein language models for structure-conditioned design</t>
        </is>
      </c>
      <c r="E1194" s="10" t="inlineStr">
        <is>
          <t>ESM-IF</t>
        </is>
      </c>
      <c r="F1194" s="11" t="inlineStr">
        <is>
          <t>55:47</t>
        </is>
      </c>
      <c r="G1194" s="11" t="n">
        <v>0.93</v>
      </c>
      <c r="H1194" s="12" t="inlineStr"/>
      <c r="I1194" s="11" t="inlineStr">
        <is>
          <t>Not started</t>
        </is>
      </c>
      <c r="J1194" s="13" t="n"/>
      <c r="K1194" s="10" t="inlineStr"/>
      <c r="L1194" s="14" t="inlineStr">
        <is>
          <t>▶ watch</t>
        </is>
      </c>
      <c r="M1194" s="10" t="inlineStr">
        <is>
          <t>Hsu et al. 2022, ICML (ESM-IF)</t>
        </is>
      </c>
      <c r="N1194" s="14" t="inlineStr">
        <is>
          <t>read ↗</t>
        </is>
      </c>
      <c r="O1194" s="11" t="inlineStr">
        <is>
          <t>names ESM</t>
        </is>
      </c>
      <c r="P1194" s="10" t="inlineStr">
        <is>
          <t>2024</t>
        </is>
      </c>
    </row>
    <row r="1195">
      <c r="A1195" s="15" t="n">
        <v>1194</v>
      </c>
      <c r="B1195" s="15" t="inlineStr">
        <is>
          <t>Part II - The Method Atlas</t>
        </is>
      </c>
      <c r="C1195" s="16" t="inlineStr">
        <is>
          <t>R.1 Inverse folding and sequence design</t>
        </is>
      </c>
      <c r="D1195" s="10" t="inlineStr">
        <is>
          <t>Early Career Seminar #7</t>
        </is>
      </c>
      <c r="E1195" s="10" t="inlineStr">
        <is>
          <t>Gabe Rocklin (ML4PE</t>
        </is>
      </c>
      <c r="F1195" s="11" t="inlineStr">
        <is>
          <t>1:00:26</t>
        </is>
      </c>
      <c r="G1195" s="11" t="n">
        <v>1.01</v>
      </c>
      <c r="H1195" s="12" t="inlineStr">
        <is>
          <t>★</t>
        </is>
      </c>
      <c r="I1195" s="11" t="inlineStr">
        <is>
          <t>Not started</t>
        </is>
      </c>
      <c r="J1195" s="13" t="n"/>
      <c r="K1195" s="10" t="inlineStr"/>
      <c r="L1195" s="14" t="inlineStr">
        <is>
          <t>▶ watch</t>
        </is>
      </c>
      <c r="M1195" s="10" t="inlineStr">
        <is>
          <t>Dauparas et al. 2022, Science 378:49 (ProteinMPNN) [landmark] · Dauparas et al. 2025, Nat Methods 22:717 (LigandMPNN)</t>
        </is>
      </c>
      <c r="N1195" s="14" t="inlineStr">
        <is>
          <t>read ↗</t>
        </is>
      </c>
      <c r="O1195" s="11" t="inlineStr">
        <is>
          <t>section reading (2 of 7)</t>
        </is>
      </c>
      <c r="P1195" s="10" t="inlineStr">
        <is>
          <t>ML4PE Early Career Seminar Series - 15 talks</t>
        </is>
      </c>
    </row>
    <row r="1196">
      <c r="A1196" s="15" t="n">
        <v>1195</v>
      </c>
      <c r="B1196" s="15" t="inlineStr">
        <is>
          <t>Part II - The Method Atlas</t>
        </is>
      </c>
      <c r="C1196" s="16" t="inlineStr">
        <is>
          <t>R.1 Inverse folding and sequence design</t>
        </is>
      </c>
      <c r="D1196" s="10" t="inlineStr">
        <is>
          <t>Sequence Design Introduction</t>
        </is>
      </c>
      <c r="E1196" s="10" t="inlineStr">
        <is>
          <t>Rosetta fixbb</t>
        </is>
      </c>
      <c r="F1196" s="11" t="inlineStr">
        <is>
          <t>13:46</t>
        </is>
      </c>
      <c r="G1196" s="11" t="n">
        <v>0.23</v>
      </c>
      <c r="H1196" s="12" t="inlineStr"/>
      <c r="I1196" s="11" t="inlineStr">
        <is>
          <t>Not started</t>
        </is>
      </c>
      <c r="J1196" s="13" t="n"/>
      <c r="K1196" s="10" t="inlineStr"/>
      <c r="L1196" s="14" t="inlineStr">
        <is>
          <t>▶ watch</t>
        </is>
      </c>
      <c r="M1196" s="10" t="inlineStr">
        <is>
          <t>Dauparas et al. 2022, Science 378:49 (ProteinMPNN) [landmark] · Dauparas et al. 2025, Nat Methods 22:717 (LigandMPNN)</t>
        </is>
      </c>
      <c r="N1196" s="14" t="inlineStr">
        <is>
          <t>read ↗</t>
        </is>
      </c>
      <c r="O1196" s="11" t="inlineStr">
        <is>
          <t>section reading (2 of 7)</t>
        </is>
      </c>
      <c r="P1196" s="10" t="inlineStr">
        <is>
          <t>ML Methods for Protein Modeling (2025) - 18 videos</t>
        </is>
      </c>
    </row>
    <row r="1197">
      <c r="A1197" s="15" t="n">
        <v>1196</v>
      </c>
      <c r="B1197" s="15" t="inlineStr">
        <is>
          <t>Part II - The Method Atlas</t>
        </is>
      </c>
      <c r="C1197" s="16" t="inlineStr">
        <is>
          <t>R.1 Inverse folding and sequence design</t>
        </is>
      </c>
      <c r="D1197" s="10" t="inlineStr">
        <is>
          <t>Computational Protein Design Then &amp; Now (1988–2024</t>
        </is>
      </c>
      <c r="E1197" s="10" t="inlineStr">
        <is>
          <t>Baker, DeGrado, Mayo, Kuhlman (IPD</t>
        </is>
      </c>
      <c r="F1197" s="11" t="inlineStr">
        <is>
          <t>59:50</t>
        </is>
      </c>
      <c r="G1197" s="11" t="n">
        <v>1</v>
      </c>
      <c r="H1197" s="12" t="inlineStr"/>
      <c r="I1197" s="11" t="inlineStr">
        <is>
          <t>Not started</t>
        </is>
      </c>
      <c r="J1197" s="13" t="n"/>
      <c r="K1197" s="10" t="inlineStr"/>
      <c r="L1197" s="14" t="inlineStr">
        <is>
          <t>▶ watch</t>
        </is>
      </c>
      <c r="M1197" s="10" t="inlineStr">
        <is>
          <t>Dauparas et al. 2022, Science 378:49 (ProteinMPNN) [landmark] · Dauparas et al. 2025, Nat Methods 22:717 (LigandMPNN)</t>
        </is>
      </c>
      <c r="N1197" s="14" t="inlineStr">
        <is>
          <t>read ↗</t>
        </is>
      </c>
      <c r="O1197" s="11" t="inlineStr">
        <is>
          <t>section reading (2 of 7)</t>
        </is>
      </c>
      <c r="P1197" s="10" t="inlineStr">
        <is>
          <t>R.5 Enzyme design - the field's most honest corner</t>
        </is>
      </c>
    </row>
    <row r="1198">
      <c r="A1198" s="15" t="n">
        <v>1197</v>
      </c>
      <c r="B1198" s="15" t="inlineStr">
        <is>
          <t>Part II - The Method Atlas</t>
        </is>
      </c>
      <c r="C1198" s="16" t="inlineStr">
        <is>
          <t>R.1 Inverse folding and sequence design</t>
        </is>
      </c>
      <c r="D1198" s="10" t="inlineStr">
        <is>
          <t>Ensemble-conditioned protein sequence design with Caliby</t>
        </is>
      </c>
      <c r="E1198" s="10" t="inlineStr">
        <is>
          <t>Ensemble-conditioned</t>
        </is>
      </c>
      <c r="F1198" s="11" t="inlineStr">
        <is>
          <t>34:00</t>
        </is>
      </c>
      <c r="G1198" s="11" t="n">
        <v>0.57</v>
      </c>
      <c r="H1198" s="12" t="inlineStr"/>
      <c r="I1198" s="11" t="inlineStr">
        <is>
          <t>Not started</t>
        </is>
      </c>
      <c r="J1198" s="13" t="n"/>
      <c r="K1198" s="10" t="inlineStr"/>
      <c r="L1198" s="14" t="inlineStr">
        <is>
          <t>▶ watch</t>
        </is>
      </c>
      <c r="M1198" s="10" t="inlineStr">
        <is>
          <t>Dauparas et al. 2022, Science 378:49 (ProteinMPNN) [landmark] · Dauparas et al. 2025, Nat Methods 22:717 (LigandMPNN)</t>
        </is>
      </c>
      <c r="N1198" s="14" t="inlineStr">
        <is>
          <t>read ↗</t>
        </is>
      </c>
      <c r="O1198" s="11" t="inlineStr">
        <is>
          <t>section reading (2 of 7)</t>
        </is>
      </c>
      <c r="P1198" s="10" t="inlineStr">
        <is>
          <t>2026 - posted but not on the schedule page</t>
        </is>
      </c>
    </row>
    <row r="1199">
      <c r="A1199" s="15" t="n">
        <v>1198</v>
      </c>
      <c r="B1199" s="15" t="inlineStr">
        <is>
          <t>Part II - The Method Atlas</t>
        </is>
      </c>
      <c r="C1199" s="16" t="inlineStr">
        <is>
          <t>The metric critique - watch immediately after Dauparas</t>
        </is>
      </c>
      <c r="D1199" s="10" t="inlineStr">
        <is>
          <t>Protein sequence design by explicit energy landscape optimization</t>
        </is>
      </c>
      <c r="E1199" s="10" t="inlineStr">
        <is>
          <t>BPDMC</t>
        </is>
      </c>
      <c r="F1199" s="11" t="inlineStr">
        <is>
          <t>1:30:36</t>
        </is>
      </c>
      <c r="G1199" s="11" t="n">
        <v>1.51</v>
      </c>
      <c r="H1199" s="12" t="inlineStr">
        <is>
          <t>★</t>
        </is>
      </c>
      <c r="I1199" s="11" t="inlineStr">
        <is>
          <t>Not started</t>
        </is>
      </c>
      <c r="J1199" s="13" t="n"/>
      <c r="K1199" s="10" t="inlineStr"/>
      <c r="L1199" s="14" t="inlineStr">
        <is>
          <t>▶ watch</t>
        </is>
      </c>
      <c r="M1199" s="10" t="inlineStr">
        <is>
          <t>Dauparas et al. 2022, Science 378:49 (ProteinMPNN) [landmark] · Dauparas et al. 2025, Nat Methods 22:717 (LigandMPNN)</t>
        </is>
      </c>
      <c r="N1199" s="14" t="inlineStr">
        <is>
          <t>read ↗</t>
        </is>
      </c>
      <c r="O1199" s="11" t="inlineStr">
        <is>
          <t>reading for R.1 Inverse folding and sequence design</t>
        </is>
      </c>
      <c r="P1199" s="10" t="inlineStr">
        <is>
          <t>2020</t>
        </is>
      </c>
    </row>
    <row r="1200">
      <c r="A1200" s="15" t="n">
        <v>1199</v>
      </c>
      <c r="B1200" s="15" t="inlineStr">
        <is>
          <t>Part II - The Method Atlas</t>
        </is>
      </c>
      <c r="C1200" s="16" t="inlineStr">
        <is>
          <t>The metric critique - watch immediately after Dauparas</t>
        </is>
      </c>
      <c r="D1200" s="10" t="inlineStr">
        <is>
          <t>Beyond sequence recovery: improved modeling of the sequence-energy landscape</t>
        </is>
      </c>
      <c r="E1200" s="10" t="inlineStr">
        <is>
          <t>BPDMC</t>
        </is>
      </c>
      <c r="F1200" s="11" t="inlineStr">
        <is>
          <t>33:23</t>
        </is>
      </c>
      <c r="G1200" s="11" t="n">
        <v>0.5600000000000001</v>
      </c>
      <c r="H1200" s="12" t="inlineStr">
        <is>
          <t>★</t>
        </is>
      </c>
      <c r="I1200" s="11" t="inlineStr">
        <is>
          <t>Not started</t>
        </is>
      </c>
      <c r="J1200" s="13" t="n"/>
      <c r="K1200" s="10" t="inlineStr"/>
      <c r="L1200" s="14" t="inlineStr">
        <is>
          <t>▶ watch</t>
        </is>
      </c>
      <c r="M1200" s="10" t="inlineStr">
        <is>
          <t>Dauparas et al. 2022, Science 378:49 (ProteinMPNN) [landmark] · Dauparas et al. 2025, Nat Methods 22:717 (LigandMPNN)</t>
        </is>
      </c>
      <c r="N1200" s="14" t="inlineStr">
        <is>
          <t>read ↗</t>
        </is>
      </c>
      <c r="O1200" s="11" t="inlineStr">
        <is>
          <t>reading for R.1 Inverse folding and sequence design</t>
        </is>
      </c>
      <c r="P1200" s="10" t="inlineStr">
        <is>
          <t>2026</t>
        </is>
      </c>
    </row>
    <row r="1201">
      <c r="A1201" s="15" t="n">
        <v>1200</v>
      </c>
      <c r="B1201" s="15" t="inlineStr">
        <is>
          <t>Part II - The Method Atlas</t>
        </is>
      </c>
      <c r="C1201" s="16" t="inlineStr">
        <is>
          <t>R.2 Backbone generation</t>
        </is>
      </c>
      <c r="D1201" s="10" t="inlineStr">
        <is>
          <t>Accurate protein design using structure prediction and diffusion</t>
        </is>
      </c>
      <c r="E1201" s="10" t="inlineStr">
        <is>
          <t>Watson &amp; Juergens (ML4PE</t>
        </is>
      </c>
      <c r="F1201" s="11" t="inlineStr">
        <is>
          <t>43:52</t>
        </is>
      </c>
      <c r="G1201" s="11" t="n">
        <v>0.73</v>
      </c>
      <c r="H1201" s="12" t="inlineStr">
        <is>
          <t>★</t>
        </is>
      </c>
      <c r="I1201" s="11" t="inlineStr">
        <is>
          <t>Not started</t>
        </is>
      </c>
      <c r="J1201" s="13" t="n"/>
      <c r="K1201" s="10" t="inlineStr"/>
      <c r="L1201" s="14" t="inlineStr">
        <is>
          <t>▶ watch</t>
        </is>
      </c>
      <c r="M1201" s="10" t="inlineStr">
        <is>
          <t>Watson et al. 2023, Nature 620:1089 (RFdiffusion) [landmark] · Krishna et al. 2024, Science 384:eadl2528 (RFAA)</t>
        </is>
      </c>
      <c r="N1201" s="14" t="inlineStr">
        <is>
          <t>read ↗</t>
        </is>
      </c>
      <c r="O1201" s="11" t="inlineStr">
        <is>
          <t>section reading (2 of 15)</t>
        </is>
      </c>
      <c r="P1201" s="10" t="inlineStr">
        <is>
          <t>2023</t>
        </is>
      </c>
    </row>
    <row r="1202">
      <c r="A1202" s="15" t="n">
        <v>1201</v>
      </c>
      <c r="B1202" s="15" t="inlineStr">
        <is>
          <t>Part II - The Method Atlas</t>
        </is>
      </c>
      <c r="C1202" s="16" t="inlineStr">
        <is>
          <t>R.2 Backbone generation</t>
        </is>
      </c>
      <c r="D1202" s="10" t="inlineStr">
        <is>
          <t>Molecular ML Reading Group: RFdiffusion (critique</t>
        </is>
      </c>
      <c r="E1202" s="10" t="inlineStr">
        <is>
          <t>RFdiffusion</t>
        </is>
      </c>
      <c r="F1202" s="11" t="inlineStr">
        <is>
          <t>1:00:21</t>
        </is>
      </c>
      <c r="G1202" s="11" t="n">
        <v>1.01</v>
      </c>
      <c r="H1202" s="12" t="inlineStr">
        <is>
          <t>★</t>
        </is>
      </c>
      <c r="I1202" s="11" t="inlineStr">
        <is>
          <t>Not started</t>
        </is>
      </c>
      <c r="J1202" s="13" t="n"/>
      <c r="K1202" s="10" t="inlineStr"/>
      <c r="L1202" s="14" t="inlineStr">
        <is>
          <t>▶ watch</t>
        </is>
      </c>
      <c r="M1202" s="10" t="inlineStr">
        <is>
          <t>Watson et al. 2023, Nature 620:1089 (RFdiffusion) [landmark]</t>
        </is>
      </c>
      <c r="N1202" s="14" t="inlineStr">
        <is>
          <t>read ↗</t>
        </is>
      </c>
      <c r="O1202" s="11" t="inlineStr">
        <is>
          <t>names RFDIFFUSION</t>
        </is>
      </c>
      <c r="P1202" s="10" t="inlineStr"/>
    </row>
    <row r="1203">
      <c r="A1203" s="15" t="n">
        <v>1202</v>
      </c>
      <c r="B1203" s="15" t="inlineStr">
        <is>
          <t>Part II - The Method Atlas</t>
        </is>
      </c>
      <c r="C1203" s="16" t="inlineStr">
        <is>
          <t>R.2 Backbone generation</t>
        </is>
      </c>
      <c r="D1203" s="10" t="inlineStr">
        <is>
          <t>Backbone Generation with RFdiffusion (hands-on</t>
        </is>
      </c>
      <c r="E1203" s="10" t="inlineStr">
        <is>
          <t>RFdiffusion</t>
        </is>
      </c>
      <c r="F1203" s="11" t="inlineStr">
        <is>
          <t>25:35</t>
        </is>
      </c>
      <c r="G1203" s="11" t="n">
        <v>0.43</v>
      </c>
      <c r="H1203" s="12" t="inlineStr"/>
      <c r="I1203" s="11" t="inlineStr">
        <is>
          <t>Not started</t>
        </is>
      </c>
      <c r="J1203" s="13" t="n"/>
      <c r="K1203" s="10" t="inlineStr"/>
      <c r="L1203" s="14" t="inlineStr">
        <is>
          <t>▶ watch</t>
        </is>
      </c>
      <c r="M1203" s="10" t="inlineStr">
        <is>
          <t>Watson et al. 2023, Nature 620:1089 (RFdiffusion) [landmark]</t>
        </is>
      </c>
      <c r="N1203" s="14" t="inlineStr">
        <is>
          <t>read ↗</t>
        </is>
      </c>
      <c r="O1203" s="11" t="inlineStr">
        <is>
          <t>names RFDIFFUSION</t>
        </is>
      </c>
      <c r="P1203" s="10" t="inlineStr">
        <is>
          <t>ML Methods for Protein Modeling (2025) - 18 videos</t>
        </is>
      </c>
    </row>
    <row r="1204">
      <c r="A1204" s="15" t="n">
        <v>1203</v>
      </c>
      <c r="B1204" s="15" t="inlineStr">
        <is>
          <t>Part II - The Method Atlas</t>
        </is>
      </c>
      <c r="C1204" s="16" t="inlineStr">
        <is>
          <t>R.2 Backbone generation</t>
        </is>
      </c>
      <c r="D1204" s="10" t="inlineStr">
        <is>
          <t>Fundamentals of protein binder design with RFdiffusion</t>
        </is>
      </c>
      <c r="E1204" s="10" t="inlineStr">
        <is>
          <t>RFdiffusion</t>
        </is>
      </c>
      <c r="F1204" s="11" t="inlineStr">
        <is>
          <t>20:32</t>
        </is>
      </c>
      <c r="G1204" s="11" t="n">
        <v>0.34</v>
      </c>
      <c r="H1204" s="12" t="inlineStr"/>
      <c r="I1204" s="11" t="inlineStr">
        <is>
          <t>Not started</t>
        </is>
      </c>
      <c r="J1204" s="13" t="n"/>
      <c r="K1204" s="10" t="inlineStr"/>
      <c r="L1204" s="14" t="inlineStr">
        <is>
          <t>▶ watch</t>
        </is>
      </c>
      <c r="M1204" s="10" t="inlineStr">
        <is>
          <t>Watson et al. 2023, Nature 620:1089 (RFdiffusion) [landmark]</t>
        </is>
      </c>
      <c r="N1204" s="14" t="inlineStr">
        <is>
          <t>read ↗</t>
        </is>
      </c>
      <c r="O1204" s="11" t="inlineStr">
        <is>
          <t>names RFDIFFUSION</t>
        </is>
      </c>
      <c r="P1204" s="10" t="inlineStr">
        <is>
          <t>Guided Tutorials - 5 videos; R.4 Binder design - and the honest hit rates</t>
        </is>
      </c>
    </row>
    <row r="1205">
      <c r="A1205" s="15" t="n">
        <v>1204</v>
      </c>
      <c r="B1205" s="15" t="inlineStr">
        <is>
          <t>Part II - The Method Atlas</t>
        </is>
      </c>
      <c r="C1205" s="16" t="inlineStr">
        <is>
          <t>R.2 Backbone generation</t>
        </is>
      </c>
      <c r="D1205" s="10" t="inlineStr">
        <is>
          <t>Backbone Generation with RFdiffusion All-Atom</t>
        </is>
      </c>
      <c r="E1205" s="10" t="inlineStr">
        <is>
          <t>RFdiffusion-AA</t>
        </is>
      </c>
      <c r="F1205" s="11" t="inlineStr">
        <is>
          <t>13:41</t>
        </is>
      </c>
      <c r="G1205" s="11" t="n">
        <v>0.23</v>
      </c>
      <c r="H1205" s="12" t="inlineStr"/>
      <c r="I1205" s="11" t="inlineStr">
        <is>
          <t>Not started</t>
        </is>
      </c>
      <c r="J1205" s="13" t="n"/>
      <c r="K1205" s="10" t="inlineStr"/>
      <c r="L1205" s="14" t="inlineStr">
        <is>
          <t>▶ watch</t>
        </is>
      </c>
      <c r="M1205" s="10" t="inlineStr">
        <is>
          <t>Watson et al. 2023, Nature 620:1089 (RFdiffusion) [landmark]</t>
        </is>
      </c>
      <c r="N1205" s="14" t="inlineStr">
        <is>
          <t>read ↗</t>
        </is>
      </c>
      <c r="O1205" s="11" t="inlineStr">
        <is>
          <t>names RFDIFFUSION</t>
        </is>
      </c>
      <c r="P1205" s="10" t="inlineStr">
        <is>
          <t>ML Methods for Protein Modeling (2025) - 18 videos</t>
        </is>
      </c>
    </row>
    <row r="1206">
      <c r="A1206" s="15" t="n">
        <v>1205</v>
      </c>
      <c r="B1206" s="15" t="inlineStr">
        <is>
          <t>Part II - The Method Atlas</t>
        </is>
      </c>
      <c r="C1206" s="16" t="inlineStr">
        <is>
          <t>R.2 Backbone generation</t>
        </is>
      </c>
      <c r="D1206" s="10" t="inlineStr">
        <is>
          <t>Atom level enzyme active site scaffolding</t>
        </is>
      </c>
      <c r="E1206" s="10" t="inlineStr">
        <is>
          <t>Ahern &amp; Yim (ML4PE</t>
        </is>
      </c>
      <c r="F1206" s="11" t="inlineStr">
        <is>
          <t>51:56</t>
        </is>
      </c>
      <c r="G1206" s="11" t="n">
        <v>0.87</v>
      </c>
      <c r="H1206" s="12" t="inlineStr">
        <is>
          <t>★</t>
        </is>
      </c>
      <c r="I1206" s="11" t="inlineStr">
        <is>
          <t>Not started</t>
        </is>
      </c>
      <c r="J1206" s="13" t="n"/>
      <c r="K1206" s="10" t="inlineStr"/>
      <c r="L1206" s="14" t="inlineStr">
        <is>
          <t>▶ watch</t>
        </is>
      </c>
      <c r="M1206" s="10" t="inlineStr">
        <is>
          <t>Watson et al. 2023, Nature 620:1089 (RFdiffusion) [landmark] · Krishna et al. 2024, Science 384:eadl2528 (RFAA)</t>
        </is>
      </c>
      <c r="N1206" s="14" t="inlineStr">
        <is>
          <t>read ↗</t>
        </is>
      </c>
      <c r="O1206" s="11" t="inlineStr">
        <is>
          <t>section reading (2 of 15)</t>
        </is>
      </c>
      <c r="P1206" s="10" t="inlineStr">
        <is>
          <t>2025</t>
        </is>
      </c>
    </row>
    <row r="1207">
      <c r="A1207" s="15" t="n">
        <v>1206</v>
      </c>
      <c r="B1207" s="15" t="inlineStr">
        <is>
          <t>Part II - The Method Atlas</t>
        </is>
      </c>
      <c r="C1207" s="16" t="inlineStr">
        <is>
          <t>R.2 Backbone generation</t>
        </is>
      </c>
      <c r="D1207" s="10" t="inlineStr">
        <is>
          <t>Yim &amp; Ahern (Valence</t>
        </is>
      </c>
      <c r="E1207" s="10" t="inlineStr">
        <is>
          <t>RFdiffusion2</t>
        </is>
      </c>
      <c r="F1207" s="11" t="inlineStr">
        <is>
          <t>1:12:41</t>
        </is>
      </c>
      <c r="G1207" s="11" t="n">
        <v>1.21</v>
      </c>
      <c r="H1207" s="12" t="inlineStr">
        <is>
          <t>★</t>
        </is>
      </c>
      <c r="I1207" s="11" t="inlineStr">
        <is>
          <t>Not started</t>
        </is>
      </c>
      <c r="J1207" s="13" t="n"/>
      <c r="K1207" s="10" t="inlineStr"/>
      <c r="L1207" s="14" t="inlineStr">
        <is>
          <t>▶ watch</t>
        </is>
      </c>
      <c r="M1207" s="10" t="inlineStr">
        <is>
          <t>Ahern et al. 2026, Nat Methods 23:96 (RFdiffusion2)</t>
        </is>
      </c>
      <c r="N1207" s="14" t="inlineStr">
        <is>
          <t>read ↗</t>
        </is>
      </c>
      <c r="O1207" s="11" t="inlineStr">
        <is>
          <t>names RFDIFFUSION2</t>
        </is>
      </c>
      <c r="P1207" s="10" t="inlineStr">
        <is>
          <t>Structure prediction, design and biomolecular foundation models</t>
        </is>
      </c>
    </row>
    <row r="1208">
      <c r="A1208" s="15" t="n">
        <v>1207</v>
      </c>
      <c r="B1208" s="15" t="inlineStr">
        <is>
          <t>Part II - The Method Atlas</t>
        </is>
      </c>
      <c r="C1208" s="16" t="inlineStr">
        <is>
          <t>R.2 Backbone generation</t>
        </is>
      </c>
      <c r="D1208" s="10" t="inlineStr">
        <is>
          <t>De novo Design of All-atom Biomolecular Interactions</t>
        </is>
      </c>
      <c r="E1208" s="10" t="inlineStr">
        <is>
          <t>RFdiffusion3</t>
        </is>
      </c>
      <c r="F1208" s="11" t="inlineStr">
        <is>
          <t>48:07</t>
        </is>
      </c>
      <c r="G1208" s="11" t="n">
        <v>0.8</v>
      </c>
      <c r="H1208" s="12" t="inlineStr">
        <is>
          <t>★</t>
        </is>
      </c>
      <c r="I1208" s="11" t="inlineStr">
        <is>
          <t>Not started</t>
        </is>
      </c>
      <c r="J1208" s="13" t="n"/>
      <c r="K1208" s="10" t="inlineStr"/>
      <c r="L1208" s="14" t="inlineStr">
        <is>
          <t>▶ watch</t>
        </is>
      </c>
      <c r="M1208" s="10" t="inlineStr">
        <is>
          <t>Butcher et al. 2025, bioRxiv (RFdiffusion3, preprint)</t>
        </is>
      </c>
      <c r="N1208" s="14" t="inlineStr">
        <is>
          <t>read ↗</t>
        </is>
      </c>
      <c r="O1208" s="11" t="inlineStr">
        <is>
          <t>names RFDIFFUSION3</t>
        </is>
      </c>
      <c r="P1208" s="10" t="inlineStr">
        <is>
          <t>2026 - posted but not on the schedule page</t>
        </is>
      </c>
    </row>
    <row r="1209">
      <c r="A1209" s="15" t="n">
        <v>1208</v>
      </c>
      <c r="B1209" s="15" t="inlineStr">
        <is>
          <t>Part II - The Method Atlas</t>
        </is>
      </c>
      <c r="C1209" s="16" t="inlineStr">
        <is>
          <t>R.2 Backbone generation</t>
        </is>
      </c>
      <c r="D1209" s="10" t="inlineStr">
        <is>
          <t>Protein Binder Design with RFdiffusion3</t>
        </is>
      </c>
      <c r="E1209" s="10" t="inlineStr">
        <is>
          <t>RFdiffusion3</t>
        </is>
      </c>
      <c r="F1209" s="11" t="inlineStr">
        <is>
          <t>30:59</t>
        </is>
      </c>
      <c r="G1209" s="11" t="n">
        <v>0.52</v>
      </c>
      <c r="H1209" s="12" t="inlineStr"/>
      <c r="I1209" s="11" t="inlineStr">
        <is>
          <t>Not started</t>
        </is>
      </c>
      <c r="J1209" s="13" t="n"/>
      <c r="K1209" s="10" t="inlineStr"/>
      <c r="L1209" s="14" t="inlineStr">
        <is>
          <t>▶ watch</t>
        </is>
      </c>
      <c r="M1209" s="10" t="inlineStr">
        <is>
          <t>Butcher et al. 2025, bioRxiv (RFdiffusion3, preprint)</t>
        </is>
      </c>
      <c r="N1209" s="14" t="inlineStr">
        <is>
          <t>read ↗</t>
        </is>
      </c>
      <c r="O1209" s="11" t="inlineStr">
        <is>
          <t>names RFDIFFUSION3</t>
        </is>
      </c>
      <c r="P1209" s="10" t="inlineStr">
        <is>
          <t>Tech Tea Time - 9 videos</t>
        </is>
      </c>
    </row>
    <row r="1210">
      <c r="A1210" s="15" t="n">
        <v>1209</v>
      </c>
      <c r="B1210" s="15" t="inlineStr">
        <is>
          <t>Part II - The Method Atlas</t>
        </is>
      </c>
      <c r="C1210" s="16" t="inlineStr">
        <is>
          <t>R.2 Backbone generation</t>
        </is>
      </c>
      <c r="D1210" s="10" t="inlineStr">
        <is>
          <t>Simple Motif Scaffolding Guided Tutorial</t>
        </is>
      </c>
      <c r="E1210" s="10" t="inlineStr">
        <is>
          <t>RFdiffusion3</t>
        </is>
      </c>
      <c r="F1210" s="11" t="inlineStr">
        <is>
          <t>10:21</t>
        </is>
      </c>
      <c r="G1210" s="11" t="n">
        <v>0.17</v>
      </c>
      <c r="H1210" s="12" t="inlineStr"/>
      <c r="I1210" s="11" t="inlineStr">
        <is>
          <t>Not started</t>
        </is>
      </c>
      <c r="J1210" s="13" t="n"/>
      <c r="K1210" s="10" t="inlineStr"/>
      <c r="L1210" s="14" t="inlineStr">
        <is>
          <t>▶ watch</t>
        </is>
      </c>
      <c r="M1210" s="10" t="inlineStr">
        <is>
          <t>Butcher et al. 2025, bioRxiv (RFdiffusion3, preprint)</t>
        </is>
      </c>
      <c r="N1210" s="14" t="inlineStr">
        <is>
          <t>read ↗</t>
        </is>
      </c>
      <c r="O1210" s="11" t="inlineStr">
        <is>
          <t>names RFDIFFUSION3</t>
        </is>
      </c>
      <c r="P1210" s="10" t="inlineStr">
        <is>
          <t>Guided Tutorials - 5 videos</t>
        </is>
      </c>
    </row>
    <row r="1211">
      <c r="A1211" s="15" t="n">
        <v>1210</v>
      </c>
      <c r="B1211" s="15" t="inlineStr">
        <is>
          <t>Part II - The Method Atlas</t>
        </is>
      </c>
      <c r="C1211" s="16" t="inlineStr">
        <is>
          <t>R.2 Backbone generation</t>
        </is>
      </c>
      <c r="D1211" s="10" t="inlineStr">
        <is>
          <t>Illuminating protein space with a programmable generative model</t>
        </is>
      </c>
      <c r="E1211" s="10" t="inlineStr">
        <is>
          <t>Grigoryan &amp; Costello (Proxima</t>
        </is>
      </c>
      <c r="F1211" s="11" t="inlineStr">
        <is>
          <t>1:03:38</t>
        </is>
      </c>
      <c r="G1211" s="11" t="n">
        <v>1.06</v>
      </c>
      <c r="H1211" s="12" t="inlineStr">
        <is>
          <t>★</t>
        </is>
      </c>
      <c r="I1211" s="11" t="inlineStr">
        <is>
          <t>Not started</t>
        </is>
      </c>
      <c r="J1211" s="13" t="n"/>
      <c r="K1211" s="10" t="inlineStr"/>
      <c r="L1211" s="14" t="inlineStr">
        <is>
          <t>▶ watch</t>
        </is>
      </c>
      <c r="M1211" s="10" t="inlineStr">
        <is>
          <t>Watson et al. 2023, Nature 620:1089 (RFdiffusion) [landmark] · Krishna et al. 2024, Science 384:eadl2528 (RFAA)</t>
        </is>
      </c>
      <c r="N1211" s="14" t="inlineStr">
        <is>
          <t>read ↗</t>
        </is>
      </c>
      <c r="O1211" s="11" t="inlineStr">
        <is>
          <t>section reading (2 of 15)</t>
        </is>
      </c>
      <c r="P1211" s="10" t="inlineStr"/>
    </row>
    <row r="1212">
      <c r="A1212" s="15" t="n">
        <v>1211</v>
      </c>
      <c r="B1212" s="15" t="inlineStr">
        <is>
          <t>Part II - The Method Atlas</t>
        </is>
      </c>
      <c r="C1212" s="16" t="inlineStr">
        <is>
          <t>R.2 Backbone generation</t>
        </is>
      </c>
      <c r="D1212" s="10" t="inlineStr">
        <is>
          <t>Diffusion probabilistic modelling of protein backbones in 3D</t>
        </is>
      </c>
      <c r="E1212" s="10" t="inlineStr">
        <is>
          <t>Yim &amp; Trippe (Valence</t>
        </is>
      </c>
      <c r="F1212" s="11" t="inlineStr">
        <is>
          <t>1:02:39</t>
        </is>
      </c>
      <c r="G1212" s="11" t="n">
        <v>1.04</v>
      </c>
      <c r="H1212" s="12" t="inlineStr">
        <is>
          <t>★</t>
        </is>
      </c>
      <c r="I1212" s="11" t="inlineStr">
        <is>
          <t>Not started</t>
        </is>
      </c>
      <c r="J1212" s="13" t="n"/>
      <c r="K1212" s="10" t="inlineStr"/>
      <c r="L1212" s="14" t="inlineStr">
        <is>
          <t>▶ watch</t>
        </is>
      </c>
      <c r="M1212" s="10" t="inlineStr">
        <is>
          <t>Watson et al. 2023, Nature 620:1089 (RFdiffusion) [landmark] · Krishna et al. 2024, Science 384:eadl2528 (RFAA)</t>
        </is>
      </c>
      <c r="N1212" s="14" t="inlineStr">
        <is>
          <t>read ↗</t>
        </is>
      </c>
      <c r="O1212" s="11" t="inlineStr">
        <is>
          <t>section reading (2 of 15)</t>
        </is>
      </c>
      <c r="P1212" s="10" t="inlineStr">
        <is>
          <t>Structure prediction, design and biomolecular foundation models</t>
        </is>
      </c>
    </row>
    <row r="1213">
      <c r="A1213" s="15" t="n">
        <v>1212</v>
      </c>
      <c r="B1213" s="15" t="inlineStr">
        <is>
          <t>Part II - The Method Atlas</t>
        </is>
      </c>
      <c r="C1213" s="16" t="inlineStr">
        <is>
          <t>R.2 Backbone generation</t>
        </is>
      </c>
      <c r="D1213" s="10" t="inlineStr">
        <is>
          <t>Sequence-Augmented SE(3)-Flow Matching</t>
        </is>
      </c>
      <c r="E1213" s="10" t="inlineStr">
        <is>
          <t>FrameFlow</t>
        </is>
      </c>
      <c r="F1213" s="11" t="inlineStr">
        <is>
          <t>48:47</t>
        </is>
      </c>
      <c r="G1213" s="11" t="n">
        <v>0.8100000000000001</v>
      </c>
      <c r="H1213" s="12" t="inlineStr"/>
      <c r="I1213" s="11" t="inlineStr">
        <is>
          <t>Not started</t>
        </is>
      </c>
      <c r="J1213" s="13" t="n"/>
      <c r="K1213" s="10" t="inlineStr"/>
      <c r="L1213" s="14" t="inlineStr">
        <is>
          <t>▶ watch</t>
        </is>
      </c>
      <c r="M1213" s="10" t="inlineStr">
        <is>
          <t>Watson et al. 2023, Nature 620:1089 (RFdiffusion) [landmark] · Krishna et al. 2024, Science 384:eadl2528 (RFAA)</t>
        </is>
      </c>
      <c r="N1213" s="14" t="inlineStr">
        <is>
          <t>read ↗</t>
        </is>
      </c>
      <c r="O1213" s="11" t="inlineStr">
        <is>
          <t>section reading (2 of 15)</t>
        </is>
      </c>
      <c r="P1213" s="10" t="inlineStr">
        <is>
          <t>2024</t>
        </is>
      </c>
    </row>
    <row r="1214">
      <c r="A1214" s="15" t="n">
        <v>1213</v>
      </c>
      <c r="B1214" s="15" t="inlineStr">
        <is>
          <t>Part II - The Method Atlas</t>
        </is>
      </c>
      <c r="C1214" s="16" t="inlineStr">
        <is>
          <t>R.2 Backbone generation</t>
        </is>
      </c>
      <c r="D1214" s="10" t="inlineStr">
        <is>
          <t>SE(3)-Stochastic Flow Matching for Protein Backbone Generation</t>
        </is>
      </c>
      <c r="E1214" s="10" t="inlineStr">
        <is>
          <t>Bose &amp; Tong (Proxima</t>
        </is>
      </c>
      <c r="F1214" s="11" t="inlineStr">
        <is>
          <t>58:53</t>
        </is>
      </c>
      <c r="G1214" s="11" t="n">
        <v>0.98</v>
      </c>
      <c r="H1214" s="12" t="inlineStr"/>
      <c r="I1214" s="11" t="inlineStr">
        <is>
          <t>Not started</t>
        </is>
      </c>
      <c r="J1214" s="13" t="n"/>
      <c r="K1214" s="10" t="inlineStr"/>
      <c r="L1214" s="14" t="inlineStr">
        <is>
          <t>▶ watch</t>
        </is>
      </c>
      <c r="M1214" s="10" t="inlineStr">
        <is>
          <t>Watson et al. 2023, Nature 620:1089 (RFdiffusion) [landmark] · Krishna et al. 2024, Science 384:eadl2528 (RFAA)</t>
        </is>
      </c>
      <c r="N1214" s="14" t="inlineStr">
        <is>
          <t>read ↗</t>
        </is>
      </c>
      <c r="O1214" s="11" t="inlineStr">
        <is>
          <t>section reading (2 of 15)</t>
        </is>
      </c>
      <c r="P1214" s="10" t="inlineStr"/>
    </row>
    <row r="1215">
      <c r="A1215" s="15" t="n">
        <v>1214</v>
      </c>
      <c r="B1215" s="15" t="inlineStr">
        <is>
          <t>Part II - The Method Atlas</t>
        </is>
      </c>
      <c r="C1215" s="16" t="inlineStr">
        <is>
          <t>R.2 Backbone generation</t>
        </is>
      </c>
      <c r="D1215" s="10" t="inlineStr">
        <is>
          <t>Flow Matching For Protein Backbone Generation</t>
        </is>
      </c>
      <c r="E1215" s="10" t="inlineStr">
        <is>
          <t>Huguet &amp; Vuckovic (Proxima</t>
        </is>
      </c>
      <c r="F1215" s="11" t="inlineStr">
        <is>
          <t>1:00:30</t>
        </is>
      </c>
      <c r="G1215" s="11" t="n">
        <v>1.01</v>
      </c>
      <c r="H1215" s="12" t="inlineStr"/>
      <c r="I1215" s="11" t="inlineStr">
        <is>
          <t>Not started</t>
        </is>
      </c>
      <c r="J1215" s="13" t="n"/>
      <c r="K1215" s="10" t="inlineStr"/>
      <c r="L1215" s="14" t="inlineStr">
        <is>
          <t>▶ watch</t>
        </is>
      </c>
      <c r="M1215" s="10" t="inlineStr">
        <is>
          <t>Watson et al. 2023, Nature 620:1089 (RFdiffusion) [landmark] · Krishna et al. 2024, Science 384:eadl2528 (RFAA)</t>
        </is>
      </c>
      <c r="N1215" s="14" t="inlineStr">
        <is>
          <t>read ↗</t>
        </is>
      </c>
      <c r="O1215" s="11" t="inlineStr">
        <is>
          <t>section reading (2 of 15)</t>
        </is>
      </c>
      <c r="P1215" s="10" t="inlineStr"/>
    </row>
    <row r="1216">
      <c r="A1216" s="15" t="n">
        <v>1215</v>
      </c>
      <c r="B1216" s="15" t="inlineStr">
        <is>
          <t>Part II - The Method Atlas</t>
        </is>
      </c>
      <c r="C1216" s="16" t="inlineStr">
        <is>
          <t>R.2 Backbone generation</t>
        </is>
      </c>
      <c r="D1216" s="10" t="inlineStr">
        <is>
          <t>Designing and Scaffolding Proteins at the Scale of the Structural Universe</t>
        </is>
      </c>
      <c r="E1216" s="10" t="inlineStr">
        <is>
          <t>Genie 2</t>
        </is>
      </c>
      <c r="F1216" s="11" t="inlineStr">
        <is>
          <t>53:11</t>
        </is>
      </c>
      <c r="G1216" s="11" t="n">
        <v>0.89</v>
      </c>
      <c r="H1216" s="12" t="inlineStr"/>
      <c r="I1216" s="11" t="inlineStr">
        <is>
          <t>Not started</t>
        </is>
      </c>
      <c r="J1216" s="13" t="n"/>
      <c r="K1216" s="10" t="inlineStr"/>
      <c r="L1216" s="14" t="inlineStr">
        <is>
          <t>▶ watch</t>
        </is>
      </c>
      <c r="M1216" s="10" t="inlineStr">
        <is>
          <t>Watson et al. 2023, Nature 620:1089 (RFdiffusion) [landmark] · Krishna et al. 2024, Science 384:eadl2528 (RFAA)</t>
        </is>
      </c>
      <c r="N1216" s="14" t="inlineStr">
        <is>
          <t>read ↗</t>
        </is>
      </c>
      <c r="O1216" s="11" t="inlineStr">
        <is>
          <t>section reading (2 of 15)</t>
        </is>
      </c>
      <c r="P1216" s="10" t="inlineStr">
        <is>
          <t>2024</t>
        </is>
      </c>
    </row>
    <row r="1217">
      <c r="A1217" s="15" t="n">
        <v>1216</v>
      </c>
      <c r="B1217" s="15" t="inlineStr">
        <is>
          <t>Part II - The Method Atlas</t>
        </is>
      </c>
      <c r="C1217" s="16" t="inlineStr">
        <is>
          <t>R.2 Backbone generation</t>
        </is>
      </c>
      <c r="D1217" s="10" t="inlineStr">
        <is>
          <t>Diffusion modeling of backbones for motif-scaffolding</t>
        </is>
      </c>
      <c r="E1217" s="10" t="inlineStr">
        <is>
          <t>ProtDiff / SMCDiff</t>
        </is>
      </c>
      <c r="F1217" s="11" t="inlineStr">
        <is>
          <t>1:03:59</t>
        </is>
      </c>
      <c r="G1217" s="11" t="n">
        <v>1.07</v>
      </c>
      <c r="H1217" s="12" t="inlineStr"/>
      <c r="I1217" s="11" t="inlineStr">
        <is>
          <t>Not started</t>
        </is>
      </c>
      <c r="J1217" s="13" t="n"/>
      <c r="K1217" s="10" t="inlineStr"/>
      <c r="L1217" s="14" t="inlineStr">
        <is>
          <t>▶ watch</t>
        </is>
      </c>
      <c r="M1217" s="10" t="inlineStr">
        <is>
          <t>Trippe et al. 2023, ICLR (SMCDiff)</t>
        </is>
      </c>
      <c r="N1217" s="14" t="inlineStr">
        <is>
          <t>read ↗</t>
        </is>
      </c>
      <c r="O1217" s="11" t="inlineStr">
        <is>
          <t>names SMCDIFF</t>
        </is>
      </c>
      <c r="P1217" s="10" t="inlineStr">
        <is>
          <t>2022</t>
        </is>
      </c>
    </row>
    <row r="1218">
      <c r="A1218" s="15" t="n">
        <v>1217</v>
      </c>
      <c r="B1218" s="15" t="inlineStr">
        <is>
          <t>Part II - The Method Atlas</t>
        </is>
      </c>
      <c r="C1218" s="16" t="inlineStr">
        <is>
          <t>R.2 Backbone generation</t>
        </is>
      </c>
      <c r="D1218" s="10" t="inlineStr">
        <is>
          <t>Framework for conditional diffusion models in motif scaffolding</t>
        </is>
      </c>
      <c r="E1218" s="10" t="inlineStr">
        <is>
          <t>ML4PE</t>
        </is>
      </c>
      <c r="F1218" s="11" t="inlineStr">
        <is>
          <t>1:01:57</t>
        </is>
      </c>
      <c r="G1218" s="11" t="n">
        <v>1.03</v>
      </c>
      <c r="H1218" s="12" t="inlineStr"/>
      <c r="I1218" s="11" t="inlineStr">
        <is>
          <t>Not started</t>
        </is>
      </c>
      <c r="J1218" s="13" t="n"/>
      <c r="K1218" s="10" t="inlineStr"/>
      <c r="L1218" s="14" t="inlineStr">
        <is>
          <t>▶ watch</t>
        </is>
      </c>
      <c r="M1218" s="10" t="inlineStr">
        <is>
          <t>Watson et al. 2023, Nature 620:1089 (RFdiffusion) [landmark] · Krishna et al. 2024, Science 384:eadl2528 (RFAA)</t>
        </is>
      </c>
      <c r="N1218" s="14" t="inlineStr">
        <is>
          <t>read ↗</t>
        </is>
      </c>
      <c r="O1218" s="11" t="inlineStr">
        <is>
          <t>section reading (2 of 15)</t>
        </is>
      </c>
      <c r="P1218" s="10" t="inlineStr">
        <is>
          <t>2024</t>
        </is>
      </c>
    </row>
    <row r="1219">
      <c r="A1219" s="15" t="n">
        <v>1218</v>
      </c>
      <c r="B1219" s="15" t="inlineStr">
        <is>
          <t>Part II - The Method Atlas</t>
        </is>
      </c>
      <c r="C1219" s="16" t="inlineStr">
        <is>
          <t>R.2 Backbone generation</t>
        </is>
      </c>
      <c r="D1219" s="10" t="inlineStr">
        <is>
          <t>Protein Structure and Sequence Generation with Equivariant DDPMs</t>
        </is>
      </c>
      <c r="E1219" s="10" t="inlineStr">
        <is>
          <t>ML4PE</t>
        </is>
      </c>
      <c r="F1219" s="11" t="inlineStr">
        <is>
          <t>55:19</t>
        </is>
      </c>
      <c r="G1219" s="11" t="n">
        <v>0.92</v>
      </c>
      <c r="H1219" s="12" t="inlineStr"/>
      <c r="I1219" s="11" t="inlineStr">
        <is>
          <t>Not started</t>
        </is>
      </c>
      <c r="J1219" s="13" t="n"/>
      <c r="K1219" s="10" t="inlineStr"/>
      <c r="L1219" s="14" t="inlineStr">
        <is>
          <t>▶ watch</t>
        </is>
      </c>
      <c r="M1219" s="10" t="inlineStr">
        <is>
          <t>Watson et al. 2023, Nature 620:1089 (RFdiffusion) [landmark] · Krishna et al. 2024, Science 384:eadl2528 (RFAA)</t>
        </is>
      </c>
      <c r="N1219" s="14" t="inlineStr">
        <is>
          <t>read ↗</t>
        </is>
      </c>
      <c r="O1219" s="11" t="inlineStr">
        <is>
          <t>section reading (2 of 15)</t>
        </is>
      </c>
      <c r="P1219" s="10" t="inlineStr">
        <is>
          <t>2022</t>
        </is>
      </c>
    </row>
    <row r="1220">
      <c r="A1220" s="15" t="n">
        <v>1219</v>
      </c>
      <c r="B1220" s="15" t="inlineStr">
        <is>
          <t>Part II - The Method Atlas</t>
        </is>
      </c>
      <c r="C1220" s="16" t="inlineStr">
        <is>
          <t>R.2 Backbone generation</t>
        </is>
      </c>
      <c r="D1220" s="10" t="inlineStr">
        <is>
          <t>ML in Drug Discovery Symposium 2023</t>
        </is>
      </c>
      <c r="E1220" s="10" t="inlineStr">
        <is>
          <t>Possu Huang (Broad</t>
        </is>
      </c>
      <c r="F1220" s="11" t="inlineStr">
        <is>
          <t>21:48</t>
        </is>
      </c>
      <c r="G1220" s="11" t="n">
        <v>0.36</v>
      </c>
      <c r="H1220" s="12" t="inlineStr"/>
      <c r="I1220" s="11" t="inlineStr">
        <is>
          <t>Not started</t>
        </is>
      </c>
      <c r="J1220" s="13" t="n"/>
      <c r="K1220" s="10" t="inlineStr"/>
      <c r="L1220" s="14" t="inlineStr">
        <is>
          <t>▶ watch</t>
        </is>
      </c>
      <c r="M1220" s="10" t="inlineStr">
        <is>
          <t>Watson et al. 2023, Nature 620:1089 (RFdiffusion) [landmark] · Krishna et al. 2024, Science 384:eadl2528 (RFAA)</t>
        </is>
      </c>
      <c r="N1220" s="14" t="inlineStr">
        <is>
          <t>read ↗</t>
        </is>
      </c>
      <c r="O1220" s="11" t="inlineStr">
        <is>
          <t>section reading (2 of 15)</t>
        </is>
      </c>
      <c r="P1220" s="10" t="inlineStr"/>
    </row>
    <row r="1221">
      <c r="A1221" s="15" t="n">
        <v>1220</v>
      </c>
      <c r="B1221" s="15" t="inlineStr">
        <is>
          <t>Part II - The Method Atlas</t>
        </is>
      </c>
      <c r="C1221" s="16" t="inlineStr">
        <is>
          <t>R.2 Backbone generation</t>
        </is>
      </c>
      <c r="D1221" s="10" t="inlineStr">
        <is>
          <t>Multistate and functional design using sequence space diffusion</t>
        </is>
      </c>
      <c r="E1221" s="10" t="inlineStr">
        <is>
          <t>Gershon, Lisanza &amp; Tipps (ML4PE</t>
        </is>
      </c>
      <c r="F1221" s="11" t="inlineStr">
        <is>
          <t>54:47</t>
        </is>
      </c>
      <c r="G1221" s="11" t="n">
        <v>0.91</v>
      </c>
      <c r="H1221" s="12" t="inlineStr">
        <is>
          <t>★</t>
        </is>
      </c>
      <c r="I1221" s="11" t="inlineStr">
        <is>
          <t>Not started</t>
        </is>
      </c>
      <c r="J1221" s="13" t="n"/>
      <c r="K1221" s="10" t="inlineStr"/>
      <c r="L1221" s="14" t="inlineStr">
        <is>
          <t>▶ watch</t>
        </is>
      </c>
      <c r="M1221" s="10" t="inlineStr">
        <is>
          <t>Watson et al. 2023, Nature 620:1089 (RFdiffusion) [landmark] · Krishna et al. 2024, Science 384:eadl2528 (RFAA)</t>
        </is>
      </c>
      <c r="N1221" s="14" t="inlineStr">
        <is>
          <t>read ↗</t>
        </is>
      </c>
      <c r="O1221" s="11" t="inlineStr">
        <is>
          <t>section reading (2 of 15)</t>
        </is>
      </c>
      <c r="P1221" s="10" t="inlineStr">
        <is>
          <t>2024; R.8 Function, dynamics and the hard design problems</t>
        </is>
      </c>
    </row>
    <row r="1222">
      <c r="A1222" s="15" t="n">
        <v>1221</v>
      </c>
      <c r="B1222" s="15" t="inlineStr">
        <is>
          <t>Part II - The Method Atlas</t>
        </is>
      </c>
      <c r="C1222" s="16" t="inlineStr">
        <is>
          <t>R.2 Backbone generation</t>
        </is>
      </c>
      <c r="D1222" s="10" t="inlineStr">
        <is>
          <t>Computational Intelligence Group</t>
        </is>
      </c>
      <c r="E1222" s="10" t="inlineStr">
        <is>
          <t>ProteinGenerator</t>
        </is>
      </c>
      <c r="F1222" s="11" t="inlineStr">
        <is>
          <t>58:46</t>
        </is>
      </c>
      <c r="G1222" s="11" t="n">
        <v>0.98</v>
      </c>
      <c r="H1222" s="12" t="inlineStr"/>
      <c r="I1222" s="11" t="inlineStr">
        <is>
          <t>Not started</t>
        </is>
      </c>
      <c r="J1222" s="13" t="n"/>
      <c r="K1222" s="10" t="inlineStr"/>
      <c r="L1222" s="14" t="inlineStr">
        <is>
          <t>▶ watch</t>
        </is>
      </c>
      <c r="M1222" s="10" t="inlineStr">
        <is>
          <t>Watson et al. 2023, Nature 620:1089 (RFdiffusion) [landmark] · Krishna et al. 2024, Science 384:eadl2528 (RFAA)</t>
        </is>
      </c>
      <c r="N1222" s="14" t="inlineStr">
        <is>
          <t>read ↗</t>
        </is>
      </c>
      <c r="O1222" s="11" t="inlineStr">
        <is>
          <t>section reading (2 of 15)</t>
        </is>
      </c>
      <c r="P1222" s="10" t="inlineStr"/>
    </row>
    <row r="1223">
      <c r="A1223" s="15" t="n">
        <v>1222</v>
      </c>
      <c r="B1223" s="15" t="inlineStr">
        <is>
          <t>Part II - The Method Atlas</t>
        </is>
      </c>
      <c r="C1223" s="16" t="inlineStr">
        <is>
          <t>R.2 Backbone generation</t>
        </is>
      </c>
      <c r="D1223" s="10" t="inlineStr">
        <is>
          <t>Protein structure and sequence co-generation</t>
        </is>
      </c>
      <c r="E1223" s="10" t="inlineStr">
        <is>
          <t>Yim &amp; Campbell (Valence</t>
        </is>
      </c>
      <c r="F1223" s="11" t="inlineStr">
        <is>
          <t>54:54</t>
        </is>
      </c>
      <c r="G1223" s="11" t="n">
        <v>0.92</v>
      </c>
      <c r="H1223" s="12" t="inlineStr"/>
      <c r="I1223" s="11" t="inlineStr">
        <is>
          <t>Not started</t>
        </is>
      </c>
      <c r="J1223" s="13" t="n"/>
      <c r="K1223" s="10" t="inlineStr"/>
      <c r="L1223" s="14" t="inlineStr">
        <is>
          <t>▶ watch</t>
        </is>
      </c>
      <c r="M1223" s="10" t="inlineStr">
        <is>
          <t>Watson et al. 2023, Nature 620:1089 (RFdiffusion) [landmark] · Krishna et al. 2024, Science 384:eadl2528 (RFAA)</t>
        </is>
      </c>
      <c r="N1223" s="14" t="inlineStr">
        <is>
          <t>read ↗</t>
        </is>
      </c>
      <c r="O1223" s="11" t="inlineStr">
        <is>
          <t>section reading (2 of 15)</t>
        </is>
      </c>
      <c r="P1223" s="10" t="inlineStr">
        <is>
          <t>Structure prediction, design and biomolecular foundation models</t>
        </is>
      </c>
    </row>
    <row r="1224">
      <c r="A1224" s="15" t="n">
        <v>1223</v>
      </c>
      <c r="B1224" s="15" t="inlineStr">
        <is>
          <t>Part II - The Method Atlas</t>
        </is>
      </c>
      <c r="C1224" s="16" t="inlineStr">
        <is>
          <t>R.2 Backbone generation</t>
        </is>
      </c>
      <c r="D1224" s="10" t="inlineStr">
        <is>
          <t>Generative Flows on Discrete State-Spaces (theory</t>
        </is>
      </c>
      <c r="E1224" s="10" t="inlineStr">
        <is>
          <t>Campbell &amp; Yim (Proxima</t>
        </is>
      </c>
      <c r="F1224" s="11" t="inlineStr">
        <is>
          <t>52:12</t>
        </is>
      </c>
      <c r="G1224" s="11" t="n">
        <v>0.87</v>
      </c>
      <c r="H1224" s="12" t="inlineStr"/>
      <c r="I1224" s="11" t="inlineStr">
        <is>
          <t>Not started</t>
        </is>
      </c>
      <c r="J1224" s="13" t="n"/>
      <c r="K1224" s="10" t="inlineStr"/>
      <c r="L1224" s="14" t="inlineStr">
        <is>
          <t>▶ watch</t>
        </is>
      </c>
      <c r="M1224" s="10" t="inlineStr">
        <is>
          <t>Watson et al. 2023, Nature 620:1089 (RFdiffusion) [landmark] · Krishna et al. 2024, Science 384:eadl2528 (RFAA)</t>
        </is>
      </c>
      <c r="N1224" s="14" t="inlineStr">
        <is>
          <t>read ↗</t>
        </is>
      </c>
      <c r="O1224" s="11" t="inlineStr">
        <is>
          <t>section reading (2 of 15)</t>
        </is>
      </c>
      <c r="P1224" s="10" t="inlineStr"/>
    </row>
    <row r="1225">
      <c r="A1225" s="15" t="n">
        <v>1224</v>
      </c>
      <c r="B1225" s="15" t="inlineStr">
        <is>
          <t>Part II - The Method Atlas</t>
        </is>
      </c>
      <c r="C1225" s="16" t="inlineStr">
        <is>
          <t>R.2 Backbone generation</t>
        </is>
      </c>
      <c r="D1225" s="10" t="inlineStr">
        <is>
          <t>Scaling Flow-based Protein Structure Generative Models</t>
        </is>
      </c>
      <c r="E1225" s="10" t="inlineStr">
        <is>
          <t>Proteina</t>
        </is>
      </c>
      <c r="F1225" s="11" t="inlineStr">
        <is>
          <t>1:09:24</t>
        </is>
      </c>
      <c r="G1225" s="11" t="n">
        <v>1.16</v>
      </c>
      <c r="H1225" s="12" t="inlineStr"/>
      <c r="I1225" s="11" t="inlineStr">
        <is>
          <t>Not started</t>
        </is>
      </c>
      <c r="J1225" s="13" t="n"/>
      <c r="K1225" s="10" t="inlineStr"/>
      <c r="L1225" s="14" t="inlineStr">
        <is>
          <t>▶ watch</t>
        </is>
      </c>
      <c r="M1225" s="10" t="inlineStr">
        <is>
          <t>Watson et al. 2023, Nature 620:1089 (RFdiffusion) [landmark] · Krishna et al. 2024, Science 384:eadl2528 (RFAA)</t>
        </is>
      </c>
      <c r="N1225" s="14" t="inlineStr">
        <is>
          <t>read ↗</t>
        </is>
      </c>
      <c r="O1225" s="11" t="inlineStr">
        <is>
          <t>section reading (2 of 15)</t>
        </is>
      </c>
      <c r="P1225" s="10" t="inlineStr">
        <is>
          <t>2025</t>
        </is>
      </c>
    </row>
    <row r="1226">
      <c r="A1226" s="15" t="n">
        <v>1225</v>
      </c>
      <c r="B1226" s="15" t="inlineStr">
        <is>
          <t>Part II - The Method Atlas</t>
        </is>
      </c>
      <c r="C1226" s="16" t="inlineStr">
        <is>
          <t>R.2 Backbone generation</t>
        </is>
      </c>
      <c r="D1226" s="10" t="inlineStr">
        <is>
          <t>Kreis &amp; Geffner (Proxima</t>
        </is>
      </c>
      <c r="E1226" s="10" t="inlineStr">
        <is>
          <t>Proteina</t>
        </is>
      </c>
      <c r="F1226" s="11" t="inlineStr">
        <is>
          <t>1:02:02</t>
        </is>
      </c>
      <c r="G1226" s="11" t="n">
        <v>1.03</v>
      </c>
      <c r="H1226" s="12" t="inlineStr"/>
      <c r="I1226" s="11" t="inlineStr">
        <is>
          <t>Not started</t>
        </is>
      </c>
      <c r="J1226" s="13" t="n"/>
      <c r="K1226" s="10" t="inlineStr"/>
      <c r="L1226" s="14" t="inlineStr">
        <is>
          <t>▶ watch</t>
        </is>
      </c>
      <c r="M1226" s="10" t="inlineStr">
        <is>
          <t>Watson et al. 2023, Nature 620:1089 (RFdiffusion) [landmark] · Krishna et al. 2024, Science 384:eadl2528 (RFAA)</t>
        </is>
      </c>
      <c r="N1226" s="14" t="inlineStr">
        <is>
          <t>read ↗</t>
        </is>
      </c>
      <c r="O1226" s="11" t="inlineStr">
        <is>
          <t>section reading (2 of 15)</t>
        </is>
      </c>
      <c r="P1226" s="10" t="inlineStr"/>
    </row>
    <row r="1227">
      <c r="A1227" s="15" t="n">
        <v>1226</v>
      </c>
      <c r="B1227" s="15" t="inlineStr">
        <is>
          <t>Part II - The Method Atlas</t>
        </is>
      </c>
      <c r="C1227" s="16" t="inlineStr">
        <is>
          <t>R.2 Backbone generation</t>
        </is>
      </c>
      <c r="D1227" s="10" t="inlineStr">
        <is>
          <t>Atomistic Protein Generation via Partially Latent Flow Matching</t>
        </is>
      </c>
      <c r="E1227" s="10" t="inlineStr">
        <is>
          <t>La-Proteina</t>
        </is>
      </c>
      <c r="F1227" s="11" t="inlineStr">
        <is>
          <t>1:05:13</t>
        </is>
      </c>
      <c r="G1227" s="11" t="n">
        <v>1.09</v>
      </c>
      <c r="H1227" s="12" t="inlineStr"/>
      <c r="I1227" s="11" t="inlineStr">
        <is>
          <t>Not started</t>
        </is>
      </c>
      <c r="J1227" s="13" t="n"/>
      <c r="K1227" s="10" t="inlineStr"/>
      <c r="L1227" s="14" t="inlineStr">
        <is>
          <t>▶ watch</t>
        </is>
      </c>
      <c r="M1227" s="10" t="inlineStr">
        <is>
          <t>Watson et al. 2023, Nature 620:1089 (RFdiffusion) [landmark] · Krishna et al. 2024, Science 384:eadl2528 (RFAA)</t>
        </is>
      </c>
      <c r="N1227" s="14" t="inlineStr">
        <is>
          <t>read ↗</t>
        </is>
      </c>
      <c r="O1227" s="11" t="inlineStr">
        <is>
          <t>section reading (2 of 15)</t>
        </is>
      </c>
      <c r="P1227" s="10" t="inlineStr">
        <is>
          <t>2025</t>
        </is>
      </c>
    </row>
    <row r="1228">
      <c r="A1228" s="15" t="n">
        <v>1227</v>
      </c>
      <c r="B1228" s="15" t="inlineStr">
        <is>
          <t>Part II - The Method Atlas</t>
        </is>
      </c>
      <c r="C1228" s="16" t="inlineStr">
        <is>
          <t>R.2 Backbone generation</t>
        </is>
      </c>
      <c r="D1228" s="10" t="inlineStr">
        <is>
          <t>Programming Biomolecular Interactions with All-Atom Generative Model</t>
        </is>
      </c>
      <c r="E1228" s="10" t="inlineStr">
        <is>
          <t>ML4PE</t>
        </is>
      </c>
      <c r="F1228" s="11" t="inlineStr">
        <is>
          <t>54:24</t>
        </is>
      </c>
      <c r="G1228" s="11" t="n">
        <v>0.91</v>
      </c>
      <c r="H1228" s="12" t="inlineStr"/>
      <c r="I1228" s="11" t="inlineStr">
        <is>
          <t>Not started</t>
        </is>
      </c>
      <c r="J1228" s="13" t="n"/>
      <c r="K1228" s="10" t="inlineStr"/>
      <c r="L1228" s="14" t="inlineStr">
        <is>
          <t>▶ watch</t>
        </is>
      </c>
      <c r="M1228" s="10" t="inlineStr">
        <is>
          <t>Watson et al. 2023, Nature 620:1089 (RFdiffusion) [landmark] · Krishna et al. 2024, Science 384:eadl2528 (RFAA)</t>
        </is>
      </c>
      <c r="N1228" s="14" t="inlineStr">
        <is>
          <t>read ↗</t>
        </is>
      </c>
      <c r="O1228" s="11" t="inlineStr">
        <is>
          <t>section reading (2 of 15)</t>
        </is>
      </c>
      <c r="P1228" s="10" t="inlineStr">
        <is>
          <t>2026 - posted but not on the schedule page</t>
        </is>
      </c>
    </row>
    <row r="1229">
      <c r="A1229" s="15" t="n">
        <v>1228</v>
      </c>
      <c r="B1229" s="15" t="inlineStr">
        <is>
          <t>Part II - The Method Atlas</t>
        </is>
      </c>
      <c r="C1229" s="16" t="inlineStr">
        <is>
          <t>R.2 Backbone generation</t>
        </is>
      </c>
      <c r="D1229" s="10" t="inlineStr">
        <is>
          <t>RFdiffusion for Symmetric Applications</t>
        </is>
      </c>
      <c r="E1229" s="10" t="inlineStr">
        <is>
          <t>Symmetric design</t>
        </is>
      </c>
      <c r="F1229" s="11" t="inlineStr">
        <is>
          <t>23:09</t>
        </is>
      </c>
      <c r="G1229" s="11" t="n">
        <v>0.39</v>
      </c>
      <c r="H1229" s="12" t="inlineStr"/>
      <c r="I1229" s="11" t="inlineStr">
        <is>
          <t>Not started</t>
        </is>
      </c>
      <c r="J1229" s="13" t="n"/>
      <c r="K1229" s="10" t="inlineStr"/>
      <c r="L1229" s="14" t="inlineStr">
        <is>
          <t>▶ watch</t>
        </is>
      </c>
      <c r="M1229" s="10" t="inlineStr">
        <is>
          <t>Watson et al. 2023, Nature 620:1089 (RFdiffusion) [landmark]</t>
        </is>
      </c>
      <c r="N1229" s="14" t="inlineStr">
        <is>
          <t>read ↗</t>
        </is>
      </c>
      <c r="O1229" s="11" t="inlineStr">
        <is>
          <t>names RFDIFFUSION</t>
        </is>
      </c>
      <c r="P1229" s="10" t="inlineStr">
        <is>
          <t>Designing Protein-Protein Interactions (2025) - 8 videos</t>
        </is>
      </c>
    </row>
    <row r="1230">
      <c r="A1230" s="15" t="n">
        <v>1229</v>
      </c>
      <c r="B1230" s="15" t="inlineStr">
        <is>
          <t>Part II - The Method Atlas</t>
        </is>
      </c>
      <c r="C1230" s="16" t="inlineStr">
        <is>
          <t>R.2 Backbone generation</t>
        </is>
      </c>
      <c r="D1230" s="10" t="inlineStr">
        <is>
          <t>ML-based design of nanoparticle vaccines</t>
        </is>
      </c>
      <c r="E1230" s="10" t="inlineStr">
        <is>
          <t>Neil King (AI Proteins</t>
        </is>
      </c>
      <c r="F1230" s="11" t="inlineStr">
        <is>
          <t>53:20</t>
        </is>
      </c>
      <c r="G1230" s="11" t="n">
        <v>0.89</v>
      </c>
      <c r="H1230" s="12" t="inlineStr"/>
      <c r="I1230" s="11" t="inlineStr">
        <is>
          <t>Not started</t>
        </is>
      </c>
      <c r="J1230" s="13" t="n"/>
      <c r="K1230" s="10" t="inlineStr"/>
      <c r="L1230" s="14" t="inlineStr">
        <is>
          <t>▶ watch</t>
        </is>
      </c>
      <c r="M1230" s="10" t="inlineStr">
        <is>
          <t>Watson et al. 2023, Nature 620:1089 (RFdiffusion) [landmark] · Krishna et al. 2024, Science 384:eadl2528 (RFAA)</t>
        </is>
      </c>
      <c r="N1230" s="14" t="inlineStr">
        <is>
          <t>read ↗</t>
        </is>
      </c>
      <c r="O1230" s="11" t="inlineStr">
        <is>
          <t>section reading (2 of 15)</t>
        </is>
      </c>
      <c r="P1230" s="10" t="inlineStr"/>
    </row>
    <row r="1231">
      <c r="A1231" s="15" t="n">
        <v>1230</v>
      </c>
      <c r="B1231" s="15" t="inlineStr">
        <is>
          <t>Part II - The Method Atlas</t>
        </is>
      </c>
      <c r="C1231" s="16" t="inlineStr">
        <is>
          <t>R.2 Backbone generation</t>
        </is>
      </c>
      <c r="D1231" s="10" t="inlineStr">
        <is>
          <t>Diffusion models for protein structure generation and design</t>
        </is>
      </c>
      <c r="E1231" s="10" t="inlineStr">
        <is>
          <t>Survey</t>
        </is>
      </c>
      <c r="F1231" s="11" t="inlineStr">
        <is>
          <t>44:43</t>
        </is>
      </c>
      <c r="G1231" s="11" t="n">
        <v>0.75</v>
      </c>
      <c r="H1231" s="12" t="inlineStr"/>
      <c r="I1231" s="11" t="inlineStr">
        <is>
          <t>Not started</t>
        </is>
      </c>
      <c r="J1231" s="13" t="n"/>
      <c r="K1231" s="10" t="inlineStr"/>
      <c r="L1231" s="14" t="inlineStr">
        <is>
          <t>▶ watch</t>
        </is>
      </c>
      <c r="M1231" s="10" t="inlineStr">
        <is>
          <t>Watson et al. 2023, Nature 620:1089 (RFdiffusion) [landmark] · Krishna et al. 2024, Science 384:eadl2528 (RFAA)</t>
        </is>
      </c>
      <c r="N1231" s="14" t="inlineStr">
        <is>
          <t>read ↗</t>
        </is>
      </c>
      <c r="O1231" s="11" t="inlineStr">
        <is>
          <t>section reading (2 of 15)</t>
        </is>
      </c>
      <c r="P1231" s="10" t="inlineStr">
        <is>
          <t>RaMP Bootcamp 2023 - 12 videos (the PyRosetta core</t>
        </is>
      </c>
    </row>
    <row r="1232">
      <c r="A1232" s="15" t="n">
        <v>1231</v>
      </c>
      <c r="B1232" s="15" t="inlineStr">
        <is>
          <t>Part II - The Method Atlas</t>
        </is>
      </c>
      <c r="C1232" s="16" t="inlineStr">
        <is>
          <t>R.2 Backbone generation</t>
        </is>
      </c>
      <c r="D1232" s="10" t="inlineStr">
        <is>
          <t>Recent methods for protein structure generation and design</t>
        </is>
      </c>
      <c r="E1232" s="10" t="inlineStr">
        <is>
          <t>Survey</t>
        </is>
      </c>
      <c r="F1232" s="11" t="inlineStr">
        <is>
          <t>1:21:22</t>
        </is>
      </c>
      <c r="G1232" s="11" t="n">
        <v>1.36</v>
      </c>
      <c r="H1232" s="12" t="inlineStr">
        <is>
          <t>★</t>
        </is>
      </c>
      <c r="I1232" s="11" t="inlineStr">
        <is>
          <t>Not started</t>
        </is>
      </c>
      <c r="J1232" s="13" t="n"/>
      <c r="K1232" s="10" t="inlineStr"/>
      <c r="L1232" s="14" t="inlineStr">
        <is>
          <t>▶ watch</t>
        </is>
      </c>
      <c r="M1232" s="10" t="inlineStr">
        <is>
          <t>Watson et al. 2023, Nature 620:1089 (RFdiffusion) [landmark] · Krishna et al. 2024, Science 384:eadl2528 (RFAA)</t>
        </is>
      </c>
      <c r="N1232" s="14" t="inlineStr">
        <is>
          <t>read ↗</t>
        </is>
      </c>
      <c r="O1232" s="11" t="inlineStr">
        <is>
          <t>section reading (2 of 15)</t>
        </is>
      </c>
      <c r="P1232" s="10" t="inlineStr">
        <is>
          <t>2024</t>
        </is>
      </c>
    </row>
    <row r="1233">
      <c r="A1233" s="15" t="n">
        <v>1232</v>
      </c>
      <c r="B1233" s="15" t="inlineStr">
        <is>
          <t>Part II - The Method Atlas</t>
        </is>
      </c>
      <c r="C1233" s="16" t="inlineStr">
        <is>
          <t>R.2 Backbone generation</t>
        </is>
      </c>
      <c r="D1233" s="10" t="inlineStr">
        <is>
          <t>MotifBench: a standardized benchmark for motif-scaffolding</t>
        </is>
      </c>
      <c r="E1233" s="10" t="inlineStr">
        <is>
          <t>Benchmark critique</t>
        </is>
      </c>
      <c r="F1233" s="11" t="inlineStr">
        <is>
          <t>54:48</t>
        </is>
      </c>
      <c r="G1233" s="11" t="n">
        <v>0.91</v>
      </c>
      <c r="H1233" s="12" t="inlineStr">
        <is>
          <t>★</t>
        </is>
      </c>
      <c r="I1233" s="11" t="inlineStr">
        <is>
          <t>Not started</t>
        </is>
      </c>
      <c r="J1233" s="13" t="n"/>
      <c r="K1233" s="10" t="inlineStr"/>
      <c r="L1233" s="14" t="inlineStr">
        <is>
          <t>▶ watch</t>
        </is>
      </c>
      <c r="M1233" s="10" t="inlineStr">
        <is>
          <t>Watson et al. 2023, Nature 620:1089 (RFdiffusion) [landmark] · Krishna et al. 2024, Science 384:eadl2528 (RFAA)</t>
        </is>
      </c>
      <c r="N1233" s="14" t="inlineStr">
        <is>
          <t>read ↗</t>
        </is>
      </c>
      <c r="O1233" s="11" t="inlineStr">
        <is>
          <t>section reading (2 of 15)</t>
        </is>
      </c>
      <c r="P1233" s="10" t="inlineStr">
        <is>
          <t>2025; S.1 The blind assessments</t>
        </is>
      </c>
    </row>
    <row r="1234">
      <c r="A1234" s="15" t="n">
        <v>1233</v>
      </c>
      <c r="B1234" s="15" t="inlineStr">
        <is>
          <t>Part II - The Method Atlas</t>
        </is>
      </c>
      <c r="C1234" s="16" t="inlineStr">
        <is>
          <t>R.3 Hallucination and inverting predictors</t>
        </is>
      </c>
      <c r="D1234" s="10" t="inlineStr">
        <is>
          <t>Tutorial on using structure prediction methods for protein design</t>
        </is>
      </c>
      <c r="E1234" s="10" t="inlineStr">
        <is>
          <t>Ovchinnikov &amp; Jue Wang (BPDMC</t>
        </is>
      </c>
      <c r="F1234" s="11" t="inlineStr">
        <is>
          <t>2:04:03</t>
        </is>
      </c>
      <c r="G1234" s="11" t="n">
        <v>2.07</v>
      </c>
      <c r="H1234" s="12" t="inlineStr">
        <is>
          <t>★</t>
        </is>
      </c>
      <c r="I1234" s="11" t="inlineStr">
        <is>
          <t>Not started</t>
        </is>
      </c>
      <c r="J1234" s="13" t="n"/>
      <c r="K1234" s="10" t="inlineStr"/>
      <c r="L1234" s="14" t="inlineStr">
        <is>
          <t>▶ watch</t>
        </is>
      </c>
      <c r="M1234" s="10" t="inlineStr">
        <is>
          <t>Anishchenko et al. 2021, Nature 600:547 (hallucination) · Wang et al. 2022, Science 377:387 (motif scaffolding - note Wang is first author, not Tischer)</t>
        </is>
      </c>
      <c r="N1234" s="14" t="inlineStr">
        <is>
          <t>read ↗</t>
        </is>
      </c>
      <c r="O1234" s="11" t="inlineStr">
        <is>
          <t>section reading (2 of 5)</t>
        </is>
      </c>
      <c r="P1234" s="10" t="inlineStr">
        <is>
          <t>2022</t>
        </is>
      </c>
    </row>
    <row r="1235">
      <c r="A1235" s="15" t="n">
        <v>1234</v>
      </c>
      <c r="B1235" s="15" t="inlineStr">
        <is>
          <t>Part II - The Method Atlas</t>
        </is>
      </c>
      <c r="C1235" s="16" t="inlineStr">
        <is>
          <t>R.3 Hallucination and inverting predictors</t>
        </is>
      </c>
      <c r="D1235" s="10" t="inlineStr">
        <is>
          <t>Scaffolding protein functional sites using deep learning</t>
        </is>
      </c>
      <c r="E1235" s="10" t="inlineStr">
        <is>
          <t>Tischer &amp; Juergens (ML4PE</t>
        </is>
      </c>
      <c r="F1235" s="11" t="inlineStr">
        <is>
          <t>52:05</t>
        </is>
      </c>
      <c r="G1235" s="11" t="n">
        <v>0.87</v>
      </c>
      <c r="H1235" s="12" t="inlineStr"/>
      <c r="I1235" s="11" t="inlineStr">
        <is>
          <t>Not started</t>
        </is>
      </c>
      <c r="J1235" s="13" t="n"/>
      <c r="K1235" s="10" t="inlineStr"/>
      <c r="L1235" s="14" t="inlineStr">
        <is>
          <t>▶ watch</t>
        </is>
      </c>
      <c r="M1235" s="10" t="inlineStr">
        <is>
          <t>Anishchenko et al. 2021, Nature 600:547 (hallucination) · Wang et al. 2022, Science 377:387 (motif scaffolding - note Wang is first author, not Tischer)</t>
        </is>
      </c>
      <c r="N1235" s="14" t="inlineStr">
        <is>
          <t>read ↗</t>
        </is>
      </c>
      <c r="O1235" s="11" t="inlineStr">
        <is>
          <t>section reading (2 of 5)</t>
        </is>
      </c>
      <c r="P1235" s="10" t="inlineStr">
        <is>
          <t>2022</t>
        </is>
      </c>
    </row>
    <row r="1236">
      <c r="A1236" s="15" t="n">
        <v>1235</v>
      </c>
      <c r="B1236" s="15" t="inlineStr">
        <is>
          <t>Part II - The Method Atlas</t>
        </is>
      </c>
      <c r="C1236" s="16" t="inlineStr">
        <is>
          <t>R.3 Hallucination and inverting predictors</t>
        </is>
      </c>
      <c r="D1236" s="10" t="inlineStr">
        <is>
          <t>Motif Grafting and Scaffolding using Rosetta</t>
        </is>
      </c>
      <c r="E1236" s="10" t="inlineStr">
        <is>
          <t>Meiler Lab</t>
        </is>
      </c>
      <c r="F1236" s="11" t="inlineStr">
        <is>
          <t>16:59</t>
        </is>
      </c>
      <c r="G1236" s="11" t="n">
        <v>0.28</v>
      </c>
      <c r="H1236" s="12" t="inlineStr"/>
      <c r="I1236" s="11" t="inlineStr">
        <is>
          <t>Not started</t>
        </is>
      </c>
      <c r="J1236" s="13" t="n"/>
      <c r="K1236" s="10" t="inlineStr"/>
      <c r="L1236" s="14" t="inlineStr">
        <is>
          <t>▶ watch</t>
        </is>
      </c>
      <c r="M1236" s="10" t="inlineStr">
        <is>
          <t>Anishchenko et al. 2021, Nature 600:547 (hallucination) · Wang et al. 2022, Science 377:387 (motif scaffolding - note Wang is first author, not Tischer)</t>
        </is>
      </c>
      <c r="N1236" s="14" t="inlineStr">
        <is>
          <t>read ↗</t>
        </is>
      </c>
      <c r="O1236" s="11" t="inlineStr">
        <is>
          <t>section reading (2 of 5)</t>
        </is>
      </c>
      <c r="P1236" s="10" t="inlineStr"/>
    </row>
    <row r="1237">
      <c r="A1237" s="15" t="n">
        <v>1236</v>
      </c>
      <c r="B1237" s="15" t="inlineStr">
        <is>
          <t>Part II - The Method Atlas</t>
        </is>
      </c>
      <c r="C1237" s="16" t="inlineStr">
        <is>
          <t>R.3 Hallucination and inverting predictors</t>
        </is>
      </c>
      <c r="D1237" s="10" t="inlineStr">
        <is>
          <t>Motif Grafting walkthrough</t>
        </is>
      </c>
      <c r="E1237" s="10" t="inlineStr">
        <is>
          <t>Meiler Lab</t>
        </is>
      </c>
      <c r="F1237" s="11" t="inlineStr">
        <is>
          <t>1:05:34</t>
        </is>
      </c>
      <c r="G1237" s="11" t="n">
        <v>1.09</v>
      </c>
      <c r="H1237" s="12" t="inlineStr"/>
      <c r="I1237" s="11" t="inlineStr">
        <is>
          <t>Not started</t>
        </is>
      </c>
      <c r="J1237" s="13" t="n"/>
      <c r="K1237" s="10" t="inlineStr"/>
      <c r="L1237" s="14" t="inlineStr">
        <is>
          <t>▶ watch</t>
        </is>
      </c>
      <c r="M1237" s="10" t="inlineStr">
        <is>
          <t>Anishchenko et al. 2021, Nature 600:547 (hallucination) · Wang et al. 2022, Science 377:387 (motif scaffolding - note Wang is first author, not Tischer)</t>
        </is>
      </c>
      <c r="N1237" s="14" t="inlineStr">
        <is>
          <t>read ↗</t>
        </is>
      </c>
      <c r="O1237" s="11" t="inlineStr">
        <is>
          <t>section reading (2 of 5)</t>
        </is>
      </c>
      <c r="P1237" s="10" t="inlineStr"/>
    </row>
    <row r="1238">
      <c r="A1238" s="15" t="n">
        <v>1237</v>
      </c>
      <c r="B1238" s="15" t="inlineStr">
        <is>
          <t>Part II - The Method Atlas</t>
        </is>
      </c>
      <c r="C1238" s="16" t="inlineStr">
        <is>
          <t>R.3 Hallucination and inverting predictors</t>
        </is>
      </c>
      <c r="D1238" s="10" t="inlineStr">
        <is>
          <t>One-shot design of functional protein binders</t>
        </is>
      </c>
      <c r="E1238" s="10" t="inlineStr">
        <is>
          <t>Valence Labs</t>
        </is>
      </c>
      <c r="F1238" s="11" t="inlineStr">
        <is>
          <t>1:36:09</t>
        </is>
      </c>
      <c r="G1238" s="11" t="n">
        <v>1.6</v>
      </c>
      <c r="H1238" s="12" t="inlineStr">
        <is>
          <t>★</t>
        </is>
      </c>
      <c r="I1238" s="11" t="inlineStr">
        <is>
          <t>Not started</t>
        </is>
      </c>
      <c r="J1238" s="13" t="n"/>
      <c r="K1238" s="10" t="inlineStr"/>
      <c r="L1238" s="14" t="inlineStr">
        <is>
          <t>▶ watch</t>
        </is>
      </c>
      <c r="M1238" s="10" t="inlineStr">
        <is>
          <t>Anishchenko et al. 2021, Nature 600:547 (hallucination) · Wang et al. 2022, Science 377:387 (motif scaffolding - note Wang is first author, not Tischer)</t>
        </is>
      </c>
      <c r="N1238" s="14" t="inlineStr">
        <is>
          <t>read ↗</t>
        </is>
      </c>
      <c r="O1238" s="11" t="inlineStr">
        <is>
          <t>section reading (2 of 5)</t>
        </is>
      </c>
      <c r="P1238" s="10" t="inlineStr">
        <is>
          <t>Structure prediction, design and biomolecular foundation models</t>
        </is>
      </c>
    </row>
    <row r="1239">
      <c r="A1239" s="15" t="n">
        <v>1238</v>
      </c>
      <c r="B1239" s="15" t="inlineStr">
        <is>
          <t>Part II - The Method Atlas</t>
        </is>
      </c>
      <c r="C1239" s="16" t="inlineStr">
        <is>
          <t>R.3 Hallucination and inverting predictors</t>
        </is>
      </c>
      <c r="D1239" s="10" t="inlineStr">
        <is>
          <t>second account</t>
        </is>
      </c>
      <c r="E1239" s="10" t="inlineStr">
        <is>
          <t>BindCraft</t>
        </is>
      </c>
      <c r="F1239" s="11" t="inlineStr">
        <is>
          <t>1:15:23</t>
        </is>
      </c>
      <c r="G1239" s="11" t="n">
        <v>1.26</v>
      </c>
      <c r="H1239" s="12" t="inlineStr">
        <is>
          <t>★</t>
        </is>
      </c>
      <c r="I1239" s="11" t="inlineStr">
        <is>
          <t>Not started</t>
        </is>
      </c>
      <c r="J1239" s="13" t="n"/>
      <c r="K1239" s="10" t="inlineStr"/>
      <c r="L1239" s="14" t="inlineStr">
        <is>
          <t>▶ watch</t>
        </is>
      </c>
      <c r="M1239" s="10" t="inlineStr">
        <is>
          <t>Pacesa et al. 2025, Nature 646:483 (BindCraft)</t>
        </is>
      </c>
      <c r="N1239" s="14" t="inlineStr">
        <is>
          <t>read ↗</t>
        </is>
      </c>
      <c r="O1239" s="11" t="inlineStr">
        <is>
          <t>names BINDCRAFT</t>
        </is>
      </c>
      <c r="P1239" s="10" t="inlineStr">
        <is>
          <t>2025</t>
        </is>
      </c>
    </row>
    <row r="1240">
      <c r="A1240" s="15" t="n">
        <v>1239</v>
      </c>
      <c r="B1240" s="15" t="inlineStr">
        <is>
          <t>Part II - The Method Atlas</t>
        </is>
      </c>
      <c r="C1240" s="16" t="inlineStr">
        <is>
          <t>R.3 Hallucination and inverting predictors</t>
        </is>
      </c>
      <c r="D1240" s="10" t="inlineStr">
        <is>
          <t>BoltzDesign and Protein Hunter: Inverting Structure Prediction Models</t>
        </is>
      </c>
      <c r="E1240" s="10" t="inlineStr">
        <is>
          <t>BoltzDesign1</t>
        </is>
      </c>
      <c r="F1240" s="11" t="inlineStr">
        <is>
          <t>48:46</t>
        </is>
      </c>
      <c r="G1240" s="11" t="n">
        <v>0.8100000000000001</v>
      </c>
      <c r="H1240" s="12" t="inlineStr"/>
      <c r="I1240" s="11" t="inlineStr">
        <is>
          <t>Not started</t>
        </is>
      </c>
      <c r="J1240" s="13" t="n"/>
      <c r="K1240" s="10" t="inlineStr"/>
      <c r="L1240" s="14" t="inlineStr">
        <is>
          <t>▶ watch</t>
        </is>
      </c>
      <c r="M1240" s="10" t="inlineStr">
        <is>
          <t>Cho et al. 2025, bioRxiv (BoltzDesign1, preprint)</t>
        </is>
      </c>
      <c r="N1240" s="14" t="inlineStr">
        <is>
          <t>read ↗</t>
        </is>
      </c>
      <c r="O1240" s="11" t="inlineStr">
        <is>
          <t>names BOLTZDESIGN1</t>
        </is>
      </c>
      <c r="P1240" s="10" t="inlineStr">
        <is>
          <t>2026 - posted but not on the schedule page</t>
        </is>
      </c>
    </row>
    <row r="1241">
      <c r="A1241" s="15" t="n">
        <v>1240</v>
      </c>
      <c r="B1241" s="15" t="inlineStr">
        <is>
          <t>Part II - The Method Atlas</t>
        </is>
      </c>
      <c r="C1241" s="16" t="inlineStr">
        <is>
          <t>R.3 Hallucination and inverting predictors</t>
        </is>
      </c>
      <c r="D1241" s="10" t="inlineStr">
        <is>
          <t>How AF3-style models can be used for design</t>
        </is>
      </c>
      <c r="E1241" s="10" t="inlineStr">
        <is>
          <t>BoltzDesign1</t>
        </is>
      </c>
      <c r="F1241" s="11" t="inlineStr">
        <is>
          <t>1:10:35</t>
        </is>
      </c>
      <c r="G1241" s="11" t="n">
        <v>1.18</v>
      </c>
      <c r="H1241" s="12" t="inlineStr"/>
      <c r="I1241" s="11" t="inlineStr">
        <is>
          <t>Not started</t>
        </is>
      </c>
      <c r="J1241" s="13" t="n"/>
      <c r="K1241" s="10" t="inlineStr"/>
      <c r="L1241" s="14" t="inlineStr">
        <is>
          <t>▶ watch</t>
        </is>
      </c>
      <c r="M1241" s="10" t="inlineStr">
        <is>
          <t>Cho et al. 2025, bioRxiv (BoltzDesign1, preprint)</t>
        </is>
      </c>
      <c r="N1241" s="14" t="inlineStr">
        <is>
          <t>read ↗</t>
        </is>
      </c>
      <c r="O1241" s="11" t="inlineStr">
        <is>
          <t>names BOLTZDESIGN1</t>
        </is>
      </c>
      <c r="P1241" s="10" t="inlineStr">
        <is>
          <t>2025</t>
        </is>
      </c>
    </row>
    <row r="1242">
      <c r="A1242" s="15" t="n">
        <v>1241</v>
      </c>
      <c r="B1242" s="15" t="inlineStr">
        <is>
          <t>Part II - The Method Atlas</t>
        </is>
      </c>
      <c r="C1242" s="16" t="inlineStr">
        <is>
          <t>R.3 Hallucination and inverting predictors</t>
        </is>
      </c>
      <c r="D1242" s="10" t="inlineStr">
        <is>
          <t>Exploiting structure hallucination within diffusion</t>
        </is>
      </c>
      <c r="E1242" s="10" t="inlineStr">
        <is>
          <t>Protein Hunter</t>
        </is>
      </c>
      <c r="F1242" s="11" t="inlineStr">
        <is>
          <t>1:14:12</t>
        </is>
      </c>
      <c r="G1242" s="11" t="n">
        <v>1.24</v>
      </c>
      <c r="H1242" s="12" t="inlineStr">
        <is>
          <t>★</t>
        </is>
      </c>
      <c r="I1242" s="11" t="inlineStr">
        <is>
          <t>Not started</t>
        </is>
      </c>
      <c r="J1242" s="13" t="n"/>
      <c r="K1242" s="10" t="inlineStr"/>
      <c r="L1242" s="14" t="inlineStr">
        <is>
          <t>▶ watch</t>
        </is>
      </c>
      <c r="M1242" s="10" t="inlineStr">
        <is>
          <t>Anishchenko et al. 2021, Nature 600:547 (hallucination) · Wang et al. 2022, Science 377:387 (motif scaffolding - note Wang is first author, not Tischer)</t>
        </is>
      </c>
      <c r="N1242" s="14" t="inlineStr">
        <is>
          <t>read ↗</t>
        </is>
      </c>
      <c r="O1242" s="11" t="inlineStr">
        <is>
          <t>section reading (2 of 5)</t>
        </is>
      </c>
      <c r="P1242" s="10" t="inlineStr">
        <is>
          <t>Structure prediction, design and biomolecular foundation models</t>
        </is>
      </c>
    </row>
    <row r="1243">
      <c r="A1243" s="15" t="n">
        <v>1242</v>
      </c>
      <c r="B1243" s="15" t="inlineStr">
        <is>
          <t>Part II - The Method Atlas</t>
        </is>
      </c>
      <c r="C1243" s="16" t="inlineStr">
        <is>
          <t>R.4 Binder design - and the honest hit rates</t>
        </is>
      </c>
      <c r="D1243" s="10" t="inlineStr">
        <is>
          <t>Learning to design mini-proteins that bind specific targets</t>
        </is>
      </c>
      <c r="E1243" s="10" t="inlineStr">
        <is>
          <t>Minibinders, pre-DL</t>
        </is>
      </c>
      <c r="F1243" s="11" t="inlineStr">
        <is>
          <t>1:12:12</t>
        </is>
      </c>
      <c r="G1243" s="11" t="n">
        <v>1.2</v>
      </c>
      <c r="H1243" s="12" t="inlineStr">
        <is>
          <t>★</t>
        </is>
      </c>
      <c r="I1243" s="11" t="inlineStr">
        <is>
          <t>Not started</t>
        </is>
      </c>
      <c r="J1243" s="13" t="n"/>
      <c r="K1243" s="10" t="inlineStr"/>
      <c r="L1243" s="14" t="inlineStr">
        <is>
          <t>▶ watch</t>
        </is>
      </c>
      <c r="M1243" s="10" t="inlineStr">
        <is>
          <t>Anishchenko et al. 2021, Nature 600:547 (hallucination) · Wang et al. 2022, Science 377:387 (motif scaffolding - note Wang is first author, not Tischer)</t>
        </is>
      </c>
      <c r="N1243" s="14" t="inlineStr">
        <is>
          <t>read ↗</t>
        </is>
      </c>
      <c r="O1243" s="11" t="inlineStr">
        <is>
          <t>reading for R.3 Hallucination and inverting predicto</t>
        </is>
      </c>
      <c r="P1243" s="10" t="inlineStr">
        <is>
          <t>2021</t>
        </is>
      </c>
    </row>
    <row r="1244">
      <c r="A1244" s="15" t="n">
        <v>1243</v>
      </c>
      <c r="B1244" s="15" t="inlineStr">
        <is>
          <t>Part II - The Method Atlas</t>
        </is>
      </c>
      <c r="C1244" s="16" t="inlineStr">
        <is>
          <t>R.4 Binder design - and the honest hit rates</t>
        </is>
      </c>
      <c r="D1244" s="10" t="inlineStr">
        <is>
          <t>Binder Design Methods Overview</t>
        </is>
      </c>
      <c r="E1244" s="10" t="inlineStr">
        <is>
          <t>Target-agnostic binders</t>
        </is>
      </c>
      <c r="F1244" s="11" t="inlineStr">
        <is>
          <t>8:08</t>
        </is>
      </c>
      <c r="G1244" s="11" t="n">
        <v>0.14</v>
      </c>
      <c r="H1244" s="12" t="inlineStr"/>
      <c r="I1244" s="11" t="inlineStr">
        <is>
          <t>Not started</t>
        </is>
      </c>
      <c r="J1244" s="13" t="n"/>
      <c r="K1244" s="10" t="inlineStr"/>
      <c r="L1244" s="14" t="inlineStr">
        <is>
          <t>▶ watch</t>
        </is>
      </c>
      <c r="M1244" s="10" t="inlineStr">
        <is>
          <t>Anishchenko et al. 2021, Nature 600:547 (hallucination) · Wang et al. 2022, Science 377:387 (motif scaffolding - note Wang is first author, not Tischer)</t>
        </is>
      </c>
      <c r="N1244" s="14" t="inlineStr">
        <is>
          <t>read ↗</t>
        </is>
      </c>
      <c r="O1244" s="11" t="inlineStr">
        <is>
          <t>reading for R.3 Hallucination and inverting predicto</t>
        </is>
      </c>
      <c r="P1244" s="10" t="inlineStr">
        <is>
          <t>Designing Protein-Protein Interactions (2025) - 8 videos</t>
        </is>
      </c>
    </row>
    <row r="1245">
      <c r="A1245" s="15" t="n">
        <v>1244</v>
      </c>
      <c r="B1245" s="15" t="inlineStr">
        <is>
          <t>Part II - The Method Atlas</t>
        </is>
      </c>
      <c r="C1245" s="16" t="inlineStr">
        <is>
          <t>R.4 Binder design - and the honest hit rates</t>
        </is>
      </c>
      <c r="D1245" s="10" t="inlineStr">
        <is>
          <t>De novo design of miniprotein agonists and antagonists for family B GPCRs</t>
        </is>
      </c>
      <c r="E1245" s="10" t="inlineStr">
        <is>
          <t>GPCR binders</t>
        </is>
      </c>
      <c r="F1245" s="11" t="inlineStr">
        <is>
          <t>51:20</t>
        </is>
      </c>
      <c r="G1245" s="11" t="n">
        <v>0.86</v>
      </c>
      <c r="H1245" s="12" t="inlineStr"/>
      <c r="I1245" s="11" t="inlineStr">
        <is>
          <t>Not started</t>
        </is>
      </c>
      <c r="J1245" s="13" t="n"/>
      <c r="K1245" s="10" t="inlineStr"/>
      <c r="L1245" s="14" t="inlineStr">
        <is>
          <t>▶ watch</t>
        </is>
      </c>
      <c r="M1245" s="10" t="inlineStr">
        <is>
          <t>Anishchenko et al. 2021, Nature 600:547 (hallucination) · Wang et al. 2022, Science 377:387 (motif scaffolding - note Wang is first author, not Tischer)</t>
        </is>
      </c>
      <c r="N1245" s="14" t="inlineStr">
        <is>
          <t>read ↗</t>
        </is>
      </c>
      <c r="O1245" s="11" t="inlineStr">
        <is>
          <t>reading for R.3 Hallucination and inverting predicto</t>
        </is>
      </c>
      <c r="P1245" s="10" t="inlineStr">
        <is>
          <t>2021</t>
        </is>
      </c>
    </row>
    <row r="1246">
      <c r="A1246" s="15" t="n">
        <v>1245</v>
      </c>
      <c r="B1246" s="15" t="inlineStr">
        <is>
          <t>Part II - The Method Atlas</t>
        </is>
      </c>
      <c r="C1246" s="16" t="inlineStr">
        <is>
          <t>R.4 Binder design - and the honest hit rates</t>
        </is>
      </c>
      <c r="D1246" s="10" t="inlineStr">
        <is>
          <t>De novo design of high-affinity binders of bioactive helical peptides</t>
        </is>
      </c>
      <c r="E1246" s="10" t="inlineStr">
        <is>
          <t>Vázquez Torres (Valence</t>
        </is>
      </c>
      <c r="F1246" s="11" t="inlineStr">
        <is>
          <t>37:28</t>
        </is>
      </c>
      <c r="G1246" s="11" t="n">
        <v>0.62</v>
      </c>
      <c r="H1246" s="12" t="inlineStr"/>
      <c r="I1246" s="11" t="inlineStr">
        <is>
          <t>Not started</t>
        </is>
      </c>
      <c r="J1246" s="13" t="n"/>
      <c r="K1246" s="10" t="inlineStr"/>
      <c r="L1246" s="14" t="inlineStr">
        <is>
          <t>▶ watch</t>
        </is>
      </c>
      <c r="M1246" s="10" t="inlineStr">
        <is>
          <t>Anishchenko et al. 2021, Nature 600:547 (hallucination) · Wang et al. 2022, Science 377:387 (motif scaffolding - note Wang is first author, not Tischer)</t>
        </is>
      </c>
      <c r="N1246" s="14" t="inlineStr">
        <is>
          <t>read ↗</t>
        </is>
      </c>
      <c r="O1246" s="11" t="inlineStr">
        <is>
          <t>reading for R.3 Hallucination and inverting predicto</t>
        </is>
      </c>
      <c r="P1246" s="10" t="inlineStr">
        <is>
          <t>Structure prediction, design and biomolecular foundation models</t>
        </is>
      </c>
    </row>
    <row r="1247">
      <c r="A1247" s="15" t="n">
        <v>1246</v>
      </c>
      <c r="B1247" s="15" t="inlineStr">
        <is>
          <t>Part II - The Method Atlas</t>
        </is>
      </c>
      <c r="C1247" s="16" t="inlineStr">
        <is>
          <t>R.4 Binder design - and the honest hit rates</t>
        </is>
      </c>
      <c r="D1247" s="10" t="inlineStr">
        <is>
          <t>Optimizing Cetuximab: Winning Adaptyv's Protein Design Competition</t>
        </is>
      </c>
      <c r="E1247" s="10" t="inlineStr">
        <is>
          <t>Adaptyv competition</t>
        </is>
      </c>
      <c r="F1247" s="11" t="inlineStr">
        <is>
          <t>53:53</t>
        </is>
      </c>
      <c r="G1247" s="11" t="n">
        <v>0.9</v>
      </c>
      <c r="H1247" s="12" t="inlineStr">
        <is>
          <t>★</t>
        </is>
      </c>
      <c r="I1247" s="11" t="inlineStr">
        <is>
          <t>Not started</t>
        </is>
      </c>
      <c r="J1247" s="13" t="n"/>
      <c r="K1247" s="10" t="inlineStr"/>
      <c r="L1247" s="14" t="inlineStr">
        <is>
          <t>▶ watch</t>
        </is>
      </c>
      <c r="M1247" s="10" t="inlineStr">
        <is>
          <t>Anishchenko et al. 2021, Nature 600:547 (hallucination) · Wang et al. 2022, Science 377:387 (motif scaffolding - note Wang is first author, not Tischer)</t>
        </is>
      </c>
      <c r="N1247" s="14" t="inlineStr">
        <is>
          <t>read ↗</t>
        </is>
      </c>
      <c r="O1247" s="11" t="inlineStr">
        <is>
          <t>reading for R.3 Hallucination and inverting predicto</t>
        </is>
      </c>
      <c r="P1247" s="10" t="inlineStr">
        <is>
          <t>S.1 The blind assessments</t>
        </is>
      </c>
    </row>
    <row r="1248">
      <c r="A1248" s="15" t="n">
        <v>1247</v>
      </c>
      <c r="B1248" s="15" t="inlineStr">
        <is>
          <t>Part II - The Method Atlas</t>
        </is>
      </c>
      <c r="C1248" s="16" t="inlineStr">
        <is>
          <t>R.4 Binder design - and the honest hit rates</t>
        </is>
      </c>
      <c r="D1248" s="10" t="inlineStr">
        <is>
          <t>Scaling Atomistic Protein Binder Design</t>
        </is>
      </c>
      <c r="E1248" s="10" t="inlineStr">
        <is>
          <t>Scaling + test-time compute</t>
        </is>
      </c>
      <c r="F1248" s="11" t="inlineStr">
        <is>
          <t>55:28</t>
        </is>
      </c>
      <c r="G1248" s="11" t="n">
        <v>0.92</v>
      </c>
      <c r="H1248" s="12" t="inlineStr"/>
      <c r="I1248" s="11" t="inlineStr">
        <is>
          <t>Not started</t>
        </is>
      </c>
      <c r="J1248" s="13" t="n"/>
      <c r="K1248" s="10" t="inlineStr"/>
      <c r="L1248" s="14" t="inlineStr">
        <is>
          <t>▶ watch</t>
        </is>
      </c>
      <c r="M1248" s="10" t="inlineStr">
        <is>
          <t>Anishchenko et al. 2021, Nature 600:547 (hallucination) · Wang et al. 2022, Science 377:387 (motif scaffolding - note Wang is first author, not Tischer)</t>
        </is>
      </c>
      <c r="N1248" s="14" t="inlineStr">
        <is>
          <t>read ↗</t>
        </is>
      </c>
      <c r="O1248" s="11" t="inlineStr">
        <is>
          <t>reading for R.3 Hallucination and inverting predicto</t>
        </is>
      </c>
      <c r="P1248" s="10" t="inlineStr">
        <is>
          <t>2026 - posted but not on the schedule page</t>
        </is>
      </c>
    </row>
    <row r="1249">
      <c r="A1249" s="15" t="n">
        <v>1248</v>
      </c>
      <c r="B1249" s="15" t="inlineStr">
        <is>
          <t>Part II - The Method Atlas</t>
        </is>
      </c>
      <c r="C1249" s="16" t="inlineStr">
        <is>
          <t>R.4 Binder design - and the honest hit rates</t>
        </is>
      </c>
      <c r="D1249" s="10" t="inlineStr">
        <is>
          <t>NVIDIA (Valence</t>
        </is>
      </c>
      <c r="E1249" s="10" t="inlineStr">
        <is>
          <t>long form</t>
        </is>
      </c>
      <c r="F1249" s="11" t="inlineStr">
        <is>
          <t>1:38:57</t>
        </is>
      </c>
      <c r="G1249" s="11" t="n">
        <v>1.65</v>
      </c>
      <c r="H1249" s="12" t="inlineStr">
        <is>
          <t>★</t>
        </is>
      </c>
      <c r="I1249" s="11" t="inlineStr">
        <is>
          <t>Not started</t>
        </is>
      </c>
      <c r="J1249" s="13" t="n"/>
      <c r="K1249" s="10" t="inlineStr"/>
      <c r="L1249" s="14" t="inlineStr">
        <is>
          <t>▶ watch</t>
        </is>
      </c>
      <c r="M1249" s="10" t="inlineStr">
        <is>
          <t>Anishchenko et al. 2021, Nature 600:547 (hallucination) · Wang et al. 2022, Science 377:387 (motif scaffolding - note Wang is first author, not Tischer)</t>
        </is>
      </c>
      <c r="N1249" s="14" t="inlineStr">
        <is>
          <t>read ↗</t>
        </is>
      </c>
      <c r="O1249" s="11" t="inlineStr">
        <is>
          <t>reading for R.3 Hallucination and inverting predicto</t>
        </is>
      </c>
      <c r="P1249" s="10" t="inlineStr">
        <is>
          <t>Structure prediction, design and biomolecular foundation models</t>
        </is>
      </c>
    </row>
    <row r="1250">
      <c r="A1250" s="15" t="n">
        <v>1249</v>
      </c>
      <c r="B1250" s="15" t="inlineStr">
        <is>
          <t>Part II - The Method Atlas</t>
        </is>
      </c>
      <c r="C1250" s="16" t="inlineStr">
        <is>
          <t>R.4 Binder design - and the honest hit rates</t>
        </is>
      </c>
      <c r="D1250" s="10" t="inlineStr">
        <is>
          <t>Targeting protein–ligand neosurfaces with a generalizable DL tool</t>
        </is>
      </c>
      <c r="E1250" s="10" t="inlineStr">
        <is>
          <t>Anthony Marchand (Valence</t>
        </is>
      </c>
      <c r="F1250" s="11" t="inlineStr">
        <is>
          <t>1:11:03</t>
        </is>
      </c>
      <c r="G1250" s="11" t="n">
        <v>1.18</v>
      </c>
      <c r="H1250" s="12" t="inlineStr"/>
      <c r="I1250" s="11" t="inlineStr">
        <is>
          <t>Not started</t>
        </is>
      </c>
      <c r="J1250" s="13" t="n"/>
      <c r="K1250" s="10" t="inlineStr"/>
      <c r="L1250" s="14" t="inlineStr">
        <is>
          <t>▶ watch</t>
        </is>
      </c>
      <c r="M1250" s="10" t="inlineStr">
        <is>
          <t>Anishchenko et al. 2021, Nature 600:547 (hallucination) · Wang et al. 2022, Science 377:387 (motif scaffolding - note Wang is first author, not Tischer)</t>
        </is>
      </c>
      <c r="N1250" s="14" t="inlineStr">
        <is>
          <t>read ↗</t>
        </is>
      </c>
      <c r="O1250" s="11" t="inlineStr">
        <is>
          <t>reading for R.3 Hallucination and inverting predicto</t>
        </is>
      </c>
      <c r="P1250" s="10" t="inlineStr">
        <is>
          <t>Structure prediction, design and biomolecular foundation models</t>
        </is>
      </c>
    </row>
    <row r="1251">
      <c r="A1251" s="15" t="n">
        <v>1250</v>
      </c>
      <c r="B1251" s="15" t="inlineStr">
        <is>
          <t>Part II - The Method Atlas</t>
        </is>
      </c>
      <c r="C1251" s="16" t="inlineStr">
        <is>
          <t>R.4 Binder design - and the honest hit rates</t>
        </is>
      </c>
      <c r="D1251" s="10" t="inlineStr">
        <is>
          <t>ML4PE account</t>
        </is>
      </c>
      <c r="E1251" s="10" t="inlineStr">
        <is>
          <t>Neosurfaces</t>
        </is>
      </c>
      <c r="F1251" s="11" t="inlineStr">
        <is>
          <t>52:30</t>
        </is>
      </c>
      <c r="G1251" s="11" t="n">
        <v>0.88</v>
      </c>
      <c r="H1251" s="12" t="inlineStr"/>
      <c r="I1251" s="11" t="inlineStr">
        <is>
          <t>Not started</t>
        </is>
      </c>
      <c r="J1251" s="13" t="n"/>
      <c r="K1251" s="10" t="inlineStr"/>
      <c r="L1251" s="14" t="inlineStr">
        <is>
          <t>▶ watch</t>
        </is>
      </c>
      <c r="M1251" s="10" t="inlineStr">
        <is>
          <t>Anishchenko et al. 2021, Nature 600:547 (hallucination) · Wang et al. 2022, Science 377:387 (motif scaffolding - note Wang is first author, not Tischer)</t>
        </is>
      </c>
      <c r="N1251" s="14" t="inlineStr">
        <is>
          <t>read ↗</t>
        </is>
      </c>
      <c r="O1251" s="11" t="inlineStr">
        <is>
          <t>reading for R.3 Hallucination and inverting predicto</t>
        </is>
      </c>
      <c r="P1251" s="10" t="inlineStr">
        <is>
          <t>2025</t>
        </is>
      </c>
    </row>
    <row r="1252">
      <c r="A1252" s="15" t="n">
        <v>1251</v>
      </c>
      <c r="B1252" s="15" t="inlineStr">
        <is>
          <t>Part II - The Method Atlas</t>
        </is>
      </c>
      <c r="C1252" s="16" t="inlineStr">
        <is>
          <t>R.4 Binder design - and the honest hit rates</t>
        </is>
      </c>
      <c r="D1252" s="10" t="inlineStr">
        <is>
          <t>Zero-shot design via neural iterative selection-expansion</t>
        </is>
      </c>
      <c r="E1252" s="10" t="inlineStr">
        <is>
          <t>Drug-binding proteins</t>
        </is>
      </c>
      <c r="F1252" s="11" t="inlineStr">
        <is>
          <t>36:24</t>
        </is>
      </c>
      <c r="G1252" s="11" t="n">
        <v>0.61</v>
      </c>
      <c r="H1252" s="12" t="inlineStr"/>
      <c r="I1252" s="11" t="inlineStr">
        <is>
          <t>Not started</t>
        </is>
      </c>
      <c r="J1252" s="13" t="n"/>
      <c r="K1252" s="10" t="inlineStr"/>
      <c r="L1252" s="14" t="inlineStr">
        <is>
          <t>▶ watch</t>
        </is>
      </c>
      <c r="M1252" s="10" t="inlineStr">
        <is>
          <t>Anishchenko et al. 2021, Nature 600:547 (hallucination) · Wang et al. 2022, Science 377:387 (motif scaffolding - note Wang is first author, not Tischer)</t>
        </is>
      </c>
      <c r="N1252" s="14" t="inlineStr">
        <is>
          <t>read ↗</t>
        </is>
      </c>
      <c r="O1252" s="11" t="inlineStr">
        <is>
          <t>reading for R.3 Hallucination and inverting predicto</t>
        </is>
      </c>
      <c r="P1252" s="10" t="inlineStr">
        <is>
          <t>2026 - posted but not on the schedule page</t>
        </is>
      </c>
    </row>
    <row r="1253">
      <c r="A1253" s="15" t="n">
        <v>1252</v>
      </c>
      <c r="B1253" s="15" t="inlineStr">
        <is>
          <t>Part II - The Method Atlas</t>
        </is>
      </c>
      <c r="C1253" s="16" t="inlineStr">
        <is>
          <t>R.4 Binder design - and the honest hit rates</t>
        </is>
      </c>
      <c r="D1253" s="10" t="inlineStr">
        <is>
          <t>De novo design of miniprotein-based NK cell engagers</t>
        </is>
      </c>
      <c r="E1253" s="10" t="inlineStr">
        <is>
          <t>Therapeutic application</t>
        </is>
      </c>
      <c r="F1253" s="11" t="inlineStr">
        <is>
          <t>59:56</t>
        </is>
      </c>
      <c r="G1253" s="11" t="n">
        <v>1</v>
      </c>
      <c r="H1253" s="12" t="inlineStr"/>
      <c r="I1253" s="11" t="inlineStr">
        <is>
          <t>Not started</t>
        </is>
      </c>
      <c r="J1253" s="13" t="n"/>
      <c r="K1253" s="10" t="inlineStr"/>
      <c r="L1253" s="14" t="inlineStr">
        <is>
          <t>▶ watch</t>
        </is>
      </c>
      <c r="M1253" s="10" t="inlineStr">
        <is>
          <t>Anishchenko et al. 2021, Nature 600:547 (hallucination) · Wang et al. 2022, Science 377:387 (motif scaffolding - note Wang is first author, not Tischer)</t>
        </is>
      </c>
      <c r="N1253" s="14" t="inlineStr">
        <is>
          <t>read ↗</t>
        </is>
      </c>
      <c r="O1253" s="11" t="inlineStr">
        <is>
          <t>reading for R.3 Hallucination and inverting predicto</t>
        </is>
      </c>
      <c r="P1253" s="10" t="inlineStr">
        <is>
          <t>2024</t>
        </is>
      </c>
    </row>
    <row r="1254">
      <c r="A1254" s="15" t="n">
        <v>1253</v>
      </c>
      <c r="B1254" s="15" t="inlineStr">
        <is>
          <t>Part II - The Method Atlas</t>
        </is>
      </c>
      <c r="C1254" s="16" t="inlineStr">
        <is>
          <t>R.4 Binder design - and the honest hit rates</t>
        </is>
      </c>
      <c r="D1254" s="10" t="inlineStr">
        <is>
          <t>BinderFlow: batch-based binder design with live monitoring</t>
        </is>
      </c>
      <c r="E1254" s="10" t="inlineStr">
        <is>
          <t>Production pipeline</t>
        </is>
      </c>
      <c r="F1254" s="11" t="inlineStr">
        <is>
          <t>16:23</t>
        </is>
      </c>
      <c r="G1254" s="11" t="n">
        <v>0.27</v>
      </c>
      <c r="H1254" s="12" t="inlineStr"/>
      <c r="I1254" s="11" t="inlineStr">
        <is>
          <t>Not started</t>
        </is>
      </c>
      <c r="J1254" s="13" t="n"/>
      <c r="K1254" s="10" t="inlineStr"/>
      <c r="L1254" s="14" t="inlineStr">
        <is>
          <t>▶ watch</t>
        </is>
      </c>
      <c r="M1254" s="10" t="inlineStr">
        <is>
          <t>Anishchenko et al. 2021, Nature 600:547 (hallucination) · Wang et al. 2022, Science 377:387 (motif scaffolding - note Wang is first author, not Tischer)</t>
        </is>
      </c>
      <c r="N1254" s="14" t="inlineStr">
        <is>
          <t>read ↗</t>
        </is>
      </c>
      <c r="O1254" s="11" t="inlineStr">
        <is>
          <t>reading for R.3 Hallucination and inverting predicto</t>
        </is>
      </c>
      <c r="P1254" s="10" t="inlineStr">
        <is>
          <t>Protein Design Workflows - 14 videos</t>
        </is>
      </c>
    </row>
    <row r="1255">
      <c r="A1255" s="15" t="n">
        <v>1254</v>
      </c>
      <c r="B1255" s="15" t="inlineStr">
        <is>
          <t>Part II - The Method Atlas</t>
        </is>
      </c>
      <c r="C1255" s="16" t="inlineStr">
        <is>
          <t>The three corrective talks</t>
        </is>
      </c>
      <c r="D1255" s="10" t="inlineStr">
        <is>
          <t>Why designs fail, and how they move</t>
        </is>
      </c>
      <c r="E1255" s="10" t="inlineStr">
        <is>
          <t>BPDMC</t>
        </is>
      </c>
      <c r="F1255" s="11" t="inlineStr">
        <is>
          <t>1:09:30</t>
        </is>
      </c>
      <c r="G1255" s="11" t="n">
        <v>1.16</v>
      </c>
      <c r="H1255" s="12" t="inlineStr">
        <is>
          <t>★</t>
        </is>
      </c>
      <c r="I1255" s="11" t="inlineStr">
        <is>
          <t>Not started</t>
        </is>
      </c>
      <c r="J1255" s="13" t="n"/>
      <c r="K1255" s="10" t="inlineStr"/>
      <c r="L1255" s="14" t="inlineStr">
        <is>
          <t>▶ watch</t>
        </is>
      </c>
      <c r="M1255" s="10" t="inlineStr">
        <is>
          <t>Any binder paper's supplement</t>
        </is>
      </c>
      <c r="N1255" s="14" t="inlineStr">
        <is>
          <t>read ↗</t>
        </is>
      </c>
      <c r="O1255" s="11" t="inlineStr">
        <is>
          <t>paired reading</t>
        </is>
      </c>
      <c r="P1255" s="10" t="inlineStr">
        <is>
          <t>2020</t>
        </is>
      </c>
    </row>
    <row r="1256">
      <c r="A1256" s="15" t="n">
        <v>1255</v>
      </c>
      <c r="B1256" s="15" t="inlineStr">
        <is>
          <t>Part II - The Method Atlas</t>
        </is>
      </c>
      <c r="C1256" s="16" t="inlineStr">
        <is>
          <t>The three corrective talks</t>
        </is>
      </c>
      <c r="D1256" s="10" t="inlineStr">
        <is>
          <t>Creativity at Scale: Problem Formulation as the Frontier of Protein Design</t>
        </is>
      </c>
      <c r="E1256" s="10" t="inlineStr">
        <is>
          <t>BPDMC</t>
        </is>
      </c>
      <c r="F1256" s="11" t="inlineStr">
        <is>
          <t>1:29:26</t>
        </is>
      </c>
      <c r="G1256" s="11" t="n">
        <v>1.49</v>
      </c>
      <c r="H1256" s="12" t="inlineStr">
        <is>
          <t>★</t>
        </is>
      </c>
      <c r="I1256" s="11" t="inlineStr">
        <is>
          <t>Not started</t>
        </is>
      </c>
      <c r="J1256" s="13" t="n"/>
      <c r="K1256" s="10" t="inlineStr"/>
      <c r="L1256" s="14" t="inlineStr">
        <is>
          <t>▶ watch</t>
        </is>
      </c>
      <c r="M1256" s="10" t="inlineStr">
        <is>
          <t>Chevalier et al. 2017, Nature 550:74 · Cao et al. 2022, Nature 605:551</t>
        </is>
      </c>
      <c r="N1256" s="14" t="inlineStr">
        <is>
          <t>read ↗</t>
        </is>
      </c>
      <c r="O1256" s="11" t="inlineStr">
        <is>
          <t>section reading (2 of 6)</t>
        </is>
      </c>
      <c r="P1256" s="10" t="inlineStr">
        <is>
          <t>2026</t>
        </is>
      </c>
    </row>
    <row r="1257">
      <c r="A1257" s="15" t="n">
        <v>1256</v>
      </c>
      <c r="B1257" s="15" t="inlineStr">
        <is>
          <t>Part II - The Method Atlas</t>
        </is>
      </c>
      <c r="C1257" s="16" t="inlineStr">
        <is>
          <t>The three corrective talks</t>
        </is>
      </c>
      <c r="D1257" s="10" t="inlineStr">
        <is>
          <t>Protein design roundtable: real challenges and practical solutions</t>
        </is>
      </c>
      <c r="E1257" s="10" t="inlineStr">
        <is>
          <t>RosettaCommons</t>
        </is>
      </c>
      <c r="F1257" s="11" t="inlineStr">
        <is>
          <t>23:55</t>
        </is>
      </c>
      <c r="G1257" s="11" t="n">
        <v>0.4</v>
      </c>
      <c r="H1257" s="12" t="inlineStr">
        <is>
          <t>★</t>
        </is>
      </c>
      <c r="I1257" s="11" t="inlineStr">
        <is>
          <t>Not started</t>
        </is>
      </c>
      <c r="J1257" s="13" t="n"/>
      <c r="K1257" s="10" t="inlineStr"/>
      <c r="L1257" s="14" t="inlineStr">
        <is>
          <t>▶ watch</t>
        </is>
      </c>
      <c r="M1257" s="10" t="inlineStr">
        <is>
          <t>Chevalier et al. 2017, Nature 550:74 · Cao et al. 2022, Nature 605:551</t>
        </is>
      </c>
      <c r="N1257" s="14" t="inlineStr">
        <is>
          <t>read ↗</t>
        </is>
      </c>
      <c r="O1257" s="11" t="inlineStr">
        <is>
          <t>section reading (2 of 6)</t>
        </is>
      </c>
      <c r="P1257" s="10" t="inlineStr">
        <is>
          <t>ML for Protein Design Bootcamp (2026) - 13 videos</t>
        </is>
      </c>
    </row>
    <row r="1258">
      <c r="A1258" s="15" t="n">
        <v>1257</v>
      </c>
      <c r="B1258" s="15" t="inlineStr">
        <is>
          <t>Part II - The Method Atlas</t>
        </is>
      </c>
      <c r="C1258" s="16" t="inlineStr">
        <is>
          <t>R.5 Enzyme design - the field's most honest corner</t>
        </is>
      </c>
      <c r="D1258" s="10" t="inlineStr">
        <is>
          <t>Computational design of serine hydrolases</t>
        </is>
      </c>
      <c r="E1258" s="10" t="inlineStr">
        <is>
          <t>Lauko &amp; Pellock (ML4PE</t>
        </is>
      </c>
      <c r="F1258" s="11" t="inlineStr">
        <is>
          <t>41:14</t>
        </is>
      </c>
      <c r="G1258" s="11" t="n">
        <v>0.6899999999999999</v>
      </c>
      <c r="H1258" s="12" t="inlineStr">
        <is>
          <t>★</t>
        </is>
      </c>
      <c r="I1258" s="11" t="inlineStr">
        <is>
          <t>Not started</t>
        </is>
      </c>
      <c r="J1258" s="13" t="n"/>
      <c r="K1258" s="10" t="inlineStr"/>
      <c r="L1258" s="14" t="inlineStr">
        <is>
          <t>▶ watch</t>
        </is>
      </c>
      <c r="M1258" s="10" t="inlineStr">
        <is>
          <t>Lauko et al. 2025, Science 388:eadu2454</t>
        </is>
      </c>
      <c r="N1258" s="14" t="inlineStr">
        <is>
          <t>read ↗</t>
        </is>
      </c>
      <c r="O1258" s="11" t="inlineStr">
        <is>
          <t>paired reading</t>
        </is>
      </c>
      <c r="P1258" s="10" t="inlineStr">
        <is>
          <t>2025</t>
        </is>
      </c>
    </row>
    <row r="1259">
      <c r="A1259" s="15" t="n">
        <v>1258</v>
      </c>
      <c r="B1259" s="15" t="inlineStr">
        <is>
          <t>Part II - The Method Atlas</t>
        </is>
      </c>
      <c r="C1259" s="16" t="inlineStr">
        <is>
          <t>R.5 Enzyme design - the field's most honest corner</t>
        </is>
      </c>
      <c r="D1259" s="10" t="inlineStr">
        <is>
          <t>AI-driven de novo Enzyme Design</t>
        </is>
      </c>
      <c r="E1259" s="10" t="inlineStr">
        <is>
          <t>Overview</t>
        </is>
      </c>
      <c r="F1259" s="11" t="inlineStr">
        <is>
          <t>35:36</t>
        </is>
      </c>
      <c r="G1259" s="11" t="n">
        <v>0.59</v>
      </c>
      <c r="H1259" s="12" t="inlineStr"/>
      <c r="I1259" s="11" t="inlineStr">
        <is>
          <t>Not started</t>
        </is>
      </c>
      <c r="J1259" s="13" t="n"/>
      <c r="K1259" s="10" t="inlineStr"/>
      <c r="L1259" s="14" t="inlineStr">
        <is>
          <t>▶ watch</t>
        </is>
      </c>
      <c r="M1259" s="10" t="inlineStr">
        <is>
          <t>Lauko, Pellock et al. 2025, Science 388:eadu2454 [landmark] · Ahern et al. 2026, Nat Methods 23:96</t>
        </is>
      </c>
      <c r="N1259" s="14" t="inlineStr">
        <is>
          <t>read ↗</t>
        </is>
      </c>
      <c r="O1259" s="11" t="inlineStr">
        <is>
          <t>section reading (2 of 8)</t>
        </is>
      </c>
      <c r="P1259" s="10" t="inlineStr">
        <is>
          <t>2024</t>
        </is>
      </c>
    </row>
    <row r="1260">
      <c r="A1260" s="15" t="n">
        <v>1259</v>
      </c>
      <c r="B1260" s="15" t="inlineStr">
        <is>
          <t>Part II - The Method Atlas</t>
        </is>
      </c>
      <c r="C1260" s="16" t="inlineStr">
        <is>
          <t>R.5 Enzyme design - the field's most honest corner</t>
        </is>
      </c>
      <c r="D1260" s="10" t="inlineStr">
        <is>
          <t>Enzyme design with RFdiffusion3</t>
        </is>
      </c>
      <c r="E1260" s="10" t="inlineStr">
        <is>
          <t>RFdiffusion3 enzymes</t>
        </is>
      </c>
      <c r="F1260" s="11" t="inlineStr">
        <is>
          <t>12:47</t>
        </is>
      </c>
      <c r="G1260" s="11" t="n">
        <v>0.21</v>
      </c>
      <c r="H1260" s="12" t="inlineStr"/>
      <c r="I1260" s="11" t="inlineStr">
        <is>
          <t>Not started</t>
        </is>
      </c>
      <c r="J1260" s="13" t="n"/>
      <c r="K1260" s="10" t="inlineStr"/>
      <c r="L1260" s="14" t="inlineStr">
        <is>
          <t>▶ watch</t>
        </is>
      </c>
      <c r="M1260" s="10" t="inlineStr">
        <is>
          <t>Lauko, Pellock et al. 2025, Science 388:eadu2454 [landmark] · Ahern et al. 2026, Nat Methods 23:96</t>
        </is>
      </c>
      <c r="N1260" s="14" t="inlineStr">
        <is>
          <t>read ↗</t>
        </is>
      </c>
      <c r="O1260" s="11" t="inlineStr">
        <is>
          <t>section reading (2 of 8)</t>
        </is>
      </c>
      <c r="P1260" s="10" t="inlineStr">
        <is>
          <t>Guided Tutorials - 5 videos</t>
        </is>
      </c>
    </row>
    <row r="1261">
      <c r="A1261" s="15" t="n">
        <v>1260</v>
      </c>
      <c r="B1261" s="15" t="inlineStr">
        <is>
          <t>Part II - The Method Atlas</t>
        </is>
      </c>
      <c r="C1261" s="16" t="inlineStr">
        <is>
          <t>R.5 Enzyme design - the field's most honest corner</t>
        </is>
      </c>
      <c r="D1261" s="10" t="inlineStr">
        <is>
          <t>Designing COVID-19 Countermeasures</t>
        </is>
      </c>
      <c r="E1261" s="10" t="inlineStr">
        <is>
          <t>Sarel Fleishman (Weizmann</t>
        </is>
      </c>
      <c r="F1261" s="11" t="inlineStr">
        <is>
          <t>1:03:00</t>
        </is>
      </c>
      <c r="G1261" s="11" t="n">
        <v>1.05</v>
      </c>
      <c r="H1261" s="12" t="inlineStr"/>
      <c r="I1261" s="11" t="inlineStr">
        <is>
          <t>Not started</t>
        </is>
      </c>
      <c r="J1261" s="13" t="n"/>
      <c r="K1261" s="10" t="inlineStr"/>
      <c r="L1261" s="14" t="inlineStr">
        <is>
          <t>▶ watch</t>
        </is>
      </c>
      <c r="M1261" s="10" t="inlineStr">
        <is>
          <t>Lauko, Pellock et al. 2025, Science 388:eadu2454 [landmark] · Ahern et al. 2026, Nat Methods 23:96</t>
        </is>
      </c>
      <c r="N1261" s="14" t="inlineStr">
        <is>
          <t>read ↗</t>
        </is>
      </c>
      <c r="O1261" s="11" t="inlineStr">
        <is>
          <t>section reading (2 of 8)</t>
        </is>
      </c>
      <c r="P1261" s="10" t="inlineStr"/>
    </row>
    <row r="1262">
      <c r="A1262" s="15" t="n">
        <v>1261</v>
      </c>
      <c r="B1262" s="15" t="inlineStr">
        <is>
          <t>Part II - The Method Atlas</t>
        </is>
      </c>
      <c r="C1262" s="16" t="inlineStr">
        <is>
          <t>R.5 Enzyme design - the field's most honest corner</t>
        </is>
      </c>
      <c r="D1262" s="10" t="inlineStr">
        <is>
          <t>Zero-shot design of a de novo metalloenzyme</t>
        </is>
      </c>
      <c r="E1262" s="10" t="inlineStr">
        <is>
          <t>Metalloenzymes</t>
        </is>
      </c>
      <c r="F1262" s="11" t="inlineStr">
        <is>
          <t>51:08</t>
        </is>
      </c>
      <c r="G1262" s="11" t="n">
        <v>0.85</v>
      </c>
      <c r="H1262" s="12" t="inlineStr"/>
      <c r="I1262" s="11" t="inlineStr">
        <is>
          <t>Not started</t>
        </is>
      </c>
      <c r="J1262" s="13" t="n"/>
      <c r="K1262" s="10" t="inlineStr"/>
      <c r="L1262" s="14" t="inlineStr">
        <is>
          <t>▶ watch</t>
        </is>
      </c>
      <c r="M1262" s="10" t="inlineStr">
        <is>
          <t>Lauko, Pellock et al. 2025, Science 388:eadu2454 [landmark] · Ahern et al. 2026, Nat Methods 23:96</t>
        </is>
      </c>
      <c r="N1262" s="14" t="inlineStr">
        <is>
          <t>read ↗</t>
        </is>
      </c>
      <c r="O1262" s="11" t="inlineStr">
        <is>
          <t>section reading (2 of 8)</t>
        </is>
      </c>
      <c r="P1262" s="10" t="inlineStr">
        <is>
          <t>2026 - posted but not on the schedule page</t>
        </is>
      </c>
    </row>
    <row r="1263">
      <c r="A1263" s="15" t="n">
        <v>1262</v>
      </c>
      <c r="B1263" s="15" t="inlineStr">
        <is>
          <t>Part II - The Method Atlas</t>
        </is>
      </c>
      <c r="C1263" s="16" t="inlineStr">
        <is>
          <t>R.5 Enzyme design - the field's most honest corner</t>
        </is>
      </c>
      <c r="D1263" s="10" t="inlineStr">
        <is>
          <t>Therapeutic enzyme engineering using a generative neural network</t>
        </is>
      </c>
      <c r="E1263" s="10" t="inlineStr">
        <is>
          <t>Generative enzymes</t>
        </is>
      </c>
      <c r="F1263" s="11" t="inlineStr">
        <is>
          <t>1:18:46</t>
        </is>
      </c>
      <c r="G1263" s="11" t="n">
        <v>1.31</v>
      </c>
      <c r="H1263" s="12" t="inlineStr"/>
      <c r="I1263" s="11" t="inlineStr">
        <is>
          <t>Not started</t>
        </is>
      </c>
      <c r="J1263" s="13" t="n"/>
      <c r="K1263" s="10" t="inlineStr"/>
      <c r="L1263" s="14" t="inlineStr">
        <is>
          <t>▶ watch</t>
        </is>
      </c>
      <c r="M1263" s="10" t="inlineStr">
        <is>
          <t>Lauko, Pellock et al. 2025, Science 388:eadu2454 [landmark] · Ahern et al. 2026, Nat Methods 23:96</t>
        </is>
      </c>
      <c r="N1263" s="14" t="inlineStr">
        <is>
          <t>read ↗</t>
        </is>
      </c>
      <c r="O1263" s="11" t="inlineStr">
        <is>
          <t>section reading (2 of 8)</t>
        </is>
      </c>
      <c r="P1263" s="10" t="inlineStr">
        <is>
          <t>2022</t>
        </is>
      </c>
    </row>
    <row r="1264">
      <c r="A1264" s="15" t="n">
        <v>1263</v>
      </c>
      <c r="B1264" s="15" t="inlineStr">
        <is>
          <t>Part II - The Method Atlas</t>
        </is>
      </c>
      <c r="C1264" s="16" t="inlineStr">
        <is>
          <t>R.5 Enzyme design - the field's most honest corner</t>
        </is>
      </c>
      <c r="D1264" s="10" t="inlineStr">
        <is>
          <t>Massively Parallel Protein Design for Next-Generation Chemotherapy</t>
        </is>
      </c>
      <c r="E1264" s="10" t="inlineStr">
        <is>
          <t>Parallel design</t>
        </is>
      </c>
      <c r="F1264" s="11" t="inlineStr">
        <is>
          <t>1:02:51</t>
        </is>
      </c>
      <c r="G1264" s="11" t="n">
        <v>1.05</v>
      </c>
      <c r="H1264" s="12" t="inlineStr"/>
      <c r="I1264" s="11" t="inlineStr">
        <is>
          <t>Not started</t>
        </is>
      </c>
      <c r="J1264" s="13" t="n"/>
      <c r="K1264" s="10" t="inlineStr"/>
      <c r="L1264" s="14" t="inlineStr">
        <is>
          <t>▶ watch</t>
        </is>
      </c>
      <c r="M1264" s="10" t="inlineStr">
        <is>
          <t>Lauko, Pellock et al. 2025, Science 388:eadu2454 [landmark] · Ahern et al. 2026, Nat Methods 23:96</t>
        </is>
      </c>
      <c r="N1264" s="14" t="inlineStr">
        <is>
          <t>read ↗</t>
        </is>
      </c>
      <c r="O1264" s="11" t="inlineStr">
        <is>
          <t>section reading (2 of 8)</t>
        </is>
      </c>
      <c r="P1264" s="10" t="inlineStr">
        <is>
          <t>2020</t>
        </is>
      </c>
    </row>
    <row r="1265">
      <c r="A1265" s="15" t="n">
        <v>1264</v>
      </c>
      <c r="B1265" s="15" t="inlineStr">
        <is>
          <t>Part II - The Method Atlas</t>
        </is>
      </c>
      <c r="C1265" s="16" t="inlineStr">
        <is>
          <t>R.5 Enzyme design - the field's most honest corner</t>
        </is>
      </c>
      <c r="D1265" s="10" t="inlineStr">
        <is>
          <t>Engineering nuclease enzymes by ML and high-throughput screening</t>
        </is>
      </c>
      <c r="E1265" s="10" t="inlineStr">
        <is>
          <t>Design + screening</t>
        </is>
      </c>
      <c r="F1265" s="11" t="inlineStr">
        <is>
          <t>58:00</t>
        </is>
      </c>
      <c r="G1265" s="11" t="n">
        <v>0.97</v>
      </c>
      <c r="H1265" s="12" t="inlineStr"/>
      <c r="I1265" s="11" t="inlineStr">
        <is>
          <t>Not started</t>
        </is>
      </c>
      <c r="J1265" s="13" t="n"/>
      <c r="K1265" s="10" t="inlineStr"/>
      <c r="L1265" s="14" t="inlineStr">
        <is>
          <t>▶ watch</t>
        </is>
      </c>
      <c r="M1265" s="10" t="inlineStr">
        <is>
          <t>Lauko, Pellock et al. 2025, Science 388:eadu2454 [landmark] · Ahern et al. 2026, Nat Methods 23:96</t>
        </is>
      </c>
      <c r="N1265" s="14" t="inlineStr">
        <is>
          <t>read ↗</t>
        </is>
      </c>
      <c r="O1265" s="11" t="inlineStr">
        <is>
          <t>section reading (2 of 8)</t>
        </is>
      </c>
      <c r="P1265" s="10" t="inlineStr">
        <is>
          <t>2024</t>
        </is>
      </c>
    </row>
    <row r="1266">
      <c r="A1266" s="15" t="n">
        <v>1265</v>
      </c>
      <c r="B1266" s="15" t="inlineStr">
        <is>
          <t>Part II - The Method Atlas</t>
        </is>
      </c>
      <c r="C1266" s="16" t="inlineStr">
        <is>
          <t>R.5 Enzyme design - the field's most honest corner</t>
        </is>
      </c>
      <c r="D1266" s="10" t="inlineStr">
        <is>
          <t>AI-redesigned starting points enhance protein evolution</t>
        </is>
      </c>
      <c r="E1266" s="10" t="inlineStr">
        <is>
          <t>Nicholas Krasnow (ML4PE</t>
        </is>
      </c>
      <c r="F1266" s="11" t="inlineStr">
        <is>
          <t>53:07</t>
        </is>
      </c>
      <c r="G1266" s="11" t="n">
        <v>0.89</v>
      </c>
      <c r="H1266" s="12" t="inlineStr">
        <is>
          <t>★</t>
        </is>
      </c>
      <c r="I1266" s="11" t="inlineStr">
        <is>
          <t>Not started</t>
        </is>
      </c>
      <c r="J1266" s="13" t="n"/>
      <c r="K1266" s="10" t="inlineStr"/>
      <c r="L1266" s="14" t="inlineStr">
        <is>
          <t>▶ watch</t>
        </is>
      </c>
      <c r="M1266" s="10" t="inlineStr">
        <is>
          <t>Lauko, Pellock et al. 2025, Science 388:eadu2454 [landmark] · Ahern et al. 2026, Nat Methods 23:96</t>
        </is>
      </c>
      <c r="N1266" s="14" t="inlineStr">
        <is>
          <t>read ↗</t>
        </is>
      </c>
      <c r="O1266" s="11" t="inlineStr">
        <is>
          <t>section reading (2 of 8)</t>
        </is>
      </c>
      <c r="P1266" s="10" t="inlineStr">
        <is>
          <t>2026 - posted but not on the schedule page</t>
        </is>
      </c>
    </row>
    <row r="1267">
      <c r="A1267" s="15" t="n">
        <v>1266</v>
      </c>
      <c r="B1267" s="15" t="inlineStr">
        <is>
          <t>Part II - The Method Atlas</t>
        </is>
      </c>
      <c r="C1267" s="16" t="inlineStr">
        <is>
          <t>R.6 Peptides and macrocycles</t>
        </is>
      </c>
      <c r="D1267" s="10" t="inlineStr">
        <is>
          <t>Deep Learning Enabled Design of Functional Cyclic Peptides</t>
        </is>
      </c>
      <c r="E1267" s="10" t="inlineStr">
        <is>
          <t>Peptide Drug Hunting Consortium</t>
        </is>
      </c>
      <c r="F1267" s="11" t="inlineStr">
        <is>
          <t>23:02</t>
        </is>
      </c>
      <c r="G1267" s="11" t="n">
        <v>0.38</v>
      </c>
      <c r="H1267" s="12" t="inlineStr">
        <is>
          <t>★</t>
        </is>
      </c>
      <c r="I1267" s="11" t="inlineStr">
        <is>
          <t>Not started</t>
        </is>
      </c>
      <c r="J1267" s="13" t="n"/>
      <c r="K1267" s="10" t="inlineStr"/>
      <c r="L1267" s="14" t="inlineStr">
        <is>
          <t>▶ watch</t>
        </is>
      </c>
      <c r="M1267" s="10" t="inlineStr">
        <is>
          <t>Rettie et al. 2025, Nat Commun 16:4730 (AfCycDesign) · Rettie et al. 2025, Nat Chem Biol 21:1948 (RFpeptides)</t>
        </is>
      </c>
      <c r="N1267" s="14" t="inlineStr">
        <is>
          <t>read ↗</t>
        </is>
      </c>
      <c r="O1267" s="11" t="inlineStr">
        <is>
          <t>section reading (2 of 6)</t>
        </is>
      </c>
      <c r="P1267" s="10" t="inlineStr"/>
    </row>
    <row r="1268">
      <c r="A1268" s="15" t="n">
        <v>1267</v>
      </c>
      <c r="B1268" s="15" t="inlineStr">
        <is>
          <t>Part II - The Method Atlas</t>
        </is>
      </c>
      <c r="C1268" s="16" t="inlineStr">
        <is>
          <t>R.6 Peptides and macrocycles</t>
        </is>
      </c>
      <c r="D1268" s="10" t="inlineStr">
        <is>
          <t>A computational approach to design structured peptides</t>
        </is>
      </c>
      <c r="E1268" s="10" t="inlineStr">
        <is>
          <t>Hyperstable peptides</t>
        </is>
      </c>
      <c r="F1268" s="11" t="inlineStr">
        <is>
          <t>52:16</t>
        </is>
      </c>
      <c r="G1268" s="11" t="n">
        <v>0.87</v>
      </c>
      <c r="H1268" s="12" t="inlineStr"/>
      <c r="I1268" s="11" t="inlineStr">
        <is>
          <t>Not started</t>
        </is>
      </c>
      <c r="J1268" s="13" t="n"/>
      <c r="K1268" s="10" t="inlineStr"/>
      <c r="L1268" s="14" t="inlineStr">
        <is>
          <t>▶ watch</t>
        </is>
      </c>
      <c r="M1268" s="10" t="inlineStr">
        <is>
          <t>Rettie et al. 2025, Nat Commun 16:4730 (AfCycDesign) · Rettie et al. 2025, Nat Chem Biol 21:1948 (RFpeptides)</t>
        </is>
      </c>
      <c r="N1268" s="14" t="inlineStr">
        <is>
          <t>read ↗</t>
        </is>
      </c>
      <c r="O1268" s="11" t="inlineStr">
        <is>
          <t>section reading (2 of 6)</t>
        </is>
      </c>
      <c r="P1268" s="10" t="inlineStr">
        <is>
          <t>2020</t>
        </is>
      </c>
    </row>
    <row r="1269">
      <c r="A1269" s="15" t="n">
        <v>1268</v>
      </c>
      <c r="B1269" s="15" t="inlineStr">
        <is>
          <t>Part II - The Method Atlas</t>
        </is>
      </c>
      <c r="C1269" s="16" t="inlineStr">
        <is>
          <t>R.6 Peptides and macrocycles</t>
        </is>
      </c>
      <c r="D1269" s="10" t="inlineStr">
        <is>
          <t>Tertiary motifs as building blocks for protein-binding peptides</t>
        </is>
      </c>
      <c r="E1269" s="10" t="inlineStr">
        <is>
          <t>Tertiary motifs</t>
        </is>
      </c>
      <c r="F1269" s="11" t="inlineStr">
        <is>
          <t>1:03:00</t>
        </is>
      </c>
      <c r="G1269" s="11" t="n">
        <v>1.05</v>
      </c>
      <c r="H1269" s="12" t="inlineStr"/>
      <c r="I1269" s="11" t="inlineStr">
        <is>
          <t>Not started</t>
        </is>
      </c>
      <c r="J1269" s="13" t="n"/>
      <c r="K1269" s="10" t="inlineStr"/>
      <c r="L1269" s="14" t="inlineStr">
        <is>
          <t>▶ watch</t>
        </is>
      </c>
      <c r="M1269" s="10" t="inlineStr">
        <is>
          <t>Rettie et al. 2025, Nat Commun 16:4730 (AfCycDesign) · Rettie et al. 2025, Nat Chem Biol 21:1948 (RFpeptides)</t>
        </is>
      </c>
      <c r="N1269" s="14" t="inlineStr">
        <is>
          <t>read ↗</t>
        </is>
      </c>
      <c r="O1269" s="11" t="inlineStr">
        <is>
          <t>section reading (2 of 6)</t>
        </is>
      </c>
      <c r="P1269" s="10" t="inlineStr">
        <is>
          <t>2020</t>
        </is>
      </c>
    </row>
    <row r="1270">
      <c r="A1270" s="15" t="n">
        <v>1269</v>
      </c>
      <c r="B1270" s="15" t="inlineStr">
        <is>
          <t>Part II - The Method Atlas</t>
        </is>
      </c>
      <c r="C1270" s="16" t="inlineStr">
        <is>
          <t>R.6 Peptides and macrocycles</t>
        </is>
      </c>
      <c r="D1270" s="10" t="inlineStr">
        <is>
          <t>Fragment-based backbone sampling and NN potentials for peptide design</t>
        </is>
      </c>
      <c r="E1270" s="10" t="inlineStr">
        <is>
          <t>Fragment-based</t>
        </is>
      </c>
      <c r="F1270" s="11" t="inlineStr">
        <is>
          <t>1:19:48</t>
        </is>
      </c>
      <c r="G1270" s="11" t="n">
        <v>1.33</v>
      </c>
      <c r="H1270" s="12" t="inlineStr"/>
      <c r="I1270" s="11" t="inlineStr">
        <is>
          <t>Not started</t>
        </is>
      </c>
      <c r="J1270" s="13" t="n"/>
      <c r="K1270" s="10" t="inlineStr"/>
      <c r="L1270" s="14" t="inlineStr">
        <is>
          <t>▶ watch</t>
        </is>
      </c>
      <c r="M1270" s="10" t="inlineStr">
        <is>
          <t>Rettie et al. 2025, Nat Commun 16:4730 (AfCycDesign) · Rettie et al. 2025, Nat Chem Biol 21:1948 (RFpeptides)</t>
        </is>
      </c>
      <c r="N1270" s="14" t="inlineStr">
        <is>
          <t>read ↗</t>
        </is>
      </c>
      <c r="O1270" s="11" t="inlineStr">
        <is>
          <t>section reading (2 of 6)</t>
        </is>
      </c>
      <c r="P1270" s="10" t="inlineStr">
        <is>
          <t>2023</t>
        </is>
      </c>
    </row>
    <row r="1271">
      <c r="A1271" s="15" t="n">
        <v>1270</v>
      </c>
      <c r="B1271" s="15" t="inlineStr">
        <is>
          <t>Part II - The Method Atlas</t>
        </is>
      </c>
      <c r="C1271" s="16" t="inlineStr">
        <is>
          <t>R.6 Peptides and macrocycles</t>
        </is>
      </c>
      <c r="D1271" s="10" t="inlineStr">
        <is>
          <t>Multi-Objective-Guided Discrete Diffusion for therapeutic peptides</t>
        </is>
      </c>
      <c r="E1271" s="10" t="inlineStr">
        <is>
          <t>Valence Labs</t>
        </is>
      </c>
      <c r="F1271" s="11" t="inlineStr">
        <is>
          <t>1:12:13</t>
        </is>
      </c>
      <c r="G1271" s="11" t="n">
        <v>1.2</v>
      </c>
      <c r="H1271" s="12" t="inlineStr"/>
      <c r="I1271" s="11" t="inlineStr">
        <is>
          <t>Not started</t>
        </is>
      </c>
      <c r="J1271" s="13" t="n"/>
      <c r="K1271" s="10" t="inlineStr"/>
      <c r="L1271" s="14" t="inlineStr">
        <is>
          <t>▶ watch</t>
        </is>
      </c>
      <c r="M1271" s="10" t="inlineStr">
        <is>
          <t>Rettie et al. 2025, Nat Commun 16:4730 (AfCycDesign) · Rettie et al. 2025, Nat Chem Biol 21:1948 (RFpeptides)</t>
        </is>
      </c>
      <c r="N1271" s="14" t="inlineStr">
        <is>
          <t>read ↗</t>
        </is>
      </c>
      <c r="O1271" s="11" t="inlineStr">
        <is>
          <t>section reading (2 of 6)</t>
        </is>
      </c>
      <c r="P1271" s="10" t="inlineStr">
        <is>
          <t>Structure prediction, design and biomolecular foundation models</t>
        </is>
      </c>
    </row>
    <row r="1272">
      <c r="A1272" s="15" t="n">
        <v>1271</v>
      </c>
      <c r="B1272" s="15" t="inlineStr">
        <is>
          <t>Part II - The Method Atlas</t>
        </is>
      </c>
      <c r="C1272" s="16" t="inlineStr">
        <is>
          <t>R.6 Peptides and macrocycles</t>
        </is>
      </c>
      <c r="D1272" s="10" t="inlineStr">
        <is>
          <t>Structure-Independent Peptide Binder Design via Generative LMs</t>
        </is>
      </c>
      <c r="E1272" s="10" t="inlineStr">
        <is>
          <t>Pranam Chatterjee (Valence</t>
        </is>
      </c>
      <c r="F1272" s="11" t="inlineStr">
        <is>
          <t>1:00:55</t>
        </is>
      </c>
      <c r="G1272" s="11" t="n">
        <v>1.02</v>
      </c>
      <c r="H1272" s="12" t="inlineStr">
        <is>
          <t>★</t>
        </is>
      </c>
      <c r="I1272" s="11" t="inlineStr">
        <is>
          <t>Not started</t>
        </is>
      </c>
      <c r="J1272" s="13" t="n"/>
      <c r="K1272" s="10" t="inlineStr"/>
      <c r="L1272" s="14" t="inlineStr">
        <is>
          <t>▶ watch</t>
        </is>
      </c>
      <c r="M1272" s="10" t="inlineStr">
        <is>
          <t>Rettie et al. 2025, Nat Commun 16:4730 (AfCycDesign) · Rettie et al. 2025, Nat Chem Biol 21:1948 (RFpeptides)</t>
        </is>
      </c>
      <c r="N1272" s="14" t="inlineStr">
        <is>
          <t>read ↗</t>
        </is>
      </c>
      <c r="O1272" s="11" t="inlineStr">
        <is>
          <t>section reading (2 of 6)</t>
        </is>
      </c>
      <c r="P1272" s="10" t="inlineStr">
        <is>
          <t>Structure prediction, design and biomolecular foundation models</t>
        </is>
      </c>
    </row>
    <row r="1273">
      <c r="A1273" s="15" t="n">
        <v>1272</v>
      </c>
      <c r="B1273" s="15" t="inlineStr">
        <is>
          <t>Part II - The Method Atlas</t>
        </is>
      </c>
      <c r="C1273" s="16" t="inlineStr">
        <is>
          <t>R.7 Antibodies and TCRs</t>
        </is>
      </c>
      <c r="D1273" s="10" t="inlineStr">
        <is>
          <t>Efficient generation of epitope-targeted de novo antibodies</t>
        </is>
      </c>
      <c r="E1273" s="10" t="inlineStr">
        <is>
          <t>Germinal</t>
        </is>
      </c>
      <c r="F1273" s="11" t="inlineStr">
        <is>
          <t>57:35</t>
        </is>
      </c>
      <c r="G1273" s="11" t="n">
        <v>0.96</v>
      </c>
      <c r="H1273" s="12" t="inlineStr">
        <is>
          <t>★</t>
        </is>
      </c>
      <c r="I1273" s="11" t="inlineStr">
        <is>
          <t>Not started</t>
        </is>
      </c>
      <c r="J1273" s="13" t="n"/>
      <c r="K1273" s="10" t="inlineStr"/>
      <c r="L1273" s="14" t="inlineStr">
        <is>
          <t>▶ watch</t>
        </is>
      </c>
      <c r="M1273" s="10" t="inlineStr">
        <is>
          <t>Mille-Fragoso et al. 2026, Nat Biotechnol (Germinal) · Bennett et al. 2026, Nature 649:183 (RFantibody)</t>
        </is>
      </c>
      <c r="N1273" s="14" t="inlineStr">
        <is>
          <t>read ↗</t>
        </is>
      </c>
      <c r="O1273" s="11" t="inlineStr">
        <is>
          <t>section reading (2 of 8)</t>
        </is>
      </c>
      <c r="P1273" s="10" t="inlineStr">
        <is>
          <t>2026 - posted but not on the schedule page</t>
        </is>
      </c>
    </row>
    <row r="1274">
      <c r="A1274" s="15" t="n">
        <v>1273</v>
      </c>
      <c r="B1274" s="15" t="inlineStr">
        <is>
          <t>Part II - The Method Atlas</t>
        </is>
      </c>
      <c r="C1274" s="16" t="inlineStr">
        <is>
          <t>R.7 Antibodies and TCRs</t>
        </is>
      </c>
      <c r="D1274" s="10" t="inlineStr">
        <is>
          <t>Valence Labs</t>
        </is>
      </c>
      <c r="E1274" s="10" t="inlineStr">
        <is>
          <t>Germinal</t>
        </is>
      </c>
      <c r="F1274" s="11" t="inlineStr">
        <is>
          <t>1:09:18</t>
        </is>
      </c>
      <c r="G1274" s="11" t="n">
        <v>1.16</v>
      </c>
      <c r="H1274" s="12" t="inlineStr"/>
      <c r="I1274" s="11" t="inlineStr">
        <is>
          <t>Not started</t>
        </is>
      </c>
      <c r="J1274" s="13" t="n"/>
      <c r="K1274" s="10" t="inlineStr"/>
      <c r="L1274" s="14" t="inlineStr">
        <is>
          <t>▶ watch</t>
        </is>
      </c>
      <c r="M1274" s="10" t="inlineStr">
        <is>
          <t>Mille-Fragoso et al. 2026, Nat Biotechnol (Germinal) · Bennett et al. 2026, Nature 649:183 (RFantibody)</t>
        </is>
      </c>
      <c r="N1274" s="14" t="inlineStr">
        <is>
          <t>read ↗</t>
        </is>
      </c>
      <c r="O1274" s="11" t="inlineStr">
        <is>
          <t>section reading (2 of 8)</t>
        </is>
      </c>
      <c r="P1274" s="10" t="inlineStr">
        <is>
          <t>Structure prediction, design and biomolecular foundation models</t>
        </is>
      </c>
    </row>
    <row r="1275">
      <c r="A1275" s="15" t="n">
        <v>1274</v>
      </c>
      <c r="B1275" s="15" t="inlineStr">
        <is>
          <t>Part II - The Method Atlas</t>
        </is>
      </c>
      <c r="C1275" s="16" t="inlineStr">
        <is>
          <t>R.7 Antibodies and TCRs</t>
        </is>
      </c>
      <c r="D1275" s="10" t="inlineStr">
        <is>
          <t>Designing proteins with language models</t>
        </is>
      </c>
      <c r="E1275" s="10" t="inlineStr">
        <is>
          <t>Jeff Ruffolo (ML@Berkeley</t>
        </is>
      </c>
      <c r="F1275" s="11" t="inlineStr">
        <is>
          <t>1:16:16</t>
        </is>
      </c>
      <c r="G1275" s="11" t="n">
        <v>1.27</v>
      </c>
      <c r="H1275" s="12" t="inlineStr"/>
      <c r="I1275" s="11" t="inlineStr">
        <is>
          <t>Not started</t>
        </is>
      </c>
      <c r="J1275" s="13" t="n"/>
      <c r="K1275" s="10" t="inlineStr"/>
      <c r="L1275" s="14" t="inlineStr">
        <is>
          <t>▶ watch</t>
        </is>
      </c>
      <c r="M1275" s="10" t="inlineStr">
        <is>
          <t>Mille-Fragoso et al. 2026, Nat Biotechnol (Germinal) · Bennett et al. 2026, Nature 649:183 (RFantibody)</t>
        </is>
      </c>
      <c r="N1275" s="14" t="inlineStr">
        <is>
          <t>read ↗</t>
        </is>
      </c>
      <c r="O1275" s="11" t="inlineStr">
        <is>
          <t>section reading (2 of 8)</t>
        </is>
      </c>
      <c r="P1275" s="10" t="inlineStr"/>
    </row>
    <row r="1276">
      <c r="A1276" s="15" t="n">
        <v>1275</v>
      </c>
      <c r="B1276" s="15" t="inlineStr">
        <is>
          <t>Part II - The Method Atlas</t>
        </is>
      </c>
      <c r="C1276" s="16" t="inlineStr">
        <is>
          <t>R.7 Antibodies and TCRs</t>
        </is>
      </c>
      <c r="D1276" s="10" t="inlineStr">
        <is>
          <t>Building the toolkit for computational antibody design</t>
        </is>
      </c>
      <c r="E1276" s="10" t="inlineStr">
        <is>
          <t>Charlotte Deane (AIRR</t>
        </is>
      </c>
      <c r="F1276" s="11" t="inlineStr">
        <is>
          <t>34:53</t>
        </is>
      </c>
      <c r="G1276" s="11" t="n">
        <v>0.58</v>
      </c>
      <c r="H1276" s="12" t="inlineStr"/>
      <c r="I1276" s="11" t="inlineStr">
        <is>
          <t>Not started</t>
        </is>
      </c>
      <c r="J1276" s="13" t="n"/>
      <c r="K1276" s="10" t="inlineStr"/>
      <c r="L1276" s="14" t="inlineStr">
        <is>
          <t>▶ watch</t>
        </is>
      </c>
      <c r="M1276" s="10" t="inlineStr">
        <is>
          <t>Mille-Fragoso et al. 2026, Nat Biotechnol (Germinal) · Bennett et al. 2026, Nature 649:183 (RFantibody)</t>
        </is>
      </c>
      <c r="N1276" s="14" t="inlineStr">
        <is>
          <t>read ↗</t>
        </is>
      </c>
      <c r="O1276" s="11" t="inlineStr">
        <is>
          <t>section reading (2 of 8)</t>
        </is>
      </c>
      <c r="P1276" s="10" t="inlineStr"/>
    </row>
    <row r="1277">
      <c r="A1277" s="15" t="n">
        <v>1276</v>
      </c>
      <c r="B1277" s="15" t="inlineStr">
        <is>
          <t>Part II - The Method Atlas</t>
        </is>
      </c>
      <c r="C1277" s="16" t="inlineStr">
        <is>
          <t>R.7 Antibodies and TCRs</t>
        </is>
      </c>
      <c r="D1277" s="10" t="inlineStr">
        <is>
          <t>Computational design of antibody repertoires</t>
        </is>
      </c>
      <c r="E1277" s="10" t="inlineStr">
        <is>
          <t>AF-Multimer for antibodies</t>
        </is>
      </c>
      <c r="F1277" s="11" t="inlineStr">
        <is>
          <t>1:10:02</t>
        </is>
      </c>
      <c r="G1277" s="11" t="n">
        <v>1.17</v>
      </c>
      <c r="H1277" s="12" t="inlineStr"/>
      <c r="I1277" s="11" t="inlineStr">
        <is>
          <t>Not started</t>
        </is>
      </c>
      <c r="J1277" s="13" t="n"/>
      <c r="K1277" s="10" t="inlineStr"/>
      <c r="L1277" s="14" t="inlineStr">
        <is>
          <t>▶ watch</t>
        </is>
      </c>
      <c r="M1277" s="10" t="inlineStr">
        <is>
          <t>Mille-Fragoso et al. 2026, Nat Biotechnol (Germinal) · Bennett et al. 2026, Nature 649:183 (RFantibody)</t>
        </is>
      </c>
      <c r="N1277" s="14" t="inlineStr">
        <is>
          <t>read ↗</t>
        </is>
      </c>
      <c r="O1277" s="11" t="inlineStr">
        <is>
          <t>section reading (2 of 8)</t>
        </is>
      </c>
      <c r="P1277" s="10" t="inlineStr">
        <is>
          <t>2026</t>
        </is>
      </c>
    </row>
    <row r="1278">
      <c r="A1278" s="15" t="n">
        <v>1277</v>
      </c>
      <c r="B1278" s="15" t="inlineStr">
        <is>
          <t>Part II - The Method Atlas</t>
        </is>
      </c>
      <c r="C1278" s="16" t="inlineStr">
        <is>
          <t>R.7 Antibodies and TCRs</t>
        </is>
      </c>
      <c r="D1278" s="10" t="inlineStr">
        <is>
          <t>mBER: controllable de novo antibody design with million-scale screening</t>
        </is>
      </c>
      <c r="E1278" s="10" t="inlineStr">
        <is>
          <t>Experimental scale</t>
        </is>
      </c>
      <c r="F1278" s="11" t="inlineStr">
        <is>
          <t>1:42:10</t>
        </is>
      </c>
      <c r="G1278" s="11" t="n">
        <v>1.7</v>
      </c>
      <c r="H1278" s="12" t="inlineStr"/>
      <c r="I1278" s="11" t="inlineStr">
        <is>
          <t>Not started</t>
        </is>
      </c>
      <c r="J1278" s="13" t="n"/>
      <c r="K1278" s="10" t="inlineStr"/>
      <c r="L1278" s="14" t="inlineStr">
        <is>
          <t>▶ watch</t>
        </is>
      </c>
      <c r="M1278" s="10" t="inlineStr">
        <is>
          <t>Mille-Fragoso et al. 2026, Nat Biotechnol (Germinal) · Bennett et al. 2026, Nature 649:183 (RFantibody)</t>
        </is>
      </c>
      <c r="N1278" s="14" t="inlineStr">
        <is>
          <t>read ↗</t>
        </is>
      </c>
      <c r="O1278" s="11" t="inlineStr">
        <is>
          <t>section reading (2 of 8)</t>
        </is>
      </c>
      <c r="P1278" s="10" t="inlineStr">
        <is>
          <t>2026</t>
        </is>
      </c>
    </row>
    <row r="1279">
      <c r="A1279" s="15" t="n">
        <v>1278</v>
      </c>
      <c r="B1279" s="15" t="inlineStr">
        <is>
          <t>Part II - The Method Atlas</t>
        </is>
      </c>
      <c r="C1279" s="16" t="inlineStr">
        <is>
          <t>R.7 Antibodies and TCRs</t>
        </is>
      </c>
      <c r="D1279" s="10" t="inlineStr">
        <is>
          <t>Full-Atom Generation of In Vitro Functioning Antibodies</t>
        </is>
      </c>
      <c r="E1279" s="10" t="inlineStr">
        <is>
          <t>AbDiffuser</t>
        </is>
      </c>
      <c r="F1279" s="11" t="inlineStr">
        <is>
          <t>1:10:25</t>
        </is>
      </c>
      <c r="G1279" s="11" t="n">
        <v>1.17</v>
      </c>
      <c r="H1279" s="12" t="inlineStr"/>
      <c r="I1279" s="11" t="inlineStr">
        <is>
          <t>Not started</t>
        </is>
      </c>
      <c r="J1279" s="13" t="n"/>
      <c r="K1279" s="10" t="inlineStr"/>
      <c r="L1279" s="14" t="inlineStr">
        <is>
          <t>▶ watch</t>
        </is>
      </c>
      <c r="M1279" s="10" t="inlineStr">
        <is>
          <t>Mille-Fragoso et al. 2026, Nat Biotechnol (Germinal) · Bennett et al. 2026, Nature 649:183 (RFantibody)</t>
        </is>
      </c>
      <c r="N1279" s="14" t="inlineStr">
        <is>
          <t>read ↗</t>
        </is>
      </c>
      <c r="O1279" s="11" t="inlineStr">
        <is>
          <t>section reading (2 of 8)</t>
        </is>
      </c>
      <c r="P1279" s="10" t="inlineStr">
        <is>
          <t>2023</t>
        </is>
      </c>
    </row>
    <row r="1280">
      <c r="A1280" s="15" t="n">
        <v>1279</v>
      </c>
      <c r="B1280" s="15" t="inlineStr">
        <is>
          <t>Part II - The Method Atlas</t>
        </is>
      </c>
      <c r="C1280" s="16" t="inlineStr">
        <is>
          <t>R.7 Antibodies and TCRs</t>
        </is>
      </c>
      <c r="D1280" s="10" t="inlineStr">
        <is>
          <t>Iterative Refinement GNN for Antibody Co-design</t>
        </is>
      </c>
      <c r="E1280" s="10" t="inlineStr">
        <is>
          <t>Wengong Jin (Valence</t>
        </is>
      </c>
      <c r="F1280" s="11" t="inlineStr">
        <is>
          <t>1:27:05</t>
        </is>
      </c>
      <c r="G1280" s="11" t="n">
        <v>1.45</v>
      </c>
      <c r="H1280" s="12" t="inlineStr"/>
      <c r="I1280" s="11" t="inlineStr">
        <is>
          <t>Not started</t>
        </is>
      </c>
      <c r="J1280" s="13" t="n"/>
      <c r="K1280" s="10" t="inlineStr"/>
      <c r="L1280" s="14" t="inlineStr">
        <is>
          <t>▶ watch</t>
        </is>
      </c>
      <c r="M1280" s="10" t="inlineStr">
        <is>
          <t>Mille-Fragoso et al. 2026, Nat Biotechnol (Germinal) · Bennett et al. 2026, Nature 649:183 (RFantibody)</t>
        </is>
      </c>
      <c r="N1280" s="14" t="inlineStr">
        <is>
          <t>read ↗</t>
        </is>
      </c>
      <c r="O1280" s="11" t="inlineStr">
        <is>
          <t>section reading (2 of 8)</t>
        </is>
      </c>
      <c r="P1280" s="10" t="inlineStr">
        <is>
          <t>Structure prediction, design and biomolecular foundation models</t>
        </is>
      </c>
    </row>
    <row r="1281">
      <c r="A1281" s="15" t="n">
        <v>1280</v>
      </c>
      <c r="B1281" s="15" t="inlineStr">
        <is>
          <t>Part II - The Method Atlas</t>
        </is>
      </c>
      <c r="C1281" s="16" t="inlineStr">
        <is>
          <t>R.7 Antibodies and TCRs</t>
        </is>
      </c>
      <c r="D1281" s="10" t="inlineStr">
        <is>
          <t>Structured Refinement Network for Antibody Design</t>
        </is>
      </c>
      <c r="E1281" s="10" t="inlineStr">
        <is>
          <t>Wengong Jin (Valence</t>
        </is>
      </c>
      <c r="F1281" s="11" t="inlineStr">
        <is>
          <t>58:36</t>
        </is>
      </c>
      <c r="G1281" s="11" t="n">
        <v>0.98</v>
      </c>
      <c r="H1281" s="12" t="inlineStr"/>
      <c r="I1281" s="11" t="inlineStr">
        <is>
          <t>Not started</t>
        </is>
      </c>
      <c r="J1281" s="13" t="n"/>
      <c r="K1281" s="10" t="inlineStr"/>
      <c r="L1281" s="14" t="inlineStr">
        <is>
          <t>▶ watch</t>
        </is>
      </c>
      <c r="M1281" s="10" t="inlineStr">
        <is>
          <t>Mille-Fragoso et al. 2026, Nat Biotechnol (Germinal) · Bennett et al. 2026, Nature 649:183 (RFantibody)</t>
        </is>
      </c>
      <c r="N1281" s="14" t="inlineStr">
        <is>
          <t>read ↗</t>
        </is>
      </c>
      <c r="O1281" s="11" t="inlineStr">
        <is>
          <t>section reading (2 of 8)</t>
        </is>
      </c>
      <c r="P1281" s="10" t="inlineStr">
        <is>
          <t>Structure prediction, design and biomolecular foundation models</t>
        </is>
      </c>
    </row>
    <row r="1282">
      <c r="A1282" s="15" t="n">
        <v>1281</v>
      </c>
      <c r="B1282" s="15" t="inlineStr">
        <is>
          <t>Part II - The Method Atlas</t>
        </is>
      </c>
      <c r="C1282" s="16" t="inlineStr">
        <is>
          <t>R.7 Antibodies and TCRs</t>
        </is>
      </c>
      <c r="D1282" s="10" t="inlineStr">
        <is>
          <t>Flexible Antibody Design with Multimodal Bayesian Flow Networks</t>
        </is>
      </c>
      <c r="E1282" s="10" t="inlineStr">
        <is>
          <t>Bayesian flow networks</t>
        </is>
      </c>
      <c r="F1282" s="11" t="inlineStr">
        <is>
          <t>44:20</t>
        </is>
      </c>
      <c r="G1282" s="11" t="n">
        <v>0.74</v>
      </c>
      <c r="H1282" s="12" t="inlineStr"/>
      <c r="I1282" s="11" t="inlineStr">
        <is>
          <t>Not started</t>
        </is>
      </c>
      <c r="J1282" s="13" t="n"/>
      <c r="K1282" s="10" t="inlineStr"/>
      <c r="L1282" s="14" t="inlineStr">
        <is>
          <t>▶ watch</t>
        </is>
      </c>
      <c r="M1282" s="10" t="inlineStr">
        <is>
          <t>Mille-Fragoso et al. 2026, Nat Biotechnol (Germinal) · Bennett et al. 2026, Nature 649:183 (RFantibody)</t>
        </is>
      </c>
      <c r="N1282" s="14" t="inlineStr">
        <is>
          <t>read ↗</t>
        </is>
      </c>
      <c r="O1282" s="11" t="inlineStr">
        <is>
          <t>section reading (2 of 8)</t>
        </is>
      </c>
      <c r="P1282" s="10" t="inlineStr">
        <is>
          <t>2025</t>
        </is>
      </c>
    </row>
    <row r="1283">
      <c r="A1283" s="15" t="n">
        <v>1282</v>
      </c>
      <c r="B1283" s="15" t="inlineStr">
        <is>
          <t>Part II - The Method Atlas</t>
        </is>
      </c>
      <c r="C1283" s="16" t="inlineStr">
        <is>
          <t>R.7 Antibodies and TCRs</t>
        </is>
      </c>
      <c r="D1283" s="10" t="inlineStr">
        <is>
          <t>RosettaAntibodyDesign (RAbD) walkthrough</t>
        </is>
      </c>
      <c r="E1283" s="10" t="inlineStr">
        <is>
          <t>Meiler Lab</t>
        </is>
      </c>
      <c r="F1283" s="11" t="inlineStr">
        <is>
          <t>1:14:42</t>
        </is>
      </c>
      <c r="G1283" s="11" t="n">
        <v>1.25</v>
      </c>
      <c r="H1283" s="12" t="inlineStr"/>
      <c r="I1283" s="11" t="inlineStr">
        <is>
          <t>Not started</t>
        </is>
      </c>
      <c r="J1283" s="13" t="n"/>
      <c r="K1283" s="10" t="inlineStr"/>
      <c r="L1283" s="14" t="inlineStr">
        <is>
          <t>▶ watch</t>
        </is>
      </c>
      <c r="M1283" s="10" t="inlineStr">
        <is>
          <t>Mille-Fragoso et al. 2026, Nat Biotechnol (Germinal) · Bennett et al. 2026, Nature 649:183 (RFantibody)</t>
        </is>
      </c>
      <c r="N1283" s="14" t="inlineStr">
        <is>
          <t>read ↗</t>
        </is>
      </c>
      <c r="O1283" s="11" t="inlineStr">
        <is>
          <t>section reading (2 of 8)</t>
        </is>
      </c>
      <c r="P1283" s="10" t="inlineStr"/>
    </row>
    <row r="1284">
      <c r="A1284" s="15" t="n">
        <v>1283</v>
      </c>
      <c r="B1284" s="15" t="inlineStr">
        <is>
          <t>Part II - The Method Atlas</t>
        </is>
      </c>
      <c r="C1284" s="16" t="inlineStr">
        <is>
          <t>R.7 Antibodies and TCRs</t>
        </is>
      </c>
      <c r="D1284" s="10" t="inlineStr">
        <is>
          <t>RosettaAntibody Introduction</t>
        </is>
      </c>
      <c r="E1284" s="10" t="inlineStr">
        <is>
          <t>Meiler Lab</t>
        </is>
      </c>
      <c r="F1284" s="11" t="inlineStr">
        <is>
          <t>12:41</t>
        </is>
      </c>
      <c r="G1284" s="11" t="n">
        <v>0.21</v>
      </c>
      <c r="H1284" s="12" t="inlineStr"/>
      <c r="I1284" s="11" t="inlineStr">
        <is>
          <t>Not started</t>
        </is>
      </c>
      <c r="J1284" s="13" t="n"/>
      <c r="K1284" s="10" t="inlineStr"/>
      <c r="L1284" s="14" t="inlineStr">
        <is>
          <t>▶ watch</t>
        </is>
      </c>
      <c r="M1284" s="10" t="inlineStr">
        <is>
          <t>Mille-Fragoso et al. 2026, Nat Biotechnol (Germinal) · Bennett et al. 2026, Nature 649:183 (RFantibody)</t>
        </is>
      </c>
      <c r="N1284" s="14" t="inlineStr">
        <is>
          <t>read ↗</t>
        </is>
      </c>
      <c r="O1284" s="11" t="inlineStr">
        <is>
          <t>section reading (2 of 8)</t>
        </is>
      </c>
      <c r="P1284" s="10" t="inlineStr"/>
    </row>
    <row r="1285">
      <c r="A1285" s="15" t="n">
        <v>1284</v>
      </c>
      <c r="B1285" s="15" t="inlineStr">
        <is>
          <t>Part II - The Method Atlas</t>
        </is>
      </c>
      <c r="C1285" s="16" t="inlineStr">
        <is>
          <t>R.7 Antibodies and TCRs</t>
        </is>
      </c>
      <c r="D1285" s="10" t="inlineStr">
        <is>
          <t>Introduction to Antibody Structural Biology</t>
        </is>
      </c>
      <c r="E1285" s="10" t="inlineStr">
        <is>
          <t>Meiler Lab</t>
        </is>
      </c>
      <c r="F1285" s="11" t="inlineStr">
        <is>
          <t>18:25</t>
        </is>
      </c>
      <c r="G1285" s="11" t="n">
        <v>0.31</v>
      </c>
      <c r="H1285" s="12" t="inlineStr"/>
      <c r="I1285" s="11" t="inlineStr">
        <is>
          <t>Not started</t>
        </is>
      </c>
      <c r="J1285" s="13" t="n"/>
      <c r="K1285" s="10" t="inlineStr"/>
      <c r="L1285" s="14" t="inlineStr">
        <is>
          <t>▶ watch</t>
        </is>
      </c>
      <c r="M1285" s="10" t="inlineStr">
        <is>
          <t>Mille-Fragoso et al. 2026, Nat Biotechnol (Germinal) · Bennett et al. 2026, Nature 649:183 (RFantibody)</t>
        </is>
      </c>
      <c r="N1285" s="14" t="inlineStr">
        <is>
          <t>read ↗</t>
        </is>
      </c>
      <c r="O1285" s="11" t="inlineStr">
        <is>
          <t>section reading (2 of 8)</t>
        </is>
      </c>
      <c r="P1285" s="10" t="inlineStr"/>
    </row>
    <row r="1286">
      <c r="A1286" s="15" t="n">
        <v>1285</v>
      </c>
      <c r="B1286" s="15" t="inlineStr">
        <is>
          <t>Part II - The Method Atlas</t>
        </is>
      </c>
      <c r="C1286" s="16" t="inlineStr">
        <is>
          <t>R.7 Antibodies and TCRs</t>
        </is>
      </c>
      <c r="D1286" s="10" t="inlineStr">
        <is>
          <t>FLAb2: How Well Can Protein AI Predict Developability?</t>
        </is>
      </c>
      <c r="E1286" s="10" t="inlineStr">
        <is>
          <t>Critical</t>
        </is>
      </c>
      <c r="F1286" s="11" t="inlineStr">
        <is>
          <t>31:46</t>
        </is>
      </c>
      <c r="G1286" s="11" t="n">
        <v>0.53</v>
      </c>
      <c r="H1286" s="12" t="inlineStr">
        <is>
          <t>★</t>
        </is>
      </c>
      <c r="I1286" s="11" t="inlineStr">
        <is>
          <t>Not started</t>
        </is>
      </c>
      <c r="J1286" s="13" t="n"/>
      <c r="K1286" s="10" t="inlineStr"/>
      <c r="L1286" s="14" t="inlineStr">
        <is>
          <t>▶ watch</t>
        </is>
      </c>
      <c r="M1286" s="10" t="inlineStr">
        <is>
          <t>Mille-Fragoso et al. 2026, Nat Biotechnol (Germinal) · Bennett et al. 2026, Nature 649:183 (RFantibody)</t>
        </is>
      </c>
      <c r="N1286" s="14" t="inlineStr">
        <is>
          <t>read ↗</t>
        </is>
      </c>
      <c r="O1286" s="11" t="inlineStr">
        <is>
          <t>section reading (2 of 8)</t>
        </is>
      </c>
      <c r="P1286" s="10" t="inlineStr">
        <is>
          <t>S.1 The blind assessments; Tech Tea Time - 9 videos</t>
        </is>
      </c>
    </row>
    <row r="1287">
      <c r="A1287" s="15" t="n">
        <v>1286</v>
      </c>
      <c r="B1287" s="15" t="inlineStr">
        <is>
          <t>Part II - The Method Atlas</t>
        </is>
      </c>
      <c r="C1287" s="16" t="inlineStr">
        <is>
          <t>R.7 Antibodies and TCRs</t>
        </is>
      </c>
      <c r="D1287" s="10" t="inlineStr">
        <is>
          <t>A structure-informed DL framework for TCR-peptide-HLA interactions</t>
        </is>
      </c>
      <c r="E1287" s="10" t="inlineStr">
        <is>
          <t>Broad Institute</t>
        </is>
      </c>
      <c r="F1287" s="11" t="inlineStr">
        <is>
          <t>14:08</t>
        </is>
      </c>
      <c r="G1287" s="11" t="n">
        <v>0.24</v>
      </c>
      <c r="H1287" s="12" t="inlineStr"/>
      <c r="I1287" s="11" t="inlineStr">
        <is>
          <t>Not started</t>
        </is>
      </c>
      <c r="J1287" s="13" t="n"/>
      <c r="K1287" s="10" t="inlineStr"/>
      <c r="L1287" s="14" t="inlineStr">
        <is>
          <t>▶ watch</t>
        </is>
      </c>
      <c r="M1287" s="10" t="inlineStr">
        <is>
          <t>Mille-Fragoso et al. 2026, Nat Biotechnol (Germinal) · Bennett et al. 2026, Nature 649:183 (RFantibody)</t>
        </is>
      </c>
      <c r="N1287" s="14" t="inlineStr">
        <is>
          <t>read ↗</t>
        </is>
      </c>
      <c r="O1287" s="11" t="inlineStr">
        <is>
          <t>section reading (2 of 8)</t>
        </is>
      </c>
      <c r="P1287" s="10" t="inlineStr"/>
    </row>
    <row r="1288">
      <c r="A1288" s="15" t="n">
        <v>1287</v>
      </c>
      <c r="B1288" s="15" t="inlineStr">
        <is>
          <t>Part II - The Method Atlas</t>
        </is>
      </c>
      <c r="C1288" s="16" t="inlineStr">
        <is>
          <t>R.7 Antibodies and TCRs</t>
        </is>
      </c>
      <c r="D1288" s="10" t="inlineStr">
        <is>
          <t>Determinants of efficacious de novo chimeric antigen receptors</t>
        </is>
      </c>
      <c r="E1288" s="10" t="inlineStr">
        <is>
          <t>CAR design</t>
        </is>
      </c>
      <c r="F1288" s="11" t="inlineStr">
        <is>
          <t>46:34</t>
        </is>
      </c>
      <c r="G1288" s="11" t="n">
        <v>0.78</v>
      </c>
      <c r="H1288" s="12" t="inlineStr"/>
      <c r="I1288" s="11" t="inlineStr">
        <is>
          <t>Not started</t>
        </is>
      </c>
      <c r="J1288" s="13" t="n"/>
      <c r="K1288" s="10" t="inlineStr"/>
      <c r="L1288" s="14" t="inlineStr">
        <is>
          <t>▶ watch</t>
        </is>
      </c>
      <c r="M1288" s="10" t="inlineStr">
        <is>
          <t>Mille-Fragoso et al. 2026, Nat Biotechnol (Germinal) · Bennett et al. 2026, Nature 649:183 (RFantibody)</t>
        </is>
      </c>
      <c r="N1288" s="14" t="inlineStr">
        <is>
          <t>read ↗</t>
        </is>
      </c>
      <c r="O1288" s="11" t="inlineStr">
        <is>
          <t>section reading (2 of 8)</t>
        </is>
      </c>
      <c r="P1288" s="10" t="inlineStr">
        <is>
          <t>2026 - posted but not on the schedule page</t>
        </is>
      </c>
    </row>
    <row r="1289">
      <c r="A1289" s="15" t="n">
        <v>1288</v>
      </c>
      <c r="B1289" s="15" t="inlineStr">
        <is>
          <t>Part II - The Method Atlas</t>
        </is>
      </c>
      <c r="C1289" s="16" t="inlineStr">
        <is>
          <t>R.8 Function, dynamics and the hard design problems</t>
        </is>
      </c>
      <c r="D1289" s="10" t="inlineStr">
        <is>
          <t>De novo design of small-molecule-induced conformational change</t>
        </is>
      </c>
      <c r="E1289" s="10" t="inlineStr">
        <is>
          <t>Conformational switches</t>
        </is>
      </c>
      <c r="F1289" s="11" t="inlineStr">
        <is>
          <t>1:03:21</t>
        </is>
      </c>
      <c r="G1289" s="11" t="n">
        <v>1.06</v>
      </c>
      <c r="H1289" s="12" t="inlineStr">
        <is>
          <t>★</t>
        </is>
      </c>
      <c r="I1289" s="11" t="inlineStr">
        <is>
          <t>Not started</t>
        </is>
      </c>
      <c r="J1289" s="13" t="n"/>
      <c r="K1289" s="10" t="inlineStr"/>
      <c r="L1289" s="14" t="inlineStr">
        <is>
          <t>▶ watch</t>
        </is>
      </c>
      <c r="M1289" s="10" t="inlineStr">
        <is>
          <t>Praetorius et al. 2023, Science 381:754 (two-state hinges) · Boyken et al. 2019, Science 364:658</t>
        </is>
      </c>
      <c r="N1289" s="14" t="inlineStr">
        <is>
          <t>read ↗</t>
        </is>
      </c>
      <c r="O1289" s="11" t="inlineStr">
        <is>
          <t>section reading (2 of 11)</t>
        </is>
      </c>
      <c r="P1289" s="10" t="inlineStr">
        <is>
          <t>2026</t>
        </is>
      </c>
    </row>
    <row r="1290">
      <c r="A1290" s="15" t="n">
        <v>1289</v>
      </c>
      <c r="B1290" s="15" t="inlineStr">
        <is>
          <t>Part II - The Method Atlas</t>
        </is>
      </c>
      <c r="C1290" s="16" t="inlineStr">
        <is>
          <t>R.8 Function, dynamics and the hard design problems</t>
        </is>
      </c>
      <c r="D1290" s="10" t="inlineStr">
        <is>
          <t>Computational design of conformation-biasing mutations</t>
        </is>
      </c>
      <c r="E1290" s="10" t="inlineStr">
        <is>
          <t>Conformational bias</t>
        </is>
      </c>
      <c r="F1290" s="11" t="inlineStr">
        <is>
          <t>51:45</t>
        </is>
      </c>
      <c r="G1290" s="11" t="n">
        <v>0.86</v>
      </c>
      <c r="H1290" s="12" t="inlineStr"/>
      <c r="I1290" s="11" t="inlineStr">
        <is>
          <t>Not started</t>
        </is>
      </c>
      <c r="J1290" s="13" t="n"/>
      <c r="K1290" s="10" t="inlineStr"/>
      <c r="L1290" s="14" t="inlineStr">
        <is>
          <t>▶ watch</t>
        </is>
      </c>
      <c r="M1290" s="10" t="inlineStr">
        <is>
          <t>Praetorius et al. 2023, Science 381:754 (two-state hinges) · Boyken et al. 2019, Science 364:658</t>
        </is>
      </c>
      <c r="N1290" s="14" t="inlineStr">
        <is>
          <t>read ↗</t>
        </is>
      </c>
      <c r="O1290" s="11" t="inlineStr">
        <is>
          <t>section reading (2 of 11)</t>
        </is>
      </c>
      <c r="P1290" s="10" t="inlineStr">
        <is>
          <t>2026 - posted but not on the schedule page</t>
        </is>
      </c>
    </row>
    <row r="1291">
      <c r="A1291" s="15" t="n">
        <v>1290</v>
      </c>
      <c r="B1291" s="15" t="inlineStr">
        <is>
          <t>Part II - The Method Atlas</t>
        </is>
      </c>
      <c r="C1291" s="16" t="inlineStr">
        <is>
          <t>R.8 Function, dynamics and the hard design problems</t>
        </is>
      </c>
      <c r="D1291" s="10" t="inlineStr">
        <is>
          <t>The Coming of Age of De Novo Protein Design</t>
        </is>
      </c>
      <c r="E1291" s="10" t="inlineStr">
        <is>
          <t>David Baker (NIH</t>
        </is>
      </c>
      <c r="F1291" s="11" t="inlineStr">
        <is>
          <t>54:33</t>
        </is>
      </c>
      <c r="G1291" s="11" t="n">
        <v>0.91</v>
      </c>
      <c r="H1291" s="12" t="inlineStr"/>
      <c r="I1291" s="11" t="inlineStr">
        <is>
          <t>Not started</t>
        </is>
      </c>
      <c r="J1291" s="13" t="n"/>
      <c r="K1291" s="10" t="inlineStr"/>
      <c r="L1291" s="14" t="inlineStr">
        <is>
          <t>▶ watch</t>
        </is>
      </c>
      <c r="M1291" s="10" t="inlineStr">
        <is>
          <t>Praetorius et al. 2023, Science 381:754 (two-state hinges) · Boyken et al. 2019, Science 364:658</t>
        </is>
      </c>
      <c r="N1291" s="14" t="inlineStr">
        <is>
          <t>read ↗</t>
        </is>
      </c>
      <c r="O1291" s="11" t="inlineStr">
        <is>
          <t>section reading (2 of 11)</t>
        </is>
      </c>
      <c r="P1291" s="10" t="inlineStr"/>
    </row>
    <row r="1292">
      <c r="A1292" s="15" t="n">
        <v>1291</v>
      </c>
      <c r="B1292" s="15" t="inlineStr">
        <is>
          <t>Part II - The Method Atlas</t>
        </is>
      </c>
      <c r="C1292" s="16" t="inlineStr">
        <is>
          <t>R.8 Function, dynamics and the hard design problems</t>
        </is>
      </c>
      <c r="D1292" s="10" t="inlineStr">
        <is>
          <t>Designing ligand-binding proteins from scratch</t>
        </is>
      </c>
      <c r="E1292" s="10" t="inlineStr">
        <is>
          <t>Small-molecule binders</t>
        </is>
      </c>
      <c r="F1292" s="11" t="inlineStr">
        <is>
          <t>1:18:23</t>
        </is>
      </c>
      <c r="G1292" s="11" t="n">
        <v>1.31</v>
      </c>
      <c r="H1292" s="12" t="inlineStr">
        <is>
          <t>★</t>
        </is>
      </c>
      <c r="I1292" s="11" t="inlineStr">
        <is>
          <t>Not started</t>
        </is>
      </c>
      <c r="J1292" s="13" t="n"/>
      <c r="K1292" s="10" t="inlineStr"/>
      <c r="L1292" s="14" t="inlineStr">
        <is>
          <t>▶ watch</t>
        </is>
      </c>
      <c r="M1292" s="10" t="inlineStr">
        <is>
          <t>Praetorius et al. 2023, Science 381:754 (two-state hinges) · Boyken et al. 2019, Science 364:658</t>
        </is>
      </c>
      <c r="N1292" s="14" t="inlineStr">
        <is>
          <t>read ↗</t>
        </is>
      </c>
      <c r="O1292" s="11" t="inlineStr">
        <is>
          <t>section reading (2 of 11)</t>
        </is>
      </c>
      <c r="P1292" s="10" t="inlineStr">
        <is>
          <t>2023</t>
        </is>
      </c>
    </row>
    <row r="1293">
      <c r="A1293" s="15" t="n">
        <v>1292</v>
      </c>
      <c r="B1293" s="15" t="inlineStr">
        <is>
          <t>Part II - The Method Atlas</t>
        </is>
      </c>
      <c r="C1293" s="16" t="inlineStr">
        <is>
          <t>R.8 Function, dynamics and the hard design problems</t>
        </is>
      </c>
      <c r="D1293" s="10" t="inlineStr">
        <is>
          <t>Design of small molecule binding proteins using deep learning</t>
        </is>
      </c>
      <c r="E1293" s="10" t="inlineStr">
        <is>
          <t>Small-molecule binders</t>
        </is>
      </c>
      <c r="F1293" s="11" t="inlineStr">
        <is>
          <t>1:00:53</t>
        </is>
      </c>
      <c r="G1293" s="11" t="n">
        <v>1.01</v>
      </c>
      <c r="H1293" s="12" t="inlineStr"/>
      <c r="I1293" s="11" t="inlineStr">
        <is>
          <t>Not started</t>
        </is>
      </c>
      <c r="J1293" s="13" t="n"/>
      <c r="K1293" s="10" t="inlineStr"/>
      <c r="L1293" s="14" t="inlineStr">
        <is>
          <t>▶ watch</t>
        </is>
      </c>
      <c r="M1293" s="10" t="inlineStr">
        <is>
          <t>Praetorius et al. 2023, Science 381:754 (two-state hinges) · Boyken et al. 2019, Science 364:658</t>
        </is>
      </c>
      <c r="N1293" s="14" t="inlineStr">
        <is>
          <t>read ↗</t>
        </is>
      </c>
      <c r="O1293" s="11" t="inlineStr">
        <is>
          <t>section reading (2 of 11)</t>
        </is>
      </c>
      <c r="P1293" s="10" t="inlineStr">
        <is>
          <t>2025</t>
        </is>
      </c>
    </row>
    <row r="1294">
      <c r="A1294" s="15" t="n">
        <v>1293</v>
      </c>
      <c r="B1294" s="15" t="inlineStr">
        <is>
          <t>Part II - The Method Atlas</t>
        </is>
      </c>
      <c r="C1294" s="16" t="inlineStr">
        <is>
          <t>R.8 Function, dynamics and the hard design problems</t>
        </is>
      </c>
      <c r="D1294" s="10" t="inlineStr">
        <is>
          <t>De Novo Designed Voltage-gated Anion Channels Suppress Neuron Firing</t>
        </is>
      </c>
      <c r="E1294" s="10" t="inlineStr">
        <is>
          <t>Chen Zhou (ML4PE</t>
        </is>
      </c>
      <c r="F1294" s="11" t="inlineStr">
        <is>
          <t>28:49</t>
        </is>
      </c>
      <c r="G1294" s="11" t="n">
        <v>0.48</v>
      </c>
      <c r="H1294" s="12" t="inlineStr"/>
      <c r="I1294" s="11" t="inlineStr">
        <is>
          <t>Not started</t>
        </is>
      </c>
      <c r="J1294" s="13" t="n"/>
      <c r="K1294" s="10" t="inlineStr"/>
      <c r="L1294" s="14" t="inlineStr">
        <is>
          <t>▶ watch</t>
        </is>
      </c>
      <c r="M1294" s="10" t="inlineStr">
        <is>
          <t>Praetorius et al. 2023, Science 381:754 (two-state hinges) · Boyken et al. 2019, Science 364:658</t>
        </is>
      </c>
      <c r="N1294" s="14" t="inlineStr">
        <is>
          <t>read ↗</t>
        </is>
      </c>
      <c r="O1294" s="11" t="inlineStr">
        <is>
          <t>section reading (2 of 11)</t>
        </is>
      </c>
      <c r="P1294" s="10" t="inlineStr">
        <is>
          <t>2026 - posted but not on the schedule page</t>
        </is>
      </c>
    </row>
    <row r="1295">
      <c r="A1295" s="15" t="n">
        <v>1294</v>
      </c>
      <c r="B1295" s="15" t="inlineStr">
        <is>
          <t>Part II - The Method Atlas</t>
        </is>
      </c>
      <c r="C1295" s="16" t="inlineStr">
        <is>
          <t>R.8 Function, dynamics and the hard design problems</t>
        </is>
      </c>
      <c r="D1295" s="10" t="inlineStr">
        <is>
          <t>Autoinhibitory domains for a protease-activated PD-L1 antagonist</t>
        </is>
      </c>
      <c r="E1295" s="10" t="inlineStr">
        <is>
          <t>Proteolysis-gated</t>
        </is>
      </c>
      <c r="F1295" s="11" t="inlineStr">
        <is>
          <t>1:11:19</t>
        </is>
      </c>
      <c r="G1295" s="11" t="n">
        <v>1.19</v>
      </c>
      <c r="H1295" s="12" t="inlineStr"/>
      <c r="I1295" s="11" t="inlineStr">
        <is>
          <t>Not started</t>
        </is>
      </c>
      <c r="J1295" s="13" t="n"/>
      <c r="K1295" s="10" t="inlineStr"/>
      <c r="L1295" s="14" t="inlineStr">
        <is>
          <t>▶ watch</t>
        </is>
      </c>
      <c r="M1295" s="10" t="inlineStr">
        <is>
          <t>Praetorius et al. 2023, Science 381:754 (two-state hinges) · Boyken et al. 2019, Science 364:658</t>
        </is>
      </c>
      <c r="N1295" s="14" t="inlineStr">
        <is>
          <t>read ↗</t>
        </is>
      </c>
      <c r="O1295" s="11" t="inlineStr">
        <is>
          <t>section reading (2 of 11)</t>
        </is>
      </c>
      <c r="P1295" s="10" t="inlineStr">
        <is>
          <t>2023</t>
        </is>
      </c>
    </row>
    <row r="1296">
      <c r="A1296" s="15" t="n">
        <v>1295</v>
      </c>
      <c r="B1296" s="15" t="inlineStr">
        <is>
          <t>Part II - The Method Atlas</t>
        </is>
      </c>
      <c r="C1296" s="16" t="inlineStr">
        <is>
          <t>R.8 Function, dynamics and the hard design problems</t>
        </is>
      </c>
      <c r="D1296" s="10" t="inlineStr">
        <is>
          <t>Deep learning guided design of protease substrates</t>
        </is>
      </c>
      <c r="E1296" s="10" t="inlineStr">
        <is>
          <t>Protease substrates</t>
        </is>
      </c>
      <c r="F1296" s="11" t="inlineStr">
        <is>
          <t>52:49</t>
        </is>
      </c>
      <c r="G1296" s="11" t="n">
        <v>0.88</v>
      </c>
      <c r="H1296" s="12" t="inlineStr"/>
      <c r="I1296" s="11" t="inlineStr">
        <is>
          <t>Not started</t>
        </is>
      </c>
      <c r="J1296" s="13" t="n"/>
      <c r="K1296" s="10" t="inlineStr"/>
      <c r="L1296" s="14" t="inlineStr">
        <is>
          <t>▶ watch</t>
        </is>
      </c>
      <c r="M1296" s="10" t="inlineStr">
        <is>
          <t>Praetorius et al. 2023, Science 381:754 (two-state hinges) · Boyken et al. 2019, Science 364:658</t>
        </is>
      </c>
      <c r="N1296" s="14" t="inlineStr">
        <is>
          <t>read ↗</t>
        </is>
      </c>
      <c r="O1296" s="11" t="inlineStr">
        <is>
          <t>section reading (2 of 11)</t>
        </is>
      </c>
      <c r="P1296" s="10" t="inlineStr">
        <is>
          <t>2025</t>
        </is>
      </c>
    </row>
    <row r="1297">
      <c r="A1297" s="15" t="n">
        <v>1296</v>
      </c>
      <c r="B1297" s="15" t="inlineStr">
        <is>
          <t>Part II - The Method Atlas</t>
        </is>
      </c>
      <c r="C1297" s="16" t="inlineStr">
        <is>
          <t>R.8 Function, dynamics and the hard design problems</t>
        </is>
      </c>
      <c r="D1297" s="10" t="inlineStr">
        <is>
          <t>De novo Glycan Modeling and Design</t>
        </is>
      </c>
      <c r="E1297" s="10" t="inlineStr">
        <is>
          <t>Glycoproteins</t>
        </is>
      </c>
      <c r="F1297" s="11" t="inlineStr">
        <is>
          <t>1:10:06</t>
        </is>
      </c>
      <c r="G1297" s="11" t="n">
        <v>1.17</v>
      </c>
      <c r="H1297" s="12" t="inlineStr"/>
      <c r="I1297" s="11" t="inlineStr">
        <is>
          <t>Not started</t>
        </is>
      </c>
      <c r="J1297" s="13" t="n"/>
      <c r="K1297" s="10" t="inlineStr"/>
      <c r="L1297" s="14" t="inlineStr">
        <is>
          <t>▶ watch</t>
        </is>
      </c>
      <c r="M1297" s="10" t="inlineStr">
        <is>
          <t>Praetorius et al. 2023, Science 381:754 (two-state hinges) · Boyken et al. 2019, Science 364:658</t>
        </is>
      </c>
      <c r="N1297" s="14" t="inlineStr">
        <is>
          <t>read ↗</t>
        </is>
      </c>
      <c r="O1297" s="11" t="inlineStr">
        <is>
          <t>section reading (2 of 11)</t>
        </is>
      </c>
      <c r="P1297" s="10" t="inlineStr">
        <is>
          <t>2020</t>
        </is>
      </c>
    </row>
    <row r="1298">
      <c r="A1298" s="15" t="n">
        <v>1297</v>
      </c>
      <c r="B1298" s="15" t="inlineStr">
        <is>
          <t>Part II - The Method Atlas</t>
        </is>
      </c>
      <c r="C1298" s="16" t="inlineStr">
        <is>
          <t>R.8 Function, dynamics and the hard design problems</t>
        </is>
      </c>
      <c r="D1298" s="10" t="inlineStr">
        <is>
          <t>Designer proteins for stem cell engineering</t>
        </is>
      </c>
      <c r="E1298" s="10" t="inlineStr">
        <is>
          <t>Cell engineering</t>
        </is>
      </c>
      <c r="F1298" s="11" t="inlineStr">
        <is>
          <t>1:18:23</t>
        </is>
      </c>
      <c r="G1298" s="11" t="n">
        <v>1.31</v>
      </c>
      <c r="H1298" s="12" t="inlineStr"/>
      <c r="I1298" s="11" t="inlineStr">
        <is>
          <t>Not started</t>
        </is>
      </c>
      <c r="J1298" s="13" t="n"/>
      <c r="K1298" s="10" t="inlineStr"/>
      <c r="L1298" s="14" t="inlineStr">
        <is>
          <t>▶ watch</t>
        </is>
      </c>
      <c r="M1298" s="10" t="inlineStr">
        <is>
          <t>Praetorius et al. 2023, Science 381:754 (two-state hinges) · Boyken et al. 2019, Science 364:658</t>
        </is>
      </c>
      <c r="N1298" s="14" t="inlineStr">
        <is>
          <t>read ↗</t>
        </is>
      </c>
      <c r="O1298" s="11" t="inlineStr">
        <is>
          <t>section reading (2 of 11)</t>
        </is>
      </c>
      <c r="P1298" s="10" t="inlineStr">
        <is>
          <t>2024</t>
        </is>
      </c>
    </row>
    <row r="1299">
      <c r="A1299" s="15" t="n">
        <v>1298</v>
      </c>
      <c r="B1299" s="15" t="inlineStr">
        <is>
          <t>Part II - The Method Atlas</t>
        </is>
      </c>
      <c r="C1299" s="16" t="inlineStr">
        <is>
          <t>R.8 Function, dynamics and the hard design problems</t>
        </is>
      </c>
      <c r="D1299" s="10" t="inlineStr">
        <is>
          <t>Designing cKIT Receptor Inhibitors for Bone Marrow Transplant</t>
        </is>
      </c>
      <c r="E1299" s="10" t="inlineStr">
        <is>
          <t>Therapeutic</t>
        </is>
      </c>
      <c r="F1299" s="11" t="inlineStr">
        <is>
          <t>27:16</t>
        </is>
      </c>
      <c r="G1299" s="11" t="n">
        <v>0.45</v>
      </c>
      <c r="H1299" s="12" t="inlineStr"/>
      <c r="I1299" s="11" t="inlineStr">
        <is>
          <t>Not started</t>
        </is>
      </c>
      <c r="J1299" s="13" t="n"/>
      <c r="K1299" s="10" t="inlineStr"/>
      <c r="L1299" s="14" t="inlineStr">
        <is>
          <t>▶ watch</t>
        </is>
      </c>
      <c r="M1299" s="10" t="inlineStr">
        <is>
          <t>Praetorius et al. 2023, Science 381:754 (two-state hinges) · Boyken et al. 2019, Science 364:658</t>
        </is>
      </c>
      <c r="N1299" s="14" t="inlineStr">
        <is>
          <t>read ↗</t>
        </is>
      </c>
      <c r="O1299" s="11" t="inlineStr">
        <is>
          <t>section reading (2 of 11)</t>
        </is>
      </c>
      <c r="P1299" s="10" t="inlineStr">
        <is>
          <t>2021</t>
        </is>
      </c>
    </row>
    <row r="1300">
      <c r="A1300" s="15" t="n">
        <v>1299</v>
      </c>
      <c r="B1300" s="15" t="inlineStr">
        <is>
          <t>Part II - The Method Atlas</t>
        </is>
      </c>
      <c r="C1300" s="16" t="inlineStr">
        <is>
          <t>R.9 Protein-nucleic acid and co-design</t>
        </is>
      </c>
      <c r="D1300" s="10" t="inlineStr">
        <is>
          <t>Nathaniel Corley (Valence</t>
        </is>
      </c>
      <c r="E1300" s="10" t="inlineStr">
        <is>
          <t>Infrastructure</t>
        </is>
      </c>
      <c r="F1300" s="11" t="inlineStr">
        <is>
          <t>52:10</t>
        </is>
      </c>
      <c r="G1300" s="11" t="n">
        <v>0.87</v>
      </c>
      <c r="H1300" s="12" t="inlineStr"/>
      <c r="I1300" s="11" t="inlineStr">
        <is>
          <t>Not started</t>
        </is>
      </c>
      <c r="J1300" s="13" t="n"/>
      <c r="K1300" s="10" t="inlineStr"/>
      <c r="L1300" s="14" t="inlineStr">
        <is>
          <t>▶ watch</t>
        </is>
      </c>
      <c r="M1300" s="10" t="inlineStr">
        <is>
          <t>Glasscock et al. 2025, Nat Struct Mol Biol 32:2252 (DNA-binding design - NSMB, not Nature) · Favor et al. 2025, bioRxiv (RNA and nucleoprotein design, preprint)</t>
        </is>
      </c>
      <c r="N1300" s="14" t="inlineStr">
        <is>
          <t>read ↗</t>
        </is>
      </c>
      <c r="O1300" s="11" t="inlineStr">
        <is>
          <t>section reading</t>
        </is>
      </c>
      <c r="P1300" s="10" t="inlineStr">
        <is>
          <t>E.7.1 AlphaFold, OpenFold and what training actually costs; Structure prediction, design and biomolecular foundation models</t>
        </is>
      </c>
    </row>
    <row r="1301">
      <c r="A1301" s="15" t="n">
        <v>1300</v>
      </c>
      <c r="B1301" s="15" t="inlineStr">
        <is>
          <t>Part II - The Method Atlas</t>
        </is>
      </c>
      <c r="C1301" s="16" t="inlineStr">
        <is>
          <t>R.10 The framing talks and the skeptics</t>
        </is>
      </c>
      <c r="D1301" s="10" t="inlineStr">
        <is>
          <t>Design of new protein functions using deep learning</t>
        </is>
      </c>
      <c r="E1301" s="10" t="inlineStr">
        <is>
          <t>David Baker (Allen School</t>
        </is>
      </c>
      <c r="F1301" s="11" t="inlineStr">
        <is>
          <t>59:14</t>
        </is>
      </c>
      <c r="G1301" s="11" t="n">
        <v>0.99</v>
      </c>
      <c r="H1301" s="12" t="inlineStr"/>
      <c r="I1301" s="11" t="inlineStr">
        <is>
          <t>Not started</t>
        </is>
      </c>
      <c r="J1301" s="13" t="n"/>
      <c r="K1301" s="10" t="inlineStr"/>
      <c r="L1301" s="14" t="inlineStr">
        <is>
          <t>▶ watch</t>
        </is>
      </c>
      <c r="M1301" s="10" t="inlineStr">
        <is>
          <t>Glasscock et al. 2025, Nat Struct Mol Biol 32:2252 (DNA-binding design - NSMB, not Nature) · Favor et al. 2025, bioRxiv (RNA and nucleoprotein design, preprint)</t>
        </is>
      </c>
      <c r="N1301" s="14" t="inlineStr">
        <is>
          <t>read ↗</t>
        </is>
      </c>
      <c r="O1301" s="11" t="inlineStr">
        <is>
          <t>reading for R.9 Protein-nucleic acid and co-design</t>
        </is>
      </c>
      <c r="P1301" s="10" t="inlineStr"/>
    </row>
    <row r="1302">
      <c r="A1302" s="15" t="n">
        <v>1301</v>
      </c>
      <c r="B1302" s="15" t="inlineStr">
        <is>
          <t>Part II - The Method Atlas</t>
        </is>
      </c>
      <c r="C1302" s="16" t="inlineStr">
        <is>
          <t>R.10 The framing talks and the skeptics</t>
        </is>
      </c>
      <c r="D1302" s="10" t="inlineStr">
        <is>
          <t>Protein design using deep learning</t>
        </is>
      </c>
      <c r="E1302" s="10" t="inlineStr">
        <is>
          <t>David Baker (Broad</t>
        </is>
      </c>
      <c r="F1302" s="11" t="inlineStr">
        <is>
          <t>52:07</t>
        </is>
      </c>
      <c r="G1302" s="11" t="n">
        <v>0.87</v>
      </c>
      <c r="H1302" s="12" t="inlineStr"/>
      <c r="I1302" s="11" t="inlineStr">
        <is>
          <t>Not started</t>
        </is>
      </c>
      <c r="J1302" s="13" t="n"/>
      <c r="K1302" s="10" t="inlineStr"/>
      <c r="L1302" s="14" t="inlineStr">
        <is>
          <t>▶ watch</t>
        </is>
      </c>
      <c r="M1302" s="10" t="inlineStr">
        <is>
          <t>Glasscock et al. 2025, Nat Struct Mol Biol 32:2252 (DNA-binding design - NSMB, not Nature) · Favor et al. 2025, bioRxiv (RNA and nucleoprotein design, preprint)</t>
        </is>
      </c>
      <c r="N1302" s="14" t="inlineStr">
        <is>
          <t>read ↗</t>
        </is>
      </c>
      <c r="O1302" s="11" t="inlineStr">
        <is>
          <t>reading for R.9 Protein-nucleic acid and co-design</t>
        </is>
      </c>
      <c r="P1302" s="10" t="inlineStr"/>
    </row>
    <row r="1303">
      <c r="A1303" s="15" t="n">
        <v>1302</v>
      </c>
      <c r="B1303" s="15" t="inlineStr">
        <is>
          <t>Part II - The Method Atlas</t>
        </is>
      </c>
      <c r="C1303" s="16" t="inlineStr">
        <is>
          <t>R.10 The framing talks and the skeptics</t>
        </is>
      </c>
      <c r="D1303" s="10" t="inlineStr">
        <is>
          <t>Design of New Protein Functions Using Deep Learning</t>
        </is>
      </c>
      <c r="E1303" s="10" t="inlineStr">
        <is>
          <t>David Baker (NCATS NIH</t>
        </is>
      </c>
      <c r="F1303" s="11" t="inlineStr">
        <is>
          <t>25:09</t>
        </is>
      </c>
      <c r="G1303" s="11" t="n">
        <v>0.42</v>
      </c>
      <c r="H1303" s="12" t="inlineStr"/>
      <c r="I1303" s="11" t="inlineStr">
        <is>
          <t>Not started</t>
        </is>
      </c>
      <c r="J1303" s="13" t="n"/>
      <c r="K1303" s="10" t="inlineStr"/>
      <c r="L1303" s="14" t="inlineStr">
        <is>
          <t>▶ watch</t>
        </is>
      </c>
      <c r="M1303" s="10" t="inlineStr">
        <is>
          <t>Glasscock et al. 2025, Nat Struct Mol Biol 32:2252 (DNA-binding design - NSMB, not Nature) · Favor et al. 2025, bioRxiv (RNA and nucleoprotein design, preprint)</t>
        </is>
      </c>
      <c r="N1303" s="14" t="inlineStr">
        <is>
          <t>read ↗</t>
        </is>
      </c>
      <c r="O1303" s="11" t="inlineStr">
        <is>
          <t>reading for R.9 Protein-nucleic acid and co-design</t>
        </is>
      </c>
      <c r="P1303" s="10" t="inlineStr"/>
    </row>
    <row r="1304">
      <c r="A1304" s="15" t="n">
        <v>1303</v>
      </c>
      <c r="B1304" s="15" t="inlineStr">
        <is>
          <t>Part II - The Method Atlas</t>
        </is>
      </c>
      <c r="C1304" s="16" t="inlineStr">
        <is>
          <t>R.10 The framing talks and the skeptics</t>
        </is>
      </c>
      <c r="D1304" s="10" t="inlineStr">
        <is>
          <t>Nobel Lecture: De Novo Protein Design</t>
        </is>
      </c>
      <c r="E1304" s="10" t="inlineStr">
        <is>
          <t>David Baker</t>
        </is>
      </c>
      <c r="F1304" s="11" t="inlineStr">
        <is>
          <t>38:33</t>
        </is>
      </c>
      <c r="G1304" s="11" t="n">
        <v>0.64</v>
      </c>
      <c r="H1304" s="12" t="inlineStr">
        <is>
          <t>★</t>
        </is>
      </c>
      <c r="I1304" s="11" t="inlineStr">
        <is>
          <t>Not started</t>
        </is>
      </c>
      <c r="J1304" s="13" t="n"/>
      <c r="K1304" s="10" t="inlineStr"/>
      <c r="L1304" s="14" t="inlineStr">
        <is>
          <t>▶ watch</t>
        </is>
      </c>
      <c r="M1304" s="10" t="inlineStr">
        <is>
          <t>Glasscock et al. 2025, Nat Struct Mol Biol 32:2252 (DNA-binding design - NSMB, not Nature) · Favor et al. 2025, bioRxiv (RNA and nucleoprotein design, preprint)</t>
        </is>
      </c>
      <c r="N1304" s="14" t="inlineStr">
        <is>
          <t>read ↗</t>
        </is>
      </c>
      <c r="O1304" s="11" t="inlineStr">
        <is>
          <t>reading for R.9 Protein-nucleic acid and co-design</t>
        </is>
      </c>
      <c r="P1304" s="10" t="inlineStr"/>
    </row>
    <row r="1305">
      <c r="A1305" s="15" t="n">
        <v>1304</v>
      </c>
      <c r="B1305" s="15" t="inlineStr">
        <is>
          <t>Part II - The Method Atlas</t>
        </is>
      </c>
      <c r="C1305" s="16" t="inlineStr">
        <is>
          <t>R.10 The framing talks and the skeptics</t>
        </is>
      </c>
      <c r="D1305" s="10" t="inlineStr">
        <is>
          <t>Part 1: Introduction to Protein Design</t>
        </is>
      </c>
      <c r="E1305" s="10" t="inlineStr">
        <is>
          <t>David Baker (iBiology</t>
        </is>
      </c>
      <c r="F1305" s="11" t="inlineStr">
        <is>
          <t>21:22</t>
        </is>
      </c>
      <c r="G1305" s="11" t="n">
        <v>0.36</v>
      </c>
      <c r="H1305" s="12" t="inlineStr">
        <is>
          <t>★</t>
        </is>
      </c>
      <c r="I1305" s="11" t="inlineStr">
        <is>
          <t>Not started</t>
        </is>
      </c>
      <c r="J1305" s="13" t="n"/>
      <c r="K1305" s="10" t="inlineStr"/>
      <c r="L1305" s="14" t="inlineStr">
        <is>
          <t>▶ watch</t>
        </is>
      </c>
      <c r="M1305" s="10" t="inlineStr">
        <is>
          <t>Glasscock et al. 2025, Nat Struct Mol Biol 32:2252 (DNA-binding design - NSMB, not Nature) · Favor et al. 2025, bioRxiv (RNA and nucleoprotein design, preprint)</t>
        </is>
      </c>
      <c r="N1305" s="14" t="inlineStr">
        <is>
          <t>read ↗</t>
        </is>
      </c>
      <c r="O1305" s="11" t="inlineStr">
        <is>
          <t>reading for R.9 Protein-nucleic acid and co-design</t>
        </is>
      </c>
      <c r="P1305" s="10" t="inlineStr">
        <is>
          <t>Introductory and IPD TV</t>
        </is>
      </c>
    </row>
    <row r="1306">
      <c r="A1306" s="15" t="n">
        <v>1305</v>
      </c>
      <c r="B1306" s="15" t="inlineStr">
        <is>
          <t>Part II - The Method Atlas</t>
        </is>
      </c>
      <c r="C1306" s="16" t="inlineStr">
        <is>
          <t>R.10 The framing talks and the skeptics</t>
        </is>
      </c>
      <c r="D1306" s="10" t="inlineStr">
        <is>
          <t>Some thoughts on ML-based protein engineering</t>
        </is>
      </c>
      <c r="E1306" s="10" t="inlineStr">
        <is>
          <t>Jennifer Listgarten (Simons</t>
        </is>
      </c>
      <c r="F1306" s="11" t="inlineStr"/>
      <c r="G1306" s="11" t="n">
        <v>0</v>
      </c>
      <c r="H1306" s="12" t="inlineStr">
        <is>
          <t>★</t>
        </is>
      </c>
      <c r="I1306" s="11" t="inlineStr">
        <is>
          <t>Not started</t>
        </is>
      </c>
      <c r="J1306" s="13" t="n"/>
      <c r="K1306" s="10" t="inlineStr"/>
      <c r="L1306" s="14" t="inlineStr">
        <is>
          <t>▶ watch</t>
        </is>
      </c>
      <c r="M1306" s="10" t="inlineStr">
        <is>
          <t>Glasscock et al. 2025, Nat Struct Mol Biol 32:2252 (DNA-binding design - NSMB, not Nature) · Favor et al. 2025, bioRxiv (RNA and nucleoprotein design, preprint)</t>
        </is>
      </c>
      <c r="N1306" s="14" t="inlineStr">
        <is>
          <t>read ↗</t>
        </is>
      </c>
      <c r="O1306" s="11" t="inlineStr">
        <is>
          <t>reading for R.9 Protein-nucleic acid and co-design</t>
        </is>
      </c>
      <c r="P1306" s="10" t="inlineStr"/>
    </row>
    <row r="1307">
      <c r="A1307" s="15" t="n">
        <v>1306</v>
      </c>
      <c r="B1307" s="15" t="inlineStr">
        <is>
          <t>Part II - The Method Atlas</t>
        </is>
      </c>
      <c r="C1307" s="16" t="inlineStr">
        <is>
          <t>R.10 The framing talks and the skeptics</t>
        </is>
      </c>
      <c r="D1307" s="10" t="inlineStr">
        <is>
          <t>ML-based Design of Proteins and Small Molecules</t>
        </is>
      </c>
      <c r="E1307" s="10" t="inlineStr">
        <is>
          <t>Jennifer Listgarten (Simons</t>
        </is>
      </c>
      <c r="F1307" s="11" t="inlineStr">
        <is>
          <t>45:48</t>
        </is>
      </c>
      <c r="G1307" s="11" t="n">
        <v>0.76</v>
      </c>
      <c r="H1307" s="12" t="inlineStr"/>
      <c r="I1307" s="11" t="inlineStr">
        <is>
          <t>Not started</t>
        </is>
      </c>
      <c r="J1307" s="13" t="n"/>
      <c r="K1307" s="10" t="inlineStr"/>
      <c r="L1307" s="14" t="inlineStr">
        <is>
          <t>▶ watch</t>
        </is>
      </c>
      <c r="M1307" s="10" t="inlineStr">
        <is>
          <t>Glasscock et al. 2025, Nat Struct Mol Biol 32:2252 (DNA-binding design - NSMB, not Nature) · Favor et al. 2025, bioRxiv (RNA and nucleoprotein design, preprint)</t>
        </is>
      </c>
      <c r="N1307" s="14" t="inlineStr">
        <is>
          <t>read ↗</t>
        </is>
      </c>
      <c r="O1307" s="11" t="inlineStr">
        <is>
          <t>reading for R.9 Protein-nucleic acid and co-design</t>
        </is>
      </c>
      <c r="P1307" s="10" t="inlineStr"/>
    </row>
    <row r="1308">
      <c r="A1308" s="15" t="n">
        <v>1307</v>
      </c>
      <c r="B1308" s="15" t="inlineStr">
        <is>
          <t>Part II - The Method Atlas</t>
        </is>
      </c>
      <c r="C1308" s="16" t="inlineStr">
        <is>
          <t>R.10 The framing talks and the skeptics</t>
        </is>
      </c>
      <c r="D1308" s="10" t="inlineStr">
        <is>
          <t>ML-Based Design Of Proteins</t>
        </is>
      </c>
      <c r="E1308" s="10" t="inlineStr">
        <is>
          <t>Jennifer Listgarten (Simons</t>
        </is>
      </c>
      <c r="F1308" s="11" t="inlineStr">
        <is>
          <t>31:56</t>
        </is>
      </c>
      <c r="G1308" s="11" t="n">
        <v>0.53</v>
      </c>
      <c r="H1308" s="12" t="inlineStr"/>
      <c r="I1308" s="11" t="inlineStr">
        <is>
          <t>Not started</t>
        </is>
      </c>
      <c r="J1308" s="13" t="n"/>
      <c r="K1308" s="10" t="inlineStr"/>
      <c r="L1308" s="14" t="inlineStr">
        <is>
          <t>▶ watch</t>
        </is>
      </c>
      <c r="M1308" s="10" t="inlineStr">
        <is>
          <t>Glasscock et al. 2025, Nat Struct Mol Biol 32:2252 (DNA-binding design - NSMB, not Nature) · Favor et al. 2025, bioRxiv (RNA and nucleoprotein design, preprint)</t>
        </is>
      </c>
      <c r="N1308" s="14" t="inlineStr">
        <is>
          <t>read ↗</t>
        </is>
      </c>
      <c r="O1308" s="11" t="inlineStr">
        <is>
          <t>reading for R.9 Protein-nucleic acid and co-design</t>
        </is>
      </c>
      <c r="P1308" s="10" t="inlineStr"/>
    </row>
    <row r="1309">
      <c r="A1309" s="15" t="n">
        <v>1308</v>
      </c>
      <c r="B1309" s="15" t="inlineStr">
        <is>
          <t>Part II - The Method Atlas</t>
        </is>
      </c>
      <c r="C1309" s="16" t="inlineStr">
        <is>
          <t>S.1 The blind assessments</t>
        </is>
      </c>
      <c r="D1309" s="10" t="inlineStr">
        <is>
          <t>Critical Assessment of Structure Prediction</t>
        </is>
      </c>
      <c r="E1309" s="10" t="inlineStr">
        <is>
          <t>John Moult &amp; Krzysztof Fidelis (MLSB 2025</t>
        </is>
      </c>
      <c r="F1309" s="11" t="inlineStr">
        <is>
          <t>36:17</t>
        </is>
      </c>
      <c r="G1309" s="11" t="n">
        <v>0.6</v>
      </c>
      <c r="H1309" s="12" t="inlineStr">
        <is>
          <t>★</t>
        </is>
      </c>
      <c r="I1309" s="11" t="inlineStr">
        <is>
          <t>Not started</t>
        </is>
      </c>
      <c r="J1309" s="13" t="n"/>
      <c r="K1309" s="10" t="inlineStr"/>
      <c r="L1309" s="14" t="inlineStr">
        <is>
          <t>▶ watch</t>
        </is>
      </c>
      <c r="M1309" s="10" t="inlineStr">
        <is>
          <t>Moult et al. 1995, Proteins 23:ii (CASP's founding) · Kryshtafovych et al. 2021, Proteins 89:1607 (CASP14 assessment)</t>
        </is>
      </c>
      <c r="N1309" s="14" t="inlineStr">
        <is>
          <t>read ↗</t>
        </is>
      </c>
      <c r="O1309" s="11" t="inlineStr">
        <is>
          <t>section reading (2 of 6)</t>
        </is>
      </c>
      <c r="P1309" s="10" t="inlineStr">
        <is>
          <t>A.5 MLSB Workshop - 10 talks (complete</t>
        </is>
      </c>
    </row>
    <row r="1310">
      <c r="A1310" s="15" t="n">
        <v>1309</v>
      </c>
      <c r="B1310" s="15" t="inlineStr">
        <is>
          <t>Part II - The Method Atlas</t>
        </is>
      </c>
      <c r="C1310" s="16" t="inlineStr">
        <is>
          <t>S.1 The blind assessments</t>
        </is>
      </c>
      <c r="D1310" s="10" t="inlineStr">
        <is>
          <t>Panel - Foundation models for biology, when are they useful?</t>
        </is>
      </c>
      <c r="E1310" s="10" t="inlineStr">
        <is>
          <t>MLCB 2024</t>
        </is>
      </c>
      <c r="F1310" s="11" t="inlineStr">
        <is>
          <t>51:23</t>
        </is>
      </c>
      <c r="G1310" s="11" t="n">
        <v>0.86</v>
      </c>
      <c r="H1310" s="12" t="inlineStr">
        <is>
          <t>★</t>
        </is>
      </c>
      <c r="I1310" s="11" t="inlineStr">
        <is>
          <t>Not started</t>
        </is>
      </c>
      <c r="J1310" s="13" t="n"/>
      <c r="K1310" s="10" t="inlineStr"/>
      <c r="L1310" s="14" t="inlineStr">
        <is>
          <t>▶ watch</t>
        </is>
      </c>
      <c r="M1310" s="10" t="inlineStr">
        <is>
          <t>Moult et al. 1995, Proteins 23:ii (CASP's founding) · Kryshtafovych et al. 2021, Proteins 89:1607 (CASP14 assessment)</t>
        </is>
      </c>
      <c r="N1310" s="14" t="inlineStr">
        <is>
          <t>read ↗</t>
        </is>
      </c>
      <c r="O1310" s="11" t="inlineStr">
        <is>
          <t>section reading (2 of 6)</t>
        </is>
      </c>
      <c r="P1310" s="10" t="inlineStr">
        <is>
          <t>MLCB 2024 - the protein and genomics core</t>
        </is>
      </c>
    </row>
    <row r="1311">
      <c r="A1311" s="15" t="n">
        <v>1310</v>
      </c>
      <c r="B1311" s="15" t="inlineStr">
        <is>
          <t>Part II - The Method Atlas</t>
        </is>
      </c>
      <c r="C1311" s="16" t="inlineStr">
        <is>
          <t>S.3 Statistics and experimental design</t>
        </is>
      </c>
      <c r="D1311" s="10" t="inlineStr">
        <is>
          <t>Data thinning to avoid double dipping</t>
        </is>
      </c>
      <c r="E1311" s="10" t="inlineStr">
        <is>
          <t>Lucy Gao (Broad MIA</t>
        </is>
      </c>
      <c r="F1311" s="11" t="inlineStr">
        <is>
          <t>1:31:46</t>
        </is>
      </c>
      <c r="G1311" s="11" t="n">
        <v>1.53</v>
      </c>
      <c r="H1311" s="12" t="inlineStr">
        <is>
          <t>★</t>
        </is>
      </c>
      <c r="I1311" s="11" t="inlineStr">
        <is>
          <t>Not started</t>
        </is>
      </c>
      <c r="J1311" s="13" t="n"/>
      <c r="K1311" s="10" t="inlineStr"/>
      <c r="L1311" s="14" t="inlineStr">
        <is>
          <t>▶ watch</t>
        </is>
      </c>
      <c r="M1311" s="10" t="inlineStr">
        <is>
          <t>Fannjiang et al. 2022, NeurIPS (conformal under feedback covariate shift) · Barber &amp; Candès 2015, Ann Stat 43:2055 (knockoffs)</t>
        </is>
      </c>
      <c r="N1311" s="14" t="inlineStr">
        <is>
          <t>read ↗</t>
        </is>
      </c>
      <c r="O1311" s="11" t="inlineStr">
        <is>
          <t>section reading (2 of 4)</t>
        </is>
      </c>
      <c r="P1311" s="10" t="inlineStr">
        <is>
          <t>Statistical and generative-modeling methods</t>
        </is>
      </c>
    </row>
    <row r="1312">
      <c r="A1312" s="15" t="n">
        <v>1311</v>
      </c>
      <c r="B1312" s="15" t="inlineStr">
        <is>
          <t>Part II - The Method Atlas</t>
        </is>
      </c>
      <c r="C1312" s="16" t="inlineStr">
        <is>
          <t>S.3 Statistics and experimental design</t>
        </is>
      </c>
      <c r="D1312" s="10" t="inlineStr">
        <is>
          <t>Knockoffs for Finding Variables with Statistical Guarantees</t>
        </is>
      </c>
      <c r="E1312" s="10" t="inlineStr">
        <is>
          <t>Lucas Janson (Broad MIA</t>
        </is>
      </c>
      <c r="F1312" s="11" t="inlineStr">
        <is>
          <t>1:36:18</t>
        </is>
      </c>
      <c r="G1312" s="11" t="n">
        <v>1.6</v>
      </c>
      <c r="H1312" s="12" t="inlineStr">
        <is>
          <t>★</t>
        </is>
      </c>
      <c r="I1312" s="11" t="inlineStr">
        <is>
          <t>Not started</t>
        </is>
      </c>
      <c r="J1312" s="13" t="n"/>
      <c r="K1312" s="10" t="inlineStr"/>
      <c r="L1312" s="14" t="inlineStr">
        <is>
          <t>▶ watch</t>
        </is>
      </c>
      <c r="M1312" s="10" t="inlineStr">
        <is>
          <t>Fannjiang et al. 2022, NeurIPS (conformal under feedback covariate shift) · Barber &amp; Candès 2015, Ann Stat 43:2055 (knockoffs)</t>
        </is>
      </c>
      <c r="N1312" s="14" t="inlineStr">
        <is>
          <t>read ↗</t>
        </is>
      </c>
      <c r="O1312" s="11" t="inlineStr">
        <is>
          <t>section reading (2 of 4)</t>
        </is>
      </c>
      <c r="P1312" s="10" t="inlineStr">
        <is>
          <t>Statistical and generative-modeling methods</t>
        </is>
      </c>
    </row>
    <row r="1313">
      <c r="A1313" s="15" t="n">
        <v>1312</v>
      </c>
      <c r="B1313" s="15" t="inlineStr">
        <is>
          <t>Part II - The Method Atlas</t>
        </is>
      </c>
      <c r="C1313" s="16" t="inlineStr">
        <is>
          <t>S.3 Statistics and experimental design</t>
        </is>
      </c>
      <c r="D1313" s="10" t="inlineStr">
        <is>
          <t>Bayesian methods for adaptive experimental design</t>
        </is>
      </c>
      <c r="E1313" s="10" t="inlineStr">
        <is>
          <t>Martin Jankowiak (Broad MIA</t>
        </is>
      </c>
      <c r="F1313" s="11" t="inlineStr">
        <is>
          <t>50:41</t>
        </is>
      </c>
      <c r="G1313" s="11" t="n">
        <v>0.84</v>
      </c>
      <c r="H1313" s="12" t="inlineStr">
        <is>
          <t>★</t>
        </is>
      </c>
      <c r="I1313" s="11" t="inlineStr">
        <is>
          <t>Not started</t>
        </is>
      </c>
      <c r="J1313" s="13" t="n"/>
      <c r="K1313" s="10" t="inlineStr"/>
      <c r="L1313" s="14" t="inlineStr">
        <is>
          <t>▶ watch</t>
        </is>
      </c>
      <c r="M1313" s="10" t="inlineStr">
        <is>
          <t>Fannjiang et al. 2022, NeurIPS (conformal under feedback covariate shift) · Barber &amp; Candès 2015, Ann Stat 43:2055 (knockoffs)</t>
        </is>
      </c>
      <c r="N1313" s="14" t="inlineStr">
        <is>
          <t>read ↗</t>
        </is>
      </c>
      <c r="O1313" s="11" t="inlineStr">
        <is>
          <t>section reading (2 of 4)</t>
        </is>
      </c>
      <c r="P1313" s="10" t="inlineStr">
        <is>
          <t>Statistical and generative-modeling methods</t>
        </is>
      </c>
    </row>
    <row r="1314">
      <c r="A1314" s="15" t="n">
        <v>1313</v>
      </c>
      <c r="B1314" s="15" t="inlineStr">
        <is>
          <t>Part II - The Method Atlas</t>
        </is>
      </c>
      <c r="C1314" s="16" t="inlineStr">
        <is>
          <t>S.3 Statistics and experimental design</t>
        </is>
      </c>
      <c r="D1314" s="10" t="inlineStr">
        <is>
          <t>Experimental Design and Data Annotation</t>
        </is>
      </c>
      <c r="E1314" s="10" t="inlineStr">
        <is>
          <t>Graham Neubig (CMU Advanced NLP 9</t>
        </is>
      </c>
      <c r="F1314" s="11" t="inlineStr">
        <is>
          <t>1:17:22</t>
        </is>
      </c>
      <c r="G1314" s="11" t="n">
        <v>1.29</v>
      </c>
      <c r="H1314" s="12" t="inlineStr">
        <is>
          <t>★</t>
        </is>
      </c>
      <c r="I1314" s="11" t="inlineStr">
        <is>
          <t>Not started</t>
        </is>
      </c>
      <c r="J1314" s="13" t="n"/>
      <c r="K1314" s="10" t="inlineStr"/>
      <c r="L1314" s="14" t="inlineStr">
        <is>
          <t>▶ watch</t>
        </is>
      </c>
      <c r="M1314" s="10" t="inlineStr">
        <is>
          <t>Fannjiang et al. 2022, NeurIPS (conformal under feedback covariate shift) · Barber &amp; Candès 2015, Ann Stat 43:2055 (knockoffs)</t>
        </is>
      </c>
      <c r="N1314" s="14" t="inlineStr">
        <is>
          <t>read ↗</t>
        </is>
      </c>
      <c r="O1314" s="11" t="inlineStr">
        <is>
          <t>section reading (2 of 4)</t>
        </is>
      </c>
      <c r="P1314" s="10" t="inlineStr"/>
    </row>
    <row r="1315">
      <c r="A1315" s="15" t="n">
        <v>1314</v>
      </c>
      <c r="B1315" s="15" t="inlineStr">
        <is>
          <t>Part II - The Method Atlas</t>
        </is>
      </c>
      <c r="C1315" s="16" t="inlineStr">
        <is>
          <t>S.3 Statistics and experimental design</t>
        </is>
      </c>
      <c r="D1315" s="10" t="inlineStr">
        <is>
          <t>Predictable Noise in LLM Benchmarks</t>
        </is>
      </c>
      <c r="E1315" s="10" t="inlineStr">
        <is>
          <t>Sida Wang (Berkeley MOOC</t>
        </is>
      </c>
      <c r="F1315" s="11" t="inlineStr">
        <is>
          <t>44:04</t>
        </is>
      </c>
      <c r="G1315" s="11" t="n">
        <v>0.73</v>
      </c>
      <c r="H1315" s="12" t="inlineStr">
        <is>
          <t>★</t>
        </is>
      </c>
      <c r="I1315" s="11" t="inlineStr">
        <is>
          <t>Not started</t>
        </is>
      </c>
      <c r="J1315" s="13" t="n"/>
      <c r="K1315" s="10" t="inlineStr"/>
      <c r="L1315" s="14" t="inlineStr">
        <is>
          <t>▶ watch</t>
        </is>
      </c>
      <c r="M1315" s="10" t="inlineStr">
        <is>
          <t>The paper</t>
        </is>
      </c>
      <c r="N1315" s="14" t="inlineStr">
        <is>
          <t>read ↗</t>
        </is>
      </c>
      <c r="O1315" s="11" t="inlineStr">
        <is>
          <t>paired reading</t>
        </is>
      </c>
      <c r="P1315" s="10" t="inlineStr"/>
    </row>
    <row r="1316">
      <c r="A1316" s="15" t="n">
        <v>1315</v>
      </c>
      <c r="B1316" s="15" t="inlineStr">
        <is>
          <t>Part II - The Method Atlas</t>
        </is>
      </c>
      <c r="C1316" s="16" t="inlineStr">
        <is>
          <t>S.3 Statistics and experimental design</t>
        </is>
      </c>
      <c r="D1316" s="10" t="inlineStr">
        <is>
          <t>Six Principles for Evaluating Cognitive Capabilities in AI</t>
        </is>
      </c>
      <c r="E1316" s="10" t="inlineStr">
        <is>
          <t>Melanie Mitchell (SFI</t>
        </is>
      </c>
      <c r="F1316" s="11" t="inlineStr">
        <is>
          <t>48:41</t>
        </is>
      </c>
      <c r="G1316" s="11" t="n">
        <v>0.8100000000000001</v>
      </c>
      <c r="H1316" s="12" t="inlineStr">
        <is>
          <t>★</t>
        </is>
      </c>
      <c r="I1316" s="11" t="inlineStr">
        <is>
          <t>Not started</t>
        </is>
      </c>
      <c r="J1316" s="13" t="n"/>
      <c r="K1316" s="10" t="inlineStr"/>
      <c r="L1316" s="14" t="inlineStr">
        <is>
          <t>▶ watch</t>
        </is>
      </c>
      <c r="M1316" s="10" t="inlineStr">
        <is>
          <t>Fannjiang et al. 2022, NeurIPS (conformal under feedback covariate shift) · Barber &amp; Candès 2015, Ann Stat 43:2055 (knockoffs)</t>
        </is>
      </c>
      <c r="N1316" s="14" t="inlineStr">
        <is>
          <t>read ↗</t>
        </is>
      </c>
      <c r="O1316" s="11" t="inlineStr">
        <is>
          <t>section reading (2 of 4)</t>
        </is>
      </c>
      <c r="P1316" s="10" t="inlineStr">
        <is>
          <t>D.7.7 Is reasoning real? - the standing debate</t>
        </is>
      </c>
    </row>
    <row r="1317">
      <c r="A1317" s="15" t="n">
        <v>1316</v>
      </c>
      <c r="B1317" s="15" t="inlineStr">
        <is>
          <t>Part II - The Method Atlas</t>
        </is>
      </c>
      <c r="C1317" s="16" t="inlineStr">
        <is>
          <t>S.3 Statistics and experimental design</t>
        </is>
      </c>
      <c r="D1317" s="10" t="inlineStr">
        <is>
          <t>Scaling Up "Vibe Checks" for LLMs</t>
        </is>
      </c>
      <c r="E1317" s="10" t="inlineStr">
        <is>
          <t>Shreya Shankar (MLSys #97</t>
        </is>
      </c>
      <c r="F1317" s="11" t="inlineStr">
        <is>
          <t>55:01</t>
        </is>
      </c>
      <c r="G1317" s="11" t="n">
        <v>0.92</v>
      </c>
      <c r="H1317" s="12" t="inlineStr"/>
      <c r="I1317" s="11" t="inlineStr">
        <is>
          <t>Not started</t>
        </is>
      </c>
      <c r="J1317" s="13" t="n"/>
      <c r="K1317" s="10" t="inlineStr"/>
      <c r="L1317" s="14" t="inlineStr">
        <is>
          <t>▶ watch</t>
        </is>
      </c>
      <c r="M1317" s="10" t="inlineStr">
        <is>
          <t>Fannjiang et al. 2022, NeurIPS (conformal under feedback covariate shift) · Barber &amp; Candès 2015, Ann Stat 43:2055 (knockoffs)</t>
        </is>
      </c>
      <c r="N1317" s="14" t="inlineStr">
        <is>
          <t>read ↗</t>
        </is>
      </c>
      <c r="O1317" s="11" t="inlineStr">
        <is>
          <t>section reading (2 of 4)</t>
        </is>
      </c>
      <c r="P1317" s="10" t="inlineStr"/>
    </row>
    <row r="1318">
      <c r="A1318" s="15" t="n">
        <v>1317</v>
      </c>
      <c r="B1318" s="15" t="inlineStr">
        <is>
          <t>Part II - The Method Atlas</t>
        </is>
      </c>
      <c r="C1318" s="16" t="inlineStr">
        <is>
          <t>S.3 Statistics and experimental design</t>
        </is>
      </c>
      <c r="D1318" s="10" t="inlineStr">
        <is>
          <t>The Future of Language Models: A Perspective on Evaluation</t>
        </is>
      </c>
      <c r="E1318" s="10" t="inlineStr">
        <is>
          <t>Simons Institute</t>
        </is>
      </c>
      <c r="F1318" s="11" t="inlineStr">
        <is>
          <t>1:05:41</t>
        </is>
      </c>
      <c r="G1318" s="11" t="n">
        <v>1.09</v>
      </c>
      <c r="H1318" s="12" t="inlineStr"/>
      <c r="I1318" s="11" t="inlineStr">
        <is>
          <t>Not started</t>
        </is>
      </c>
      <c r="J1318" s="13" t="n"/>
      <c r="K1318" s="10" t="inlineStr"/>
      <c r="L1318" s="14" t="inlineStr">
        <is>
          <t>▶ watch</t>
        </is>
      </c>
      <c r="M1318" s="10" t="inlineStr">
        <is>
          <t>Fannjiang et al. 2022, NeurIPS (conformal under feedback covariate shift) · Barber &amp; Candès 2015, Ann Stat 43:2055 (knockoffs)</t>
        </is>
      </c>
      <c r="N1318" s="14" t="inlineStr">
        <is>
          <t>read ↗</t>
        </is>
      </c>
      <c r="O1318" s="11" t="inlineStr">
        <is>
          <t>section reading (2 of 4)</t>
        </is>
      </c>
      <c r="P1318" s="10" t="inlineStr"/>
    </row>
    <row r="1319">
      <c r="A1319" s="15" t="n">
        <v>1318</v>
      </c>
      <c r="B1319" s="15" t="inlineStr">
        <is>
          <t>Part II - The Method Atlas</t>
        </is>
      </c>
      <c r="C1319" s="16" t="inlineStr">
        <is>
          <t>T.1 Rhiju Das, in his own words</t>
        </is>
      </c>
      <c r="D1319" s="10" t="inlineStr">
        <is>
          <t>BioML Seminar - the RNA Folding Problem</t>
        </is>
      </c>
      <c r="E1319" s="10" t="inlineStr"/>
      <c r="F1319" s="11" t="inlineStr">
        <is>
          <t>1:23:58</t>
        </is>
      </c>
      <c r="G1319" s="11" t="n">
        <v>1.4</v>
      </c>
      <c r="H1319" s="12" t="inlineStr">
        <is>
          <t>★</t>
        </is>
      </c>
      <c r="I1319" s="11" t="inlineStr">
        <is>
          <t>Not started</t>
        </is>
      </c>
      <c r="J1319" s="13" t="n"/>
      <c r="K1319" s="10" t="inlineStr"/>
      <c r="L1319" s="14" t="inlineStr">
        <is>
          <t>▶ watch</t>
        </is>
      </c>
      <c r="M1319" s="10" t="inlineStr">
        <is>
          <t>He et al. 2024, bioRxiv (Ribonanza) · Das et al. 2023, Proteins (CASP15 RNA)</t>
        </is>
      </c>
      <c r="N1319" s="14" t="inlineStr">
        <is>
          <t>read ↗</t>
        </is>
      </c>
      <c r="O1319" s="11" t="inlineStr">
        <is>
          <t>section reading (2 of 7)</t>
        </is>
      </c>
      <c r="P1319" s="10" t="inlineStr"/>
    </row>
    <row r="1320">
      <c r="A1320" s="15" t="n">
        <v>1319</v>
      </c>
      <c r="B1320" s="15" t="inlineStr">
        <is>
          <t>Part II - The Method Atlas</t>
        </is>
      </c>
      <c r="C1320" s="16" t="inlineStr">
        <is>
          <t>T.1 Rhiju Das, in his own words</t>
        </is>
      </c>
      <c r="D1320" s="10" t="inlineStr">
        <is>
          <t>Ribonanza: big data for RNA structure prediction</t>
        </is>
      </c>
      <c r="E1320" s="10" t="inlineStr"/>
      <c r="F1320" s="11" t="inlineStr">
        <is>
          <t>1:01:58</t>
        </is>
      </c>
      <c r="G1320" s="11" t="n">
        <v>1.03</v>
      </c>
      <c r="H1320" s="12" t="inlineStr">
        <is>
          <t>★</t>
        </is>
      </c>
      <c r="I1320" s="11" t="inlineStr">
        <is>
          <t>Not started</t>
        </is>
      </c>
      <c r="J1320" s="13" t="n"/>
      <c r="K1320" s="10" t="inlineStr"/>
      <c r="L1320" s="14" t="inlineStr">
        <is>
          <t>▶ watch</t>
        </is>
      </c>
      <c r="M1320" s="10" t="inlineStr">
        <is>
          <t>He et al. 2024, bioRxiv (Ribonanza) · Das et al. 2023, Proteins (CASP15 RNA)</t>
        </is>
      </c>
      <c r="N1320" s="14" t="inlineStr">
        <is>
          <t>read ↗</t>
        </is>
      </c>
      <c r="O1320" s="11" t="inlineStr">
        <is>
          <t>section reading (2 of 7)</t>
        </is>
      </c>
      <c r="P1320" s="10" t="inlineStr"/>
    </row>
    <row r="1321">
      <c r="A1321" s="15" t="n">
        <v>1320</v>
      </c>
      <c r="B1321" s="15" t="inlineStr">
        <is>
          <t>Part II - The Method Atlas</t>
        </is>
      </c>
      <c r="C1321" s="16" t="inlineStr">
        <is>
          <t>T.1 Rhiju Das, in his own words</t>
        </is>
      </c>
      <c r="D1321" s="10" t="inlineStr">
        <is>
          <t>CASP15 RNA assessment</t>
        </is>
      </c>
      <c r="E1321" s="10" t="inlineStr"/>
      <c r="F1321" s="11" t="inlineStr">
        <is>
          <t>29:12</t>
        </is>
      </c>
      <c r="G1321" s="11" t="n">
        <v>0.49</v>
      </c>
      <c r="H1321" s="12" t="inlineStr">
        <is>
          <t>★</t>
        </is>
      </c>
      <c r="I1321" s="11" t="inlineStr">
        <is>
          <t>Not started</t>
        </is>
      </c>
      <c r="J1321" s="13" t="n"/>
      <c r="K1321" s="10" t="inlineStr"/>
      <c r="L1321" s="14" t="inlineStr">
        <is>
          <t>▶ watch</t>
        </is>
      </c>
      <c r="M1321" s="10" t="inlineStr">
        <is>
          <t>Das et al. 2023, Proteins (CASP15 RNA)</t>
        </is>
      </c>
      <c r="N1321" s="14" t="inlineStr">
        <is>
          <t>read ↗</t>
        </is>
      </c>
      <c r="O1321" s="11" t="inlineStr">
        <is>
          <t>names CASP15</t>
        </is>
      </c>
      <c r="P1321" s="10" t="inlineStr"/>
    </row>
    <row r="1322">
      <c r="A1322" s="15" t="n">
        <v>1321</v>
      </c>
      <c r="B1322" s="15" t="inlineStr">
        <is>
          <t>Part II - The Method Atlas</t>
        </is>
      </c>
      <c r="C1322" s="16" t="inlineStr">
        <is>
          <t>T.1 Rhiju Das, in his own words</t>
        </is>
      </c>
      <c r="D1322" s="10" t="inlineStr">
        <is>
          <t>Kaggle RNA 3D Folding Challenge: template-based prediction wins</t>
        </is>
      </c>
      <c r="E1322" s="10" t="inlineStr"/>
      <c r="F1322" s="11" t="inlineStr">
        <is>
          <t>58:55</t>
        </is>
      </c>
      <c r="G1322" s="11" t="n">
        <v>0.98</v>
      </c>
      <c r="H1322" s="12" t="inlineStr"/>
      <c r="I1322" s="11" t="inlineStr">
        <is>
          <t>Not started</t>
        </is>
      </c>
      <c r="J1322" s="13" t="n"/>
      <c r="K1322" s="10" t="inlineStr"/>
      <c r="L1322" s="14" t="inlineStr">
        <is>
          <t>▶ watch</t>
        </is>
      </c>
      <c r="M1322" s="10" t="inlineStr">
        <is>
          <t>He et al. 2024, bioRxiv (Ribonanza) · Das et al. 2023, Proteins (CASP15 RNA)</t>
        </is>
      </c>
      <c r="N1322" s="14" t="inlineStr">
        <is>
          <t>read ↗</t>
        </is>
      </c>
      <c r="O1322" s="11" t="inlineStr">
        <is>
          <t>section reading (2 of 7)</t>
        </is>
      </c>
      <c r="P1322" s="10" t="inlineStr"/>
    </row>
    <row r="1323">
      <c r="A1323" s="15" t="n">
        <v>1322</v>
      </c>
      <c r="B1323" s="15" t="inlineStr">
        <is>
          <t>Part II - The Method Atlas</t>
        </is>
      </c>
      <c r="C1323" s="16" t="inlineStr">
        <is>
          <t>T.1 Rhiju Das, in his own words</t>
        </is>
      </c>
      <c r="D1323" s="10" t="inlineStr">
        <is>
          <t>RNA modelling and design (MRC LMB</t>
        </is>
      </c>
      <c r="E1323" s="10" t="inlineStr"/>
      <c r="F1323" s="11" t="inlineStr">
        <is>
          <t>35:54</t>
        </is>
      </c>
      <c r="G1323" s="11" t="n">
        <v>0.6</v>
      </c>
      <c r="H1323" s="12" t="inlineStr"/>
      <c r="I1323" s="11" t="inlineStr">
        <is>
          <t>Not started</t>
        </is>
      </c>
      <c r="J1323" s="13" t="n"/>
      <c r="K1323" s="10" t="inlineStr"/>
      <c r="L1323" s="14" t="inlineStr">
        <is>
          <t>▶ watch</t>
        </is>
      </c>
      <c r="M1323" s="10" t="inlineStr">
        <is>
          <t>He et al. 2024, bioRxiv (Ribonanza) · Das et al. 2023, Proteins (CASP15 RNA)</t>
        </is>
      </c>
      <c r="N1323" s="14" t="inlineStr">
        <is>
          <t>read ↗</t>
        </is>
      </c>
      <c r="O1323" s="11" t="inlineStr">
        <is>
          <t>section reading (2 of 7)</t>
        </is>
      </c>
      <c r="P1323" s="10" t="inlineStr"/>
    </row>
    <row r="1324">
      <c r="A1324" s="15" t="n">
        <v>1323</v>
      </c>
      <c r="B1324" s="15" t="inlineStr">
        <is>
          <t>Part II - The Method Atlas</t>
        </is>
      </c>
      <c r="C1324" s="16" t="inlineStr">
        <is>
          <t>T.1 Rhiju Das, in his own words</t>
        </is>
      </c>
      <c r="D1324" s="10" t="inlineStr">
        <is>
          <t>Early results from the OpenKnot challenge</t>
        </is>
      </c>
      <c r="E1324" s="10" t="inlineStr"/>
      <c r="F1324" s="11" t="inlineStr">
        <is>
          <t>41:12</t>
        </is>
      </c>
      <c r="G1324" s="11" t="n">
        <v>0.6899999999999999</v>
      </c>
      <c r="H1324" s="12" t="inlineStr"/>
      <c r="I1324" s="11" t="inlineStr">
        <is>
          <t>Not started</t>
        </is>
      </c>
      <c r="J1324" s="13" t="n"/>
      <c r="K1324" s="10" t="inlineStr"/>
      <c r="L1324" s="14" t="inlineStr">
        <is>
          <t>▶ watch</t>
        </is>
      </c>
      <c r="M1324" s="10" t="inlineStr">
        <is>
          <t>He et al. 2024, bioRxiv (Ribonanza) · Das et al. 2023, Proteins (CASP15 RNA)</t>
        </is>
      </c>
      <c r="N1324" s="14" t="inlineStr">
        <is>
          <t>read ↗</t>
        </is>
      </c>
      <c r="O1324" s="11" t="inlineStr">
        <is>
          <t>section reading (2 of 7)</t>
        </is>
      </c>
      <c r="P1324" s="10" t="inlineStr"/>
    </row>
    <row r="1325">
      <c r="A1325" s="15" t="n">
        <v>1324</v>
      </c>
      <c r="B1325" s="15" t="inlineStr">
        <is>
          <t>Part II - The Method Atlas</t>
        </is>
      </c>
      <c r="C1325" s="16" t="inlineStr">
        <is>
          <t>T.1 Rhiju Das, in his own words</t>
        </is>
      </c>
      <c r="D1325" s="10" t="inlineStr">
        <is>
          <t>EteRNA: RNA Nanoengineering through Crowd Science (Stanford</t>
        </is>
      </c>
      <c r="E1325" s="10" t="inlineStr"/>
      <c r="F1325" s="11" t="inlineStr">
        <is>
          <t>55:03</t>
        </is>
      </c>
      <c r="G1325" s="11" t="n">
        <v>0.92</v>
      </c>
      <c r="H1325" s="12" t="inlineStr">
        <is>
          <t>★</t>
        </is>
      </c>
      <c r="I1325" s="11" t="inlineStr">
        <is>
          <t>Not started</t>
        </is>
      </c>
      <c r="J1325" s="13" t="n"/>
      <c r="K1325" s="10" t="inlineStr"/>
      <c r="L1325" s="14" t="inlineStr">
        <is>
          <t>▶ watch</t>
        </is>
      </c>
      <c r="M1325" s="10" t="inlineStr">
        <is>
          <t>He et al. 2024, bioRxiv (Ribonanza) · Das et al. 2023, Proteins (CASP15 RNA)</t>
        </is>
      </c>
      <c r="N1325" s="14" t="inlineStr">
        <is>
          <t>read ↗</t>
        </is>
      </c>
      <c r="O1325" s="11" t="inlineStr">
        <is>
          <t>section reading (2 of 7)</t>
        </is>
      </c>
      <c r="P1325" s="10" t="inlineStr"/>
    </row>
    <row r="1326">
      <c r="A1326" s="15" t="n">
        <v>1325</v>
      </c>
      <c r="B1326" s="15" t="inlineStr">
        <is>
          <t>Part II - The Method Atlas</t>
        </is>
      </c>
      <c r="C1326" s="16" t="inlineStr">
        <is>
          <t>T.1 Rhiju Das, in his own words</t>
        </is>
      </c>
      <c r="D1326" s="10" t="inlineStr">
        <is>
          <t>EteRNA: A Videogame and a Massive Open Lab</t>
        </is>
      </c>
      <c r="E1326" s="10" t="inlineStr"/>
      <c r="F1326" s="11" t="inlineStr">
        <is>
          <t>26:48</t>
        </is>
      </c>
      <c r="G1326" s="11" t="n">
        <v>0.45</v>
      </c>
      <c r="H1326" s="12" t="inlineStr"/>
      <c r="I1326" s="11" t="inlineStr">
        <is>
          <t>Not started</t>
        </is>
      </c>
      <c r="J1326" s="13" t="n"/>
      <c r="K1326" s="10" t="inlineStr"/>
      <c r="L1326" s="14" t="inlineStr">
        <is>
          <t>▶ watch</t>
        </is>
      </c>
      <c r="M1326" s="10" t="inlineStr">
        <is>
          <t>He et al. 2024, bioRxiv (Ribonanza) · Das et al. 2023, Proteins (CASP15 RNA)</t>
        </is>
      </c>
      <c r="N1326" s="14" t="inlineStr">
        <is>
          <t>read ↗</t>
        </is>
      </c>
      <c r="O1326" s="11" t="inlineStr">
        <is>
          <t>section reading (2 of 7)</t>
        </is>
      </c>
      <c r="P1326" s="10" t="inlineStr"/>
    </row>
    <row r="1327">
      <c r="A1327" s="15" t="n">
        <v>1326</v>
      </c>
      <c r="B1327" s="15" t="inlineStr">
        <is>
          <t>Part II - The Method Atlas</t>
        </is>
      </c>
      <c r="C1327" s="16" t="inlineStr">
        <is>
          <t>T.1 Rhiju Das, in his own words</t>
        </is>
      </c>
      <c r="D1327" s="10" t="inlineStr">
        <is>
          <t>Atomic accuracy and blind predictions (ISMB 2011</t>
        </is>
      </c>
      <c r="E1327" s="10" t="inlineStr"/>
      <c r="F1327" s="11" t="inlineStr">
        <is>
          <t>20:48</t>
        </is>
      </c>
      <c r="G1327" s="11" t="n">
        <v>0.35</v>
      </c>
      <c r="H1327" s="12" t="inlineStr"/>
      <c r="I1327" s="11" t="inlineStr">
        <is>
          <t>Not started</t>
        </is>
      </c>
      <c r="J1327" s="13" t="n"/>
      <c r="K1327" s="10" t="inlineStr"/>
      <c r="L1327" s="14" t="inlineStr">
        <is>
          <t>▶ watch</t>
        </is>
      </c>
      <c r="M1327" s="10" t="inlineStr">
        <is>
          <t>He et al. 2024, bioRxiv (Ribonanza) · Das et al. 2023, Proteins (CASP15 RNA)</t>
        </is>
      </c>
      <c r="N1327" s="14" t="inlineStr">
        <is>
          <t>read ↗</t>
        </is>
      </c>
      <c r="O1327" s="11" t="inlineStr">
        <is>
          <t>section reading (2 of 7)</t>
        </is>
      </c>
      <c r="P1327" s="10" t="inlineStr"/>
    </row>
    <row r="1328">
      <c r="A1328" s="15" t="n">
        <v>1327</v>
      </c>
      <c r="B1328" s="15" t="inlineStr">
        <is>
          <t>Part II - The Method Atlas</t>
        </is>
      </c>
      <c r="C1328" s="16" t="inlineStr">
        <is>
          <t>T.1 Rhiju Das, in his own words</t>
        </is>
      </c>
      <c r="D1328" s="10" t="inlineStr">
        <is>
          <t>Crowdsourced design of stabilized COVID-19 mRNAs</t>
        </is>
      </c>
      <c r="E1328" s="10" t="inlineStr"/>
      <c r="F1328" s="11" t="inlineStr">
        <is>
          <t>11:41</t>
        </is>
      </c>
      <c r="G1328" s="11" t="n">
        <v>0.19</v>
      </c>
      <c r="H1328" s="12" t="inlineStr"/>
      <c r="I1328" s="11" t="inlineStr">
        <is>
          <t>Not started</t>
        </is>
      </c>
      <c r="J1328" s="13" t="n"/>
      <c r="K1328" s="10" t="inlineStr"/>
      <c r="L1328" s="14" t="inlineStr">
        <is>
          <t>▶ watch</t>
        </is>
      </c>
      <c r="M1328" s="10" t="inlineStr">
        <is>
          <t>He et al. 2024, bioRxiv (Ribonanza) · Das et al. 2023, Proteins (CASP15 RNA)</t>
        </is>
      </c>
      <c r="N1328" s="14" t="inlineStr">
        <is>
          <t>read ↗</t>
        </is>
      </c>
      <c r="O1328" s="11" t="inlineStr">
        <is>
          <t>section reading (2 of 7)</t>
        </is>
      </c>
      <c r="P1328" s="10" t="inlineStr"/>
    </row>
    <row r="1329">
      <c r="A1329" s="15" t="n">
        <v>1328</v>
      </c>
      <c r="B1329" s="15" t="inlineStr">
        <is>
          <t>Part II - The Method Atlas</t>
        </is>
      </c>
      <c r="C1329" s="16" t="inlineStr">
        <is>
          <t>T.1 Rhiju Das, in his own words</t>
        </is>
      </c>
      <c r="D1329" s="10" t="inlineStr">
        <is>
          <t>RNA Worlds panel with Cech, Krainer and Chin</t>
        </is>
      </c>
      <c r="E1329" s="10" t="inlineStr"/>
      <c r="F1329" s="11" t="inlineStr">
        <is>
          <t>2:28:55</t>
        </is>
      </c>
      <c r="G1329" s="11" t="n">
        <v>2.48</v>
      </c>
      <c r="H1329" s="12" t="inlineStr"/>
      <c r="I1329" s="11" t="inlineStr">
        <is>
          <t>Not started</t>
        </is>
      </c>
      <c r="J1329" s="13" t="n"/>
      <c r="K1329" s="10" t="inlineStr"/>
      <c r="L1329" s="14" t="inlineStr">
        <is>
          <t>▶ watch</t>
        </is>
      </c>
      <c r="M1329" s="10" t="inlineStr">
        <is>
          <t>He et al. 2024, bioRxiv (Ribonanza) · Das et al. 2023, Proteins (CASP15 RNA)</t>
        </is>
      </c>
      <c r="N1329" s="14" t="inlineStr">
        <is>
          <t>read ↗</t>
        </is>
      </c>
      <c r="O1329" s="11" t="inlineStr">
        <is>
          <t>section reading (2 of 7)</t>
        </is>
      </c>
      <c r="P1329" s="10" t="inlineStr"/>
    </row>
    <row r="1330">
      <c r="A1330" s="15" t="n">
        <v>1329</v>
      </c>
      <c r="B1330" s="15" t="inlineStr">
        <is>
          <t>Part II - The Method Atlas</t>
        </is>
      </c>
      <c r="C1330" s="16" t="inlineStr">
        <is>
          <t>T.1 Rhiju Das, in his own words</t>
        </is>
      </c>
      <c r="D1330" s="10" t="inlineStr">
        <is>
          <t>State of Eterna (with Adrien Treuille</t>
        </is>
      </c>
      <c r="E1330" s="10" t="inlineStr"/>
      <c r="F1330" s="11" t="inlineStr">
        <is>
          <t>36:05</t>
        </is>
      </c>
      <c r="G1330" s="11" t="n">
        <v>0.6</v>
      </c>
      <c r="H1330" s="12" t="inlineStr"/>
      <c r="I1330" s="11" t="inlineStr">
        <is>
          <t>Not started</t>
        </is>
      </c>
      <c r="J1330" s="13" t="n"/>
      <c r="K1330" s="10" t="inlineStr"/>
      <c r="L1330" s="14" t="inlineStr">
        <is>
          <t>▶ watch</t>
        </is>
      </c>
      <c r="M1330" s="10" t="inlineStr">
        <is>
          <t>He et al. 2024, bioRxiv (Ribonanza) · Das et al. 2023, Proteins (CASP15 RNA)</t>
        </is>
      </c>
      <c r="N1330" s="14" t="inlineStr">
        <is>
          <t>read ↗</t>
        </is>
      </c>
      <c r="O1330" s="11" t="inlineStr">
        <is>
          <t>section reading (2 of 7)</t>
        </is>
      </c>
      <c r="P1330" s="10" t="inlineStr"/>
    </row>
    <row r="1331">
      <c r="A1331" s="15" t="n">
        <v>1330</v>
      </c>
      <c r="B1331" s="15" t="inlineStr">
        <is>
          <t>Part II - The Method Atlas</t>
        </is>
      </c>
      <c r="C1331" s="16" t="inlineStr">
        <is>
          <t>T.1 Rhiju Das, in his own words</t>
        </is>
      </c>
      <c r="D1331" s="10" t="inlineStr">
        <is>
          <t>(see curriculum section)</t>
        </is>
      </c>
      <c r="E1331" s="10" t="inlineStr"/>
      <c r="F1331" s="11" t="inlineStr"/>
      <c r="G1331" s="11" t="n">
        <v>0</v>
      </c>
      <c r="H1331" s="12" t="inlineStr"/>
      <c r="I1331" s="11" t="inlineStr">
        <is>
          <t>Not started</t>
        </is>
      </c>
      <c r="J1331" s="13" t="n"/>
      <c r="K1331" s="10" t="inlineStr"/>
      <c r="L1331" s="14" t="inlineStr">
        <is>
          <t>▶ watch</t>
        </is>
      </c>
      <c r="M1331" s="10" t="inlineStr">
        <is>
          <t>He et al. 2024, bioRxiv (Ribonanza) · Das et al. 2023, Proteins (CASP15 RNA)</t>
        </is>
      </c>
      <c r="N1331" s="14" t="inlineStr">
        <is>
          <t>read ↗</t>
        </is>
      </c>
      <c r="O1331" s="11" t="inlineStr">
        <is>
          <t>section reading (2 of 7)</t>
        </is>
      </c>
      <c r="P1331" s="10" t="inlineStr"/>
    </row>
    <row r="1332">
      <c r="A1332" s="15" t="n">
        <v>1331</v>
      </c>
      <c r="B1332" s="15" t="inlineStr">
        <is>
          <t>Part II - The Method Atlas</t>
        </is>
      </c>
      <c r="C1332" s="16" t="inlineStr">
        <is>
          <t>T.1 Rhiju Das, in his own words</t>
        </is>
      </c>
      <c r="D1332" s="10" t="inlineStr">
        <is>
          <t>Hannah Wayment-Steele on EternaFold</t>
        </is>
      </c>
      <c r="E1332" s="10" t="inlineStr"/>
      <c r="F1332" s="11" t="inlineStr">
        <is>
          <t>20:19</t>
        </is>
      </c>
      <c r="G1332" s="11" t="n">
        <v>0.34</v>
      </c>
      <c r="H1332" s="12" t="inlineStr">
        <is>
          <t>★</t>
        </is>
      </c>
      <c r="I1332" s="11" t="inlineStr">
        <is>
          <t>Not started</t>
        </is>
      </c>
      <c r="J1332" s="13" t="n"/>
      <c r="K1332" s="10" t="inlineStr"/>
      <c r="L1332" s="14" t="inlineStr">
        <is>
          <t>▶ watch</t>
        </is>
      </c>
      <c r="M1332" s="10" t="inlineStr">
        <is>
          <t>Wayment-Steele et al. 2022, Nat Methods 19:1234 (EternaFold)</t>
        </is>
      </c>
      <c r="N1332" s="14" t="inlineStr">
        <is>
          <t>read ↗</t>
        </is>
      </c>
      <c r="O1332" s="11" t="inlineStr">
        <is>
          <t>names ETERNAFOLD</t>
        </is>
      </c>
      <c r="P1332" s="10" t="inlineStr"/>
    </row>
    <row r="1333">
      <c r="A1333" s="15" t="n">
        <v>1332</v>
      </c>
      <c r="B1333" s="15" t="inlineStr">
        <is>
          <t>Part II - The Method Atlas</t>
        </is>
      </c>
      <c r="C1333" s="16" t="inlineStr">
        <is>
          <t>T.1 Rhiju Das, in his own words</t>
        </is>
      </c>
      <c r="D1333" s="10" t="inlineStr">
        <is>
          <t>Hannah Wayment-Steele on EternaFold</t>
        </is>
      </c>
      <c r="E1333" s="10" t="inlineStr"/>
      <c r="F1333" s="11" t="inlineStr">
        <is>
          <t>20:19</t>
        </is>
      </c>
      <c r="G1333" s="11" t="n">
        <v>0.34</v>
      </c>
      <c r="H1333" s="12" t="inlineStr"/>
      <c r="I1333" s="11" t="inlineStr">
        <is>
          <t>Not started</t>
        </is>
      </c>
      <c r="J1333" s="13" t="n"/>
      <c r="K1333" s="10" t="inlineStr"/>
      <c r="L1333" s="14" t="inlineStr">
        <is>
          <t>▶ watch</t>
        </is>
      </c>
      <c r="M1333" s="10" t="inlineStr">
        <is>
          <t>Wayment-Steele et al. 2022, Nat Methods 19:1234 (EternaFold)</t>
        </is>
      </c>
      <c r="N1333" s="14" t="inlineStr">
        <is>
          <t>read ↗</t>
        </is>
      </c>
      <c r="O1333" s="11" t="inlineStr">
        <is>
          <t>names ETERNAFOLD</t>
        </is>
      </c>
      <c r="P1333" s="10" t="inlineStr"/>
    </row>
    <row r="1334">
      <c r="A1334" s="15" t="n">
        <v>1333</v>
      </c>
      <c r="B1334" s="15" t="inlineStr">
        <is>
          <t>Part II - The Method Atlas</t>
        </is>
      </c>
      <c r="C1334" s="16" t="inlineStr">
        <is>
          <t>T.1 Rhiju Das, in his own words</t>
        </is>
      </c>
      <c r="D1334" s="10" t="inlineStr">
        <is>
          <t>Hannah Wayment-Steele on EternaFold</t>
        </is>
      </c>
      <c r="E1334" s="10" t="inlineStr"/>
      <c r="F1334" s="11" t="inlineStr"/>
      <c r="G1334" s="11" t="n">
        <v>0</v>
      </c>
      <c r="H1334" s="12" t="inlineStr"/>
      <c r="I1334" s="11" t="inlineStr">
        <is>
          <t>Not started</t>
        </is>
      </c>
      <c r="J1334" s="13" t="n"/>
      <c r="K1334" s="10" t="inlineStr"/>
      <c r="L1334" s="14" t="inlineStr">
        <is>
          <t>▶ watch</t>
        </is>
      </c>
      <c r="M1334" s="10" t="inlineStr">
        <is>
          <t>Wayment-Steele et al. 2022, Nat Methods 19:1234 (EternaFold)</t>
        </is>
      </c>
      <c r="N1334" s="14" t="inlineStr">
        <is>
          <t>read ↗</t>
        </is>
      </c>
      <c r="O1334" s="11" t="inlineStr">
        <is>
          <t>names ETERNAFOLD</t>
        </is>
      </c>
      <c r="P1334" s="10" t="inlineStr"/>
    </row>
    <row r="1335">
      <c r="A1335" s="15" t="n">
        <v>1334</v>
      </c>
      <c r="B1335" s="15" t="inlineStr">
        <is>
          <t>Part II - The Method Atlas</t>
        </is>
      </c>
      <c r="C1335" s="16" t="inlineStr">
        <is>
          <t>T.1 Rhiju Das, in his own words</t>
        </is>
      </c>
      <c r="D1335" s="10" t="inlineStr">
        <is>
          <t>CASP16 RNA assessment</t>
        </is>
      </c>
      <c r="E1335" s="10" t="inlineStr"/>
      <c r="F1335" s="11" t="inlineStr"/>
      <c r="G1335" s="11" t="n">
        <v>0</v>
      </c>
      <c r="H1335" s="12" t="inlineStr">
        <is>
          <t>★</t>
        </is>
      </c>
      <c r="I1335" s="11" t="inlineStr">
        <is>
          <t>Not started</t>
        </is>
      </c>
      <c r="J1335" s="13" t="n"/>
      <c r="K1335" s="10" t="inlineStr"/>
      <c r="L1335" s="14" t="inlineStr">
        <is>
          <t>▶ watch</t>
        </is>
      </c>
      <c r="M1335" s="10" t="inlineStr">
        <is>
          <t>He et al. 2024, bioRxiv (Ribonanza) · Das et al. 2023, Proteins (CASP15 RNA)</t>
        </is>
      </c>
      <c r="N1335" s="14" t="inlineStr">
        <is>
          <t>read ↗</t>
        </is>
      </c>
      <c r="O1335" s="11" t="inlineStr">
        <is>
          <t>section reading (2 of 7)</t>
        </is>
      </c>
      <c r="P1335" s="10" t="inlineStr"/>
    </row>
    <row r="1336">
      <c r="A1336" s="15" t="n">
        <v>1335</v>
      </c>
      <c r="B1336" s="15" t="inlineStr">
        <is>
          <t>Part II - The Method Atlas</t>
        </is>
      </c>
      <c r="C1336" s="16" t="inlineStr">
        <is>
          <t>T.2 Secondary structure prediction - the dynamic programming lineage</t>
        </is>
      </c>
      <c r="D1336" s="10" t="inlineStr">
        <is>
          <t>(see curriculum section)</t>
        </is>
      </c>
      <c r="E1336" s="10" t="inlineStr"/>
      <c r="F1336" s="11" t="inlineStr"/>
      <c r="G1336" s="11" t="n">
        <v>0</v>
      </c>
      <c r="H1336" s="12" t="inlineStr"/>
      <c r="I1336" s="11" t="inlineStr">
        <is>
          <t>Not started</t>
        </is>
      </c>
      <c r="J1336" s="13" t="n"/>
      <c r="K1336" s="10" t="inlineStr"/>
      <c r="L1336" s="14" t="inlineStr">
        <is>
          <t>▶ watch</t>
        </is>
      </c>
      <c r="M1336" s="10" t="inlineStr">
        <is>
          <t>Nussinov &amp; Jacobson 1980, PNAS 77:6309 · Zuker &amp; Stiegler 1981, NAR 9:133</t>
        </is>
      </c>
      <c r="N1336" s="14" t="inlineStr">
        <is>
          <t>read ↗</t>
        </is>
      </c>
      <c r="O1336" s="11" t="inlineStr">
        <is>
          <t>section reading (2 of 10)</t>
        </is>
      </c>
      <c r="P1336" s="10" t="inlineStr"/>
    </row>
    <row r="1337">
      <c r="A1337" s="15" t="n">
        <v>1336</v>
      </c>
      <c r="B1337" s="15" t="inlineStr">
        <is>
          <t>Part II - The Method Atlas</t>
        </is>
      </c>
      <c r="C1337" s="16" t="inlineStr">
        <is>
          <t>T.2 Secondary structure prediction - the dynamic programming lineage</t>
        </is>
      </c>
      <c r="D1337" s="10" t="inlineStr">
        <is>
          <t>Dan Gusfield (UC Davis), two lectures</t>
        </is>
      </c>
      <c r="E1337" s="10" t="inlineStr"/>
      <c r="F1337" s="11" t="inlineStr"/>
      <c r="G1337" s="11" t="n">
        <v>0</v>
      </c>
      <c r="H1337" s="12" t="inlineStr">
        <is>
          <t>★</t>
        </is>
      </c>
      <c r="I1337" s="11" t="inlineStr">
        <is>
          <t>Not started</t>
        </is>
      </c>
      <c r="J1337" s="13" t="n"/>
      <c r="K1337" s="10" t="inlineStr"/>
      <c r="L1337" s="14" t="inlineStr">
        <is>
          <t>▶ watch</t>
        </is>
      </c>
      <c r="M1337" s="10" t="inlineStr">
        <is>
          <t>Nussinov &amp; Jacobson 1980, PNAS 77:6309 · Zuker &amp; Stiegler 1981, NAR 9:133</t>
        </is>
      </c>
      <c r="N1337" s="14" t="inlineStr">
        <is>
          <t>read ↗</t>
        </is>
      </c>
      <c r="O1337" s="11" t="inlineStr">
        <is>
          <t>section reading (2 of 10)</t>
        </is>
      </c>
      <c r="P1337" s="10" t="inlineStr"/>
    </row>
    <row r="1338">
      <c r="A1338" s="15" t="n">
        <v>1337</v>
      </c>
      <c r="B1338" s="15" t="inlineStr">
        <is>
          <t>Part II - The Method Atlas</t>
        </is>
      </c>
      <c r="C1338" s="16" t="inlineStr">
        <is>
          <t>T.2 Secondary structure prediction - the dynamic programming lineage</t>
        </is>
      </c>
      <c r="D1338" s="10" t="inlineStr">
        <is>
          <t>Dan Gusfield (UC Davis), two lectures</t>
        </is>
      </c>
      <c r="E1338" s="10" t="inlineStr"/>
      <c r="F1338" s="11" t="inlineStr"/>
      <c r="G1338" s="11" t="n">
        <v>0</v>
      </c>
      <c r="H1338" s="12" t="inlineStr">
        <is>
          <t>★</t>
        </is>
      </c>
      <c r="I1338" s="11" t="inlineStr">
        <is>
          <t>Not started</t>
        </is>
      </c>
      <c r="J1338" s="13" t="n"/>
      <c r="K1338" s="10" t="inlineStr"/>
      <c r="L1338" s="14" t="inlineStr">
        <is>
          <t>▶ watch</t>
        </is>
      </c>
      <c r="M1338" s="10" t="inlineStr">
        <is>
          <t>Nussinov &amp; Jacobson 1980, PNAS 77:6309 · Zuker &amp; Stiegler 1981, NAR 9:133</t>
        </is>
      </c>
      <c r="N1338" s="14" t="inlineStr">
        <is>
          <t>read ↗</t>
        </is>
      </c>
      <c r="O1338" s="11" t="inlineStr">
        <is>
          <t>section reading (2 of 10)</t>
        </is>
      </c>
      <c r="P1338" s="10" t="inlineStr"/>
    </row>
    <row r="1339">
      <c r="A1339" s="15" t="n">
        <v>1338</v>
      </c>
      <c r="B1339" s="15" t="inlineStr">
        <is>
          <t>Part II - The Method Atlas</t>
        </is>
      </c>
      <c r="C1339" s="16" t="inlineStr">
        <is>
          <t>T.2 Secondary structure prediction - the dynamic programming lineage</t>
        </is>
      </c>
      <c r="D1339" s="10" t="inlineStr">
        <is>
          <t>Dan Gusfield (UC Davis), two lectures</t>
        </is>
      </c>
      <c r="E1339" s="10" t="inlineStr"/>
      <c r="F1339" s="11" t="inlineStr">
        <is>
          <t>1:20:08</t>
        </is>
      </c>
      <c r="G1339" s="11" t="n">
        <v>1.34</v>
      </c>
      <c r="H1339" s="12" t="inlineStr"/>
      <c r="I1339" s="11" t="inlineStr">
        <is>
          <t>Not started</t>
        </is>
      </c>
      <c r="J1339" s="13" t="n"/>
      <c r="K1339" s="10" t="inlineStr"/>
      <c r="L1339" s="14" t="inlineStr">
        <is>
          <t>▶ watch</t>
        </is>
      </c>
      <c r="M1339" s="10" t="inlineStr">
        <is>
          <t>Nussinov &amp; Jacobson 1980, PNAS 77:6309 · Zuker &amp; Stiegler 1981, NAR 9:133</t>
        </is>
      </c>
      <c r="N1339" s="14" t="inlineStr">
        <is>
          <t>read ↗</t>
        </is>
      </c>
      <c r="O1339" s="11" t="inlineStr">
        <is>
          <t>section reading (2 of 10)</t>
        </is>
      </c>
      <c r="P1339" s="10" t="inlineStr"/>
    </row>
    <row r="1340">
      <c r="A1340" s="15" t="n">
        <v>1339</v>
      </c>
      <c r="B1340" s="15" t="inlineStr">
        <is>
          <t>Part II - The Method Atlas</t>
        </is>
      </c>
      <c r="C1340" s="16" t="inlineStr">
        <is>
          <t>T.2 Secondary structure prediction - the dynamic programming lineage</t>
        </is>
      </c>
      <c r="D1340" s="10" t="inlineStr">
        <is>
          <t>Noncoding RNA</t>
        </is>
      </c>
      <c r="E1340" s="10" t="inlineStr"/>
      <c r="F1340" s="11" t="inlineStr">
        <is>
          <t>15:08</t>
        </is>
      </c>
      <c r="G1340" s="11" t="n">
        <v>0.25</v>
      </c>
      <c r="H1340" s="12" t="inlineStr"/>
      <c r="I1340" s="11" t="inlineStr">
        <is>
          <t>Not started</t>
        </is>
      </c>
      <c r="J1340" s="13" t="n"/>
      <c r="K1340" s="10" t="inlineStr"/>
      <c r="L1340" s="14" t="inlineStr">
        <is>
          <t>▶ watch</t>
        </is>
      </c>
      <c r="M1340" s="10" t="inlineStr">
        <is>
          <t>Nussinov &amp; Jacobson 1980, PNAS 77:6309 · Zuker &amp; Stiegler 1981, NAR 9:133</t>
        </is>
      </c>
      <c r="N1340" s="14" t="inlineStr">
        <is>
          <t>read ↗</t>
        </is>
      </c>
      <c r="O1340" s="11" t="inlineStr">
        <is>
          <t>section reading (2 of 10)</t>
        </is>
      </c>
      <c r="P1340" s="10" t="inlineStr"/>
    </row>
    <row r="1341">
      <c r="A1341" s="15" t="n">
        <v>1340</v>
      </c>
      <c r="B1341" s="15" t="inlineStr">
        <is>
          <t>Part II - The Method Atlas</t>
        </is>
      </c>
      <c r="C1341" s="16" t="inlineStr">
        <is>
          <t>T.2 Secondary structure prediction - the dynamic programming lineage</t>
        </is>
      </c>
      <c r="D1341" s="10" t="inlineStr">
        <is>
          <t>RNA Secondary Structure</t>
        </is>
      </c>
      <c r="E1341" s="10" t="inlineStr"/>
      <c r="F1341" s="11" t="inlineStr">
        <is>
          <t>20:41</t>
        </is>
      </c>
      <c r="G1341" s="11" t="n">
        <v>0.34</v>
      </c>
      <c r="H1341" s="12" t="inlineStr"/>
      <c r="I1341" s="11" t="inlineStr">
        <is>
          <t>Not started</t>
        </is>
      </c>
      <c r="J1341" s="13" t="n"/>
      <c r="K1341" s="10" t="inlineStr"/>
      <c r="L1341" s="14" t="inlineStr">
        <is>
          <t>▶ watch</t>
        </is>
      </c>
      <c r="M1341" s="10" t="inlineStr">
        <is>
          <t>Nussinov &amp; Jacobson 1980, PNAS 77:6309 · Zuker &amp; Stiegler 1981, NAR 9:133</t>
        </is>
      </c>
      <c r="N1341" s="14" t="inlineStr">
        <is>
          <t>read ↗</t>
        </is>
      </c>
      <c r="O1341" s="11" t="inlineStr">
        <is>
          <t>section reading (2 of 10)</t>
        </is>
      </c>
      <c r="P1341" s="10" t="inlineStr"/>
    </row>
    <row r="1342">
      <c r="A1342" s="15" t="n">
        <v>1341</v>
      </c>
      <c r="B1342" s="15" t="inlineStr">
        <is>
          <t>Part II - The Method Atlas</t>
        </is>
      </c>
      <c r="C1342" s="16" t="inlineStr">
        <is>
          <t>T.2 Secondary structure prediction - the dynamic programming lineage</t>
        </is>
      </c>
      <c r="D1342" s="10" t="inlineStr">
        <is>
          <t>Pseudoknot-free structures - Nussinov, with the non-crossing condition shown to be what makes the decomposition valid</t>
        </is>
      </c>
      <c r="E1342" s="10" t="inlineStr"/>
      <c r="F1342" s="11" t="inlineStr">
        <is>
          <t>18:19</t>
        </is>
      </c>
      <c r="G1342" s="11" t="n">
        <v>0.31</v>
      </c>
      <c r="H1342" s="12" t="inlineStr">
        <is>
          <t>★</t>
        </is>
      </c>
      <c r="I1342" s="11" t="inlineStr">
        <is>
          <t>Not started</t>
        </is>
      </c>
      <c r="J1342" s="13" t="n"/>
      <c r="K1342" s="10" t="inlineStr"/>
      <c r="L1342" s="14" t="inlineStr">
        <is>
          <t>▶ watch</t>
        </is>
      </c>
      <c r="M1342" s="10" t="inlineStr">
        <is>
          <t>Nussinov &amp; Jacobson 1980, PNAS 77:6309 · Zuker &amp; Stiegler 1981, NAR 9:133</t>
        </is>
      </c>
      <c r="N1342" s="14" t="inlineStr">
        <is>
          <t>read ↗</t>
        </is>
      </c>
      <c r="O1342" s="11" t="inlineStr">
        <is>
          <t>section reading (2 of 10)</t>
        </is>
      </c>
      <c r="P1342" s="10" t="inlineStr"/>
    </row>
    <row r="1343">
      <c r="A1343" s="15" t="n">
        <v>1342</v>
      </c>
      <c r="B1343" s="15" t="inlineStr">
        <is>
          <t>Part II - The Method Atlas</t>
        </is>
      </c>
      <c r="C1343" s="16" t="inlineStr">
        <is>
          <t>T.2 Secondary structure prediction - the dynamic programming lineage</t>
        </is>
      </c>
      <c r="D1343" s="10" t="inlineStr">
        <is>
          <t>Refined energy models - the Zuker-Stiegler step, hairpin/bulge/internal/multibranch, the V/W split</t>
        </is>
      </c>
      <c r="E1343" s="10" t="inlineStr"/>
      <c r="F1343" s="11" t="inlineStr">
        <is>
          <t>8:58</t>
        </is>
      </c>
      <c r="G1343" s="11" t="n">
        <v>0.15</v>
      </c>
      <c r="H1343" s="12" t="inlineStr">
        <is>
          <t>★</t>
        </is>
      </c>
      <c r="I1343" s="11" t="inlineStr">
        <is>
          <t>Not started</t>
        </is>
      </c>
      <c r="J1343" s="13" t="n"/>
      <c r="K1343" s="10" t="inlineStr"/>
      <c r="L1343" s="14" t="inlineStr">
        <is>
          <t>▶ watch</t>
        </is>
      </c>
      <c r="M1343" s="10" t="inlineStr">
        <is>
          <t>Nussinov &amp; Jacobson 1980, PNAS 77:6309 · Zuker &amp; Stiegler 1981, NAR 9:133</t>
        </is>
      </c>
      <c r="N1343" s="14" t="inlineStr">
        <is>
          <t>read ↗</t>
        </is>
      </c>
      <c r="O1343" s="11" t="inlineStr">
        <is>
          <t>section reading (2 of 10)</t>
        </is>
      </c>
      <c r="P1343" s="10" t="inlineStr"/>
    </row>
    <row r="1344">
      <c r="A1344" s="15" t="n">
        <v>1343</v>
      </c>
      <c r="B1344" s="15" t="inlineStr">
        <is>
          <t>Part II - The Method Atlas</t>
        </is>
      </c>
      <c r="C1344" s="16" t="inlineStr">
        <is>
          <t>T.2 Secondary structure prediction - the dynamic programming lineage</t>
        </is>
      </c>
      <c r="D1344" s="10" t="inlineStr">
        <is>
          <t>Probabilistic Context-Free Grammars</t>
        </is>
      </c>
      <c r="E1344" s="10" t="inlineStr"/>
      <c r="F1344" s="11" t="inlineStr">
        <is>
          <t>23:23</t>
        </is>
      </c>
      <c r="G1344" s="11" t="n">
        <v>0.39</v>
      </c>
      <c r="H1344" s="12" t="inlineStr"/>
      <c r="I1344" s="11" t="inlineStr">
        <is>
          <t>Not started</t>
        </is>
      </c>
      <c r="J1344" s="13" t="n"/>
      <c r="K1344" s="10" t="inlineStr"/>
      <c r="L1344" s="14" t="inlineStr">
        <is>
          <t>▶ watch</t>
        </is>
      </c>
      <c r="M1344" s="10" t="inlineStr">
        <is>
          <t>Nussinov &amp; Jacobson 1980, PNAS 77:6309 · Zuker &amp; Stiegler 1981, NAR 9:133</t>
        </is>
      </c>
      <c r="N1344" s="14" t="inlineStr">
        <is>
          <t>read ↗</t>
        </is>
      </c>
      <c r="O1344" s="11" t="inlineStr">
        <is>
          <t>section reading (2 of 10)</t>
        </is>
      </c>
      <c r="P1344" s="10" t="inlineStr"/>
    </row>
    <row r="1345">
      <c r="A1345" s="15" t="n">
        <v>1344</v>
      </c>
      <c r="B1345" s="15" t="inlineStr">
        <is>
          <t>Part II - The Method Atlas</t>
        </is>
      </c>
      <c r="C1345" s="16" t="inlineStr">
        <is>
          <t>T.2 Secondary structure prediction - the dynamic programming lineage</t>
        </is>
      </c>
      <c r="D1345" s="10" t="inlineStr">
        <is>
          <t>Probabilistic Parsing - CYK and inside-outside, the structural twin of McCaskill</t>
        </is>
      </c>
      <c r="E1345" s="10" t="inlineStr"/>
      <c r="F1345" s="11" t="inlineStr">
        <is>
          <t>20:00</t>
        </is>
      </c>
      <c r="G1345" s="11" t="n">
        <v>0.33</v>
      </c>
      <c r="H1345" s="12" t="inlineStr">
        <is>
          <t>★</t>
        </is>
      </c>
      <c r="I1345" s="11" t="inlineStr">
        <is>
          <t>Not started</t>
        </is>
      </c>
      <c r="J1345" s="13" t="n"/>
      <c r="K1345" s="10" t="inlineStr"/>
      <c r="L1345" s="14" t="inlineStr">
        <is>
          <t>▶ watch</t>
        </is>
      </c>
      <c r="M1345" s="10" t="inlineStr">
        <is>
          <t>McCaskill 1990, Biopolymers 29:1105</t>
        </is>
      </c>
      <c r="N1345" s="14" t="inlineStr">
        <is>
          <t>read ↗</t>
        </is>
      </c>
      <c r="O1345" s="11" t="inlineStr">
        <is>
          <t>names MCCASKILL</t>
        </is>
      </c>
      <c r="P1345" s="10" t="inlineStr"/>
    </row>
    <row r="1346">
      <c r="A1346" s="15" t="n">
        <v>1345</v>
      </c>
      <c r="B1346" s="15" t="inlineStr">
        <is>
          <t>Part II - The Method Atlas</t>
        </is>
      </c>
      <c r="C1346" s="16" t="inlineStr">
        <is>
          <t>T.2 Secondary structure prediction - the dynamic programming lineage</t>
        </is>
      </c>
      <c r="D1346" s="10" t="inlineStr">
        <is>
          <t>(see curriculum section)</t>
        </is>
      </c>
      <c r="E1346" s="10" t="inlineStr"/>
      <c r="F1346" s="11" t="inlineStr">
        <is>
          <t>1:29:12</t>
        </is>
      </c>
      <c r="G1346" s="11" t="n">
        <v>1.49</v>
      </c>
      <c r="H1346" s="12" t="inlineStr"/>
      <c r="I1346" s="11" t="inlineStr">
        <is>
          <t>Not started</t>
        </is>
      </c>
      <c r="J1346" s="13" t="n"/>
      <c r="K1346" s="10" t="inlineStr"/>
      <c r="L1346" s="14" t="inlineStr">
        <is>
          <t>▶ watch</t>
        </is>
      </c>
      <c r="M1346" s="10" t="inlineStr">
        <is>
          <t>Nussinov &amp; Jacobson 1980, PNAS 77:6309 · Zuker &amp; Stiegler 1981, NAR 9:133</t>
        </is>
      </c>
      <c r="N1346" s="14" t="inlineStr">
        <is>
          <t>read ↗</t>
        </is>
      </c>
      <c r="O1346" s="11" t="inlineStr">
        <is>
          <t>section reading (2 of 10)</t>
        </is>
      </c>
      <c r="P1346" s="10" t="inlineStr"/>
    </row>
    <row r="1347">
      <c r="A1347" s="15" t="n">
        <v>1346</v>
      </c>
      <c r="B1347" s="15" t="inlineStr">
        <is>
          <t>Part II - The Method Atlas</t>
        </is>
      </c>
      <c r="C1347" s="16" t="inlineStr">
        <is>
          <t>T.2 Secondary structure prediction - the dynamic programming lineage</t>
        </is>
      </c>
      <c r="D1347" s="10" t="inlineStr">
        <is>
          <t>Ronny Lorenz</t>
        </is>
      </c>
      <c r="E1347" s="10" t="inlineStr"/>
      <c r="F1347" s="11" t="inlineStr">
        <is>
          <t>1:29:12</t>
        </is>
      </c>
      <c r="G1347" s="11" t="n">
        <v>1.49</v>
      </c>
      <c r="H1347" s="12" t="inlineStr">
        <is>
          <t>★</t>
        </is>
      </c>
      <c r="I1347" s="11" t="inlineStr">
        <is>
          <t>Not started</t>
        </is>
      </c>
      <c r="J1347" s="13" t="n"/>
      <c r="K1347" s="10" t="inlineStr"/>
      <c r="L1347" s="14" t="inlineStr">
        <is>
          <t>▶ watch</t>
        </is>
      </c>
      <c r="M1347" s="10" t="inlineStr">
        <is>
          <t>Nussinov &amp; Jacobson 1980, PNAS 77:6309 · Zuker &amp; Stiegler 1981, NAR 9:133</t>
        </is>
      </c>
      <c r="N1347" s="14" t="inlineStr">
        <is>
          <t>read ↗</t>
        </is>
      </c>
      <c r="O1347" s="11" t="inlineStr">
        <is>
          <t>section reading (2 of 10)</t>
        </is>
      </c>
      <c r="P1347" s="10" t="inlineStr"/>
    </row>
    <row r="1348">
      <c r="A1348" s="15" t="n">
        <v>1347</v>
      </c>
      <c r="B1348" s="15" t="inlineStr">
        <is>
          <t>Part II - The Method Atlas</t>
        </is>
      </c>
      <c r="C1348" s="16" t="inlineStr">
        <is>
          <t>T.2 Secondary structure prediction - the dynamic programming lineage</t>
        </is>
      </c>
      <c r="D1348" s="10" t="inlineStr">
        <is>
          <t>(see curriculum section)</t>
        </is>
      </c>
      <c r="E1348" s="10" t="inlineStr"/>
      <c r="F1348" s="11" t="inlineStr"/>
      <c r="G1348" s="11" t="n">
        <v>0</v>
      </c>
      <c r="H1348" s="12" t="inlineStr"/>
      <c r="I1348" s="11" t="inlineStr">
        <is>
          <t>Not started</t>
        </is>
      </c>
      <c r="J1348" s="13" t="n"/>
      <c r="K1348" s="10" t="inlineStr"/>
      <c r="L1348" s="14" t="inlineStr">
        <is>
          <t>▶ watch</t>
        </is>
      </c>
      <c r="M1348" s="10" t="inlineStr">
        <is>
          <t>Nussinov &amp; Jacobson 1980, PNAS 77:6309 · Zuker &amp; Stiegler 1981, NAR 9:133</t>
        </is>
      </c>
      <c r="N1348" s="14" t="inlineStr">
        <is>
          <t>read ↗</t>
        </is>
      </c>
      <c r="O1348" s="11" t="inlineStr">
        <is>
          <t>section reading (2 of 10)</t>
        </is>
      </c>
      <c r="P1348" s="10" t="inlineStr"/>
    </row>
    <row r="1349">
      <c r="A1349" s="15" t="n">
        <v>1348</v>
      </c>
      <c r="B1349" s="15" t="inlineStr">
        <is>
          <t>Part II - The Method Atlas</t>
        </is>
      </c>
      <c r="C1349" s="16" t="inlineStr">
        <is>
          <t>T.2 Secondary structure prediction - the dynamic programming lineage</t>
        </is>
      </c>
      <c r="D1349" s="10" t="inlineStr">
        <is>
          <t>(see curriculum section)</t>
        </is>
      </c>
      <c r="E1349" s="10" t="inlineStr"/>
      <c r="F1349" s="11" t="inlineStr"/>
      <c r="G1349" s="11" t="n">
        <v>0</v>
      </c>
      <c r="H1349" s="12" t="inlineStr"/>
      <c r="I1349" s="11" t="inlineStr">
        <is>
          <t>Not started</t>
        </is>
      </c>
      <c r="J1349" s="13" t="n"/>
      <c r="K1349" s="10" t="inlineStr"/>
      <c r="L1349" s="14" t="inlineStr">
        <is>
          <t>▶ watch</t>
        </is>
      </c>
      <c r="M1349" s="10" t="inlineStr">
        <is>
          <t>Nussinov &amp; Jacobson 1980, PNAS 77:6309 · Zuker &amp; Stiegler 1981, NAR 9:133</t>
        </is>
      </c>
      <c r="N1349" s="14" t="inlineStr">
        <is>
          <t>read ↗</t>
        </is>
      </c>
      <c r="O1349" s="11" t="inlineStr">
        <is>
          <t>section reading (2 of 10)</t>
        </is>
      </c>
      <c r="P1349" s="10" t="inlineStr"/>
    </row>
    <row r="1350">
      <c r="A1350" s="15" t="n">
        <v>1349</v>
      </c>
      <c r="B1350" s="15" t="inlineStr">
        <is>
          <t>Part II - The Method Atlas</t>
        </is>
      </c>
      <c r="C1350" s="16" t="inlineStr">
        <is>
          <t>T.2 Secondary structure prediction - the dynamic programming lineage</t>
        </is>
      </c>
      <c r="D1350" s="10" t="inlineStr">
        <is>
          <t>Elena Rivas on why covariation evidence, not free energy, is the real arbiter of a claimed structure</t>
        </is>
      </c>
      <c r="E1350" s="10" t="inlineStr"/>
      <c r="F1350" s="11" t="inlineStr">
        <is>
          <t>37:04</t>
        </is>
      </c>
      <c r="G1350" s="11" t="n">
        <v>0.62</v>
      </c>
      <c r="H1350" s="12" t="inlineStr">
        <is>
          <t>★</t>
        </is>
      </c>
      <c r="I1350" s="11" t="inlineStr">
        <is>
          <t>Not started</t>
        </is>
      </c>
      <c r="J1350" s="13" t="n"/>
      <c r="K1350" s="10" t="inlineStr"/>
      <c r="L1350" s="14" t="inlineStr">
        <is>
          <t>▶ watch</t>
        </is>
      </c>
      <c r="M1350" s="10" t="inlineStr">
        <is>
          <t>Nussinov &amp; Jacobson 1980, PNAS 77:6309 · Zuker &amp; Stiegler 1981, NAR 9:133</t>
        </is>
      </c>
      <c r="N1350" s="14" t="inlineStr">
        <is>
          <t>read ↗</t>
        </is>
      </c>
      <c r="O1350" s="11" t="inlineStr">
        <is>
          <t>section reading (2 of 10)</t>
        </is>
      </c>
      <c r="P1350" s="10" t="inlineStr"/>
    </row>
    <row r="1351">
      <c r="A1351" s="15" t="n">
        <v>1350</v>
      </c>
      <c r="B1351" s="15" t="inlineStr">
        <is>
          <t>Part II - The Method Atlas</t>
        </is>
      </c>
      <c r="C1351" s="16" t="inlineStr">
        <is>
          <t>T.2 Secondary structure prediction - the dynamic programming lineage</t>
        </is>
      </c>
      <c r="D1351" s="10" t="inlineStr">
        <is>
          <t>(see curriculum section)</t>
        </is>
      </c>
      <c r="E1351" s="10" t="inlineStr"/>
      <c r="F1351" s="11" t="inlineStr"/>
      <c r="G1351" s="11" t="n">
        <v>0</v>
      </c>
      <c r="H1351" s="12" t="inlineStr"/>
      <c r="I1351" s="11" t="inlineStr">
        <is>
          <t>Not started</t>
        </is>
      </c>
      <c r="J1351" s="13" t="n"/>
      <c r="K1351" s="10" t="inlineStr"/>
      <c r="L1351" s="14" t="inlineStr">
        <is>
          <t>▶ watch</t>
        </is>
      </c>
      <c r="M1351" s="10" t="inlineStr">
        <is>
          <t>Nussinov &amp; Jacobson 1980, PNAS 77:6309 · Zuker &amp; Stiegler 1981, NAR 9:133</t>
        </is>
      </c>
      <c r="N1351" s="14" t="inlineStr">
        <is>
          <t>read ↗</t>
        </is>
      </c>
      <c r="O1351" s="11" t="inlineStr">
        <is>
          <t>section reading (2 of 10)</t>
        </is>
      </c>
      <c r="P1351" s="10" t="inlineStr"/>
    </row>
    <row r="1352">
      <c r="A1352" s="15" t="n">
        <v>1351</v>
      </c>
      <c r="B1352" s="15" t="inlineStr">
        <is>
          <t>Part II - The Method Atlas</t>
        </is>
      </c>
      <c r="C1352" s="16" t="inlineStr">
        <is>
          <t>T.2 Secondary structure prediction - the dynamic programming lineage</t>
        </is>
      </c>
      <c r="D1352" s="10" t="inlineStr">
        <is>
          <t>Manolis Kellis (MIT 6.047</t>
        </is>
      </c>
      <c r="E1352" s="10" t="inlineStr"/>
      <c r="F1352" s="11" t="inlineStr"/>
      <c r="G1352" s="11" t="n">
        <v>0</v>
      </c>
      <c r="H1352" s="12" t="inlineStr"/>
      <c r="I1352" s="11" t="inlineStr">
        <is>
          <t>Not started</t>
        </is>
      </c>
      <c r="J1352" s="13" t="n"/>
      <c r="K1352" s="10" t="inlineStr"/>
      <c r="L1352" s="14" t="inlineStr">
        <is>
          <t>▶ watch</t>
        </is>
      </c>
      <c r="M1352" s="10" t="inlineStr">
        <is>
          <t>Nussinov &amp; Jacobson 1980, PNAS 77:6309 · Zuker &amp; Stiegler 1981, NAR 9:133</t>
        </is>
      </c>
      <c r="N1352" s="14" t="inlineStr">
        <is>
          <t>read ↗</t>
        </is>
      </c>
      <c r="O1352" s="11" t="inlineStr">
        <is>
          <t>section reading (2 of 10)</t>
        </is>
      </c>
      <c r="P1352" s="10" t="inlineStr"/>
    </row>
    <row r="1353">
      <c r="A1353" s="15" t="n">
        <v>1352</v>
      </c>
      <c r="B1353" s="15" t="inlineStr">
        <is>
          <t>Part II - The Method Atlas</t>
        </is>
      </c>
      <c r="C1353" s="16" t="inlineStr">
        <is>
          <t>T.2 Secondary structure prediction - the dynamic programming lineage</t>
        </is>
      </c>
      <c r="D1353" s="10" t="inlineStr">
        <is>
          <t>Matthew Macauley's combinatorial derivation</t>
        </is>
      </c>
      <c r="E1353" s="10" t="inlineStr"/>
      <c r="F1353" s="11" t="inlineStr"/>
      <c r="G1353" s="11" t="n">
        <v>0</v>
      </c>
      <c r="H1353" s="12" t="inlineStr"/>
      <c r="I1353" s="11" t="inlineStr">
        <is>
          <t>Not started</t>
        </is>
      </c>
      <c r="J1353" s="13" t="n"/>
      <c r="K1353" s="10" t="inlineStr"/>
      <c r="L1353" s="14" t="inlineStr">
        <is>
          <t>▶ watch</t>
        </is>
      </c>
      <c r="M1353" s="10" t="inlineStr">
        <is>
          <t>Nussinov &amp; Jacobson 1980, PNAS 77:6309 · Zuker &amp; Stiegler 1981, NAR 9:133</t>
        </is>
      </c>
      <c r="N1353" s="14" t="inlineStr">
        <is>
          <t>read ↗</t>
        </is>
      </c>
      <c r="O1353" s="11" t="inlineStr">
        <is>
          <t>section reading (2 of 10)</t>
        </is>
      </c>
      <c r="P1353" s="10" t="inlineStr"/>
    </row>
    <row r="1354">
      <c r="A1354" s="15" t="n">
        <v>1353</v>
      </c>
      <c r="B1354" s="15" t="inlineStr">
        <is>
          <t>Part II - The Method Atlas</t>
        </is>
      </c>
      <c r="C1354" s="16" t="inlineStr">
        <is>
          <t>T.2 Secondary structure prediction - the dynamic programming lineage</t>
        </is>
      </c>
      <c r="D1354" s="10" t="inlineStr">
        <is>
          <t>(see curriculum section)</t>
        </is>
      </c>
      <c r="E1354" s="10" t="inlineStr"/>
      <c r="F1354" s="11" t="inlineStr"/>
      <c r="G1354" s="11" t="n">
        <v>0</v>
      </c>
      <c r="H1354" s="12" t="inlineStr"/>
      <c r="I1354" s="11" t="inlineStr">
        <is>
          <t>Not started</t>
        </is>
      </c>
      <c r="J1354" s="13" t="n"/>
      <c r="K1354" s="10" t="inlineStr"/>
      <c r="L1354" s="14" t="inlineStr">
        <is>
          <t>▶ watch</t>
        </is>
      </c>
      <c r="M1354" s="10" t="inlineStr">
        <is>
          <t>Nussinov &amp; Jacobson 1980, PNAS 77:6309 · Zuker &amp; Stiegler 1981, NAR 9:133</t>
        </is>
      </c>
      <c r="N1354" s="14" t="inlineStr">
        <is>
          <t>read ↗</t>
        </is>
      </c>
      <c r="O1354" s="11" t="inlineStr">
        <is>
          <t>section reading (2 of 10)</t>
        </is>
      </c>
      <c r="P1354" s="10" t="inlineStr"/>
    </row>
    <row r="1355">
      <c r="A1355" s="15" t="n">
        <v>1354</v>
      </c>
      <c r="B1355" s="15" t="inlineStr">
        <is>
          <t>Part II - The Method Atlas</t>
        </is>
      </c>
      <c r="C1355" s="16" t="inlineStr">
        <is>
          <t>T.2 Secondary structure prediction - the dynamic programming lineage</t>
        </is>
      </c>
      <c r="D1355" s="10" t="inlineStr">
        <is>
          <t>LinearPartition</t>
        </is>
      </c>
      <c r="E1355" s="10" t="inlineStr"/>
      <c r="F1355" s="11" t="inlineStr"/>
      <c r="G1355" s="11" t="n">
        <v>0</v>
      </c>
      <c r="H1355" s="12" t="inlineStr">
        <is>
          <t>★</t>
        </is>
      </c>
      <c r="I1355" s="11" t="inlineStr">
        <is>
          <t>Not started</t>
        </is>
      </c>
      <c r="J1355" s="13" t="n"/>
      <c r="K1355" s="10" t="inlineStr"/>
      <c r="L1355" s="14" t="inlineStr">
        <is>
          <t>▶ watch</t>
        </is>
      </c>
      <c r="M1355" s="10" t="inlineStr">
        <is>
          <t>Nussinov &amp; Jacobson 1980, PNAS 77:6309 · Zuker &amp; Stiegler 1981, NAR 9:133</t>
        </is>
      </c>
      <c r="N1355" s="14" t="inlineStr">
        <is>
          <t>read ↗</t>
        </is>
      </c>
      <c r="O1355" s="11" t="inlineStr">
        <is>
          <t>section reading (2 of 10)</t>
        </is>
      </c>
      <c r="P1355" s="10" t="inlineStr"/>
    </row>
    <row r="1356">
      <c r="A1356" s="15" t="n">
        <v>1355</v>
      </c>
      <c r="B1356" s="15" t="inlineStr">
        <is>
          <t>Part II - The Method Atlas</t>
        </is>
      </c>
      <c r="C1356" s="16" t="inlineStr">
        <is>
          <t>T.2 Secondary structure prediction - the dynamic programming lineage</t>
        </is>
      </c>
      <c r="D1356" s="10" t="inlineStr">
        <is>
          <t>LinearPartition</t>
        </is>
      </c>
      <c r="E1356" s="10" t="inlineStr"/>
      <c r="F1356" s="11" t="inlineStr"/>
      <c r="G1356" s="11" t="n">
        <v>0</v>
      </c>
      <c r="H1356" s="12" t="inlineStr"/>
      <c r="I1356" s="11" t="inlineStr">
        <is>
          <t>Not started</t>
        </is>
      </c>
      <c r="J1356" s="13" t="n"/>
      <c r="K1356" s="10" t="inlineStr"/>
      <c r="L1356" s="14" t="inlineStr">
        <is>
          <t>▶ watch</t>
        </is>
      </c>
      <c r="M1356" s="10" t="inlineStr">
        <is>
          <t>Nussinov &amp; Jacobson 1980, PNAS 77:6309 · Zuker &amp; Stiegler 1981, NAR 9:133</t>
        </is>
      </c>
      <c r="N1356" s="14" t="inlineStr">
        <is>
          <t>read ↗</t>
        </is>
      </c>
      <c r="O1356" s="11" t="inlineStr">
        <is>
          <t>section reading (2 of 10)</t>
        </is>
      </c>
      <c r="P1356" s="10" t="inlineStr"/>
    </row>
    <row r="1357">
      <c r="A1357" s="15" t="n">
        <v>1356</v>
      </c>
      <c r="B1357" s="15" t="inlineStr">
        <is>
          <t>Part II - The Method Atlas</t>
        </is>
      </c>
      <c r="C1357" s="16" t="inlineStr">
        <is>
          <t>T.2 Secondary structure prediction - the dynamic programming lineage</t>
        </is>
      </c>
      <c r="D1357" s="10" t="inlineStr">
        <is>
          <t>Parsing Algorithms for COVID-19</t>
        </is>
      </c>
      <c r="E1357" s="10" t="inlineStr"/>
      <c r="F1357" s="11" t="inlineStr"/>
      <c r="G1357" s="11" t="n">
        <v>0</v>
      </c>
      <c r="H1357" s="12" t="inlineStr">
        <is>
          <t>★</t>
        </is>
      </c>
      <c r="I1357" s="11" t="inlineStr">
        <is>
          <t>Not started</t>
        </is>
      </c>
      <c r="J1357" s="13" t="n"/>
      <c r="K1357" s="10" t="inlineStr"/>
      <c r="L1357" s="14" t="inlineStr">
        <is>
          <t>▶ watch</t>
        </is>
      </c>
      <c r="M1357" s="10" t="inlineStr">
        <is>
          <t>Huang et al. 2019</t>
        </is>
      </c>
      <c r="N1357" s="14" t="inlineStr">
        <is>
          <t>read ↗</t>
        </is>
      </c>
      <c r="O1357" s="11" t="inlineStr">
        <is>
          <t>paired reading</t>
        </is>
      </c>
      <c r="P1357" s="10" t="inlineStr"/>
    </row>
    <row r="1358">
      <c r="A1358" s="15" t="n">
        <v>1357</v>
      </c>
      <c r="B1358" s="15" t="inlineStr">
        <is>
          <t>Part II - The Method Atlas</t>
        </is>
      </c>
      <c r="C1358" s="16" t="inlineStr">
        <is>
          <t>T.2 Secondary structure prediction - the dynamic programming lineage</t>
        </is>
      </c>
      <c r="D1358" s="10" t="inlineStr">
        <is>
          <t>EMBL-EBI,</t>
        </is>
      </c>
      <c r="E1358" s="10" t="inlineStr"/>
      <c r="F1358" s="11" t="inlineStr"/>
      <c r="G1358" s="11" t="n">
        <v>0</v>
      </c>
      <c r="H1358" s="12" t="inlineStr"/>
      <c r="I1358" s="11" t="inlineStr">
        <is>
          <t>Not started</t>
        </is>
      </c>
      <c r="J1358" s="13" t="n"/>
      <c r="K1358" s="10" t="inlineStr"/>
      <c r="L1358" s="14" t="inlineStr">
        <is>
          <t>▶ watch</t>
        </is>
      </c>
      <c r="M1358" s="10" t="inlineStr">
        <is>
          <t>Nussinov &amp; Jacobson 1980, PNAS 77:6309 · Zuker &amp; Stiegler 1981, NAR 9:133</t>
        </is>
      </c>
      <c r="N1358" s="14" t="inlineStr">
        <is>
          <t>read ↗</t>
        </is>
      </c>
      <c r="O1358" s="11" t="inlineStr">
        <is>
          <t>section reading (2 of 10)</t>
        </is>
      </c>
      <c r="P1358" s="10" t="inlineStr"/>
    </row>
    <row r="1359">
      <c r="A1359" s="15" t="n">
        <v>1358</v>
      </c>
      <c r="B1359" s="15" t="inlineStr">
        <is>
          <t>Part II - The Method Atlas</t>
        </is>
      </c>
      <c r="C1359" s="16" t="inlineStr">
        <is>
          <t>T.2 Secondary structure prediction - the dynamic programming lineage</t>
        </is>
      </c>
      <c r="D1359" s="10" t="inlineStr">
        <is>
          <t>Anne Condon on which pseudoknot classes are polynomial and which are NP-hard</t>
        </is>
      </c>
      <c r="E1359" s="10" t="inlineStr"/>
      <c r="F1359" s="11" t="inlineStr"/>
      <c r="G1359" s="11" t="n">
        <v>0</v>
      </c>
      <c r="H1359" s="12" t="inlineStr">
        <is>
          <t>★</t>
        </is>
      </c>
      <c r="I1359" s="11" t="inlineStr">
        <is>
          <t>Not started</t>
        </is>
      </c>
      <c r="J1359" s="13" t="n"/>
      <c r="K1359" s="10" t="inlineStr"/>
      <c r="L1359" s="14" t="inlineStr">
        <is>
          <t>▶ watch</t>
        </is>
      </c>
      <c r="M1359" s="10" t="inlineStr">
        <is>
          <t>Nussinov &amp; Jacobson 1980, PNAS 77:6309 · Zuker &amp; Stiegler 1981, NAR 9:133</t>
        </is>
      </c>
      <c r="N1359" s="14" t="inlineStr">
        <is>
          <t>read ↗</t>
        </is>
      </c>
      <c r="O1359" s="11" t="inlineStr">
        <is>
          <t>section reading (2 of 10)</t>
        </is>
      </c>
      <c r="P1359" s="10" t="inlineStr"/>
    </row>
    <row r="1360">
      <c r="A1360" s="15" t="n">
        <v>1359</v>
      </c>
      <c r="B1360" s="15" t="inlineStr">
        <is>
          <t>Part II - The Method Atlas</t>
        </is>
      </c>
      <c r="C1360" s="16" t="inlineStr">
        <is>
          <t>T.2 Secondary structure prediction - the dynamic programming lineage</t>
        </is>
      </c>
      <c r="D1360" s="10" t="inlineStr">
        <is>
          <t>Anne Condon on which pseudoknot classes are polynomial and which are NP-hard</t>
        </is>
      </c>
      <c r="E1360" s="10" t="inlineStr"/>
      <c r="F1360" s="11" t="inlineStr"/>
      <c r="G1360" s="11" t="n">
        <v>0</v>
      </c>
      <c r="H1360" s="12" t="inlineStr">
        <is>
          <t>★</t>
        </is>
      </c>
      <c r="I1360" s="11" t="inlineStr">
        <is>
          <t>Not started</t>
        </is>
      </c>
      <c r="J1360" s="13" t="n"/>
      <c r="K1360" s="10" t="inlineStr"/>
      <c r="L1360" s="14" t="inlineStr">
        <is>
          <t>▶ watch</t>
        </is>
      </c>
      <c r="M1360" s="10" t="inlineStr">
        <is>
          <t>Nussinov &amp; Jacobson 1980, PNAS 77:6309 · Zuker &amp; Stiegler 1981, NAR 9:133</t>
        </is>
      </c>
      <c r="N1360" s="14" t="inlineStr">
        <is>
          <t>read ↗</t>
        </is>
      </c>
      <c r="O1360" s="11" t="inlineStr">
        <is>
          <t>section reading (2 of 10)</t>
        </is>
      </c>
      <c r="P1360" s="10" t="inlineStr"/>
    </row>
    <row r="1361">
      <c r="A1361" s="15" t="n">
        <v>1360</v>
      </c>
      <c r="B1361" s="15" t="inlineStr">
        <is>
          <t>Part II - The Method Atlas</t>
        </is>
      </c>
      <c r="C1361" s="16" t="inlineStr">
        <is>
          <t>T.2 Secondary structure prediction - the dynamic programming lineage</t>
        </is>
      </c>
      <c r="D1361" s="10" t="inlineStr">
        <is>
          <t>Anne Condon on which pseudoknot classes are polynomial and which are NP-hard</t>
        </is>
      </c>
      <c r="E1361" s="10" t="inlineStr"/>
      <c r="F1361" s="11" t="inlineStr"/>
      <c r="G1361" s="11" t="n">
        <v>0</v>
      </c>
      <c r="H1361" s="12" t="inlineStr"/>
      <c r="I1361" s="11" t="inlineStr">
        <is>
          <t>Not started</t>
        </is>
      </c>
      <c r="J1361" s="13" t="n"/>
      <c r="K1361" s="10" t="inlineStr"/>
      <c r="L1361" s="14" t="inlineStr">
        <is>
          <t>▶ watch</t>
        </is>
      </c>
      <c r="M1361" s="10" t="inlineStr">
        <is>
          <t>Nussinov &amp; Jacobson 1980, PNAS 77:6309 · Zuker &amp; Stiegler 1981, NAR 9:133</t>
        </is>
      </c>
      <c r="N1361" s="14" t="inlineStr">
        <is>
          <t>read ↗</t>
        </is>
      </c>
      <c r="O1361" s="11" t="inlineStr">
        <is>
          <t>section reading (2 of 10)</t>
        </is>
      </c>
      <c r="P1361" s="10" t="inlineStr"/>
    </row>
    <row r="1362">
      <c r="A1362" s="15" t="n">
        <v>1361</v>
      </c>
      <c r="B1362" s="15" t="inlineStr">
        <is>
          <t>Part II - The Method Atlas</t>
        </is>
      </c>
      <c r="C1362" s="16" t="inlineStr">
        <is>
          <t>T.2 Secondary structure prediction - the dynamic programming lineage</t>
        </is>
      </c>
      <c r="D1362" s="10" t="inlineStr">
        <is>
          <t>Yann Ponty defending the DP tradition against the deep-learning wave</t>
        </is>
      </c>
      <c r="E1362" s="10" t="inlineStr"/>
      <c r="F1362" s="11" t="inlineStr"/>
      <c r="G1362" s="11" t="n">
        <v>0</v>
      </c>
      <c r="H1362" s="12" t="inlineStr">
        <is>
          <t>★</t>
        </is>
      </c>
      <c r="I1362" s="11" t="inlineStr">
        <is>
          <t>Not started</t>
        </is>
      </c>
      <c r="J1362" s="13" t="n"/>
      <c r="K1362" s="10" t="inlineStr"/>
      <c r="L1362" s="14" t="inlineStr">
        <is>
          <t>▶ watch</t>
        </is>
      </c>
      <c r="M1362" s="10" t="inlineStr">
        <is>
          <t>Nussinov &amp; Jacobson 1980, PNAS 77:6309 · Zuker &amp; Stiegler 1981, NAR 9:133</t>
        </is>
      </c>
      <c r="N1362" s="14" t="inlineStr">
        <is>
          <t>read ↗</t>
        </is>
      </c>
      <c r="O1362" s="11" t="inlineStr">
        <is>
          <t>section reading (2 of 10)</t>
        </is>
      </c>
      <c r="P1362" s="10" t="inlineStr"/>
    </row>
    <row r="1363">
      <c r="A1363" s="15" t="n">
        <v>1362</v>
      </c>
      <c r="B1363" s="15" t="inlineStr">
        <is>
          <t>Part II - The Method Atlas</t>
        </is>
      </c>
      <c r="C1363" s="16" t="inlineStr">
        <is>
          <t>T.3 Thermodynamics and nearest-neighbour parameters</t>
        </is>
      </c>
      <c r="D1363" s="10" t="inlineStr">
        <is>
          <t>Nearest Neighbor Method</t>
        </is>
      </c>
      <c r="E1363" s="10" t="inlineStr">
        <is>
          <t>Albert Courey (UCLA</t>
        </is>
      </c>
      <c r="F1363" s="11" t="inlineStr">
        <is>
          <t>24:25</t>
        </is>
      </c>
      <c r="G1363" s="11" t="n">
        <v>0.41</v>
      </c>
      <c r="H1363" s="12" t="inlineStr">
        <is>
          <t>★</t>
        </is>
      </c>
      <c r="I1363" s="11" t="inlineStr">
        <is>
          <t>Not started</t>
        </is>
      </c>
      <c r="J1363" s="13" t="n"/>
      <c r="K1363" s="10" t="inlineStr"/>
      <c r="L1363" s="14" t="inlineStr">
        <is>
          <t>▶ watch</t>
        </is>
      </c>
      <c r="M1363" s="10" t="inlineStr">
        <is>
          <t>SantaLucia 1998, PNAS 95:1460</t>
        </is>
      </c>
      <c r="N1363" s="14" t="inlineStr">
        <is>
          <t>read ↗</t>
        </is>
      </c>
      <c r="O1363" s="11" t="inlineStr">
        <is>
          <t>paired reading</t>
        </is>
      </c>
      <c r="P1363" s="10" t="inlineStr"/>
    </row>
    <row r="1364">
      <c r="A1364" s="15" t="n">
        <v>1363</v>
      </c>
      <c r="B1364" s="15" t="inlineStr">
        <is>
          <t>Part II - The Method Atlas</t>
        </is>
      </c>
      <c r="C1364" s="16" t="inlineStr">
        <is>
          <t>T.3 Thermodynamics and nearest-neighbour parameters</t>
        </is>
      </c>
      <c r="D1364" s="10" t="inlineStr">
        <is>
          <t>Using Energy Values in Eterna - the Turner rules made operational</t>
        </is>
      </c>
      <c r="E1364" s="10" t="inlineStr">
        <is>
          <t>Eterna community</t>
        </is>
      </c>
      <c r="F1364" s="11" t="inlineStr">
        <is>
          <t>1:03:27</t>
        </is>
      </c>
      <c r="G1364" s="11" t="n">
        <v>1.06</v>
      </c>
      <c r="H1364" s="12" t="inlineStr">
        <is>
          <t>★</t>
        </is>
      </c>
      <c r="I1364" s="11" t="inlineStr">
        <is>
          <t>Not started</t>
        </is>
      </c>
      <c r="J1364" s="13" t="n"/>
      <c r="K1364" s="10" t="inlineStr"/>
      <c r="L1364" s="14" t="inlineStr">
        <is>
          <t>▶ watch</t>
        </is>
      </c>
      <c r="M1364" s="10" t="inlineStr">
        <is>
          <t>Nussinov &amp; Jacobson 1980, PNAS 77:6309 · Zuker &amp; Stiegler 1981, NAR 9:133</t>
        </is>
      </c>
      <c r="N1364" s="14" t="inlineStr">
        <is>
          <t>read ↗</t>
        </is>
      </c>
      <c r="O1364" s="11" t="inlineStr">
        <is>
          <t>reading for T.2 Secondary structure prediction - the</t>
        </is>
      </c>
      <c r="P1364" s="10" t="inlineStr"/>
    </row>
    <row r="1365">
      <c r="A1365" s="15" t="n">
        <v>1364</v>
      </c>
      <c r="B1365" s="15" t="inlineStr">
        <is>
          <t>Part II - The Method Atlas</t>
        </is>
      </c>
      <c r="C1365" s="16" t="inlineStr">
        <is>
          <t>T.3 Thermodynamics and nearest-neighbour parameters</t>
        </is>
      </c>
      <c r="D1365" s="10" t="inlineStr">
        <is>
          <t>RNA, Mechanics, and the Partition Function</t>
        </is>
      </c>
      <c r="E1365" s="10" t="inlineStr">
        <is>
          <t>Jennifer Pearl (Eterna</t>
        </is>
      </c>
      <c r="F1365" s="11" t="inlineStr">
        <is>
          <t>55:40</t>
        </is>
      </c>
      <c r="G1365" s="11" t="n">
        <v>0.93</v>
      </c>
      <c r="H1365" s="12" t="inlineStr"/>
      <c r="I1365" s="11" t="inlineStr">
        <is>
          <t>Not started</t>
        </is>
      </c>
      <c r="J1365" s="13" t="n"/>
      <c r="K1365" s="10" t="inlineStr"/>
      <c r="L1365" s="14" t="inlineStr">
        <is>
          <t>▶ watch</t>
        </is>
      </c>
      <c r="M1365" s="10" t="inlineStr">
        <is>
          <t>Nussinov &amp; Jacobson 1980, PNAS 77:6309 · Zuker &amp; Stiegler 1981, NAR 9:133</t>
        </is>
      </c>
      <c r="N1365" s="14" t="inlineStr">
        <is>
          <t>read ↗</t>
        </is>
      </c>
      <c r="O1365" s="11" t="inlineStr">
        <is>
          <t>reading for T.2 Secondary structure prediction - the</t>
        </is>
      </c>
      <c r="P1365" s="10" t="inlineStr"/>
    </row>
    <row r="1366">
      <c r="A1366" s="15" t="n">
        <v>1365</v>
      </c>
      <c r="B1366" s="15" t="inlineStr">
        <is>
          <t>Part II - The Method Atlas</t>
        </is>
      </c>
      <c r="C1366" s="16" t="inlineStr">
        <is>
          <t>T.3 Thermodynamics and nearest-neighbour parameters</t>
        </is>
      </c>
      <c r="D1366" s="10" t="inlineStr">
        <is>
          <t>Folding engines, models and thermodynamics</t>
        </is>
      </c>
      <c r="E1366" s="10" t="inlineStr">
        <is>
          <t>Eterna community</t>
        </is>
      </c>
      <c r="F1366" s="11" t="inlineStr">
        <is>
          <t>39:07</t>
        </is>
      </c>
      <c r="G1366" s="11" t="n">
        <v>0.65</v>
      </c>
      <c r="H1366" s="12" t="inlineStr"/>
      <c r="I1366" s="11" t="inlineStr">
        <is>
          <t>Not started</t>
        </is>
      </c>
      <c r="J1366" s="13" t="n"/>
      <c r="K1366" s="10" t="inlineStr"/>
      <c r="L1366" s="14" t="inlineStr">
        <is>
          <t>▶ watch</t>
        </is>
      </c>
      <c r="M1366" s="10" t="inlineStr">
        <is>
          <t>Nussinov &amp; Jacobson 1980, PNAS 77:6309 · Zuker &amp; Stiegler 1981, NAR 9:133</t>
        </is>
      </c>
      <c r="N1366" s="14" t="inlineStr">
        <is>
          <t>read ↗</t>
        </is>
      </c>
      <c r="O1366" s="11" t="inlineStr">
        <is>
          <t>reading for T.2 Secondary structure prediction - the</t>
        </is>
      </c>
      <c r="P1366" s="10" t="inlineStr"/>
    </row>
    <row r="1367">
      <c r="A1367" s="15" t="n">
        <v>1366</v>
      </c>
      <c r="B1367" s="15" t="inlineStr">
        <is>
          <t>Part II - The Method Atlas</t>
        </is>
      </c>
      <c r="C1367" s="16" t="inlineStr">
        <is>
          <t>T.3 Thermodynamics and nearest-neighbour parameters</t>
        </is>
      </c>
      <c r="D1367" s="10" t="inlineStr">
        <is>
          <t>High-throughput RNA tertiary contact thermodynamics</t>
        </is>
      </c>
      <c r="E1367" s="10" t="inlineStr">
        <is>
          <t>Joseph Yesselman (Nebraska</t>
        </is>
      </c>
      <c r="F1367" s="11" t="inlineStr">
        <is>
          <t>56:54</t>
        </is>
      </c>
      <c r="G1367" s="11" t="n">
        <v>0.95</v>
      </c>
      <c r="H1367" s="12" t="inlineStr"/>
      <c r="I1367" s="11" t="inlineStr">
        <is>
          <t>Not started</t>
        </is>
      </c>
      <c r="J1367" s="13" t="n"/>
      <c r="K1367" s="10" t="inlineStr"/>
      <c r="L1367" s="14" t="inlineStr">
        <is>
          <t>▶ watch</t>
        </is>
      </c>
      <c r="M1367" s="10" t="inlineStr">
        <is>
          <t>Nussinov &amp; Jacobson 1980, PNAS 77:6309 · Zuker &amp; Stiegler 1981, NAR 9:133</t>
        </is>
      </c>
      <c r="N1367" s="14" t="inlineStr">
        <is>
          <t>read ↗</t>
        </is>
      </c>
      <c r="O1367" s="11" t="inlineStr">
        <is>
          <t>reading for T.2 Secondary structure prediction - the</t>
        </is>
      </c>
      <c r="P1367" s="10" t="inlineStr"/>
    </row>
    <row r="1368">
      <c r="A1368" s="15" t="n">
        <v>1367</v>
      </c>
      <c r="B1368" s="15" t="inlineStr">
        <is>
          <t>Part II - The Method Atlas</t>
        </is>
      </c>
      <c r="C1368" s="16" t="inlineStr">
        <is>
          <t>T.3 Thermodynamics and nearest-neighbour parameters</t>
        </is>
      </c>
      <c r="D1368" s="10" t="inlineStr">
        <is>
          <t>Thermodynamics of RNA structures by Wang-Landau sampling</t>
        </is>
      </c>
      <c r="E1368" s="10" t="inlineStr">
        <is>
          <t>Peter Clote (Boston College</t>
        </is>
      </c>
      <c r="F1368" s="11" t="inlineStr">
        <is>
          <t>29:13</t>
        </is>
      </c>
      <c r="G1368" s="11" t="n">
        <v>0.49</v>
      </c>
      <c r="H1368" s="12" t="inlineStr"/>
      <c r="I1368" s="11" t="inlineStr">
        <is>
          <t>Not started</t>
        </is>
      </c>
      <c r="J1368" s="13" t="n"/>
      <c r="K1368" s="10" t="inlineStr"/>
      <c r="L1368" s="14" t="inlineStr">
        <is>
          <t>▶ watch</t>
        </is>
      </c>
      <c r="M1368" s="10" t="inlineStr">
        <is>
          <t>Nussinov &amp; Jacobson 1980, PNAS 77:6309 · Zuker &amp; Stiegler 1981, NAR 9:133</t>
        </is>
      </c>
      <c r="N1368" s="14" t="inlineStr">
        <is>
          <t>read ↗</t>
        </is>
      </c>
      <c r="O1368" s="11" t="inlineStr">
        <is>
          <t>reading for T.2 Secondary structure prediction - the</t>
        </is>
      </c>
      <c r="P1368" s="10" t="inlineStr"/>
    </row>
    <row r="1369">
      <c r="A1369" s="15" t="n">
        <v>1368</v>
      </c>
      <c r="B1369" s="15" t="inlineStr">
        <is>
          <t>Part II - The Method Atlas</t>
        </is>
      </c>
      <c r="C1369" s="16" t="inlineStr">
        <is>
          <t>T.4 Chemical probing - what the data actually constrains</t>
        </is>
      </c>
      <c r="D1369" s="10" t="inlineStr">
        <is>
          <t>Chemically probing RNA-protein networks inside cells</t>
        </is>
      </c>
      <c r="E1369" s="10" t="inlineStr">
        <is>
          <t>Chase Weidmann (Michigan, Weeks alum</t>
        </is>
      </c>
      <c r="F1369" s="11" t="inlineStr">
        <is>
          <t>1:00:53</t>
        </is>
      </c>
      <c r="G1369" s="11" t="n">
        <v>1.01</v>
      </c>
      <c r="H1369" s="12" t="inlineStr">
        <is>
          <t>★</t>
        </is>
      </c>
      <c r="I1369" s="11" t="inlineStr">
        <is>
          <t>Not started</t>
        </is>
      </c>
      <c r="J1369" s="13" t="n"/>
      <c r="K1369" s="10" t="inlineStr"/>
      <c r="L1369" s="14" t="inlineStr">
        <is>
          <t>▶ watch</t>
        </is>
      </c>
      <c r="M1369" s="10" t="inlineStr">
        <is>
          <t>Merino et al. 2005, JACS 127:4223 (SHAPE) · Deigan et al. 2009, PNAS 106:97</t>
        </is>
      </c>
      <c r="N1369" s="14" t="inlineStr">
        <is>
          <t>read ↗</t>
        </is>
      </c>
      <c r="O1369" s="11" t="inlineStr">
        <is>
          <t>section reading (2 of 7)</t>
        </is>
      </c>
      <c r="P1369" s="10" t="inlineStr"/>
    </row>
    <row r="1370">
      <c r="A1370" s="15" t="n">
        <v>1369</v>
      </c>
      <c r="B1370" s="15" t="inlineStr">
        <is>
          <t>Part II - The Method Atlas</t>
        </is>
      </c>
      <c r="C1370" s="16" t="inlineStr">
        <is>
          <t>T.4 Chemical probing - what the data actually constrains</t>
        </is>
      </c>
      <c r="D1370" s="10" t="inlineStr">
        <is>
          <t>Mapping protein interaction networks on RNA (ISMB keynote</t>
        </is>
      </c>
      <c r="E1370" s="10" t="inlineStr">
        <is>
          <t>Chase Weidmann</t>
        </is>
      </c>
      <c r="F1370" s="11" t="inlineStr">
        <is>
          <t>28:14</t>
        </is>
      </c>
      <c r="G1370" s="11" t="n">
        <v>0.47</v>
      </c>
      <c r="H1370" s="12" t="inlineStr"/>
      <c r="I1370" s="11" t="inlineStr">
        <is>
          <t>Not started</t>
        </is>
      </c>
      <c r="J1370" s="13" t="n"/>
      <c r="K1370" s="10" t="inlineStr"/>
      <c r="L1370" s="14" t="inlineStr">
        <is>
          <t>▶ watch</t>
        </is>
      </c>
      <c r="M1370" s="10" t="inlineStr">
        <is>
          <t>Merino et al. 2005, JACS 127:4223 (SHAPE) · Deigan et al. 2009, PNAS 106:97</t>
        </is>
      </c>
      <c r="N1370" s="14" t="inlineStr">
        <is>
          <t>read ↗</t>
        </is>
      </c>
      <c r="O1370" s="11" t="inlineStr">
        <is>
          <t>section reading (2 of 7)</t>
        </is>
      </c>
      <c r="P1370" s="10" t="inlineStr"/>
    </row>
    <row r="1371">
      <c r="A1371" s="15" t="n">
        <v>1370</v>
      </c>
      <c r="B1371" s="15" t="inlineStr">
        <is>
          <t>Part II - The Method Atlas</t>
        </is>
      </c>
      <c r="C1371" s="16" t="inlineStr">
        <is>
          <t>T.4 Chemical probing - what the data actually constrains</t>
        </is>
      </c>
      <c r="D1371" s="10" t="inlineStr">
        <is>
          <t>DMS mapping of higher-order structure and folding thermodynamics</t>
        </is>
      </c>
      <c r="E1371" s="10" t="inlineStr">
        <is>
          <t>Anthony Mustoe (Baylor</t>
        </is>
      </c>
      <c r="F1371" s="11" t="inlineStr">
        <is>
          <t>58:03</t>
        </is>
      </c>
      <c r="G1371" s="11" t="n">
        <v>0.97</v>
      </c>
      <c r="H1371" s="12" t="inlineStr">
        <is>
          <t>★</t>
        </is>
      </c>
      <c r="I1371" s="11" t="inlineStr">
        <is>
          <t>Not started</t>
        </is>
      </c>
      <c r="J1371" s="13" t="n"/>
      <c r="K1371" s="10" t="inlineStr"/>
      <c r="L1371" s="14" t="inlineStr">
        <is>
          <t>▶ watch</t>
        </is>
      </c>
      <c r="M1371" s="10" t="inlineStr">
        <is>
          <t>Zubradt et al. 2017, Nat Methods 14:75 (DMS-MaPseq)</t>
        </is>
      </c>
      <c r="N1371" s="14" t="inlineStr">
        <is>
          <t>read ↗</t>
        </is>
      </c>
      <c r="O1371" s="11" t="inlineStr">
        <is>
          <t>names DMS</t>
        </is>
      </c>
      <c r="P1371" s="10" t="inlineStr"/>
    </row>
    <row r="1372">
      <c r="A1372" s="15" t="n">
        <v>1371</v>
      </c>
      <c r="B1372" s="15" t="inlineStr">
        <is>
          <t>Part II - The Method Atlas</t>
        </is>
      </c>
      <c r="C1372" s="16" t="inlineStr">
        <is>
          <t>T.4 Chemical probing - what the data actually constrains</t>
        </is>
      </c>
      <c r="D1372" s="10" t="inlineStr">
        <is>
          <t>Low-energy RNA fluctuations measured by chemical probing (PRIME</t>
        </is>
      </c>
      <c r="E1372" s="10" t="inlineStr">
        <is>
          <t>Edric Choi (Lucks lab</t>
        </is>
      </c>
      <c r="F1372" s="11" t="inlineStr">
        <is>
          <t>59:32</t>
        </is>
      </c>
      <c r="G1372" s="11" t="n">
        <v>0.99</v>
      </c>
      <c r="H1372" s="12" t="inlineStr">
        <is>
          <t>★</t>
        </is>
      </c>
      <c r="I1372" s="11" t="inlineStr">
        <is>
          <t>Not started</t>
        </is>
      </c>
      <c r="J1372" s="13" t="n"/>
      <c r="K1372" s="10" t="inlineStr"/>
      <c r="L1372" s="14" t="inlineStr">
        <is>
          <t>▶ watch</t>
        </is>
      </c>
      <c r="M1372" s="10" t="inlineStr">
        <is>
          <t>Merino et al. 2005, JACS 127:4223 (SHAPE) · Deigan et al. 2009, PNAS 106:97</t>
        </is>
      </c>
      <c r="N1372" s="14" t="inlineStr">
        <is>
          <t>read ↗</t>
        </is>
      </c>
      <c r="O1372" s="11" t="inlineStr">
        <is>
          <t>section reading (2 of 7)</t>
        </is>
      </c>
      <c r="P1372" s="10" t="inlineStr"/>
    </row>
    <row r="1373">
      <c r="A1373" s="15" t="n">
        <v>1372</v>
      </c>
      <c r="B1373" s="15" t="inlineStr">
        <is>
          <t>Part II - The Method Atlas</t>
        </is>
      </c>
      <c r="C1373" s="16" t="inlineStr">
        <is>
          <t>T.4 Chemical probing - what the data actually constrains</t>
        </is>
      </c>
      <c r="D1373" s="10" t="inlineStr">
        <is>
          <t>Drugging RNA Structure</t>
        </is>
      </c>
      <c r="E1373" s="10" t="inlineStr">
        <is>
          <t>Silvi Rouskin (HMS</t>
        </is>
      </c>
      <c r="F1373" s="11" t="inlineStr">
        <is>
          <t>56:31</t>
        </is>
      </c>
      <c r="G1373" s="11" t="n">
        <v>0.9399999999999999</v>
      </c>
      <c r="H1373" s="12" t="inlineStr">
        <is>
          <t>★</t>
        </is>
      </c>
      <c r="I1373" s="11" t="inlineStr">
        <is>
          <t>Not started</t>
        </is>
      </c>
      <c r="J1373" s="13" t="n"/>
      <c r="K1373" s="10" t="inlineStr"/>
      <c r="L1373" s="14" t="inlineStr">
        <is>
          <t>▶ watch</t>
        </is>
      </c>
      <c r="M1373" s="10" t="inlineStr">
        <is>
          <t>Merino et al. 2005, JACS 127:4223 (SHAPE) · Deigan et al. 2009, PNAS 106:97</t>
        </is>
      </c>
      <c r="N1373" s="14" t="inlineStr">
        <is>
          <t>read ↗</t>
        </is>
      </c>
      <c r="O1373" s="11" t="inlineStr">
        <is>
          <t>section reading (2 of 7)</t>
        </is>
      </c>
      <c r="P1373" s="10" t="inlineStr"/>
    </row>
    <row r="1374">
      <c r="A1374" s="15" t="n">
        <v>1373</v>
      </c>
      <c r="B1374" s="15" t="inlineStr">
        <is>
          <t>Part II - The Method Atlas</t>
        </is>
      </c>
      <c r="C1374" s="16" t="inlineStr">
        <is>
          <t>T.4 Chemical probing - what the data actually constrains</t>
        </is>
      </c>
      <c r="D1374" s="10" t="inlineStr">
        <is>
          <t>Landscape and variation of RNA secondary structures in the human transcriptome</t>
        </is>
      </c>
      <c r="E1374" s="10" t="inlineStr">
        <is>
          <t>Yue Wan (ASTAR</t>
        </is>
      </c>
      <c r="F1374" s="11" t="inlineStr">
        <is>
          <t>30:40</t>
        </is>
      </c>
      <c r="G1374" s="11" t="n">
        <v>0.51</v>
      </c>
      <c r="H1374" s="12" t="inlineStr"/>
      <c r="I1374" s="11" t="inlineStr">
        <is>
          <t>Not started</t>
        </is>
      </c>
      <c r="J1374" s="13" t="n"/>
      <c r="K1374" s="10" t="inlineStr"/>
      <c r="L1374" s="14" t="inlineStr">
        <is>
          <t>▶ watch</t>
        </is>
      </c>
      <c r="M1374" s="10" t="inlineStr">
        <is>
          <t>Merino et al. 2005, JACS 127:4223 (SHAPE) · Deigan et al. 2009, PNAS 106:97</t>
        </is>
      </c>
      <c r="N1374" s="14" t="inlineStr">
        <is>
          <t>read ↗</t>
        </is>
      </c>
      <c r="O1374" s="11" t="inlineStr">
        <is>
          <t>section reading (2 of 7)</t>
        </is>
      </c>
      <c r="P1374" s="10" t="inlineStr"/>
    </row>
    <row r="1375">
      <c r="A1375" s="15" t="n">
        <v>1374</v>
      </c>
      <c r="B1375" s="15" t="inlineStr">
        <is>
          <t>Part II - The Method Atlas</t>
        </is>
      </c>
      <c r="C1375" s="16" t="inlineStr">
        <is>
          <t>T.4 Chemical probing - what the data actually constrains</t>
        </is>
      </c>
      <c r="D1375" s="10" t="inlineStr">
        <is>
          <t>In-cell ensemble mapping of structural switches</t>
        </is>
      </c>
      <c r="E1375" s="10" t="inlineStr">
        <is>
          <t>Danny Incarnato (Groningen</t>
        </is>
      </c>
      <c r="F1375" s="11" t="inlineStr">
        <is>
          <t>1:10:34</t>
        </is>
      </c>
      <c r="G1375" s="11" t="n">
        <v>1.18</v>
      </c>
      <c r="H1375" s="12" t="inlineStr"/>
      <c r="I1375" s="11" t="inlineStr">
        <is>
          <t>Not started</t>
        </is>
      </c>
      <c r="J1375" s="13" t="n"/>
      <c r="K1375" s="10" t="inlineStr"/>
      <c r="L1375" s="14" t="inlineStr">
        <is>
          <t>▶ watch</t>
        </is>
      </c>
      <c r="M1375" s="10" t="inlineStr">
        <is>
          <t>Merino et al. 2005, JACS 127:4223 (SHAPE) · Deigan et al. 2009, PNAS 106:97</t>
        </is>
      </c>
      <c r="N1375" s="14" t="inlineStr">
        <is>
          <t>read ↗</t>
        </is>
      </c>
      <c r="O1375" s="11" t="inlineStr">
        <is>
          <t>section reading (2 of 7)</t>
        </is>
      </c>
      <c r="P1375" s="10" t="inlineStr"/>
    </row>
    <row r="1376">
      <c r="A1376" s="15" t="n">
        <v>1375</v>
      </c>
      <c r="B1376" s="15" t="inlineStr">
        <is>
          <t>Part II - The Method Atlas</t>
        </is>
      </c>
      <c r="C1376" s="16" t="inlineStr">
        <is>
          <t>T.4 Chemical probing - what the data actually constrains</t>
        </is>
      </c>
      <c r="D1376" s="10" t="inlineStr">
        <is>
          <t>Automated recognition of functional RNA elements by SHAPE signatures</t>
        </is>
      </c>
      <c r="E1376" s="10" t="inlineStr">
        <is>
          <t>Sharon Aviran (UC Davis</t>
        </is>
      </c>
      <c r="F1376" s="11" t="inlineStr">
        <is>
          <t>46:58</t>
        </is>
      </c>
      <c r="G1376" s="11" t="n">
        <v>0.78</v>
      </c>
      <c r="H1376" s="12" t="inlineStr">
        <is>
          <t>★</t>
        </is>
      </c>
      <c r="I1376" s="11" t="inlineStr">
        <is>
          <t>Not started</t>
        </is>
      </c>
      <c r="J1376" s="13" t="n"/>
      <c r="K1376" s="10" t="inlineStr"/>
      <c r="L1376" s="14" t="inlineStr">
        <is>
          <t>▶ watch</t>
        </is>
      </c>
      <c r="M1376" s="10" t="inlineStr">
        <is>
          <t>Merino et al. 2005, JACS 127:4223 (SHAPE)</t>
        </is>
      </c>
      <c r="N1376" s="14" t="inlineStr">
        <is>
          <t>read ↗</t>
        </is>
      </c>
      <c r="O1376" s="11" t="inlineStr">
        <is>
          <t>names SHAPE</t>
        </is>
      </c>
      <c r="P1376" s="10" t="inlineStr"/>
    </row>
    <row r="1377">
      <c r="A1377" s="15" t="n">
        <v>1376</v>
      </c>
      <c r="B1377" s="15" t="inlineStr">
        <is>
          <t>Part II - The Method Atlas</t>
        </is>
      </c>
      <c r="C1377" s="16" t="inlineStr">
        <is>
          <t>T.4 Chemical probing - what the data actually constrains</t>
        </is>
      </c>
      <c r="D1377" s="10" t="inlineStr">
        <is>
          <t>Sparse Reconstruction of RNA Structure Landscapes</t>
        </is>
      </c>
      <c r="E1377" s="10" t="inlineStr">
        <is>
          <t>Sharon Aviran (UC Davis</t>
        </is>
      </c>
      <c r="F1377" s="11" t="inlineStr">
        <is>
          <t>48:30</t>
        </is>
      </c>
      <c r="G1377" s="11" t="n">
        <v>0.8100000000000001</v>
      </c>
      <c r="H1377" s="12" t="inlineStr">
        <is>
          <t>★</t>
        </is>
      </c>
      <c r="I1377" s="11" t="inlineStr">
        <is>
          <t>Not started</t>
        </is>
      </c>
      <c r="J1377" s="13" t="n"/>
      <c r="K1377" s="10" t="inlineStr"/>
      <c r="L1377" s="14" t="inlineStr">
        <is>
          <t>▶ watch</t>
        </is>
      </c>
      <c r="M1377" s="10" t="inlineStr">
        <is>
          <t>Merino et al. 2005, JACS 127:4223 (SHAPE) · Deigan et al. 2009, PNAS 106:97</t>
        </is>
      </c>
      <c r="N1377" s="14" t="inlineStr">
        <is>
          <t>read ↗</t>
        </is>
      </c>
      <c r="O1377" s="11" t="inlineStr">
        <is>
          <t>section reading (2 of 7)</t>
        </is>
      </c>
      <c r="P1377" s="10" t="inlineStr"/>
    </row>
    <row r="1378">
      <c r="A1378" s="15" t="n">
        <v>1377</v>
      </c>
      <c r="B1378" s="15" t="inlineStr">
        <is>
          <t>Part II - The Method Atlas</t>
        </is>
      </c>
      <c r="C1378" s="16" t="inlineStr">
        <is>
          <t>T.4 Chemical probing - what the data actually constrains</t>
        </is>
      </c>
      <c r="D1378" s="10" t="inlineStr">
        <is>
          <t>Visualizing RNA Structural Dynamics Using NMR</t>
        </is>
      </c>
      <c r="E1378" s="10" t="inlineStr">
        <is>
          <t>Hashim Al-Hashimi (Columbia</t>
        </is>
      </c>
      <c r="F1378" s="11" t="inlineStr">
        <is>
          <t>20:52</t>
        </is>
      </c>
      <c r="G1378" s="11" t="n">
        <v>0.35</v>
      </c>
      <c r="H1378" s="12" t="inlineStr">
        <is>
          <t>★</t>
        </is>
      </c>
      <c r="I1378" s="11" t="inlineStr">
        <is>
          <t>Not started</t>
        </is>
      </c>
      <c r="J1378" s="13" t="n"/>
      <c r="K1378" s="10" t="inlineStr"/>
      <c r="L1378" s="14" t="inlineStr">
        <is>
          <t>▶ watch</t>
        </is>
      </c>
      <c r="M1378" s="10" t="inlineStr">
        <is>
          <t>Merino et al. 2005, JACS 127:4223 (SHAPE) · Deigan et al. 2009, PNAS 106:97</t>
        </is>
      </c>
      <c r="N1378" s="14" t="inlineStr">
        <is>
          <t>read ↗</t>
        </is>
      </c>
      <c r="O1378" s="11" t="inlineStr">
        <is>
          <t>section reading (2 of 7)</t>
        </is>
      </c>
      <c r="P1378" s="10" t="inlineStr"/>
    </row>
    <row r="1379">
      <c r="A1379" s="15" t="n">
        <v>1378</v>
      </c>
      <c r="B1379" s="15" t="inlineStr">
        <is>
          <t>Part II - The Method Atlas</t>
        </is>
      </c>
      <c r="C1379" s="16" t="inlineStr">
        <is>
          <t>T.4 Chemical probing - what the data actually constrains</t>
        </is>
      </c>
      <c r="D1379" s="10" t="inlineStr">
        <is>
          <t>NMR contributions to RNA structural biology and viral genomes</t>
        </is>
      </c>
      <c r="E1379" s="10" t="inlineStr">
        <is>
          <t>Harald Schwalbe (Frankfurt</t>
        </is>
      </c>
      <c r="F1379" s="11" t="inlineStr">
        <is>
          <t>1:01:32</t>
        </is>
      </c>
      <c r="G1379" s="11" t="n">
        <v>1.03</v>
      </c>
      <c r="H1379" s="12" t="inlineStr"/>
      <c r="I1379" s="11" t="inlineStr">
        <is>
          <t>Not started</t>
        </is>
      </c>
      <c r="J1379" s="13" t="n"/>
      <c r="K1379" s="10" t="inlineStr"/>
      <c r="L1379" s="14" t="inlineStr">
        <is>
          <t>▶ watch</t>
        </is>
      </c>
      <c r="M1379" s="10" t="inlineStr">
        <is>
          <t>Merino et al. 2005, JACS 127:4223 (SHAPE) · Deigan et al. 2009, PNAS 106:97</t>
        </is>
      </c>
      <c r="N1379" s="14" t="inlineStr">
        <is>
          <t>read ↗</t>
        </is>
      </c>
      <c r="O1379" s="11" t="inlineStr">
        <is>
          <t>section reading (2 of 7)</t>
        </is>
      </c>
      <c r="P1379" s="10" t="inlineStr"/>
    </row>
    <row r="1380">
      <c r="A1380" s="15" t="n">
        <v>1379</v>
      </c>
      <c r="B1380" s="15" t="inlineStr">
        <is>
          <t>Part II - The Method Atlas</t>
        </is>
      </c>
      <c r="C1380" s="16" t="inlineStr">
        <is>
          <t>T.4 Chemical probing - what the data actually constrains</t>
        </is>
      </c>
      <c r="D1380" s="10" t="inlineStr">
        <is>
          <t>Hydroxyl radical footprinting</t>
        </is>
      </c>
      <c r="E1380" s="10" t="inlineStr">
        <is>
          <t>Schlatterer (Brenowitz lab</t>
        </is>
      </c>
      <c r="F1380" s="11" t="inlineStr">
        <is>
          <t>13:40</t>
        </is>
      </c>
      <c r="G1380" s="11" t="n">
        <v>0.23</v>
      </c>
      <c r="H1380" s="12" t="inlineStr"/>
      <c r="I1380" s="11" t="inlineStr">
        <is>
          <t>Not started</t>
        </is>
      </c>
      <c r="J1380" s="13" t="n"/>
      <c r="K1380" s="10" t="inlineStr"/>
      <c r="L1380" s="14" t="inlineStr">
        <is>
          <t>▶ watch</t>
        </is>
      </c>
      <c r="M1380" s="10" t="inlineStr">
        <is>
          <t>Merino et al. 2005, JACS 127:4223 (SHAPE) · Deigan et al. 2009, PNAS 106:97</t>
        </is>
      </c>
      <c r="N1380" s="14" t="inlineStr">
        <is>
          <t>read ↗</t>
        </is>
      </c>
      <c r="O1380" s="11" t="inlineStr">
        <is>
          <t>section reading (2 of 7)</t>
        </is>
      </c>
      <c r="P1380" s="10" t="inlineStr"/>
    </row>
    <row r="1381">
      <c r="A1381" s="15" t="n">
        <v>1380</v>
      </c>
      <c r="B1381" s="15" t="inlineStr">
        <is>
          <t>Part II - The Method Atlas</t>
        </is>
      </c>
      <c r="C1381" s="16" t="inlineStr">
        <is>
          <t>T.5 Ribozymes and catalytic RNA</t>
        </is>
      </c>
      <c r="D1381" s="10" t="inlineStr">
        <is>
          <t>Discovering Ribozymes</t>
        </is>
      </c>
      <c r="E1381" s="10" t="inlineStr">
        <is>
          <t>Tom Cech (iBiology</t>
        </is>
      </c>
      <c r="F1381" s="11" t="inlineStr">
        <is>
          <t>10:06</t>
        </is>
      </c>
      <c r="G1381" s="11" t="n">
        <v>0.17</v>
      </c>
      <c r="H1381" s="12" t="inlineStr">
        <is>
          <t>★</t>
        </is>
      </c>
      <c r="I1381" s="11" t="inlineStr">
        <is>
          <t>Not started</t>
        </is>
      </c>
      <c r="J1381" s="13" t="n"/>
      <c r="K1381" s="10" t="inlineStr"/>
      <c r="L1381" s="14" t="inlineStr">
        <is>
          <t>▶ watch</t>
        </is>
      </c>
      <c r="M1381" s="10" t="inlineStr">
        <is>
          <t>Kruger et al. 1982, Cell 31:147 · Guerrier-Takada et al. 1983, Cell 35:849</t>
        </is>
      </c>
      <c r="N1381" s="14" t="inlineStr">
        <is>
          <t>read ↗</t>
        </is>
      </c>
      <c r="O1381" s="11" t="inlineStr">
        <is>
          <t>section reading (2 of 7)</t>
        </is>
      </c>
      <c r="P1381" s="10" t="inlineStr"/>
    </row>
    <row r="1382">
      <c r="A1382" s="15" t="n">
        <v>1381</v>
      </c>
      <c r="B1382" s="15" t="inlineStr">
        <is>
          <t>Part II - The Method Atlas</t>
        </is>
      </c>
      <c r="C1382" s="16" t="inlineStr">
        <is>
          <t>T.5 Ribozymes and catalytic RNA</t>
        </is>
      </c>
      <c r="D1382" s="10" t="inlineStr">
        <is>
          <t>Ribozymes, Telomerase, Aging, and Cancer</t>
        </is>
      </c>
      <c r="E1382" s="10" t="inlineStr">
        <is>
          <t>Tom Cech</t>
        </is>
      </c>
      <c r="F1382" s="11" t="inlineStr">
        <is>
          <t>1:16:44</t>
        </is>
      </c>
      <c r="G1382" s="11" t="n">
        <v>1.28</v>
      </c>
      <c r="H1382" s="12" t="inlineStr"/>
      <c r="I1382" s="11" t="inlineStr">
        <is>
          <t>Not started</t>
        </is>
      </c>
      <c r="J1382" s="13" t="n"/>
      <c r="K1382" s="10" t="inlineStr"/>
      <c r="L1382" s="14" t="inlineStr">
        <is>
          <t>▶ watch</t>
        </is>
      </c>
      <c r="M1382" s="10" t="inlineStr">
        <is>
          <t>Kruger et al. 1982, Cell 31:147 · Guerrier-Takada et al. 1983, Cell 35:849</t>
        </is>
      </c>
      <c r="N1382" s="14" t="inlineStr">
        <is>
          <t>read ↗</t>
        </is>
      </c>
      <c r="O1382" s="11" t="inlineStr">
        <is>
          <t>section reading (2 of 7)</t>
        </is>
      </c>
      <c r="P1382" s="10" t="inlineStr"/>
    </row>
    <row r="1383">
      <c r="A1383" s="15" t="n">
        <v>1382</v>
      </c>
      <c r="B1383" s="15" t="inlineStr">
        <is>
          <t>Part II - The Method Atlas</t>
        </is>
      </c>
      <c r="C1383" s="16" t="inlineStr">
        <is>
          <t>T.5 Ribozymes and catalytic RNA</t>
        </is>
      </c>
      <c r="D1383" s="10" t="inlineStr">
        <is>
          <t>The Magic of RNA: From CRISPR to Coronavirus Vaccines</t>
        </is>
      </c>
      <c r="E1383" s="10" t="inlineStr">
        <is>
          <t>Tom Cech</t>
        </is>
      </c>
      <c r="F1383" s="11" t="inlineStr">
        <is>
          <t>1:06:18</t>
        </is>
      </c>
      <c r="G1383" s="11" t="n">
        <v>1.1</v>
      </c>
      <c r="H1383" s="12" t="inlineStr"/>
      <c r="I1383" s="11" t="inlineStr">
        <is>
          <t>Not started</t>
        </is>
      </c>
      <c r="J1383" s="13" t="n"/>
      <c r="K1383" s="10" t="inlineStr"/>
      <c r="L1383" s="14" t="inlineStr">
        <is>
          <t>▶ watch</t>
        </is>
      </c>
      <c r="M1383" s="10" t="inlineStr">
        <is>
          <t>Kruger et al. 1982, Cell 31:147 · Guerrier-Takada et al. 1983, Cell 35:849</t>
        </is>
      </c>
      <c r="N1383" s="14" t="inlineStr">
        <is>
          <t>read ↗</t>
        </is>
      </c>
      <c r="O1383" s="11" t="inlineStr">
        <is>
          <t>section reading (2 of 7)</t>
        </is>
      </c>
      <c r="P1383" s="10" t="inlineStr"/>
    </row>
    <row r="1384">
      <c r="A1384" s="15" t="n">
        <v>1383</v>
      </c>
      <c r="B1384" s="15" t="inlineStr">
        <is>
          <t>Part II - The Method Atlas</t>
        </is>
      </c>
      <c r="C1384" s="16" t="inlineStr">
        <is>
          <t>T.5 Ribozymes and catalytic RNA</t>
        </is>
      </c>
      <c r="D1384" s="10" t="inlineStr">
        <is>
          <t>Ribonuclease P: A Small Step in the RNA World</t>
        </is>
      </c>
      <c r="E1384" s="10" t="inlineStr">
        <is>
          <t>Sidney Altman (Yale</t>
        </is>
      </c>
      <c r="F1384" s="11" t="inlineStr">
        <is>
          <t>51:01</t>
        </is>
      </c>
      <c r="G1384" s="11" t="n">
        <v>0.85</v>
      </c>
      <c r="H1384" s="12" t="inlineStr">
        <is>
          <t>★</t>
        </is>
      </c>
      <c r="I1384" s="11" t="inlineStr">
        <is>
          <t>Not started</t>
        </is>
      </c>
      <c r="J1384" s="13" t="n"/>
      <c r="K1384" s="10" t="inlineStr"/>
      <c r="L1384" s="14" t="inlineStr">
        <is>
          <t>▶ watch</t>
        </is>
      </c>
      <c r="M1384" s="10" t="inlineStr">
        <is>
          <t>Kruger et al. 1982, Cell 31:147 · Guerrier-Takada et al. 1983, Cell 35:849</t>
        </is>
      </c>
      <c r="N1384" s="14" t="inlineStr">
        <is>
          <t>read ↗</t>
        </is>
      </c>
      <c r="O1384" s="11" t="inlineStr">
        <is>
          <t>section reading (2 of 7)</t>
        </is>
      </c>
      <c r="P1384" s="10" t="inlineStr"/>
    </row>
    <row r="1385">
      <c r="A1385" s="15" t="n">
        <v>1384</v>
      </c>
      <c r="B1385" s="15" t="inlineStr">
        <is>
          <t>Part II - The Method Atlas</t>
        </is>
      </c>
      <c r="C1385" s="16" t="inlineStr">
        <is>
          <t>T.5 Ribozymes and catalytic RNA</t>
        </is>
      </c>
      <c r="D1385" s="10" t="inlineStr">
        <is>
          <t>How does RNA act like an enzyme?</t>
        </is>
      </c>
      <c r="E1385" s="10" t="inlineStr">
        <is>
          <t>David Lilley (Dundee</t>
        </is>
      </c>
      <c r="F1385" s="11" t="inlineStr">
        <is>
          <t>38:28</t>
        </is>
      </c>
      <c r="G1385" s="11" t="n">
        <v>0.64</v>
      </c>
      <c r="H1385" s="12" t="inlineStr">
        <is>
          <t>★</t>
        </is>
      </c>
      <c r="I1385" s="11" t="inlineStr">
        <is>
          <t>Not started</t>
        </is>
      </c>
      <c r="J1385" s="13" t="n"/>
      <c r="K1385" s="10" t="inlineStr"/>
      <c r="L1385" s="14" t="inlineStr">
        <is>
          <t>▶ watch</t>
        </is>
      </c>
      <c r="M1385" s="10" t="inlineStr">
        <is>
          <t>Lilley 2011, Phil Trans R Soc B 366:2910</t>
        </is>
      </c>
      <c r="N1385" s="14" t="inlineStr">
        <is>
          <t>read ↗</t>
        </is>
      </c>
      <c r="O1385" s="11" t="inlineStr">
        <is>
          <t>paired reading</t>
        </is>
      </c>
      <c r="P1385" s="10" t="inlineStr"/>
    </row>
    <row r="1386">
      <c r="A1386" s="15" t="n">
        <v>1385</v>
      </c>
      <c r="B1386" s="15" t="inlineStr">
        <is>
          <t>Part II - The Method Atlas</t>
        </is>
      </c>
      <c r="C1386" s="16" t="inlineStr">
        <is>
          <t>T.5 Ribozymes and catalytic RNA</t>
        </is>
      </c>
      <c r="D1386" s="10" t="inlineStr">
        <is>
          <t>The extent of RNA catalysis - are there any limits?</t>
        </is>
      </c>
      <c r="E1386" s="10" t="inlineStr">
        <is>
          <t>David Lilley (MRC LMB</t>
        </is>
      </c>
      <c r="F1386" s="11" t="inlineStr">
        <is>
          <t>34:20</t>
        </is>
      </c>
      <c r="G1386" s="11" t="n">
        <v>0.57</v>
      </c>
      <c r="H1386" s="12" t="inlineStr"/>
      <c r="I1386" s="11" t="inlineStr">
        <is>
          <t>Not started</t>
        </is>
      </c>
      <c r="J1386" s="13" t="n"/>
      <c r="K1386" s="10" t="inlineStr"/>
      <c r="L1386" s="14" t="inlineStr">
        <is>
          <t>▶ watch</t>
        </is>
      </c>
      <c r="M1386" s="10" t="inlineStr">
        <is>
          <t>Kruger et al. 1982, Cell 31:147 · Guerrier-Takada et al. 1983, Cell 35:849</t>
        </is>
      </c>
      <c r="N1386" s="14" t="inlineStr">
        <is>
          <t>read ↗</t>
        </is>
      </c>
      <c r="O1386" s="11" t="inlineStr">
        <is>
          <t>section reading (2 of 7)</t>
        </is>
      </c>
      <c r="P1386" s="10" t="inlineStr"/>
    </row>
    <row r="1387">
      <c r="A1387" s="15" t="n">
        <v>1386</v>
      </c>
      <c r="B1387" s="15" t="inlineStr">
        <is>
          <t>Part II - The Method Atlas</t>
        </is>
      </c>
      <c r="C1387" s="16" t="inlineStr">
        <is>
          <t>T.5 Ribozymes and catalytic RNA</t>
        </is>
      </c>
      <c r="D1387" s="10" t="inlineStr">
        <is>
          <t>From Structure and Function of Ribosomes to New Antibiotics</t>
        </is>
      </c>
      <c r="E1387" s="10" t="inlineStr">
        <is>
          <t>Thomas Steitz (Yale</t>
        </is>
      </c>
      <c r="F1387" s="11" t="inlineStr">
        <is>
          <t>51:04</t>
        </is>
      </c>
      <c r="G1387" s="11" t="n">
        <v>0.85</v>
      </c>
      <c r="H1387" s="12" t="inlineStr">
        <is>
          <t>★</t>
        </is>
      </c>
      <c r="I1387" s="11" t="inlineStr">
        <is>
          <t>Not started</t>
        </is>
      </c>
      <c r="J1387" s="13" t="n"/>
      <c r="K1387" s="10" t="inlineStr"/>
      <c r="L1387" s="14" t="inlineStr">
        <is>
          <t>▶ watch</t>
        </is>
      </c>
      <c r="M1387" s="10" t="inlineStr">
        <is>
          <t>Kruger et al. 1982, Cell 31:147 · Guerrier-Takada et al. 1983, Cell 35:849</t>
        </is>
      </c>
      <c r="N1387" s="14" t="inlineStr">
        <is>
          <t>read ↗</t>
        </is>
      </c>
      <c r="O1387" s="11" t="inlineStr">
        <is>
          <t>section reading (2 of 7)</t>
        </is>
      </c>
      <c r="P1387" s="10" t="inlineStr"/>
    </row>
    <row r="1388">
      <c r="A1388" s="15" t="n">
        <v>1387</v>
      </c>
      <c r="B1388" s="15" t="inlineStr">
        <is>
          <t>Part II - The Method Atlas</t>
        </is>
      </c>
      <c r="C1388" s="16" t="inlineStr">
        <is>
          <t>T.5 Ribozymes and catalytic RNA</t>
        </is>
      </c>
      <c r="D1388" s="10" t="inlineStr">
        <is>
          <t>The Amazing Ribosome and its Origin</t>
        </is>
      </c>
      <c r="E1388" s="10" t="inlineStr">
        <is>
          <t>Ada Yonath (Weizmann</t>
        </is>
      </c>
      <c r="F1388" s="11" t="inlineStr">
        <is>
          <t>1:34:41</t>
        </is>
      </c>
      <c r="G1388" s="11" t="n">
        <v>1.58</v>
      </c>
      <c r="H1388" s="12" t="inlineStr">
        <is>
          <t>★</t>
        </is>
      </c>
      <c r="I1388" s="11" t="inlineStr">
        <is>
          <t>Not started</t>
        </is>
      </c>
      <c r="J1388" s="13" t="n"/>
      <c r="K1388" s="10" t="inlineStr"/>
      <c r="L1388" s="14" t="inlineStr">
        <is>
          <t>▶ watch</t>
        </is>
      </c>
      <c r="M1388" s="10" t="inlineStr">
        <is>
          <t>Kruger et al. 1982, Cell 31:147 · Guerrier-Takada et al. 1983, Cell 35:849</t>
        </is>
      </c>
      <c r="N1388" s="14" t="inlineStr">
        <is>
          <t>read ↗</t>
        </is>
      </c>
      <c r="O1388" s="11" t="inlineStr">
        <is>
          <t>section reading (2 of 7)</t>
        </is>
      </c>
      <c r="P1388" s="10" t="inlineStr"/>
    </row>
    <row r="1389">
      <c r="A1389" s="15" t="n">
        <v>1388</v>
      </c>
      <c r="B1389" s="15" t="inlineStr">
        <is>
          <t>Part II - The Method Atlas</t>
        </is>
      </c>
      <c r="C1389" s="16" t="inlineStr">
        <is>
          <t>T.5 Ribozymes and catalytic RNA</t>
        </is>
      </c>
      <c r="D1389" s="10" t="inlineStr">
        <is>
          <t>Ribosomal RNA: The Kernel of Life</t>
        </is>
      </c>
      <c r="E1389" s="10" t="inlineStr">
        <is>
          <t>Harry Noller (UCSC</t>
        </is>
      </c>
      <c r="F1389" s="11" t="inlineStr">
        <is>
          <t>39:58</t>
        </is>
      </c>
      <c r="G1389" s="11" t="n">
        <v>0.67</v>
      </c>
      <c r="H1389" s="12" t="inlineStr">
        <is>
          <t>★</t>
        </is>
      </c>
      <c r="I1389" s="11" t="inlineStr">
        <is>
          <t>Not started</t>
        </is>
      </c>
      <c r="J1389" s="13" t="n"/>
      <c r="K1389" s="10" t="inlineStr"/>
      <c r="L1389" s="14" t="inlineStr">
        <is>
          <t>▶ watch</t>
        </is>
      </c>
      <c r="M1389" s="10" t="inlineStr">
        <is>
          <t>Kruger et al. 1982, Cell 31:147 · Guerrier-Takada et al. 1983, Cell 35:849</t>
        </is>
      </c>
      <c r="N1389" s="14" t="inlineStr">
        <is>
          <t>read ↗</t>
        </is>
      </c>
      <c r="O1389" s="11" t="inlineStr">
        <is>
          <t>section reading (2 of 7)</t>
        </is>
      </c>
      <c r="P1389" s="10" t="inlineStr"/>
    </row>
    <row r="1390">
      <c r="A1390" s="15" t="n">
        <v>1389</v>
      </c>
      <c r="B1390" s="15" t="inlineStr">
        <is>
          <t>Part II - The Method Atlas</t>
        </is>
      </c>
      <c r="C1390" s="16" t="inlineStr">
        <is>
          <t>T.5 Ribozymes and catalytic RNA</t>
        </is>
      </c>
      <c r="D1390" s="10" t="inlineStr">
        <is>
          <t>The Story of Deciphering the Ribosome</t>
        </is>
      </c>
      <c r="E1390" s="10" t="inlineStr">
        <is>
          <t>Venki Ramakrishnan (MRC LMB</t>
        </is>
      </c>
      <c r="F1390" s="11" t="inlineStr">
        <is>
          <t>1:06:42</t>
        </is>
      </c>
      <c r="G1390" s="11" t="n">
        <v>1.11</v>
      </c>
      <c r="H1390" s="12" t="inlineStr">
        <is>
          <t>★</t>
        </is>
      </c>
      <c r="I1390" s="11" t="inlineStr">
        <is>
          <t>Not started</t>
        </is>
      </c>
      <c r="J1390" s="13" t="n"/>
      <c r="K1390" s="10" t="inlineStr"/>
      <c r="L1390" s="14" t="inlineStr">
        <is>
          <t>▶ watch</t>
        </is>
      </c>
      <c r="M1390" s="10" t="inlineStr">
        <is>
          <t>Kruger et al. 1982, Cell 31:147 · Guerrier-Takada et al. 1983, Cell 35:849</t>
        </is>
      </c>
      <c r="N1390" s="14" t="inlineStr">
        <is>
          <t>read ↗</t>
        </is>
      </c>
      <c r="O1390" s="11" t="inlineStr">
        <is>
          <t>section reading (2 of 7)</t>
        </is>
      </c>
      <c r="P1390" s="10" t="inlineStr"/>
    </row>
    <row r="1391">
      <c r="A1391" s="15" t="n">
        <v>1390</v>
      </c>
      <c r="B1391" s="15" t="inlineStr">
        <is>
          <t>Part II - The Method Atlas</t>
        </is>
      </c>
      <c r="C1391" s="16" t="inlineStr">
        <is>
          <t>T.5 Ribozymes and catalytic RNA</t>
        </is>
      </c>
      <c r="D1391" s="10" t="inlineStr">
        <is>
          <t>ASBMB Plenary Lecture (group II introns</t>
        </is>
      </c>
      <c r="E1391" s="10" t="inlineStr">
        <is>
          <t>Anna Marie Pyle (Yale</t>
        </is>
      </c>
      <c r="F1391" s="11" t="inlineStr">
        <is>
          <t>38:44</t>
        </is>
      </c>
      <c r="G1391" s="11" t="n">
        <v>0.65</v>
      </c>
      <c r="H1391" s="12" t="inlineStr">
        <is>
          <t>★</t>
        </is>
      </c>
      <c r="I1391" s="11" t="inlineStr">
        <is>
          <t>Not started</t>
        </is>
      </c>
      <c r="J1391" s="13" t="n"/>
      <c r="K1391" s="10" t="inlineStr"/>
      <c r="L1391" s="14" t="inlineStr">
        <is>
          <t>▶ watch</t>
        </is>
      </c>
      <c r="M1391" s="10" t="inlineStr">
        <is>
          <t>Kruger et al. 1982, Cell 31:147 · Guerrier-Takada et al. 1983, Cell 35:849</t>
        </is>
      </c>
      <c r="N1391" s="14" t="inlineStr">
        <is>
          <t>read ↗</t>
        </is>
      </c>
      <c r="O1391" s="11" t="inlineStr">
        <is>
          <t>section reading (2 of 7)</t>
        </is>
      </c>
      <c r="P1391" s="10" t="inlineStr"/>
    </row>
    <row r="1392">
      <c r="A1392" s="15" t="n">
        <v>1391</v>
      </c>
      <c r="B1392" s="15" t="inlineStr">
        <is>
          <t>Part II - The Method Atlas</t>
        </is>
      </c>
      <c r="C1392" s="16" t="inlineStr">
        <is>
          <t>T.5 Ribozymes and catalytic RNA</t>
        </is>
      </c>
      <c r="D1392" s="10" t="inlineStr">
        <is>
          <t>Pyle Part 1: RNA Structure (iBiology</t>
        </is>
      </c>
      <c r="E1392" s="10" t="inlineStr">
        <is>
          <t>Anna Marie Pyle</t>
        </is>
      </c>
      <c r="F1392" s="11" t="inlineStr">
        <is>
          <t>23:04</t>
        </is>
      </c>
      <c r="G1392" s="11" t="n">
        <v>0.38</v>
      </c>
      <c r="H1392" s="12" t="inlineStr">
        <is>
          <t>★</t>
        </is>
      </c>
      <c r="I1392" s="11" t="inlineStr">
        <is>
          <t>Not started</t>
        </is>
      </c>
      <c r="J1392" s="13" t="n"/>
      <c r="K1392" s="10" t="inlineStr"/>
      <c r="L1392" s="14" t="inlineStr">
        <is>
          <t>▶ watch</t>
        </is>
      </c>
      <c r="M1392" s="10" t="inlineStr">
        <is>
          <t>Kruger et al. 1982, Cell 31:147 · Guerrier-Takada et al. 1983, Cell 35:849</t>
        </is>
      </c>
      <c r="N1392" s="14" t="inlineStr">
        <is>
          <t>read ↗</t>
        </is>
      </c>
      <c r="O1392" s="11" t="inlineStr">
        <is>
          <t>section reading (2 of 7)</t>
        </is>
      </c>
      <c r="P1392" s="10" t="inlineStr"/>
    </row>
    <row r="1393">
      <c r="A1393" s="15" t="n">
        <v>1392</v>
      </c>
      <c r="B1393" s="15" t="inlineStr">
        <is>
          <t>Part II - The Method Atlas</t>
        </is>
      </c>
      <c r="C1393" s="16" t="inlineStr">
        <is>
          <t>T.5 Ribozymes and catalytic RNA</t>
        </is>
      </c>
      <c r="D1393" s="10" t="inlineStr">
        <is>
          <t>Pyle Part 2: Inside an RNA Splicing Machine</t>
        </is>
      </c>
      <c r="E1393" s="10" t="inlineStr">
        <is>
          <t>Anna Marie Pyle</t>
        </is>
      </c>
      <c r="F1393" s="11" t="inlineStr">
        <is>
          <t>28:55</t>
        </is>
      </c>
      <c r="G1393" s="11" t="n">
        <v>0.48</v>
      </c>
      <c r="H1393" s="12" t="inlineStr"/>
      <c r="I1393" s="11" t="inlineStr">
        <is>
          <t>Not started</t>
        </is>
      </c>
      <c r="J1393" s="13" t="n"/>
      <c r="K1393" s="10" t="inlineStr"/>
      <c r="L1393" s="14" t="inlineStr">
        <is>
          <t>▶ watch</t>
        </is>
      </c>
      <c r="M1393" s="10" t="inlineStr">
        <is>
          <t>Kruger et al. 1982, Cell 31:147 · Guerrier-Takada et al. 1983, Cell 35:849</t>
        </is>
      </c>
      <c r="N1393" s="14" t="inlineStr">
        <is>
          <t>read ↗</t>
        </is>
      </c>
      <c r="O1393" s="11" t="inlineStr">
        <is>
          <t>section reading (2 of 7)</t>
        </is>
      </c>
      <c r="P1393" s="10" t="inlineStr"/>
    </row>
    <row r="1394">
      <c r="A1394" s="15" t="n">
        <v>1393</v>
      </c>
      <c r="B1394" s="15" t="inlineStr">
        <is>
          <t>Part II - The Method Atlas</t>
        </is>
      </c>
      <c r="C1394" s="16" t="inlineStr">
        <is>
          <t>T.5 Ribozymes and catalytic RNA</t>
        </is>
      </c>
      <c r="D1394" s="10" t="inlineStr">
        <is>
          <t>Pyle Part 3: RNA Helicases</t>
        </is>
      </c>
      <c r="E1394" s="10" t="inlineStr">
        <is>
          <t>Anna Marie Pyle</t>
        </is>
      </c>
      <c r="F1394" s="11" t="inlineStr">
        <is>
          <t>32:16</t>
        </is>
      </c>
      <c r="G1394" s="11" t="n">
        <v>0.54</v>
      </c>
      <c r="H1394" s="12" t="inlineStr"/>
      <c r="I1394" s="11" t="inlineStr">
        <is>
          <t>Not started</t>
        </is>
      </c>
      <c r="J1394" s="13" t="n"/>
      <c r="K1394" s="10" t="inlineStr"/>
      <c r="L1394" s="14" t="inlineStr">
        <is>
          <t>▶ watch</t>
        </is>
      </c>
      <c r="M1394" s="10" t="inlineStr">
        <is>
          <t>Kruger et al. 1982, Cell 31:147 · Guerrier-Takada et al. 1983, Cell 35:849</t>
        </is>
      </c>
      <c r="N1394" s="14" t="inlineStr">
        <is>
          <t>read ↗</t>
        </is>
      </c>
      <c r="O1394" s="11" t="inlineStr">
        <is>
          <t>section reading (2 of 7)</t>
        </is>
      </c>
      <c r="P1394" s="10" t="inlineStr"/>
    </row>
    <row r="1395">
      <c r="A1395" s="15" t="n">
        <v>1394</v>
      </c>
      <c r="B1395" s="15" t="inlineStr">
        <is>
          <t>Part II - The Method Atlas</t>
        </is>
      </c>
      <c r="C1395" s="16" t="inlineStr">
        <is>
          <t>T.5 Ribozymes and catalytic RNA</t>
        </is>
      </c>
      <c r="D1395" s="10" t="inlineStr">
        <is>
          <t>Evolution of Nucleic Acids Under Abiological Conditions</t>
        </is>
      </c>
      <c r="E1395" s="10" t="inlineStr">
        <is>
          <t>Gerald Joyce (Scripps</t>
        </is>
      </c>
      <c r="F1395" s="11" t="inlineStr">
        <is>
          <t>23:38</t>
        </is>
      </c>
      <c r="G1395" s="11" t="n">
        <v>0.39</v>
      </c>
      <c r="H1395" s="12" t="inlineStr">
        <is>
          <t>★</t>
        </is>
      </c>
      <c r="I1395" s="11" t="inlineStr">
        <is>
          <t>Not started</t>
        </is>
      </c>
      <c r="J1395" s="13" t="n"/>
      <c r="K1395" s="10" t="inlineStr"/>
      <c r="L1395" s="14" t="inlineStr">
        <is>
          <t>▶ watch</t>
        </is>
      </c>
      <c r="M1395" s="10" t="inlineStr">
        <is>
          <t>Kruger et al. 1982, Cell 31:147 · Guerrier-Takada et al. 1983, Cell 35:849</t>
        </is>
      </c>
      <c r="N1395" s="14" t="inlineStr">
        <is>
          <t>read ↗</t>
        </is>
      </c>
      <c r="O1395" s="11" t="inlineStr">
        <is>
          <t>section reading (2 of 7)</t>
        </is>
      </c>
      <c r="P1395" s="10" t="inlineStr"/>
    </row>
    <row r="1396">
      <c r="A1396" s="15" t="n">
        <v>1395</v>
      </c>
      <c r="B1396" s="15" t="inlineStr">
        <is>
          <t>Part II - The Method Atlas</t>
        </is>
      </c>
      <c r="C1396" s="16" t="inlineStr">
        <is>
          <t>T.5 Ribozymes and catalytic RNA</t>
        </is>
      </c>
      <c r="D1396" s="10" t="inlineStr">
        <is>
          <t>Self-replicating synthetic systems</t>
        </is>
      </c>
      <c r="E1396" s="10" t="inlineStr">
        <is>
          <t>Gerald Joyce</t>
        </is>
      </c>
      <c r="F1396" s="11" t="inlineStr">
        <is>
          <t>34:43</t>
        </is>
      </c>
      <c r="G1396" s="11" t="n">
        <v>0.58</v>
      </c>
      <c r="H1396" s="12" t="inlineStr"/>
      <c r="I1396" s="11" t="inlineStr">
        <is>
          <t>Not started</t>
        </is>
      </c>
      <c r="J1396" s="13" t="n"/>
      <c r="K1396" s="10" t="inlineStr"/>
      <c r="L1396" s="14" t="inlineStr">
        <is>
          <t>▶ watch</t>
        </is>
      </c>
      <c r="M1396" s="10" t="inlineStr">
        <is>
          <t>Kruger et al. 1982, Cell 31:147 · Guerrier-Takada et al. 1983, Cell 35:849</t>
        </is>
      </c>
      <c r="N1396" s="14" t="inlineStr">
        <is>
          <t>read ↗</t>
        </is>
      </c>
      <c r="O1396" s="11" t="inlineStr">
        <is>
          <t>section reading (2 of 7)</t>
        </is>
      </c>
      <c r="P1396" s="10" t="inlineStr"/>
    </row>
    <row r="1397">
      <c r="A1397" s="15" t="n">
        <v>1396</v>
      </c>
      <c r="B1397" s="15" t="inlineStr">
        <is>
          <t>Part II - The Method Atlas</t>
        </is>
      </c>
      <c r="C1397" s="16" t="inlineStr">
        <is>
          <t>T.5 Ribozymes and catalytic RNA</t>
        </is>
      </c>
      <c r="D1397" s="10" t="inlineStr">
        <is>
          <t>RNA polymerase ribozyme program</t>
        </is>
      </c>
      <c r="E1397" s="10" t="inlineStr">
        <is>
          <t>Philipp Holliger (MRC LMB</t>
        </is>
      </c>
      <c r="F1397" s="11" t="inlineStr">
        <is>
          <t>1:02:23</t>
        </is>
      </c>
      <c r="G1397" s="11" t="n">
        <v>1.04</v>
      </c>
      <c r="H1397" s="12" t="inlineStr">
        <is>
          <t>★</t>
        </is>
      </c>
      <c r="I1397" s="11" t="inlineStr">
        <is>
          <t>Not started</t>
        </is>
      </c>
      <c r="J1397" s="13" t="n"/>
      <c r="K1397" s="10" t="inlineStr"/>
      <c r="L1397" s="14" t="inlineStr">
        <is>
          <t>▶ watch</t>
        </is>
      </c>
      <c r="M1397" s="10" t="inlineStr">
        <is>
          <t>Kruger et al. 1982, Cell 31:147 · Guerrier-Takada et al. 1983, Cell 35:849</t>
        </is>
      </c>
      <c r="N1397" s="14" t="inlineStr">
        <is>
          <t>read ↗</t>
        </is>
      </c>
      <c r="O1397" s="11" t="inlineStr">
        <is>
          <t>section reading (2 of 7)</t>
        </is>
      </c>
      <c r="P1397" s="10" t="inlineStr"/>
    </row>
    <row r="1398">
      <c r="A1398" s="15" t="n">
        <v>1397</v>
      </c>
      <c r="B1398" s="15" t="inlineStr">
        <is>
          <t>Part II - The Method Atlas</t>
        </is>
      </c>
      <c r="C1398" s="16" t="inlineStr">
        <is>
          <t>T.5 Ribozymes and catalytic RNA</t>
        </is>
      </c>
      <c r="D1398" s="10" t="inlineStr">
        <is>
          <t>The Origin of Cellular Life on Earth</t>
        </is>
      </c>
      <c r="E1398" s="10" t="inlineStr">
        <is>
          <t>Jack Szostak (Harvard</t>
        </is>
      </c>
      <c r="F1398" s="11" t="inlineStr">
        <is>
          <t>54:40</t>
        </is>
      </c>
      <c r="G1398" s="11" t="n">
        <v>0.91</v>
      </c>
      <c r="H1398" s="12" t="inlineStr">
        <is>
          <t>★</t>
        </is>
      </c>
      <c r="I1398" s="11" t="inlineStr">
        <is>
          <t>Not started</t>
        </is>
      </c>
      <c r="J1398" s="13" t="n"/>
      <c r="K1398" s="10" t="inlineStr"/>
      <c r="L1398" s="14" t="inlineStr">
        <is>
          <t>▶ watch</t>
        </is>
      </c>
      <c r="M1398" s="10" t="inlineStr">
        <is>
          <t>Kruger et al. 1982, Cell 31:147 · Guerrier-Takada et al. 1983, Cell 35:849</t>
        </is>
      </c>
      <c r="N1398" s="14" t="inlineStr">
        <is>
          <t>read ↗</t>
        </is>
      </c>
      <c r="O1398" s="11" t="inlineStr">
        <is>
          <t>section reading (2 of 7)</t>
        </is>
      </c>
      <c r="P1398" s="10" t="inlineStr"/>
    </row>
    <row r="1399">
      <c r="A1399" s="15" t="n">
        <v>1398</v>
      </c>
      <c r="B1399" s="15" t="inlineStr">
        <is>
          <t>Part II - The Method Atlas</t>
        </is>
      </c>
      <c r="C1399" s="16" t="inlineStr">
        <is>
          <t>T.5 Ribozymes and catalytic RNA</t>
        </is>
      </c>
      <c r="D1399" s="10" t="inlineStr">
        <is>
          <t>CRISPR systems (Rosalind Franklin Lecture</t>
        </is>
      </c>
      <c r="E1399" s="10" t="inlineStr">
        <is>
          <t>Jennifer Doudna (Berkeley</t>
        </is>
      </c>
      <c r="F1399" s="11" t="inlineStr">
        <is>
          <t>1:15:53</t>
        </is>
      </c>
      <c r="G1399" s="11" t="n">
        <v>1.26</v>
      </c>
      <c r="H1399" s="12" t="inlineStr">
        <is>
          <t>★</t>
        </is>
      </c>
      <c r="I1399" s="11" t="inlineStr">
        <is>
          <t>Not started</t>
        </is>
      </c>
      <c r="J1399" s="13" t="n"/>
      <c r="K1399" s="10" t="inlineStr"/>
      <c r="L1399" s="14" t="inlineStr">
        <is>
          <t>▶ watch</t>
        </is>
      </c>
      <c r="M1399" s="10" t="inlineStr">
        <is>
          <t>Kruger et al. 1982, Cell 31:147 · Guerrier-Takada et al. 1983, Cell 35:849</t>
        </is>
      </c>
      <c r="N1399" s="14" t="inlineStr">
        <is>
          <t>read ↗</t>
        </is>
      </c>
      <c r="O1399" s="11" t="inlineStr">
        <is>
          <t>section reading (2 of 7)</t>
        </is>
      </c>
      <c r="P1399" s="10" t="inlineStr"/>
    </row>
    <row r="1400">
      <c r="A1400" s="15" t="n">
        <v>1399</v>
      </c>
      <c r="B1400" s="15" t="inlineStr">
        <is>
          <t>Part II - The Method Atlas</t>
        </is>
      </c>
      <c r="C1400" s="16" t="inlineStr">
        <is>
          <t>T.6 Riboswitches and RNA regulation</t>
        </is>
      </c>
      <c r="D1400" s="10" t="inlineStr">
        <is>
          <t>(see curriculum section)</t>
        </is>
      </c>
      <c r="E1400" s="10" t="inlineStr"/>
      <c r="F1400" s="11" t="inlineStr"/>
      <c r="G1400" s="11" t="n">
        <v>0</v>
      </c>
      <c r="H1400" s="12" t="inlineStr"/>
      <c r="I1400" s="11" t="inlineStr">
        <is>
          <t>Not started</t>
        </is>
      </c>
      <c r="J1400" s="13" t="n"/>
      <c r="K1400" s="10" t="inlineStr"/>
      <c r="L1400" s="14" t="inlineStr">
        <is>
          <t>▶ watch</t>
        </is>
      </c>
      <c r="M1400" s="10" t="inlineStr">
        <is>
          <t>Winkler, Nahvi &amp; Breaker 2002, Nature 419:952 · Weinberg et al. 2010, Genome Biol 11:R31</t>
        </is>
      </c>
      <c r="N1400" s="14" t="inlineStr">
        <is>
          <t>read ↗</t>
        </is>
      </c>
      <c r="O1400" s="11" t="inlineStr">
        <is>
          <t>section reading (2 of 3)</t>
        </is>
      </c>
      <c r="P1400" s="10" t="inlineStr"/>
    </row>
    <row r="1401">
      <c r="A1401" s="15" t="n">
        <v>1400</v>
      </c>
      <c r="B1401" s="15" t="inlineStr">
        <is>
          <t>Part II - The Method Atlas</t>
        </is>
      </c>
      <c r="C1401" s="16" t="inlineStr">
        <is>
          <t>T.6 Riboswitches and RNA regulation</t>
        </is>
      </c>
      <c r="D1401" s="10" t="inlineStr">
        <is>
          <t>Ancient RNA Relics and Modern Drug Discovery</t>
        </is>
      </c>
      <c r="E1401" s="10" t="inlineStr"/>
      <c r="F1401" s="11" t="inlineStr">
        <is>
          <t>1:10:23</t>
        </is>
      </c>
      <c r="G1401" s="11" t="n">
        <v>1.17</v>
      </c>
      <c r="H1401" s="12" t="inlineStr">
        <is>
          <t>★</t>
        </is>
      </c>
      <c r="I1401" s="11" t="inlineStr">
        <is>
          <t>Not started</t>
        </is>
      </c>
      <c r="J1401" s="13" t="n"/>
      <c r="K1401" s="10" t="inlineStr"/>
      <c r="L1401" s="14" t="inlineStr">
        <is>
          <t>▶ watch</t>
        </is>
      </c>
      <c r="M1401" s="10" t="inlineStr">
        <is>
          <t>Winkler, Nahvi &amp; Breaker 2002, Nature 419:952 · Weinberg et al. 2010, Genome Biol 11:R31</t>
        </is>
      </c>
      <c r="N1401" s="14" t="inlineStr">
        <is>
          <t>read ↗</t>
        </is>
      </c>
      <c r="O1401" s="11" t="inlineStr">
        <is>
          <t>section reading (2 of 3)</t>
        </is>
      </c>
      <c r="P1401" s="10" t="inlineStr"/>
    </row>
    <row r="1402">
      <c r="A1402" s="15" t="n">
        <v>1401</v>
      </c>
      <c r="B1402" s="15" t="inlineStr">
        <is>
          <t>Part II - The Method Atlas</t>
        </is>
      </c>
      <c r="C1402" s="16" t="inlineStr">
        <is>
          <t>T.6 Riboswitches and RNA regulation</t>
        </is>
      </c>
      <c r="D1402" s="10" t="inlineStr">
        <is>
          <t>Ancient RNA Relics and Modern Drug Discovery</t>
        </is>
      </c>
      <c r="E1402" s="10" t="inlineStr"/>
      <c r="F1402" s="11" t="inlineStr">
        <is>
          <t>1:10:23</t>
        </is>
      </c>
      <c r="G1402" s="11" t="n">
        <v>1.17</v>
      </c>
      <c r="H1402" s="12" t="inlineStr">
        <is>
          <t>★</t>
        </is>
      </c>
      <c r="I1402" s="11" t="inlineStr">
        <is>
          <t>Not started</t>
        </is>
      </c>
      <c r="J1402" s="13" t="n"/>
      <c r="K1402" s="10" t="inlineStr"/>
      <c r="L1402" s="14" t="inlineStr">
        <is>
          <t>▶ watch</t>
        </is>
      </c>
      <c r="M1402" s="10" t="inlineStr">
        <is>
          <t>Winkler, Nahvi &amp; Breaker 2002, Nature 419:952 · Weinberg et al. 2010, Genome Biol 11:R31</t>
        </is>
      </c>
      <c r="N1402" s="14" t="inlineStr">
        <is>
          <t>read ↗</t>
        </is>
      </c>
      <c r="O1402" s="11" t="inlineStr">
        <is>
          <t>section reading (2 of 3)</t>
        </is>
      </c>
      <c r="P1402" s="10" t="inlineStr"/>
    </row>
    <row r="1403">
      <c r="A1403" s="15" t="n">
        <v>1402</v>
      </c>
      <c r="B1403" s="15" t="inlineStr">
        <is>
          <t>Part II - The Method Atlas</t>
        </is>
      </c>
      <c r="C1403" s="16" t="inlineStr">
        <is>
          <t>T.6 Riboswitches and RNA regulation</t>
        </is>
      </c>
      <c r="D1403" s="10" t="inlineStr">
        <is>
          <t>the comparative-genomics discovery method</t>
        </is>
      </c>
      <c r="E1403" s="10" t="inlineStr"/>
      <c r="F1403" s="11" t="inlineStr"/>
      <c r="G1403" s="11" t="n">
        <v>0</v>
      </c>
      <c r="H1403" s="12" t="inlineStr">
        <is>
          <t>★</t>
        </is>
      </c>
      <c r="I1403" s="11" t="inlineStr">
        <is>
          <t>Not started</t>
        </is>
      </c>
      <c r="J1403" s="13" t="n"/>
      <c r="K1403" s="10" t="inlineStr"/>
      <c r="L1403" s="14" t="inlineStr">
        <is>
          <t>▶ watch</t>
        </is>
      </c>
      <c r="M1403" s="10" t="inlineStr">
        <is>
          <t>Winkler, Nahvi &amp; Breaker 2002, Nature 419:952 · Weinberg et al. 2010, Genome Biol 11:R31</t>
        </is>
      </c>
      <c r="N1403" s="14" t="inlineStr">
        <is>
          <t>read ↗</t>
        </is>
      </c>
      <c r="O1403" s="11" t="inlineStr">
        <is>
          <t>section reading (2 of 3)</t>
        </is>
      </c>
      <c r="P1403" s="10" t="inlineStr"/>
    </row>
    <row r="1404">
      <c r="A1404" s="15" t="n">
        <v>1403</v>
      </c>
      <c r="B1404" s="15" t="inlineStr">
        <is>
          <t>Part II - The Method Atlas</t>
        </is>
      </c>
      <c r="C1404" s="16" t="inlineStr">
        <is>
          <t>T.6 Riboswitches and RNA regulation</t>
        </is>
      </c>
      <c r="D1404" s="10" t="inlineStr">
        <is>
          <t>to Breaker's discovery work</t>
        </is>
      </c>
      <c r="E1404" s="10" t="inlineStr"/>
      <c r="F1404" s="11" t="inlineStr"/>
      <c r="G1404" s="11" t="n">
        <v>0</v>
      </c>
      <c r="H1404" s="12" t="inlineStr"/>
      <c r="I1404" s="11" t="inlineStr">
        <is>
          <t>Not started</t>
        </is>
      </c>
      <c r="J1404" s="13" t="n"/>
      <c r="K1404" s="10" t="inlineStr"/>
      <c r="L1404" s="14" t="inlineStr">
        <is>
          <t>▶ watch</t>
        </is>
      </c>
      <c r="M1404" s="10" t="inlineStr">
        <is>
          <t>Winkler, Nahvi &amp; Breaker 2002, Nature 419:952 · Weinberg et al. 2010, Genome Biol 11:R31</t>
        </is>
      </c>
      <c r="N1404" s="14" t="inlineStr">
        <is>
          <t>read ↗</t>
        </is>
      </c>
      <c r="O1404" s="11" t="inlineStr">
        <is>
          <t>section reading (2 of 3)</t>
        </is>
      </c>
      <c r="P1404" s="10" t="inlineStr"/>
    </row>
    <row r="1405">
      <c r="A1405" s="15" t="n">
        <v>1404</v>
      </c>
      <c r="B1405" s="15" t="inlineStr">
        <is>
          <t>Part II - The Method Atlas</t>
        </is>
      </c>
      <c r="C1405" s="16" t="inlineStr">
        <is>
          <t>T.6 Riboswitches and RNA regulation</t>
        </is>
      </c>
      <c r="D1405" s="10" t="inlineStr">
        <is>
          <t>Joan Steitz</t>
        </is>
      </c>
      <c r="E1405" s="10" t="inlineStr"/>
      <c r="F1405" s="11" t="inlineStr">
        <is>
          <t>1:14:35</t>
        </is>
      </c>
      <c r="G1405" s="11" t="n">
        <v>1.24</v>
      </c>
      <c r="H1405" s="12" t="inlineStr">
        <is>
          <t>★</t>
        </is>
      </c>
      <c r="I1405" s="11" t="inlineStr">
        <is>
          <t>Not started</t>
        </is>
      </c>
      <c r="J1405" s="13" t="n"/>
      <c r="K1405" s="10" t="inlineStr"/>
      <c r="L1405" s="14" t="inlineStr">
        <is>
          <t>▶ watch</t>
        </is>
      </c>
      <c r="M1405" s="10" t="inlineStr">
        <is>
          <t>Winkler, Nahvi &amp; Breaker 2002, Nature 419:952 · Weinberg et al. 2010, Genome Biol 11:R31</t>
        </is>
      </c>
      <c r="N1405" s="14" t="inlineStr">
        <is>
          <t>read ↗</t>
        </is>
      </c>
      <c r="O1405" s="11" t="inlineStr">
        <is>
          <t>section reading (2 of 3)</t>
        </is>
      </c>
      <c r="P1405" s="10" t="inlineStr"/>
    </row>
    <row r="1406">
      <c r="A1406" s="15" t="n">
        <v>1405</v>
      </c>
      <c r="B1406" s="15" t="inlineStr">
        <is>
          <t>Part II - The Method Atlas</t>
        </is>
      </c>
      <c r="C1406" s="16" t="inlineStr">
        <is>
          <t>T.6 Riboswitches and RNA regulation</t>
        </is>
      </c>
      <c r="D1406" s="10" t="inlineStr">
        <is>
          <t>Joan Steitz</t>
        </is>
      </c>
      <c r="E1406" s="10" t="inlineStr"/>
      <c r="F1406" s="11" t="inlineStr">
        <is>
          <t>1:14:35</t>
        </is>
      </c>
      <c r="G1406" s="11" t="n">
        <v>1.24</v>
      </c>
      <c r="H1406" s="12" t="inlineStr">
        <is>
          <t>★</t>
        </is>
      </c>
      <c r="I1406" s="11" t="inlineStr">
        <is>
          <t>Not started</t>
        </is>
      </c>
      <c r="J1406" s="13" t="n"/>
      <c r="K1406" s="10" t="inlineStr"/>
      <c r="L1406" s="14" t="inlineStr">
        <is>
          <t>▶ watch</t>
        </is>
      </c>
      <c r="M1406" s="10" t="inlineStr">
        <is>
          <t>Winkler, Nahvi &amp; Breaker 2002, Nature 419:952 · Weinberg et al. 2010, Genome Biol 11:R31</t>
        </is>
      </c>
      <c r="N1406" s="14" t="inlineStr">
        <is>
          <t>read ↗</t>
        </is>
      </c>
      <c r="O1406" s="11" t="inlineStr">
        <is>
          <t>section reading (2 of 3)</t>
        </is>
      </c>
      <c r="P1406" s="10" t="inlineStr"/>
    </row>
    <row r="1407">
      <c r="A1407" s="15" t="n">
        <v>1406</v>
      </c>
      <c r="B1407" s="15" t="inlineStr">
        <is>
          <t>Part II - The Method Atlas</t>
        </is>
      </c>
      <c r="C1407" s="16" t="inlineStr">
        <is>
          <t>T.7 Three-dimensional structure prediction</t>
        </is>
      </c>
      <c r="D1407" s="10" t="inlineStr">
        <is>
          <t>Unlocking the RNA Universe (ARES</t>
        </is>
      </c>
      <c r="E1407" s="10" t="inlineStr">
        <is>
          <t>Raphael Townshend (Atomic AI</t>
        </is>
      </c>
      <c r="F1407" s="11" t="inlineStr">
        <is>
          <t>1:00:10</t>
        </is>
      </c>
      <c r="G1407" s="11" t="n">
        <v>1</v>
      </c>
      <c r="H1407" s="12" t="inlineStr">
        <is>
          <t>★</t>
        </is>
      </c>
      <c r="I1407" s="11" t="inlineStr">
        <is>
          <t>Not started</t>
        </is>
      </c>
      <c r="J1407" s="13" t="n"/>
      <c r="K1407" s="10" t="inlineStr"/>
      <c r="L1407" s="14" t="inlineStr">
        <is>
          <t>▶ watch</t>
        </is>
      </c>
      <c r="M1407" s="10" t="inlineStr">
        <is>
          <t>Townshend et al. 2021, Science 373:1047 (ARES)</t>
        </is>
      </c>
      <c r="N1407" s="14" t="inlineStr">
        <is>
          <t>read ↗</t>
        </is>
      </c>
      <c r="O1407" s="11" t="inlineStr">
        <is>
          <t>names ARES</t>
        </is>
      </c>
      <c r="P1407" s="10" t="inlineStr"/>
    </row>
    <row r="1408">
      <c r="A1408" s="15" t="n">
        <v>1407</v>
      </c>
      <c r="B1408" s="15" t="inlineStr">
        <is>
          <t>Part II - The Method Atlas</t>
        </is>
      </c>
      <c r="C1408" s="16" t="inlineStr">
        <is>
          <t>T.7 Three-dimensional structure prediction</t>
        </is>
      </c>
      <c r="D1408" s="10" t="inlineStr">
        <is>
          <t>Eric Westhof (Strasbourg</t>
        </is>
      </c>
      <c r="E1408" s="10" t="inlineStr">
        <is>
          <t>CASP15 RNA assessment</t>
        </is>
      </c>
      <c r="F1408" s="11" t="inlineStr">
        <is>
          <t>37:26</t>
        </is>
      </c>
      <c r="G1408" s="11" t="n">
        <v>0.62</v>
      </c>
      <c r="H1408" s="12" t="inlineStr">
        <is>
          <t>★</t>
        </is>
      </c>
      <c r="I1408" s="11" t="inlineStr">
        <is>
          <t>Not started</t>
        </is>
      </c>
      <c r="J1408" s="13" t="n"/>
      <c r="K1408" s="10" t="inlineStr"/>
      <c r="L1408" s="14" t="inlineStr">
        <is>
          <t>▶ watch</t>
        </is>
      </c>
      <c r="M1408" s="10" t="inlineStr">
        <is>
          <t>Das et al. 2023, Proteins (CASP15)</t>
        </is>
      </c>
      <c r="N1408" s="14" t="inlineStr">
        <is>
          <t>read ↗</t>
        </is>
      </c>
      <c r="O1408" s="11" t="inlineStr">
        <is>
          <t>names CASP15</t>
        </is>
      </c>
      <c r="P1408" s="10" t="inlineStr"/>
    </row>
    <row r="1409">
      <c r="A1409" s="15" t="n">
        <v>1408</v>
      </c>
      <c r="B1409" s="15" t="inlineStr">
        <is>
          <t>Part II - The Method Atlas</t>
        </is>
      </c>
      <c r="C1409" s="16" t="inlineStr">
        <is>
          <t>T.7 Three-dimensional structure prediction</t>
        </is>
      </c>
      <c r="D1409" s="10" t="inlineStr">
        <is>
          <t>CASP16 RNA assessment</t>
        </is>
      </c>
      <c r="E1409" s="10" t="inlineStr">
        <is>
          <t>Eric Westhof</t>
        </is>
      </c>
      <c r="F1409" s="11" t="inlineStr">
        <is>
          <t>22:45</t>
        </is>
      </c>
      <c r="G1409" s="11" t="n">
        <v>0.38</v>
      </c>
      <c r="H1409" s="12" t="inlineStr"/>
      <c r="I1409" s="11" t="inlineStr">
        <is>
          <t>Not started</t>
        </is>
      </c>
      <c r="J1409" s="13" t="n"/>
      <c r="K1409" s="10" t="inlineStr"/>
      <c r="L1409" s="14" t="inlineStr">
        <is>
          <t>▶ watch</t>
        </is>
      </c>
      <c r="M1409" s="10" t="inlineStr">
        <is>
          <t>Westhof et al. 2026, Proteins (CASP16)</t>
        </is>
      </c>
      <c r="N1409" s="14" t="inlineStr">
        <is>
          <t>read ↗</t>
        </is>
      </c>
      <c r="O1409" s="11" t="inlineStr">
        <is>
          <t>names CASP16</t>
        </is>
      </c>
      <c r="P1409" s="10" t="inlineStr"/>
    </row>
    <row r="1410">
      <c r="A1410" s="15" t="n">
        <v>1409</v>
      </c>
      <c r="B1410" s="15" t="inlineStr">
        <is>
          <t>Part II - The Method Atlas</t>
        </is>
      </c>
      <c r="C1410" s="16" t="inlineStr">
        <is>
          <t>T.7 Three-dimensional structure prediction</t>
        </is>
      </c>
      <c r="D1410" s="10" t="inlineStr">
        <is>
          <t>Computer-based Predictions of RNA Structures: Where do we stand?</t>
        </is>
      </c>
      <c r="E1410" s="10" t="inlineStr">
        <is>
          <t>Eric Westhof</t>
        </is>
      </c>
      <c r="F1410" s="11" t="inlineStr">
        <is>
          <t>1:01:32</t>
        </is>
      </c>
      <c r="G1410" s="11" t="n">
        <v>1.03</v>
      </c>
      <c r="H1410" s="12" t="inlineStr">
        <is>
          <t>★</t>
        </is>
      </c>
      <c r="I1410" s="11" t="inlineStr">
        <is>
          <t>Not started</t>
        </is>
      </c>
      <c r="J1410" s="13" t="n"/>
      <c r="K1410" s="10" t="inlineStr"/>
      <c r="L1410" s="14" t="inlineStr">
        <is>
          <t>▶ watch</t>
        </is>
      </c>
      <c r="M1410" s="10" t="inlineStr">
        <is>
          <t>Townshend et al. 2021, Science 373:1047 (ARES) · Das et al. 2023, Proteins (CASP15)</t>
        </is>
      </c>
      <c r="N1410" s="14" t="inlineStr">
        <is>
          <t>read ↗</t>
        </is>
      </c>
      <c r="O1410" s="11" t="inlineStr">
        <is>
          <t>section reading (2 of 8)</t>
        </is>
      </c>
      <c r="P1410" s="10" t="inlineStr"/>
    </row>
    <row r="1411">
      <c r="A1411" s="15" t="n">
        <v>1410</v>
      </c>
      <c r="B1411" s="15" t="inlineStr">
        <is>
          <t>Part II - The Method Atlas</t>
        </is>
      </c>
      <c r="C1411" s="16" t="inlineStr">
        <is>
          <t>T.7 Three-dimensional structure prediction</t>
        </is>
      </c>
      <c r="D1411" s="10" t="inlineStr">
        <is>
          <t>Marta Szachniuk (Poznań</t>
        </is>
      </c>
      <c r="E1411" s="10" t="inlineStr">
        <is>
          <t>CASP15 assessment</t>
        </is>
      </c>
      <c r="F1411" s="11" t="inlineStr">
        <is>
          <t>16:19</t>
        </is>
      </c>
      <c r="G1411" s="11" t="n">
        <v>0.27</v>
      </c>
      <c r="H1411" s="12" t="inlineStr"/>
      <c r="I1411" s="11" t="inlineStr">
        <is>
          <t>Not started</t>
        </is>
      </c>
      <c r="J1411" s="13" t="n"/>
      <c r="K1411" s="10" t="inlineStr"/>
      <c r="L1411" s="14" t="inlineStr">
        <is>
          <t>▶ watch</t>
        </is>
      </c>
      <c r="M1411" s="10" t="inlineStr">
        <is>
          <t>Das et al. 2023, Proteins (CASP15)</t>
        </is>
      </c>
      <c r="N1411" s="14" t="inlineStr">
        <is>
          <t>read ↗</t>
        </is>
      </c>
      <c r="O1411" s="11" t="inlineStr">
        <is>
          <t>names CASP15</t>
        </is>
      </c>
      <c r="P1411" s="10" t="inlineStr"/>
    </row>
    <row r="1412">
      <c r="A1412" s="15" t="n">
        <v>1411</v>
      </c>
      <c r="B1412" s="15" t="inlineStr">
        <is>
          <t>Part II - The Method Atlas</t>
        </is>
      </c>
      <c r="C1412" s="16" t="inlineStr">
        <is>
          <t>T.7 Three-dimensional structure prediction</t>
        </is>
      </c>
      <c r="D1412" s="10" t="inlineStr">
        <is>
          <t>Janusz Bujnicki (IIMCB</t>
        </is>
      </c>
      <c r="E1412" s="10" t="inlineStr">
        <is>
          <t>CASP15 (SimRNA</t>
        </is>
      </c>
      <c r="F1412" s="11" t="inlineStr">
        <is>
          <t>19:55</t>
        </is>
      </c>
      <c r="G1412" s="11" t="n">
        <v>0.33</v>
      </c>
      <c r="H1412" s="12" t="inlineStr"/>
      <c r="I1412" s="11" t="inlineStr">
        <is>
          <t>Not started</t>
        </is>
      </c>
      <c r="J1412" s="13" t="n"/>
      <c r="K1412" s="10" t="inlineStr"/>
      <c r="L1412" s="14" t="inlineStr">
        <is>
          <t>▶ watch</t>
        </is>
      </c>
      <c r="M1412" s="10" t="inlineStr">
        <is>
          <t>Das et al. 2023, Proteins (CASP15)</t>
        </is>
      </c>
      <c r="N1412" s="14" t="inlineStr">
        <is>
          <t>read ↗</t>
        </is>
      </c>
      <c r="O1412" s="11" t="inlineStr">
        <is>
          <t>names CASP15</t>
        </is>
      </c>
      <c r="P1412" s="10" t="inlineStr"/>
    </row>
    <row r="1413">
      <c r="A1413" s="15" t="n">
        <v>1412</v>
      </c>
      <c r="B1413" s="15" t="inlineStr">
        <is>
          <t>Part II - The Method Atlas</t>
        </is>
      </c>
      <c r="C1413" s="16" t="inlineStr">
        <is>
          <t>T.7 Three-dimensional structure prediction</t>
        </is>
      </c>
      <c r="D1413" s="10" t="inlineStr">
        <is>
          <t>Robin Pearce (Michigan</t>
        </is>
      </c>
      <c r="E1413" s="10" t="inlineStr">
        <is>
          <t>DeepFoldRNA</t>
        </is>
      </c>
      <c r="F1413" s="11" t="inlineStr">
        <is>
          <t>59:28</t>
        </is>
      </c>
      <c r="G1413" s="11" t="n">
        <v>0.99</v>
      </c>
      <c r="H1413" s="12" t="inlineStr"/>
      <c r="I1413" s="11" t="inlineStr">
        <is>
          <t>Not started</t>
        </is>
      </c>
      <c r="J1413" s="13" t="n"/>
      <c r="K1413" s="10" t="inlineStr"/>
      <c r="L1413" s="14" t="inlineStr">
        <is>
          <t>▶ watch</t>
        </is>
      </c>
      <c r="M1413" s="10" t="inlineStr">
        <is>
          <t>Townshend et al. 2021, Science 373:1047 (ARES) · Das et al. 2023, Proteins (CASP15)</t>
        </is>
      </c>
      <c r="N1413" s="14" t="inlineStr">
        <is>
          <t>read ↗</t>
        </is>
      </c>
      <c r="O1413" s="11" t="inlineStr">
        <is>
          <t>section reading (2 of 8)</t>
        </is>
      </c>
      <c r="P1413" s="10" t="inlineStr"/>
    </row>
    <row r="1414">
      <c r="A1414" s="15" t="n">
        <v>1413</v>
      </c>
      <c r="B1414" s="15" t="inlineStr">
        <is>
          <t>Part II - The Method Atlas</t>
        </is>
      </c>
      <c r="C1414" s="16" t="inlineStr">
        <is>
          <t>T.7 Three-dimensional structure prediction</t>
        </is>
      </c>
      <c r="D1414" s="10" t="inlineStr">
        <is>
          <t>Yang &amp; Wang (Shandong</t>
        </is>
      </c>
      <c r="E1414" s="10" t="inlineStr">
        <is>
          <t>trRosettaRNA</t>
        </is>
      </c>
      <c r="F1414" s="11" t="inlineStr">
        <is>
          <t>1:00:39</t>
        </is>
      </c>
      <c r="G1414" s="11" t="n">
        <v>1.01</v>
      </c>
      <c r="H1414" s="12" t="inlineStr"/>
      <c r="I1414" s="11" t="inlineStr">
        <is>
          <t>Not started</t>
        </is>
      </c>
      <c r="J1414" s="13" t="n"/>
      <c r="K1414" s="10" t="inlineStr"/>
      <c r="L1414" s="14" t="inlineStr">
        <is>
          <t>▶ watch</t>
        </is>
      </c>
      <c r="M1414" s="10" t="inlineStr">
        <is>
          <t>Townshend et al. 2021, Science 373:1047 (ARES) · Das et al. 2023, Proteins (CASP15)</t>
        </is>
      </c>
      <c r="N1414" s="14" t="inlineStr">
        <is>
          <t>read ↗</t>
        </is>
      </c>
      <c r="O1414" s="11" t="inlineStr">
        <is>
          <t>section reading (2 of 8)</t>
        </is>
      </c>
      <c r="P1414" s="10" t="inlineStr"/>
    </row>
    <row r="1415">
      <c r="A1415" s="15" t="n">
        <v>1414</v>
      </c>
      <c r="B1415" s="15" t="inlineStr">
        <is>
          <t>Part II - The Method Atlas</t>
        </is>
      </c>
      <c r="C1415" s="16" t="inlineStr">
        <is>
          <t>T.7 Three-dimensional structure prediction</t>
        </is>
      </c>
      <c r="D1415" s="10" t="inlineStr">
        <is>
          <t>Frank DiMaio (IPD</t>
        </is>
      </c>
      <c r="E1415" s="10" t="inlineStr">
        <is>
          <t>RoseTTAFoldNA</t>
        </is>
      </c>
      <c r="F1415" s="11" t="inlineStr">
        <is>
          <t>1:04:00</t>
        </is>
      </c>
      <c r="G1415" s="11" t="n">
        <v>1.07</v>
      </c>
      <c r="H1415" s="12" t="inlineStr">
        <is>
          <t>★</t>
        </is>
      </c>
      <c r="I1415" s="11" t="inlineStr">
        <is>
          <t>Not started</t>
        </is>
      </c>
      <c r="J1415" s="13" t="n"/>
      <c r="K1415" s="10" t="inlineStr"/>
      <c r="L1415" s="14" t="inlineStr">
        <is>
          <t>▶ watch</t>
        </is>
      </c>
      <c r="M1415" s="10" t="inlineStr">
        <is>
          <t>Baek et al. 2024, Nat Methods 21:117 (RoseTTAFoldNA)</t>
        </is>
      </c>
      <c r="N1415" s="14" t="inlineStr">
        <is>
          <t>read ↗</t>
        </is>
      </c>
      <c r="O1415" s="11" t="inlineStr">
        <is>
          <t>names ROSETTAFOLDNA</t>
        </is>
      </c>
      <c r="P1415" s="10" t="inlineStr"/>
    </row>
    <row r="1416">
      <c r="A1416" s="15" t="n">
        <v>1415</v>
      </c>
      <c r="B1416" s="15" t="inlineStr">
        <is>
          <t>Part II - The Method Atlas</t>
        </is>
      </c>
      <c r="C1416" s="16" t="inlineStr">
        <is>
          <t>T.7 Three-dimensional structure prediction</t>
        </is>
      </c>
      <c r="D1416" s="10" t="inlineStr">
        <is>
          <t>Limits of deep-learning-based RNA prediction</t>
        </is>
      </c>
      <c r="E1416" s="10" t="inlineStr">
        <is>
          <t>Marko Ludaic</t>
        </is>
      </c>
      <c r="F1416" s="11" t="inlineStr">
        <is>
          <t>31:09</t>
        </is>
      </c>
      <c r="G1416" s="11" t="n">
        <v>0.52</v>
      </c>
      <c r="H1416" s="12" t="inlineStr">
        <is>
          <t>★</t>
        </is>
      </c>
      <c r="I1416" s="11" t="inlineStr">
        <is>
          <t>Not started</t>
        </is>
      </c>
      <c r="J1416" s="13" t="n"/>
      <c r="K1416" s="10" t="inlineStr"/>
      <c r="L1416" s="14" t="inlineStr">
        <is>
          <t>▶ watch</t>
        </is>
      </c>
      <c r="M1416" s="10" t="inlineStr">
        <is>
          <t>Compare to the above</t>
        </is>
      </c>
      <c r="N1416" s="14" t="inlineStr">
        <is>
          <t>read ↗</t>
        </is>
      </c>
      <c r="O1416" s="11" t="inlineStr">
        <is>
          <t>paired reading</t>
        </is>
      </c>
      <c r="P1416" s="10" t="inlineStr"/>
    </row>
    <row r="1417">
      <c r="A1417" s="15" t="n">
        <v>1416</v>
      </c>
      <c r="B1417" s="15" t="inlineStr">
        <is>
          <t>Part II - The Method Atlas</t>
        </is>
      </c>
      <c r="C1417" s="16" t="inlineStr">
        <is>
          <t>T.7 Three-dimensional structure prediction</t>
        </is>
      </c>
      <c r="D1417" s="10" t="inlineStr">
        <is>
          <t>Has AlphaFold3 achieved success for RNA?</t>
        </is>
      </c>
      <c r="E1417" s="10" t="inlineStr">
        <is>
          <t>Clément Bernard (Évry</t>
        </is>
      </c>
      <c r="F1417" s="11" t="inlineStr">
        <is>
          <t>24:12</t>
        </is>
      </c>
      <c r="G1417" s="11" t="n">
        <v>0.4</v>
      </c>
      <c r="H1417" s="12" t="inlineStr">
        <is>
          <t>★</t>
        </is>
      </c>
      <c r="I1417" s="11" t="inlineStr">
        <is>
          <t>Not started</t>
        </is>
      </c>
      <c r="J1417" s="13" t="n"/>
      <c r="K1417" s="10" t="inlineStr"/>
      <c r="L1417" s="14" t="inlineStr">
        <is>
          <t>▶ watch</t>
        </is>
      </c>
      <c r="M1417" s="10" t="inlineStr">
        <is>
          <t>Bernard et al. 2025, Acta Cryst D81 (Has AlphaFold3 achieved success for RNA?)</t>
        </is>
      </c>
      <c r="N1417" s="14" t="inlineStr">
        <is>
          <t>read ↗</t>
        </is>
      </c>
      <c r="O1417" s="11" t="inlineStr">
        <is>
          <t>names ALPHAFOLD3</t>
        </is>
      </c>
      <c r="P1417" s="10" t="inlineStr"/>
    </row>
    <row r="1418">
      <c r="A1418" s="15" t="n">
        <v>1417</v>
      </c>
      <c r="B1418" s="15" t="inlineStr">
        <is>
          <t>Part II - The Method Atlas</t>
        </is>
      </c>
      <c r="C1418" s="16" t="inlineStr">
        <is>
          <t>T.7 Three-dimensional structure prediction</t>
        </is>
      </c>
      <c r="D1418" s="10" t="inlineStr">
        <is>
          <t>Ab initio RNA ensembles with RNAnneal</t>
        </is>
      </c>
      <c r="E1418" s="10" t="inlineStr">
        <is>
          <t>Pratyush Tiwary (Maryland</t>
        </is>
      </c>
      <c r="F1418" s="11" t="inlineStr">
        <is>
          <t>1:00:19</t>
        </is>
      </c>
      <c r="G1418" s="11" t="n">
        <v>1.01</v>
      </c>
      <c r="H1418" s="12" t="inlineStr">
        <is>
          <t>★</t>
        </is>
      </c>
      <c r="I1418" s="11" t="inlineStr">
        <is>
          <t>Not started</t>
        </is>
      </c>
      <c r="J1418" s="13" t="n"/>
      <c r="K1418" s="10" t="inlineStr"/>
      <c r="L1418" s="14" t="inlineStr">
        <is>
          <t>▶ watch</t>
        </is>
      </c>
      <c r="M1418" s="10" t="inlineStr">
        <is>
          <t>Townshend et al. 2021, Science 373:1047 (ARES) · Das et al. 2023, Proteins (CASP15)</t>
        </is>
      </c>
      <c r="N1418" s="14" t="inlineStr">
        <is>
          <t>read ↗</t>
        </is>
      </c>
      <c r="O1418" s="11" t="inlineStr">
        <is>
          <t>section reading (2 of 8)</t>
        </is>
      </c>
      <c r="P1418" s="10" t="inlineStr"/>
    </row>
    <row r="1419">
      <c r="A1419" s="15" t="n">
        <v>1418</v>
      </c>
      <c r="B1419" s="15" t="inlineStr">
        <is>
          <t>Part II - The Method Atlas</t>
        </is>
      </c>
      <c r="C1419" s="16" t="inlineStr">
        <is>
          <t>T.7 Three-dimensional structure prediction</t>
        </is>
      </c>
      <c r="D1419" s="10" t="inlineStr">
        <is>
          <t>RNA with water, Mg²⁺ ions and chemical probes</t>
        </is>
      </c>
      <c r="E1419" s="10" t="inlineStr">
        <is>
          <t>Giovanni Bussi (SISSA</t>
        </is>
      </c>
      <c r="F1419" s="11" t="inlineStr">
        <is>
          <t>33:31</t>
        </is>
      </c>
      <c r="G1419" s="11" t="n">
        <v>0.5600000000000001</v>
      </c>
      <c r="H1419" s="12" t="inlineStr">
        <is>
          <t>★</t>
        </is>
      </c>
      <c r="I1419" s="11" t="inlineStr">
        <is>
          <t>Not started</t>
        </is>
      </c>
      <c r="J1419" s="13" t="n"/>
      <c r="K1419" s="10" t="inlineStr"/>
      <c r="L1419" s="14" t="inlineStr">
        <is>
          <t>▶ watch</t>
        </is>
      </c>
      <c r="M1419" s="10" t="inlineStr">
        <is>
          <t>Townshend et al. 2021, Science 373:1047 (ARES) · Das et al. 2023, Proteins (CASP15)</t>
        </is>
      </c>
      <c r="N1419" s="14" t="inlineStr">
        <is>
          <t>read ↗</t>
        </is>
      </c>
      <c r="O1419" s="11" t="inlineStr">
        <is>
          <t>section reading (2 of 8)</t>
        </is>
      </c>
      <c r="P1419" s="10" t="inlineStr">
        <is>
          <t>T.9 Biophysics - the ion atmosphere</t>
        </is>
      </c>
    </row>
    <row r="1420">
      <c r="A1420" s="15" t="n">
        <v>1419</v>
      </c>
      <c r="B1420" s="15" t="inlineStr">
        <is>
          <t>Part II - The Method Atlas</t>
        </is>
      </c>
      <c r="C1420" s="16" t="inlineStr">
        <is>
          <t>T.7 Three-dimensional structure prediction</t>
        </is>
      </c>
      <c r="D1420" s="10" t="inlineStr">
        <is>
          <t>Simulations of RNA and RNP; fitting cryo-EM</t>
        </is>
      </c>
      <c r="E1420" s="10" t="inlineStr">
        <is>
          <t>Karissa Sanbonmatsu (LANL</t>
        </is>
      </c>
      <c r="F1420" s="11" t="inlineStr">
        <is>
          <t>55:56</t>
        </is>
      </c>
      <c r="G1420" s="11" t="n">
        <v>0.93</v>
      </c>
      <c r="H1420" s="12" t="inlineStr"/>
      <c r="I1420" s="11" t="inlineStr">
        <is>
          <t>Not started</t>
        </is>
      </c>
      <c r="J1420" s="13" t="n"/>
      <c r="K1420" s="10" t="inlineStr"/>
      <c r="L1420" s="14" t="inlineStr">
        <is>
          <t>▶ watch</t>
        </is>
      </c>
      <c r="M1420" s="10" t="inlineStr">
        <is>
          <t>Townshend et al. 2021, Science 373:1047 (ARES) · Das et al. 2023, Proteins (CASP15)</t>
        </is>
      </c>
      <c r="N1420" s="14" t="inlineStr">
        <is>
          <t>read ↗</t>
        </is>
      </c>
      <c r="O1420" s="11" t="inlineStr">
        <is>
          <t>section reading (2 of 8)</t>
        </is>
      </c>
      <c r="P1420" s="10" t="inlineStr"/>
    </row>
    <row r="1421">
      <c r="A1421" s="15" t="n">
        <v>1420</v>
      </c>
      <c r="B1421" s="15" t="inlineStr">
        <is>
          <t>Part II - The Method Atlas</t>
        </is>
      </c>
      <c r="C1421" s="16" t="inlineStr">
        <is>
          <t>T.7 Three-dimensional structure prediction</t>
        </is>
      </c>
      <c r="D1421" s="10" t="inlineStr">
        <is>
          <t>A Bottom-Up Approach to RNA Architecture</t>
        </is>
      </c>
      <c r="E1421" s="10" t="inlineStr">
        <is>
          <t>Bohdan Schneider (Czech Acad.</t>
        </is>
      </c>
      <c r="F1421" s="11" t="inlineStr">
        <is>
          <t>1:01:24</t>
        </is>
      </c>
      <c r="G1421" s="11" t="n">
        <v>1.02</v>
      </c>
      <c r="H1421" s="12" t="inlineStr"/>
      <c r="I1421" s="11" t="inlineStr">
        <is>
          <t>Not started</t>
        </is>
      </c>
      <c r="J1421" s="13" t="n"/>
      <c r="K1421" s="10" t="inlineStr"/>
      <c r="L1421" s="14" t="inlineStr">
        <is>
          <t>▶ watch</t>
        </is>
      </c>
      <c r="M1421" s="10" t="inlineStr">
        <is>
          <t>Townshend et al. 2021, Science 373:1047 (ARES) · Das et al. 2023, Proteins (CASP15)</t>
        </is>
      </c>
      <c r="N1421" s="14" t="inlineStr">
        <is>
          <t>read ↗</t>
        </is>
      </c>
      <c r="O1421" s="11" t="inlineStr">
        <is>
          <t>section reading (2 of 8)</t>
        </is>
      </c>
      <c r="P1421" s="10" t="inlineStr"/>
    </row>
    <row r="1422">
      <c r="A1422" s="15" t="n">
        <v>1421</v>
      </c>
      <c r="B1422" s="15" t="inlineStr">
        <is>
          <t>Part II - The Method Atlas</t>
        </is>
      </c>
      <c r="C1422" s="16" t="inlineStr">
        <is>
          <t>T.7 Three-dimensional structure prediction</t>
        </is>
      </c>
      <c r="D1422" s="10" t="inlineStr">
        <is>
          <t>X3DNA-DSSR: structural bioinformatics of nucleic acids</t>
        </is>
      </c>
      <c r="E1422" s="10" t="inlineStr">
        <is>
          <t>Xiang-Jun Lu (Columbia</t>
        </is>
      </c>
      <c r="F1422" s="11" t="inlineStr">
        <is>
          <t>58:43</t>
        </is>
      </c>
      <c r="G1422" s="11" t="n">
        <v>0.98</v>
      </c>
      <c r="H1422" s="12" t="inlineStr">
        <is>
          <t>★</t>
        </is>
      </c>
      <c r="I1422" s="11" t="inlineStr">
        <is>
          <t>Not started</t>
        </is>
      </c>
      <c r="J1422" s="13" t="n"/>
      <c r="K1422" s="10" t="inlineStr"/>
      <c r="L1422" s="14" t="inlineStr">
        <is>
          <t>▶ watch</t>
        </is>
      </c>
      <c r="M1422" s="10" t="inlineStr">
        <is>
          <t>Townshend et al. 2021, Science 373:1047 (ARES) · Das et al. 2023, Proteins (CASP15)</t>
        </is>
      </c>
      <c r="N1422" s="14" t="inlineStr">
        <is>
          <t>read ↗</t>
        </is>
      </c>
      <c r="O1422" s="11" t="inlineStr">
        <is>
          <t>section reading (2 of 8)</t>
        </is>
      </c>
      <c r="P1422" s="10" t="inlineStr"/>
    </row>
    <row r="1423">
      <c r="A1423" s="15" t="n">
        <v>1422</v>
      </c>
      <c r="B1423" s="15" t="inlineStr">
        <is>
          <t>Part II - The Method Atlas</t>
        </is>
      </c>
      <c r="C1423" s="16" t="inlineStr">
        <is>
          <t>T.7 Three-dimensional structure prediction</t>
        </is>
      </c>
      <c r="D1423" s="10" t="inlineStr">
        <is>
          <t>Non-canonical base pair interactions</t>
        </is>
      </c>
      <c r="E1423" s="10" t="inlineStr">
        <is>
          <t>Jérôme Waldispühl (McGill</t>
        </is>
      </c>
      <c r="F1423" s="11" t="inlineStr">
        <is>
          <t>38:02</t>
        </is>
      </c>
      <c r="G1423" s="11" t="n">
        <v>0.63</v>
      </c>
      <c r="H1423" s="12" t="inlineStr"/>
      <c r="I1423" s="11" t="inlineStr">
        <is>
          <t>Not started</t>
        </is>
      </c>
      <c r="J1423" s="13" t="n"/>
      <c r="K1423" s="10" t="inlineStr"/>
      <c r="L1423" s="14" t="inlineStr">
        <is>
          <t>▶ watch</t>
        </is>
      </c>
      <c r="M1423" s="10" t="inlineStr">
        <is>
          <t>Townshend et al. 2021, Science 373:1047 (ARES) · Das et al. 2023, Proteins (CASP15)</t>
        </is>
      </c>
      <c r="N1423" s="14" t="inlineStr">
        <is>
          <t>read ↗</t>
        </is>
      </c>
      <c r="O1423" s="11" t="inlineStr">
        <is>
          <t>section reading (2 of 8)</t>
        </is>
      </c>
      <c r="P1423" s="10" t="inlineStr"/>
    </row>
    <row r="1424">
      <c r="A1424" s="15" t="n">
        <v>1423</v>
      </c>
      <c r="B1424" s="15" t="inlineStr">
        <is>
          <t>Part II - The Method Atlas</t>
        </is>
      </c>
      <c r="C1424" s="16" t="inlineStr">
        <is>
          <t>T.7 Three-dimensional structure prediction</t>
        </is>
      </c>
      <c r="D1424" s="10" t="inlineStr">
        <is>
          <t>Hidden errors in cryo-EM and crystal structure models</t>
        </is>
      </c>
      <c r="E1424" s="10" t="inlineStr">
        <is>
          <t>Grzegorz Chojnowski (EMBL</t>
        </is>
      </c>
      <c r="F1424" s="11" t="inlineStr">
        <is>
          <t>1:04:05</t>
        </is>
      </c>
      <c r="G1424" s="11" t="n">
        <v>1.07</v>
      </c>
      <c r="H1424" s="12" t="inlineStr">
        <is>
          <t>★</t>
        </is>
      </c>
      <c r="I1424" s="11" t="inlineStr">
        <is>
          <t>Not started</t>
        </is>
      </c>
      <c r="J1424" s="13" t="n"/>
      <c r="K1424" s="10" t="inlineStr"/>
      <c r="L1424" s="14" t="inlineStr">
        <is>
          <t>▶ watch</t>
        </is>
      </c>
      <c r="M1424" s="10" t="inlineStr">
        <is>
          <t>Townshend et al. 2021, Science 373:1047 (ARES) · Das et al. 2023, Proteins (CASP15)</t>
        </is>
      </c>
      <c r="N1424" s="14" t="inlineStr">
        <is>
          <t>read ↗</t>
        </is>
      </c>
      <c r="O1424" s="11" t="inlineStr">
        <is>
          <t>section reading (2 of 8)</t>
        </is>
      </c>
      <c r="P1424" s="10" t="inlineStr"/>
    </row>
    <row r="1425">
      <c r="A1425" s="15" t="n">
        <v>1424</v>
      </c>
      <c r="B1425" s="15" t="inlineStr">
        <is>
          <t>Part II - The Method Atlas</t>
        </is>
      </c>
      <c r="C1425" s="16" t="inlineStr">
        <is>
          <t>T.8 RNA design</t>
        </is>
      </c>
      <c r="D1425" s="10" t="inlineStr">
        <is>
          <t>gRNAde - geometric deep learning for 3D RNA inverse design</t>
        </is>
      </c>
      <c r="E1425" s="10" t="inlineStr">
        <is>
          <t>Chaitanya Joshi (Cambridge</t>
        </is>
      </c>
      <c r="F1425" s="11" t="inlineStr">
        <is>
          <t>1:03:01</t>
        </is>
      </c>
      <c r="G1425" s="11" t="n">
        <v>1.05</v>
      </c>
      <c r="H1425" s="12" t="inlineStr">
        <is>
          <t>★</t>
        </is>
      </c>
      <c r="I1425" s="11" t="inlineStr">
        <is>
          <t>Not started</t>
        </is>
      </c>
      <c r="J1425" s="13" t="n"/>
      <c r="K1425" s="10" t="inlineStr"/>
      <c r="L1425" s="14" t="inlineStr">
        <is>
          <t>▶ watch</t>
        </is>
      </c>
      <c r="M1425" s="10" t="inlineStr">
        <is>
          <t>Joshi et al. 2025, ICLR (gRNAde)</t>
        </is>
      </c>
      <c r="N1425" s="14" t="inlineStr">
        <is>
          <t>read ↗</t>
        </is>
      </c>
      <c r="O1425" s="11" t="inlineStr">
        <is>
          <t>names GRNADE</t>
        </is>
      </c>
      <c r="P1425" s="10" t="inlineStr"/>
    </row>
    <row r="1426">
      <c r="A1426" s="15" t="n">
        <v>1425</v>
      </c>
      <c r="B1426" s="15" t="inlineStr">
        <is>
          <t>Part II - The Method Atlas</t>
        </is>
      </c>
      <c r="C1426" s="16" t="inlineStr">
        <is>
          <t>T.8 RNA design</t>
        </is>
      </c>
      <c r="D1426" s="10" t="inlineStr">
        <is>
          <t>3D RNA Design with Deep Learning</t>
        </is>
      </c>
      <c r="E1426" s="10" t="inlineStr">
        <is>
          <t>Chaitanya Joshi (Eternacon</t>
        </is>
      </c>
      <c r="F1426" s="11" t="inlineStr">
        <is>
          <t>26:35</t>
        </is>
      </c>
      <c r="G1426" s="11" t="n">
        <v>0.44</v>
      </c>
      <c r="H1426" s="12" t="inlineStr"/>
      <c r="I1426" s="11" t="inlineStr">
        <is>
          <t>Not started</t>
        </is>
      </c>
      <c r="J1426" s="13" t="n"/>
      <c r="K1426" s="10" t="inlineStr"/>
      <c r="L1426" s="14" t="inlineStr">
        <is>
          <t>▶ watch</t>
        </is>
      </c>
      <c r="M1426" s="10" t="inlineStr">
        <is>
          <t>Joshi et al. 2025, ICLR (gRNAde) · Zhang et al. 2023, Nature 621:396 (LinearDesign)</t>
        </is>
      </c>
      <c r="N1426" s="14" t="inlineStr">
        <is>
          <t>read ↗</t>
        </is>
      </c>
      <c r="O1426" s="11" t="inlineStr">
        <is>
          <t>section reading (2 of 4)</t>
        </is>
      </c>
      <c r="P1426" s="10" t="inlineStr"/>
    </row>
    <row r="1427">
      <c r="A1427" s="15" t="n">
        <v>1426</v>
      </c>
      <c r="B1427" s="15" t="inlineStr">
        <is>
          <t>Part II - The Method Atlas</t>
        </is>
      </c>
      <c r="C1427" s="16" t="inlineStr">
        <is>
          <t>T.8 RNA design</t>
        </is>
      </c>
      <c r="D1427" s="10" t="inlineStr">
        <is>
          <t>RNA design in theory and practice (inverse folding, 90 min</t>
        </is>
      </c>
      <c r="E1427" s="10" t="inlineStr">
        <is>
          <t>Sven Findeiß (Leipzig/Vienna</t>
        </is>
      </c>
      <c r="F1427" s="11" t="inlineStr">
        <is>
          <t>1:31:18</t>
        </is>
      </c>
      <c r="G1427" s="11" t="n">
        <v>1.52</v>
      </c>
      <c r="H1427" s="12" t="inlineStr">
        <is>
          <t>★</t>
        </is>
      </c>
      <c r="I1427" s="11" t="inlineStr">
        <is>
          <t>Not started</t>
        </is>
      </c>
      <c r="J1427" s="13" t="n"/>
      <c r="K1427" s="10" t="inlineStr"/>
      <c r="L1427" s="14" t="inlineStr">
        <is>
          <t>▶ watch</t>
        </is>
      </c>
      <c r="M1427" s="10" t="inlineStr">
        <is>
          <t>Joshi et al. 2025, ICLR (gRNAde) · Zhang et al. 2023, Nature 621:396 (LinearDesign)</t>
        </is>
      </c>
      <c r="N1427" s="14" t="inlineStr">
        <is>
          <t>read ↗</t>
        </is>
      </c>
      <c r="O1427" s="11" t="inlineStr">
        <is>
          <t>section reading (2 of 4)</t>
        </is>
      </c>
      <c r="P1427" s="10" t="inlineStr"/>
    </row>
    <row r="1428">
      <c r="A1428" s="15" t="n">
        <v>1427</v>
      </c>
      <c r="B1428" s="15" t="inlineStr">
        <is>
          <t>Part II - The Method Atlas</t>
        </is>
      </c>
      <c r="C1428" s="16" t="inlineStr">
        <is>
          <t>T.8 RNA design</t>
        </is>
      </c>
      <c r="D1428" s="10" t="inlineStr">
        <is>
          <t>RNA Design: From Discrete to Continuous Optimization</t>
        </is>
      </c>
      <c r="E1428" s="10" t="inlineStr">
        <is>
          <t>Liang Huang</t>
        </is>
      </c>
      <c r="F1428" s="11" t="inlineStr">
        <is>
          <t>24:56</t>
        </is>
      </c>
      <c r="G1428" s="11" t="n">
        <v>0.42</v>
      </c>
      <c r="H1428" s="12" t="inlineStr"/>
      <c r="I1428" s="11" t="inlineStr">
        <is>
          <t>Not started</t>
        </is>
      </c>
      <c r="J1428" s="13" t="n"/>
      <c r="K1428" s="10" t="inlineStr"/>
      <c r="L1428" s="14" t="inlineStr">
        <is>
          <t>▶ watch</t>
        </is>
      </c>
      <c r="M1428" s="10" t="inlineStr">
        <is>
          <t>Joshi et al. 2025, ICLR (gRNAde) · Zhang et al. 2023, Nature 621:396 (LinearDesign)</t>
        </is>
      </c>
      <c r="N1428" s="14" t="inlineStr">
        <is>
          <t>read ↗</t>
        </is>
      </c>
      <c r="O1428" s="11" t="inlineStr">
        <is>
          <t>section reading (2 of 4)</t>
        </is>
      </c>
      <c r="P1428" s="10" t="inlineStr"/>
    </row>
    <row r="1429">
      <c r="A1429" s="15" t="n">
        <v>1428</v>
      </c>
      <c r="B1429" s="15" t="inlineStr">
        <is>
          <t>Part II - The Method Atlas</t>
        </is>
      </c>
      <c r="C1429" s="16" t="inlineStr">
        <is>
          <t>T.8 RNA design</t>
        </is>
      </c>
      <c r="D1429" s="10" t="inlineStr">
        <is>
          <t>LinearDesign: optimized mRNA design</t>
        </is>
      </c>
      <c r="E1429" s="10" t="inlineStr">
        <is>
          <t>Liang Huang</t>
        </is>
      </c>
      <c r="F1429" s="11" t="inlineStr">
        <is>
          <t>19:13</t>
        </is>
      </c>
      <c r="G1429" s="11" t="n">
        <v>0.32</v>
      </c>
      <c r="H1429" s="12" t="inlineStr">
        <is>
          <t>★</t>
        </is>
      </c>
      <c r="I1429" s="11" t="inlineStr">
        <is>
          <t>Not started</t>
        </is>
      </c>
      <c r="J1429" s="13" t="n"/>
      <c r="K1429" s="10" t="inlineStr"/>
      <c r="L1429" s="14" t="inlineStr">
        <is>
          <t>▶ watch</t>
        </is>
      </c>
      <c r="M1429" s="10" t="inlineStr">
        <is>
          <t>Zhang et al. 2023, Nature 621:396 (LinearDesign)</t>
        </is>
      </c>
      <c r="N1429" s="14" t="inlineStr">
        <is>
          <t>read ↗</t>
        </is>
      </c>
      <c r="O1429" s="11" t="inlineStr">
        <is>
          <t>names LINEARDESIGN</t>
        </is>
      </c>
      <c r="P1429" s="10" t="inlineStr"/>
    </row>
    <row r="1430">
      <c r="A1430" s="15" t="n">
        <v>1429</v>
      </c>
      <c r="B1430" s="15" t="inlineStr">
        <is>
          <t>Part II - The Method Atlas</t>
        </is>
      </c>
      <c r="C1430" s="16" t="inlineStr">
        <is>
          <t>T.8 RNA design</t>
        </is>
      </c>
      <c r="D1430" s="10" t="inlineStr">
        <is>
          <t>Ewan McRae (Houston Methodist</t>
        </is>
      </c>
      <c r="E1430" s="10" t="inlineStr">
        <is>
          <t>RNA origami</t>
        </is>
      </c>
      <c r="F1430" s="11" t="inlineStr">
        <is>
          <t>49:18</t>
        </is>
      </c>
      <c r="G1430" s="11" t="n">
        <v>0.82</v>
      </c>
      <c r="H1430" s="12" t="inlineStr"/>
      <c r="I1430" s="11" t="inlineStr">
        <is>
          <t>Not started</t>
        </is>
      </c>
      <c r="J1430" s="13" t="n"/>
      <c r="K1430" s="10" t="inlineStr"/>
      <c r="L1430" s="14" t="inlineStr">
        <is>
          <t>▶ watch</t>
        </is>
      </c>
      <c r="M1430" s="10" t="inlineStr">
        <is>
          <t>Joshi et al. 2025, ICLR (gRNAde) · Zhang et al. 2023, Nature 621:396 (LinearDesign)</t>
        </is>
      </c>
      <c r="N1430" s="14" t="inlineStr">
        <is>
          <t>read ↗</t>
        </is>
      </c>
      <c r="O1430" s="11" t="inlineStr">
        <is>
          <t>section reading (2 of 4)</t>
        </is>
      </c>
      <c r="P1430" s="10" t="inlineStr"/>
    </row>
    <row r="1431">
      <c r="A1431" s="15" t="n">
        <v>1430</v>
      </c>
      <c r="B1431" s="15" t="inlineStr">
        <is>
          <t>Part II - The Method Atlas</t>
        </is>
      </c>
      <c r="C1431" s="16" t="inlineStr">
        <is>
          <t>T.8 RNA design</t>
        </is>
      </c>
      <c r="D1431" s="10" t="inlineStr">
        <is>
          <t>Crowdsourced design of RNA molecular switches</t>
        </is>
      </c>
      <c r="E1431" s="10" t="inlineStr">
        <is>
          <t>Stohr &amp; Townley (Eterna</t>
        </is>
      </c>
      <c r="F1431" s="11" t="inlineStr">
        <is>
          <t>47:12</t>
        </is>
      </c>
      <c r="G1431" s="11" t="n">
        <v>0.79</v>
      </c>
      <c r="H1431" s="12" t="inlineStr"/>
      <c r="I1431" s="11" t="inlineStr">
        <is>
          <t>Not started</t>
        </is>
      </c>
      <c r="J1431" s="13" t="n"/>
      <c r="K1431" s="10" t="inlineStr"/>
      <c r="L1431" s="14" t="inlineStr">
        <is>
          <t>▶ watch</t>
        </is>
      </c>
      <c r="M1431" s="10" t="inlineStr">
        <is>
          <t>Joshi et al. 2025, ICLR (gRNAde) · Zhang et al. 2023, Nature 621:396 (LinearDesign)</t>
        </is>
      </c>
      <c r="N1431" s="14" t="inlineStr">
        <is>
          <t>read ↗</t>
        </is>
      </c>
      <c r="O1431" s="11" t="inlineStr">
        <is>
          <t>section reading (2 of 4)</t>
        </is>
      </c>
      <c r="P1431" s="10" t="inlineStr"/>
    </row>
    <row r="1432">
      <c r="A1432" s="15" t="n">
        <v>1431</v>
      </c>
      <c r="B1432" s="15" t="inlineStr">
        <is>
          <t>Part II - The Method Atlas</t>
        </is>
      </c>
      <c r="C1432" s="16" t="inlineStr">
        <is>
          <t>T.8 RNA design</t>
        </is>
      </c>
      <c r="D1432" s="10" t="inlineStr">
        <is>
          <t>Predicting mutations that stabilize the ribosome</t>
        </is>
      </c>
      <c r="E1432" s="10" t="inlineStr">
        <is>
          <t>Kate Shulgina (Harvard</t>
        </is>
      </c>
      <c r="F1432" s="11" t="inlineStr">
        <is>
          <t>28:31</t>
        </is>
      </c>
      <c r="G1432" s="11" t="n">
        <v>0.48</v>
      </c>
      <c r="H1432" s="12" t="inlineStr"/>
      <c r="I1432" s="11" t="inlineStr">
        <is>
          <t>Not started</t>
        </is>
      </c>
      <c r="J1432" s="13" t="n"/>
      <c r="K1432" s="10" t="inlineStr"/>
      <c r="L1432" s="14" t="inlineStr">
        <is>
          <t>▶ watch</t>
        </is>
      </c>
      <c r="M1432" s="10" t="inlineStr">
        <is>
          <t>Joshi et al. 2025, ICLR (gRNAde) · Zhang et al. 2023, Nature 621:396 (LinearDesign)</t>
        </is>
      </c>
      <c r="N1432" s="14" t="inlineStr">
        <is>
          <t>read ↗</t>
        </is>
      </c>
      <c r="O1432" s="11" t="inlineStr">
        <is>
          <t>section reading (2 of 4)</t>
        </is>
      </c>
      <c r="P1432" s="10" t="inlineStr"/>
    </row>
    <row r="1433">
      <c r="A1433" s="15" t="n">
        <v>1432</v>
      </c>
      <c r="B1433" s="15" t="inlineStr">
        <is>
          <t>Part II - The Method Atlas</t>
        </is>
      </c>
      <c r="C1433" s="16" t="inlineStr">
        <is>
          <t>T.8 RNA design</t>
        </is>
      </c>
      <c r="D1433" s="10" t="inlineStr">
        <is>
          <t>Scalable platforms for RNA sensors and controllers</t>
        </is>
      </c>
      <c r="E1433" s="10" t="inlineStr">
        <is>
          <t>Christina Smolke (Stanford</t>
        </is>
      </c>
      <c r="F1433" s="11" t="inlineStr">
        <is>
          <t>1:02:27</t>
        </is>
      </c>
      <c r="G1433" s="11" t="n">
        <v>1.04</v>
      </c>
      <c r="H1433" s="12" t="inlineStr"/>
      <c r="I1433" s="11" t="inlineStr">
        <is>
          <t>Not started</t>
        </is>
      </c>
      <c r="J1433" s="13" t="n"/>
      <c r="K1433" s="10" t="inlineStr"/>
      <c r="L1433" s="14" t="inlineStr">
        <is>
          <t>▶ watch</t>
        </is>
      </c>
      <c r="M1433" s="10" t="inlineStr">
        <is>
          <t>Joshi et al. 2025, ICLR (gRNAde) · Zhang et al. 2023, Nature 621:396 (LinearDesign)</t>
        </is>
      </c>
      <c r="N1433" s="14" t="inlineStr">
        <is>
          <t>read ↗</t>
        </is>
      </c>
      <c r="O1433" s="11" t="inlineStr">
        <is>
          <t>section reading (2 of 4)</t>
        </is>
      </c>
      <c r="P1433" s="10" t="inlineStr"/>
    </row>
    <row r="1434">
      <c r="A1434" s="15" t="n">
        <v>1433</v>
      </c>
      <c r="B1434" s="15" t="inlineStr">
        <is>
          <t>Part II - The Method Atlas</t>
        </is>
      </c>
      <c r="C1434" s="16" t="inlineStr">
        <is>
          <t>T.8 RNA design</t>
        </is>
      </c>
      <c r="D1434" s="10" t="inlineStr">
        <is>
          <t>Paloma Giangrande (OTS</t>
        </is>
      </c>
      <c r="E1434" s="10" t="inlineStr">
        <is>
          <t>Aptamers and SELEX</t>
        </is>
      </c>
      <c r="F1434" s="11" t="inlineStr">
        <is>
          <t>31:57</t>
        </is>
      </c>
      <c r="G1434" s="11" t="n">
        <v>0.53</v>
      </c>
      <c r="H1434" s="12" t="inlineStr"/>
      <c r="I1434" s="11" t="inlineStr">
        <is>
          <t>Not started</t>
        </is>
      </c>
      <c r="J1434" s="13" t="n"/>
      <c r="K1434" s="10" t="inlineStr"/>
      <c r="L1434" s="14" t="inlineStr">
        <is>
          <t>▶ watch</t>
        </is>
      </c>
      <c r="M1434" s="10" t="inlineStr">
        <is>
          <t>Tuerk &amp; Gold 1990, Science 249:505 and Ellington &amp; Szostak 1990, Nature 346:818 (SELEX)</t>
        </is>
      </c>
      <c r="N1434" s="14" t="inlineStr">
        <is>
          <t>read ↗</t>
        </is>
      </c>
      <c r="O1434" s="11" t="inlineStr">
        <is>
          <t>names SELEX</t>
        </is>
      </c>
      <c r="P1434" s="10" t="inlineStr"/>
    </row>
    <row r="1435">
      <c r="A1435" s="15" t="n">
        <v>1434</v>
      </c>
      <c r="B1435" s="15" t="inlineStr">
        <is>
          <t>Part II - The Method Atlas</t>
        </is>
      </c>
      <c r="C1435" s="16" t="inlineStr">
        <is>
          <t>T.9 Biophysics - the ion atmosphere</t>
        </is>
      </c>
      <c r="D1435" s="10" t="inlineStr">
        <is>
          <t>(see curriculum section)</t>
        </is>
      </c>
      <c r="E1435" s="10" t="inlineStr"/>
      <c r="F1435" s="11" t="inlineStr"/>
      <c r="G1435" s="11" t="n">
        <v>0</v>
      </c>
      <c r="H1435" s="12" t="inlineStr"/>
      <c r="I1435" s="11" t="inlineStr">
        <is>
          <t>Not started</t>
        </is>
      </c>
      <c r="J1435" s="13" t="n"/>
      <c r="K1435" s="10" t="inlineStr"/>
      <c r="L1435" s="14" t="inlineStr">
        <is>
          <t>▶ watch</t>
        </is>
      </c>
      <c r="M1435" s="10" t="inlineStr">
        <is>
          <t>Draper 2004, RNA 10:335 · Lipfert, Doniach, Das &amp; Herschlag 2014, Annu Rev Biochem 83:813</t>
        </is>
      </c>
      <c r="N1435" s="14" t="inlineStr">
        <is>
          <t>read ↗</t>
        </is>
      </c>
      <c r="O1435" s="11" t="inlineStr">
        <is>
          <t>section reading (2 of 3)</t>
        </is>
      </c>
      <c r="P1435" s="10" t="inlineStr"/>
    </row>
    <row r="1436">
      <c r="A1436" s="15" t="n">
        <v>1435</v>
      </c>
      <c r="B1436" s="15" t="inlineStr">
        <is>
          <t>Part II - The Method Atlas</t>
        </is>
      </c>
      <c r="C1436" s="16" t="inlineStr">
        <is>
          <t>T.9 Biophysics - the ion atmosphere</t>
        </is>
      </c>
      <c r="D1436" s="10" t="inlineStr">
        <is>
          <t>Wide-angle X-ray scattering of structured RNA, including the ill-posedness of 1D → 3D</t>
        </is>
      </c>
      <c r="E1436" s="10" t="inlineStr"/>
      <c r="F1436" s="11" t="inlineStr"/>
      <c r="G1436" s="11" t="n">
        <v>0</v>
      </c>
      <c r="H1436" s="12" t="inlineStr"/>
      <c r="I1436" s="11" t="inlineStr">
        <is>
          <t>Not started</t>
        </is>
      </c>
      <c r="J1436" s="13" t="n"/>
      <c r="K1436" s="10" t="inlineStr"/>
      <c r="L1436" s="14" t="inlineStr">
        <is>
          <t>▶ watch</t>
        </is>
      </c>
      <c r="M1436" s="10" t="inlineStr">
        <is>
          <t>Draper 2004, RNA 10:335 · Lipfert, Doniach, Das &amp; Herschlag 2014, Annu Rev Biochem 83:813</t>
        </is>
      </c>
      <c r="N1436" s="14" t="inlineStr">
        <is>
          <t>read ↗</t>
        </is>
      </c>
      <c r="O1436" s="11" t="inlineStr">
        <is>
          <t>section reading (2 of 3)</t>
        </is>
      </c>
      <c r="P1436" s="10" t="inlineStr"/>
    </row>
    <row r="1437">
      <c r="A1437" s="15" t="n">
        <v>1436</v>
      </c>
      <c r="B1437" s="15" t="inlineStr">
        <is>
          <t>Part II - The Method Atlas</t>
        </is>
      </c>
      <c r="C1437" s="16" t="inlineStr">
        <is>
          <t>T.9 Biophysics - the ion atmosphere</t>
        </is>
      </c>
      <c r="D1437" s="10" t="inlineStr">
        <is>
          <t>Bussi's talk is the closest thing to a dedicated ion-atmosphere lecture that exists</t>
        </is>
      </c>
      <c r="E1437" s="10" t="inlineStr"/>
      <c r="F1437" s="11" t="inlineStr"/>
      <c r="G1437" s="11" t="n">
        <v>0</v>
      </c>
      <c r="H1437" s="12" t="inlineStr">
        <is>
          <t>★</t>
        </is>
      </c>
      <c r="I1437" s="11" t="inlineStr">
        <is>
          <t>Not started</t>
        </is>
      </c>
      <c r="J1437" s="13" t="n"/>
      <c r="K1437" s="10" t="inlineStr"/>
      <c r="L1437" s="14" t="inlineStr">
        <is>
          <t>▶ watch</t>
        </is>
      </c>
      <c r="M1437" s="10" t="inlineStr">
        <is>
          <t>Draper 2004, RNA 10:335 · Lipfert, Doniach, Das &amp; Herschlag 2014, Annu Rev Biochem 83:813</t>
        </is>
      </c>
      <c r="N1437" s="14" t="inlineStr">
        <is>
          <t>read ↗</t>
        </is>
      </c>
      <c r="O1437" s="11" t="inlineStr">
        <is>
          <t>section reading (2 of 3)</t>
        </is>
      </c>
      <c r="P1437" s="10" t="inlineStr"/>
    </row>
    <row r="1438">
      <c r="A1438" s="15" t="n">
        <v>1437</v>
      </c>
      <c r="B1438" s="15" t="inlineStr">
        <is>
          <t>Part II - The Method Atlas</t>
        </is>
      </c>
      <c r="C1438" s="16" t="inlineStr">
        <is>
          <t>T.9 Biophysics - the ion atmosphere</t>
        </is>
      </c>
      <c r="D1438" s="10" t="inlineStr">
        <is>
          <t>Bussi's talk is the closest thing to a dedicated ion-atmosphere lecture that exists</t>
        </is>
      </c>
      <c r="E1438" s="10" t="inlineStr"/>
      <c r="F1438" s="11" t="inlineStr"/>
      <c r="G1438" s="11" t="n">
        <v>0</v>
      </c>
      <c r="H1438" s="12" t="inlineStr"/>
      <c r="I1438" s="11" t="inlineStr">
        <is>
          <t>Not started</t>
        </is>
      </c>
      <c r="J1438" s="13" t="n"/>
      <c r="K1438" s="10" t="inlineStr"/>
      <c r="L1438" s="14" t="inlineStr">
        <is>
          <t>▶ watch</t>
        </is>
      </c>
      <c r="M1438" s="10" t="inlineStr">
        <is>
          <t>Draper 2004, RNA 10:335 · Lipfert, Doniach, Das &amp; Herschlag 2014, Annu Rev Biochem 83:813</t>
        </is>
      </c>
      <c r="N1438" s="14" t="inlineStr">
        <is>
          <t>read ↗</t>
        </is>
      </c>
      <c r="O1438" s="11" t="inlineStr">
        <is>
          <t>section reading (2 of 3)</t>
        </is>
      </c>
      <c r="P1438" s="10" t="inlineStr"/>
    </row>
    <row r="1439">
      <c r="A1439" s="17" t="n">
        <v>1438</v>
      </c>
      <c r="B1439" s="17" t="inlineStr">
        <is>
          <t>Part III - Upstream AI Research</t>
        </is>
      </c>
      <c r="C1439" s="18" t="inlineStr">
        <is>
          <t>1. Core deep learning courses with full recorded lectures</t>
        </is>
      </c>
      <c r="D1439" s="10" t="inlineStr">
        <is>
          <t>Let's build GPT: from scratch, in code, spelled out</t>
        </is>
      </c>
      <c r="E1439" s="10" t="inlineStr"/>
      <c r="F1439" s="11" t="inlineStr"/>
      <c r="G1439" s="11" t="n">
        <v>0</v>
      </c>
      <c r="H1439" s="12" t="inlineStr">
        <is>
          <t>★</t>
        </is>
      </c>
      <c r="I1439" s="11" t="inlineStr">
        <is>
          <t>Not started</t>
        </is>
      </c>
      <c r="J1439" s="13" t="n"/>
      <c r="K1439" s="10" t="inlineStr"/>
      <c r="L1439" s="14" t="inlineStr">
        <is>
          <t>▶ watch</t>
        </is>
      </c>
      <c r="M1439" s="10" t="inlineStr"/>
      <c r="N1439" s="11" t="inlineStr"/>
      <c r="O1439" s="11" t="inlineStr">
        <is>
          <t>course lecture - no single paper</t>
        </is>
      </c>
      <c r="P1439" s="10" t="inlineStr"/>
    </row>
    <row r="1440">
      <c r="A1440" s="17" t="n">
        <v>1439</v>
      </c>
      <c r="B1440" s="17" t="inlineStr">
        <is>
          <t>Part III - Upstream AI Research</t>
        </is>
      </c>
      <c r="C1440" s="18" t="inlineStr">
        <is>
          <t>1. Core deep learning courses with full recorded lectures</t>
        </is>
      </c>
      <c r="D1440" s="10" t="inlineStr">
        <is>
          <t>Let's reproduce GPT-2 (124M</t>
        </is>
      </c>
      <c r="E1440" s="10" t="inlineStr"/>
      <c r="F1440" s="11" t="inlineStr"/>
      <c r="G1440" s="11" t="n">
        <v>0</v>
      </c>
      <c r="H1440" s="12" t="inlineStr">
        <is>
          <t>★</t>
        </is>
      </c>
      <c r="I1440" s="11" t="inlineStr">
        <is>
          <t>Not started</t>
        </is>
      </c>
      <c r="J1440" s="13" t="n"/>
      <c r="K1440" s="10" t="inlineStr"/>
      <c r="L1440" s="14" t="inlineStr">
        <is>
          <t>▶ watch</t>
        </is>
      </c>
      <c r="M1440" s="10" t="inlineStr"/>
      <c r="N1440" s="11" t="inlineStr"/>
      <c r="O1440" s="11" t="inlineStr">
        <is>
          <t>course lecture - no single paper</t>
        </is>
      </c>
      <c r="P1440" s="10" t="inlineStr"/>
    </row>
    <row r="1441">
      <c r="A1441" s="17" t="n">
        <v>1440</v>
      </c>
      <c r="B1441" s="17" t="inlineStr">
        <is>
          <t>Part III - Upstream AI Research</t>
        </is>
      </c>
      <c r="C1441" s="18" t="inlineStr">
        <is>
          <t>2. Probabilistic ML and Bayesian methods</t>
        </is>
      </c>
      <c r="D1441" s="10" t="inlineStr">
        <is>
          <t>Variational Inference: Foundations and Modern Methods (NIPS 2016 tutorial</t>
        </is>
      </c>
      <c r="E1441" s="10" t="inlineStr"/>
      <c r="F1441" s="11" t="inlineStr"/>
      <c r="G1441" s="11" t="n">
        <v>0</v>
      </c>
      <c r="H1441" s="12" t="inlineStr">
        <is>
          <t>★</t>
        </is>
      </c>
      <c r="I1441" s="11" t="inlineStr">
        <is>
          <t>Not started</t>
        </is>
      </c>
      <c r="J1441" s="13" t="n"/>
      <c r="K1441" s="10" t="inlineStr"/>
      <c r="L1441" s="14" t="inlineStr">
        <is>
          <t>▶ watch</t>
        </is>
      </c>
      <c r="M1441" s="10" t="inlineStr"/>
      <c r="N1441" s="11" t="inlineStr"/>
      <c r="O1441" s="11" t="inlineStr">
        <is>
          <t>course lecture - no single paper</t>
        </is>
      </c>
      <c r="P1441" s="10" t="inlineStr"/>
    </row>
    <row r="1442">
      <c r="A1442" s="17" t="n">
        <v>1441</v>
      </c>
      <c r="B1442" s="17" t="inlineStr">
        <is>
          <t>Part III - Upstream AI Research</t>
        </is>
      </c>
      <c r="C1442" s="18" t="inlineStr">
        <is>
          <t>2. Probabilistic ML and Bayesian methods</t>
        </is>
      </c>
      <c r="D1442" s="10" t="inlineStr">
        <is>
          <t>The Four Pillars of Machine Learning (Distinguished Colloquium</t>
        </is>
      </c>
      <c r="E1442" s="10" t="inlineStr"/>
      <c r="F1442" s="11" t="inlineStr"/>
      <c r="G1442" s="11" t="n">
        <v>0</v>
      </c>
      <c r="H1442" s="12" t="inlineStr">
        <is>
          <t>★</t>
        </is>
      </c>
      <c r="I1442" s="11" t="inlineStr">
        <is>
          <t>Not started</t>
        </is>
      </c>
      <c r="J1442" s="13" t="n"/>
      <c r="K1442" s="10" t="inlineStr"/>
      <c r="L1442" s="14" t="inlineStr">
        <is>
          <t>▶ watch</t>
        </is>
      </c>
      <c r="M1442" s="10" t="inlineStr"/>
      <c r="N1442" s="11" t="inlineStr"/>
      <c r="O1442" s="11" t="inlineStr">
        <is>
          <t>course lecture - no single paper</t>
        </is>
      </c>
      <c r="P1442" s="10" t="inlineStr"/>
    </row>
    <row r="1443">
      <c r="A1443" s="17" t="n">
        <v>1442</v>
      </c>
      <c r="B1443" s="17" t="inlineStr">
        <is>
          <t>Part III - Upstream AI Research</t>
        </is>
      </c>
      <c r="C1443" s="18" t="inlineStr">
        <is>
          <t>4. Diffusion models and flow matching</t>
        </is>
      </c>
      <c r="D1443" s="10" t="inlineStr">
        <is>
          <t>Denoising Diffusion-based Generative Modeling: Foundations and Applications (CVPR 2022 tutorial</t>
        </is>
      </c>
      <c r="E1443" s="10" t="inlineStr">
        <is>
          <t>Tutorial on Denoising Diffusion-based Generative Modeling: Foundations and Applications</t>
        </is>
      </c>
      <c r="F1443" s="11" t="inlineStr">
        <is>
          <t>3:46:15</t>
        </is>
      </c>
      <c r="G1443" s="11" t="n">
        <v>3.77</v>
      </c>
      <c r="H1443" s="12" t="inlineStr">
        <is>
          <t>★</t>
        </is>
      </c>
      <c r="I1443" s="11" t="inlineStr">
        <is>
          <t>Not started</t>
        </is>
      </c>
      <c r="J1443" s="13" t="n"/>
      <c r="K1443" s="10" t="inlineStr"/>
      <c r="L1443" s="14" t="inlineStr">
        <is>
          <t>▶ watch</t>
        </is>
      </c>
      <c r="M1443" s="10" t="inlineStr"/>
      <c r="N1443" s="11" t="inlineStr"/>
      <c r="O1443" s="11" t="inlineStr">
        <is>
          <t>course lecture - no single paper</t>
        </is>
      </c>
      <c r="P1443" s="10" t="inlineStr">
        <is>
          <t>5. Generative vision - GANs, diffusion, autoregressive, video, evaluation</t>
        </is>
      </c>
    </row>
    <row r="1444">
      <c r="A1444" s="17" t="n">
        <v>1443</v>
      </c>
      <c r="B1444" s="17" t="inlineStr">
        <is>
          <t>Part III - Upstream AI Research</t>
        </is>
      </c>
      <c r="C1444" s="18" t="inlineStr">
        <is>
          <t>4. Diffusion models and flow matching</t>
        </is>
      </c>
      <c r="D1444" s="10" t="inlineStr">
        <is>
          <t>Denoising Diffusion Models: A Generative Learning Big Bang (CVPR 2023 tutorial</t>
        </is>
      </c>
      <c r="E1444" s="10" t="inlineStr">
        <is>
          <t>CVPR #18546 - Denoising Diffusion Models: A Generative Learning Big Bang</t>
        </is>
      </c>
      <c r="F1444" s="11" t="inlineStr">
        <is>
          <t>3:04:32</t>
        </is>
      </c>
      <c r="G1444" s="11" t="n">
        <v>3.08</v>
      </c>
      <c r="H1444" s="12" t="inlineStr">
        <is>
          <t>★</t>
        </is>
      </c>
      <c r="I1444" s="11" t="inlineStr">
        <is>
          <t>Not started</t>
        </is>
      </c>
      <c r="J1444" s="13" t="n"/>
      <c r="K1444" s="10" t="inlineStr"/>
      <c r="L1444" s="14" t="inlineStr">
        <is>
          <t>▶ watch</t>
        </is>
      </c>
      <c r="M1444" s="10" t="inlineStr"/>
      <c r="N1444" s="11" t="inlineStr"/>
      <c r="O1444" s="11" t="inlineStr">
        <is>
          <t>course lecture - no single paper</t>
        </is>
      </c>
      <c r="P1444" s="10" t="inlineStr">
        <is>
          <t>5. Generative vision - GANs, diffusion, autoregressive, video, evaluation</t>
        </is>
      </c>
    </row>
    <row r="1445">
      <c r="A1445" s="17" t="n">
        <v>1444</v>
      </c>
      <c r="B1445" s="17" t="inlineStr">
        <is>
          <t>Part III - Upstream AI Research</t>
        </is>
      </c>
      <c r="C1445" s="18" t="inlineStr">
        <is>
          <t>4. Diffusion models and flow matching</t>
        </is>
      </c>
      <c r="D1445" s="10" t="inlineStr">
        <is>
          <t>Diffusion and Score-Based Generative Models</t>
        </is>
      </c>
      <c r="E1445" s="10" t="inlineStr">
        <is>
          <t>Diffusion and Score-Based Generative Models</t>
        </is>
      </c>
      <c r="F1445" s="11" t="inlineStr">
        <is>
          <t>1:32:01</t>
        </is>
      </c>
      <c r="G1445" s="11" t="n">
        <v>1.53</v>
      </c>
      <c r="H1445" s="12" t="inlineStr">
        <is>
          <t>★</t>
        </is>
      </c>
      <c r="I1445" s="11" t="inlineStr">
        <is>
          <t>Not started</t>
        </is>
      </c>
      <c r="J1445" s="13" t="n"/>
      <c r="K1445" s="10" t="inlineStr"/>
      <c r="L1445" s="14" t="inlineStr">
        <is>
          <t>▶ watch</t>
        </is>
      </c>
      <c r="M1445" s="10" t="inlineStr"/>
      <c r="N1445" s="11" t="inlineStr"/>
      <c r="O1445" s="11" t="inlineStr">
        <is>
          <t>course lecture - no single paper</t>
        </is>
      </c>
      <c r="P1445" s="10" t="inlineStr">
        <is>
          <t>5. Generative vision - GANs, diffusion, autoregressive, video, evaluation</t>
        </is>
      </c>
    </row>
    <row r="1446">
      <c r="A1446" s="17" t="n">
        <v>1445</v>
      </c>
      <c r="B1446" s="17" t="inlineStr">
        <is>
          <t>Part III - Upstream AI Research</t>
        </is>
      </c>
      <c r="C1446" s="18" t="inlineStr">
        <is>
          <t>4. Diffusion models and flow matching</t>
        </is>
      </c>
      <c r="D1446" s="10" t="inlineStr">
        <is>
          <t>A personal journey to diffusion models (ICBS 2025</t>
        </is>
      </c>
      <c r="E1446" s="10" t="inlineStr">
        <is>
          <t>Yang Song: A personal journey to diffusion models</t>
        </is>
      </c>
      <c r="F1446" s="11" t="inlineStr">
        <is>
          <t>1:03:35</t>
        </is>
      </c>
      <c r="G1446" s="11" t="n">
        <v>1.06</v>
      </c>
      <c r="H1446" s="12" t="inlineStr">
        <is>
          <t>★</t>
        </is>
      </c>
      <c r="I1446" s="11" t="inlineStr">
        <is>
          <t>Not started</t>
        </is>
      </c>
      <c r="J1446" s="13" t="n"/>
      <c r="K1446" s="10" t="inlineStr"/>
      <c r="L1446" s="14" t="inlineStr">
        <is>
          <t>▶ watch</t>
        </is>
      </c>
      <c r="M1446" s="10" t="inlineStr"/>
      <c r="N1446" s="11" t="inlineStr"/>
      <c r="O1446" s="11" t="inlineStr">
        <is>
          <t>course lecture - no single paper</t>
        </is>
      </c>
      <c r="P1446" s="10" t="inlineStr">
        <is>
          <t>5. Generative vision - GANs, diffusion, autoregressive, video, evaluation</t>
        </is>
      </c>
    </row>
    <row r="1447">
      <c r="A1447" s="17" t="n">
        <v>1446</v>
      </c>
      <c r="B1447" s="17" t="inlineStr">
        <is>
          <t>Part III - Upstream AI Research</t>
        </is>
      </c>
      <c r="C1447" s="18" t="inlineStr">
        <is>
          <t>4. Diffusion models and flow matching</t>
        </is>
      </c>
      <c r="D1447" s="10" t="inlineStr">
        <is>
          <t>Diffusion models for image and video generation (ML in PL 2025</t>
        </is>
      </c>
      <c r="E1447" s="10" t="inlineStr"/>
      <c r="F1447" s="11" t="inlineStr"/>
      <c r="G1447" s="11" t="n">
        <v>0</v>
      </c>
      <c r="H1447" s="12" t="inlineStr">
        <is>
          <t>★</t>
        </is>
      </c>
      <c r="I1447" s="11" t="inlineStr">
        <is>
          <t>Not started</t>
        </is>
      </c>
      <c r="J1447" s="13" t="n"/>
      <c r="K1447" s="10" t="inlineStr"/>
      <c r="L1447" s="14" t="inlineStr">
        <is>
          <t>▶ watch</t>
        </is>
      </c>
      <c r="M1447" s="10" t="inlineStr"/>
      <c r="N1447" s="11" t="inlineStr"/>
      <c r="O1447" s="11" t="inlineStr">
        <is>
          <t>course lecture - no single paper</t>
        </is>
      </c>
      <c r="P1447" s="10" t="inlineStr"/>
    </row>
    <row r="1448">
      <c r="A1448" s="17" t="n">
        <v>1447</v>
      </c>
      <c r="B1448" s="17" t="inlineStr">
        <is>
          <t>Part III - Upstream AI Research</t>
        </is>
      </c>
      <c r="C1448" s="18" t="inlineStr">
        <is>
          <t>5. Transformers and attention in depth</t>
        </is>
      </c>
      <c r="D1448" s="10" t="inlineStr">
        <is>
          <t>Stanford CS25 V6: Overview of Transformers</t>
        </is>
      </c>
      <c r="E1448" s="10" t="inlineStr"/>
      <c r="F1448" s="11" t="inlineStr"/>
      <c r="G1448" s="11" t="n">
        <v>0</v>
      </c>
      <c r="H1448" s="12" t="inlineStr">
        <is>
          <t>★</t>
        </is>
      </c>
      <c r="I1448" s="11" t="inlineStr">
        <is>
          <t>Not started</t>
        </is>
      </c>
      <c r="J1448" s="13" t="n"/>
      <c r="K1448" s="10" t="inlineStr"/>
      <c r="L1448" s="14" t="inlineStr">
        <is>
          <t>▶ watch</t>
        </is>
      </c>
      <c r="M1448" s="10" t="inlineStr"/>
      <c r="N1448" s="11" t="inlineStr"/>
      <c r="O1448" s="11" t="inlineStr">
        <is>
          <t>course lecture - no single paper</t>
        </is>
      </c>
      <c r="P1448" s="10" t="inlineStr"/>
    </row>
    <row r="1449">
      <c r="A1449" s="17" t="n">
        <v>1448</v>
      </c>
      <c r="B1449" s="17" t="inlineStr">
        <is>
          <t>Part III - Upstream AI Research</t>
        </is>
      </c>
      <c r="C1449" s="18" t="inlineStr">
        <is>
          <t>5. Transformers and attention in depth</t>
        </is>
      </c>
      <c r="D1449" s="10" t="inlineStr">
        <is>
          <t>Structured State Space Models for Deep Sequence Modeling</t>
        </is>
      </c>
      <c r="E1449" s="10" t="inlineStr">
        <is>
          <t>Albert Gu (LxMLS Lisbon</t>
        </is>
      </c>
      <c r="F1449" s="11" t="inlineStr">
        <is>
          <t>1:34:12</t>
        </is>
      </c>
      <c r="G1449" s="11" t="n">
        <v>1.57</v>
      </c>
      <c r="H1449" s="12" t="inlineStr">
        <is>
          <t>★</t>
        </is>
      </c>
      <c r="I1449" s="11" t="inlineStr">
        <is>
          <t>Not started</t>
        </is>
      </c>
      <c r="J1449" s="13" t="n"/>
      <c r="K1449" s="10" t="inlineStr"/>
      <c r="L1449" s="14" t="inlineStr">
        <is>
          <t>▶ watch</t>
        </is>
      </c>
      <c r="M1449" s="10" t="inlineStr"/>
      <c r="N1449" s="11" t="inlineStr"/>
      <c r="O1449" s="11" t="inlineStr">
        <is>
          <t>course lecture - no single paper</t>
        </is>
      </c>
      <c r="P1449" s="10" t="inlineStr">
        <is>
          <t>7.5 State space model theory; D.4.1 State space models - the strongest single thread here</t>
        </is>
      </c>
    </row>
    <row r="1450">
      <c r="A1450" s="17" t="n">
        <v>1449</v>
      </c>
      <c r="B1450" s="17" t="inlineStr">
        <is>
          <t>Part III - Upstream AI Research</t>
        </is>
      </c>
      <c r="C1450" s="18" t="inlineStr">
        <is>
          <t>5. Transformers and attention in depth</t>
        </is>
      </c>
      <c r="D1450" s="10" t="inlineStr">
        <is>
          <t>On the Tradeoffs of State Space Models</t>
        </is>
      </c>
      <c r="E1450" s="10" t="inlineStr">
        <is>
          <t>Albert Gu (Simons Institute</t>
        </is>
      </c>
      <c r="F1450" s="11" t="inlineStr">
        <is>
          <t>49:05</t>
        </is>
      </c>
      <c r="G1450" s="11" t="n">
        <v>0.82</v>
      </c>
      <c r="H1450" s="12" t="inlineStr">
        <is>
          <t>★</t>
        </is>
      </c>
      <c r="I1450" s="11" t="inlineStr">
        <is>
          <t>Not started</t>
        </is>
      </c>
      <c r="J1450" s="13" t="n"/>
      <c r="K1450" s="10" t="inlineStr"/>
      <c r="L1450" s="14" t="inlineStr">
        <is>
          <t>▶ watch</t>
        </is>
      </c>
      <c r="M1450" s="10" t="inlineStr"/>
      <c r="N1450" s="11" t="inlineStr"/>
      <c r="O1450" s="11" t="inlineStr">
        <is>
          <t>course lecture - no single paper</t>
        </is>
      </c>
      <c r="P1450" s="10" t="inlineStr">
        <is>
          <t>7.5 State space model theory; 9.4 Simons: Special Year on Large Language Models and Transformers (2023–2024; D.4.1 State space models - the strongest single thread here</t>
        </is>
      </c>
    </row>
    <row r="1451">
      <c r="A1451" s="17" t="n">
        <v>1450</v>
      </c>
      <c r="B1451" s="17" t="inlineStr">
        <is>
          <t>Part III - Upstream AI Research</t>
        </is>
      </c>
      <c r="C1451" s="18" t="inlineStr">
        <is>
          <t>5. Transformers and attention in depth</t>
        </is>
      </c>
      <c r="D1451" s="10" t="inlineStr">
        <is>
          <t>Stanford CS25 V6: On the Tradeoffs of State Space Models and Transformers</t>
        </is>
      </c>
      <c r="E1451" s="10" t="inlineStr">
        <is>
          <t>Albert Gu (CMU, Cartesia</t>
        </is>
      </c>
      <c r="F1451" s="11" t="inlineStr">
        <is>
          <t>1:17:07</t>
        </is>
      </c>
      <c r="G1451" s="11" t="n">
        <v>1.29</v>
      </c>
      <c r="H1451" s="12" t="inlineStr">
        <is>
          <t>★</t>
        </is>
      </c>
      <c r="I1451" s="11" t="inlineStr">
        <is>
          <t>Not started</t>
        </is>
      </c>
      <c r="J1451" s="13" t="n"/>
      <c r="K1451" s="10" t="inlineStr"/>
      <c r="L1451" s="14" t="inlineStr">
        <is>
          <t>▶ watch</t>
        </is>
      </c>
      <c r="M1451" s="10" t="inlineStr"/>
      <c r="N1451" s="11" t="inlineStr"/>
      <c r="O1451" s="11" t="inlineStr">
        <is>
          <t>course lecture - no single paper</t>
        </is>
      </c>
      <c r="P1451" s="10" t="inlineStr">
        <is>
          <t>D.4.1 State space models - the strongest single thread here</t>
        </is>
      </c>
    </row>
    <row r="1452">
      <c r="A1452" s="17" t="n">
        <v>1451</v>
      </c>
      <c r="B1452" s="17" t="inlineStr">
        <is>
          <t>Part III - Upstream AI Research</t>
        </is>
      </c>
      <c r="C1452" s="18" t="inlineStr">
        <is>
          <t>6. Reinforcement learning and optimization for design</t>
        </is>
      </c>
      <c r="D1452" s="10" t="inlineStr">
        <is>
          <t>DeepMind x UCL RL Lecture Series (2021</t>
        </is>
      </c>
      <c r="E1452" s="10" t="inlineStr"/>
      <c r="F1452" s="11" t="inlineStr"/>
      <c r="G1452" s="11" t="n">
        <v>0</v>
      </c>
      <c r="H1452" s="12" t="inlineStr">
        <is>
          <t>★</t>
        </is>
      </c>
      <c r="I1452" s="11" t="inlineStr">
        <is>
          <t>Not started</t>
        </is>
      </c>
      <c r="J1452" s="13" t="n"/>
      <c r="K1452" s="10" t="inlineStr"/>
      <c r="L1452" s="14" t="inlineStr">
        <is>
          <t>▶ watch</t>
        </is>
      </c>
      <c r="M1452" s="10" t="inlineStr"/>
      <c r="N1452" s="11" t="inlineStr"/>
      <c r="O1452" s="11" t="inlineStr">
        <is>
          <t>course lecture - no single paper</t>
        </is>
      </c>
      <c r="P1452" s="10" t="inlineStr"/>
    </row>
    <row r="1453">
      <c r="A1453" s="17" t="n">
        <v>1452</v>
      </c>
      <c r="B1453" s="17" t="inlineStr">
        <is>
          <t>Part III - Upstream AI Research</t>
        </is>
      </c>
      <c r="C1453" s="18" t="inlineStr">
        <is>
          <t>6. Reinforcement learning and optimization for design</t>
        </is>
      </c>
      <c r="D1453" s="10" t="inlineStr">
        <is>
          <t>INFORMS TutORial: Bayesian Optimization</t>
        </is>
      </c>
      <c r="E1453" s="10" t="inlineStr"/>
      <c r="F1453" s="11" t="inlineStr"/>
      <c r="G1453" s="11" t="n">
        <v>0</v>
      </c>
      <c r="H1453" s="12" t="inlineStr">
        <is>
          <t>★</t>
        </is>
      </c>
      <c r="I1453" s="11" t="inlineStr">
        <is>
          <t>Not started</t>
        </is>
      </c>
      <c r="J1453" s="13" t="n"/>
      <c r="K1453" s="10" t="inlineStr"/>
      <c r="L1453" s="14" t="inlineStr">
        <is>
          <t>▶ watch</t>
        </is>
      </c>
      <c r="M1453" s="10" t="inlineStr"/>
      <c r="N1453" s="11" t="inlineStr"/>
      <c r="O1453" s="11" t="inlineStr">
        <is>
          <t>course lecture - no single paper</t>
        </is>
      </c>
      <c r="P1453" s="10" t="inlineStr"/>
    </row>
    <row r="1454">
      <c r="A1454" s="17" t="n">
        <v>1453</v>
      </c>
      <c r="B1454" s="17" t="inlineStr">
        <is>
          <t>Part III - Upstream AI Research</t>
        </is>
      </c>
      <c r="C1454" s="18" t="inlineStr">
        <is>
          <t>7. ML systems practicalities</t>
        </is>
      </c>
      <c r="D1454" s="10" t="inlineStr">
        <is>
          <t>Stanford CS231N Spring 2025, Lecture 11: Large Scale Distributed Training</t>
        </is>
      </c>
      <c r="E1454" s="10" t="inlineStr"/>
      <c r="F1454" s="11" t="inlineStr">
        <is>
          <t>1:12:53</t>
        </is>
      </c>
      <c r="G1454" s="11" t="n">
        <v>1.21</v>
      </c>
      <c r="H1454" s="12" t="inlineStr">
        <is>
          <t>★</t>
        </is>
      </c>
      <c r="I1454" s="11" t="inlineStr">
        <is>
          <t>Not started</t>
        </is>
      </c>
      <c r="J1454" s="13" t="n"/>
      <c r="K1454" s="10" t="inlineStr"/>
      <c r="L1454" s="14" t="inlineStr">
        <is>
          <t>▶ watch</t>
        </is>
      </c>
      <c r="M1454" s="10" t="inlineStr"/>
      <c r="N1454" s="11" t="inlineStr"/>
      <c r="O1454" s="11" t="inlineStr">
        <is>
          <t>course lecture - no single paper</t>
        </is>
      </c>
      <c r="P1454" s="10" t="inlineStr">
        <is>
          <t>8a. Stanford CS231n - Deep Learning for Computer Vision, Spring 2025 (18 lectures, Stanford Online</t>
        </is>
      </c>
    </row>
    <row r="1455">
      <c r="A1455" s="17" t="n">
        <v>1454</v>
      </c>
      <c r="B1455" s="17" t="inlineStr">
        <is>
          <t>Part III - Upstream AI Research</t>
        </is>
      </c>
      <c r="C1455" s="18" t="inlineStr">
        <is>
          <t>7. ML systems practicalities</t>
        </is>
      </c>
      <c r="D1455" s="10" t="inlineStr">
        <is>
          <t>Intro to JAX: Accelerating Machine Learning research</t>
        </is>
      </c>
      <c r="E1455" s="10" t="inlineStr"/>
      <c r="F1455" s="11" t="inlineStr"/>
      <c r="G1455" s="11" t="n">
        <v>0</v>
      </c>
      <c r="H1455" s="12" t="inlineStr">
        <is>
          <t>★</t>
        </is>
      </c>
      <c r="I1455" s="11" t="inlineStr">
        <is>
          <t>Not started</t>
        </is>
      </c>
      <c r="J1455" s="13" t="n"/>
      <c r="K1455" s="10" t="inlineStr"/>
      <c r="L1455" s="14" t="inlineStr">
        <is>
          <t>▶ watch</t>
        </is>
      </c>
      <c r="M1455" s="10" t="inlineStr"/>
      <c r="N1455" s="11" t="inlineStr"/>
      <c r="O1455" s="11" t="inlineStr">
        <is>
          <t>course lecture - no single paper</t>
        </is>
      </c>
      <c r="P1455" s="10" t="inlineStr"/>
    </row>
    <row r="1456">
      <c r="A1456" s="17" t="n">
        <v>1455</v>
      </c>
      <c r="B1456" s="17" t="inlineStr">
        <is>
          <t>Part III - Upstream AI Research</t>
        </is>
      </c>
      <c r="C1456" s="18" t="inlineStr">
        <is>
          <t>7. ML systems practicalities</t>
        </is>
      </c>
      <c r="D1456" s="10" t="inlineStr">
        <is>
          <t>Keynote: PyTorch Technical Deep Dive</t>
        </is>
      </c>
      <c r="E1456" s="10" t="inlineStr"/>
      <c r="F1456" s="11" t="inlineStr"/>
      <c r="G1456" s="11" t="n">
        <v>0</v>
      </c>
      <c r="H1456" s="12" t="inlineStr">
        <is>
          <t>★</t>
        </is>
      </c>
      <c r="I1456" s="11" t="inlineStr">
        <is>
          <t>Not started</t>
        </is>
      </c>
      <c r="J1456" s="13" t="n"/>
      <c r="K1456" s="10" t="inlineStr"/>
      <c r="L1456" s="14" t="inlineStr">
        <is>
          <t>▶ watch</t>
        </is>
      </c>
      <c r="M1456" s="10" t="inlineStr"/>
      <c r="N1456" s="11" t="inlineStr"/>
      <c r="O1456" s="11" t="inlineStr">
        <is>
          <t>course lecture - no single paper</t>
        </is>
      </c>
      <c r="P1456" s="10" t="inlineStr"/>
    </row>
    <row r="1457">
      <c r="A1457" s="17" t="n">
        <v>1456</v>
      </c>
      <c r="B1457" s="17" t="inlineStr">
        <is>
          <t>Part III - Upstream AI Research</t>
        </is>
      </c>
      <c r="C1457" s="18" t="inlineStr">
        <is>
          <t>1. Modern vision architectures - ViT, ConvNeXt, Swin, the convolution debate</t>
        </is>
      </c>
      <c r="D1457" s="10" t="inlineStr">
        <is>
          <t>The ViT first author speaking the same season ViT was submitted - you hear the "can we delete the convolution entirely" bet being placed before it was a consensus</t>
        </is>
      </c>
      <c r="E1457" s="10" t="inlineStr">
        <is>
          <t>Industry talk - Google AI Brain</t>
        </is>
      </c>
      <c r="F1457" s="11" t="inlineStr">
        <is>
          <t>36:03</t>
        </is>
      </c>
      <c r="G1457" s="11" t="n">
        <v>0.6</v>
      </c>
      <c r="H1457" s="12" t="inlineStr">
        <is>
          <t>★</t>
        </is>
      </c>
      <c r="I1457" s="11" t="inlineStr">
        <is>
          <t>Not started</t>
        </is>
      </c>
      <c r="J1457" s="13" t="n"/>
      <c r="K1457" s="10" t="inlineStr"/>
      <c r="L1457" s="14" t="inlineStr">
        <is>
          <t>▶ watch</t>
        </is>
      </c>
      <c r="M1457" s="10" t="inlineStr"/>
      <c r="N1457" s="11" t="inlineStr"/>
      <c r="O1457" s="11" t="inlineStr">
        <is>
          <t>course lecture - no single paper</t>
        </is>
      </c>
      <c r="P1457" s="10" t="inlineStr"/>
    </row>
    <row r="1458">
      <c r="A1458" s="17" t="n">
        <v>1457</v>
      </c>
      <c r="B1458" s="17" t="inlineStr">
        <is>
          <t>Part III - Upstream AI Research</t>
        </is>
      </c>
      <c r="C1458" s="18" t="inlineStr">
        <is>
          <t>1. Modern vision architectures - ViT, ConvNeXt, Swin, the convolution debate</t>
        </is>
      </c>
      <c r="D1458" s="10" t="inlineStr">
        <is>
          <t>The ViT author explaining how vision architecture thinking transfers to biological sequence/structure - directly relevant if your target domain is molecular</t>
        </is>
      </c>
      <c r="E1458" s="10" t="inlineStr">
        <is>
          <t>Alexey Dosovitskiy - From pixels to nucleotides</t>
        </is>
      </c>
      <c r="F1458" s="11" t="inlineStr">
        <is>
          <t>51:51</t>
        </is>
      </c>
      <c r="G1458" s="11" t="n">
        <v>0.86</v>
      </c>
      <c r="H1458" s="12" t="inlineStr">
        <is>
          <t>★</t>
        </is>
      </c>
      <c r="I1458" s="11" t="inlineStr">
        <is>
          <t>Not started</t>
        </is>
      </c>
      <c r="J1458" s="13" t="n"/>
      <c r="K1458" s="10" t="inlineStr"/>
      <c r="L1458" s="14" t="inlineStr">
        <is>
          <t>▶ watch</t>
        </is>
      </c>
      <c r="M1458" s="10" t="inlineStr"/>
      <c r="N1458" s="11" t="inlineStr"/>
      <c r="O1458" s="11" t="inlineStr">
        <is>
          <t>course lecture - no single paper</t>
        </is>
      </c>
      <c r="P1458" s="10" t="inlineStr"/>
    </row>
    <row r="1459">
      <c r="A1459" s="17" t="n">
        <v>1458</v>
      </c>
      <c r="B1459" s="17" t="inlineStr">
        <is>
          <t>Part III - Upstream AI Research</t>
        </is>
      </c>
      <c r="C1459" s="18" t="inlineStr">
        <is>
          <t>1. Modern vision architectures - ViT, ConvNeXt, Swin, the convolution debate</t>
        </is>
      </c>
      <c r="D1459" s="10" t="inlineStr">
        <is>
          <t>The single best "where did vision architecture research actually land" talk; Beyer co-authored ViT scaling, SigLIP and PaliGemma</t>
        </is>
      </c>
      <c r="E1459" s="10" t="inlineStr">
        <is>
          <t>Lucas Beyer - Computer Vision in the Age of LLMs</t>
        </is>
      </c>
      <c r="F1459" s="11" t="inlineStr">
        <is>
          <t>49:53</t>
        </is>
      </c>
      <c r="G1459" s="11" t="n">
        <v>0.83</v>
      </c>
      <c r="H1459" s="12" t="inlineStr">
        <is>
          <t>★</t>
        </is>
      </c>
      <c r="I1459" s="11" t="inlineStr">
        <is>
          <t>Not started</t>
        </is>
      </c>
      <c r="J1459" s="13" t="n"/>
      <c r="K1459" s="10" t="inlineStr"/>
      <c r="L1459" s="14" t="inlineStr">
        <is>
          <t>▶ watch</t>
        </is>
      </c>
      <c r="M1459" s="10" t="inlineStr"/>
      <c r="N1459" s="11" t="inlineStr"/>
      <c r="O1459" s="11" t="inlineStr">
        <is>
          <t>course lecture - no single paper</t>
        </is>
      </c>
      <c r="P1459" s="10" t="inlineStr"/>
    </row>
    <row r="1460">
      <c r="A1460" s="17" t="n">
        <v>1459</v>
      </c>
      <c r="B1460" s="17" t="inlineStr">
        <is>
          <t>Part III - Upstream AI Research</t>
        </is>
      </c>
      <c r="C1460" s="18" t="inlineStr">
        <is>
          <t>1. Modern vision architectures - ViT, ConvNeXt, Swin, the convolution debate</t>
        </is>
      </c>
      <c r="D1460" s="10" t="inlineStr">
        <is>
          <t>The 2026 update of the above - the most current authoritative read on whether vision encoders still matter</t>
        </is>
      </c>
      <c r="E1460" s="10" t="inlineStr">
        <is>
          <t>Lucas Beyer: Vision in the Age of LLMs [ETHZ Robot Learning 2026</t>
        </is>
      </c>
      <c r="F1460" s="11" t="inlineStr">
        <is>
          <t>1:09:04</t>
        </is>
      </c>
      <c r="G1460" s="11" t="n">
        <v>1.15</v>
      </c>
      <c r="H1460" s="12" t="inlineStr">
        <is>
          <t>★</t>
        </is>
      </c>
      <c r="I1460" s="11" t="inlineStr">
        <is>
          <t>Not started</t>
        </is>
      </c>
      <c r="J1460" s="13" t="n"/>
      <c r="K1460" s="10" t="inlineStr"/>
      <c r="L1460" s="14" t="inlineStr">
        <is>
          <t>▶ watch</t>
        </is>
      </c>
      <c r="M1460" s="10" t="inlineStr"/>
      <c r="N1460" s="11" t="inlineStr"/>
      <c r="O1460" s="11" t="inlineStr">
        <is>
          <t>course lecture - no single paper</t>
        </is>
      </c>
      <c r="P1460" s="10" t="inlineStr"/>
    </row>
    <row r="1461">
      <c r="A1461" s="17" t="n">
        <v>1460</v>
      </c>
      <c r="B1461" s="17" t="inlineStr">
        <is>
          <t>Part III - Upstream AI Research</t>
        </is>
      </c>
      <c r="C1461" s="18" t="inlineStr">
        <is>
          <t>1. Modern vision architectures - ViT, ConvNeXt, Swin, the convolution debate</t>
        </is>
      </c>
      <c r="D1461" s="10" t="inlineStr">
        <is>
          <t>BiT → ViT → transfer-learning methodology, told as a research program rather than a paper</t>
        </is>
      </c>
      <c r="E1461" s="10" t="inlineStr">
        <is>
          <t>Lucas Beyer \</t>
        </is>
      </c>
      <c r="F1461" s="11" t="inlineStr">
        <is>
          <t>1:03:56</t>
        </is>
      </c>
      <c r="G1461" s="11" t="n">
        <v>1.07</v>
      </c>
      <c r="H1461" s="12" t="inlineStr">
        <is>
          <t>★</t>
        </is>
      </c>
      <c r="I1461" s="11" t="inlineStr">
        <is>
          <t>Not started</t>
        </is>
      </c>
      <c r="J1461" s="13" t="n"/>
      <c r="K1461" s="10" t="inlineStr"/>
      <c r="L1461" s="14" t="inlineStr">
        <is>
          <t>▶ watch</t>
        </is>
      </c>
      <c r="M1461" s="10" t="inlineStr"/>
      <c r="N1461" s="11" t="inlineStr"/>
      <c r="O1461" s="11" t="inlineStr">
        <is>
          <t>course lecture - no single paper</t>
        </is>
      </c>
      <c r="P1461" s="10" t="inlineStr"/>
    </row>
    <row r="1462">
      <c r="A1462" s="17" t="n">
        <v>1461</v>
      </c>
      <c r="B1462" s="17" t="inlineStr">
        <is>
          <t>Part III - Upstream AI Research</t>
        </is>
      </c>
      <c r="C1462" s="18" t="inlineStr">
        <is>
          <t>1. Modern vision architectures - ViT, ConvNeXt, Swin, the convolution debate</t>
        </is>
      </c>
      <c r="D1462" s="10" t="inlineStr">
        <is>
          <t>Why the two modalities converged on one architecture - the core inductive-bias argument</t>
        </is>
      </c>
      <c r="E1462" s="10" t="inlineStr">
        <is>
          <t>Lucas Beyer (Google DeepMind) - Convergence of Vision &amp; Language</t>
        </is>
      </c>
      <c r="F1462" s="11" t="inlineStr">
        <is>
          <t>55:08</t>
        </is>
      </c>
      <c r="G1462" s="11" t="n">
        <v>0.92</v>
      </c>
      <c r="H1462" s="12" t="inlineStr">
        <is>
          <t>★</t>
        </is>
      </c>
      <c r="I1462" s="11" t="inlineStr">
        <is>
          <t>Not started</t>
        </is>
      </c>
      <c r="J1462" s="13" t="n"/>
      <c r="K1462" s="10" t="inlineStr"/>
      <c r="L1462" s="14" t="inlineStr">
        <is>
          <t>▶ watch</t>
        </is>
      </c>
      <c r="M1462" s="10" t="inlineStr"/>
      <c r="N1462" s="11" t="inlineStr"/>
      <c r="O1462" s="11" t="inlineStr">
        <is>
          <t>course lecture - no single paper</t>
        </is>
      </c>
      <c r="P1462" s="10" t="inlineStr"/>
    </row>
    <row r="1463">
      <c r="A1463" s="17" t="n">
        <v>1462</v>
      </c>
      <c r="B1463" s="17" t="inlineStr">
        <is>
          <t>Part III - Upstream AI Research</t>
        </is>
      </c>
      <c r="C1463" s="18" t="inlineStr">
        <is>
          <t>1. Modern vision architectures - ViT, ConvNeXt, Swin, the convolution debate</t>
        </is>
      </c>
      <c r="D1463" s="10" t="inlineStr">
        <is>
          <t>ViT co-author giving the explicit "do we still need convolutions" verdict plus visual scaling laws</t>
        </is>
      </c>
      <c r="E1463" s="10" t="inlineStr">
        <is>
          <t>Architectures Beyond CNNs and Visual Scaling Laws - Tutorial (1/3</t>
        </is>
      </c>
      <c r="F1463" s="11" t="inlineStr">
        <is>
          <t>30:44</t>
        </is>
      </c>
      <c r="G1463" s="11" t="n">
        <v>0.51</v>
      </c>
      <c r="H1463" s="12" t="inlineStr">
        <is>
          <t>★</t>
        </is>
      </c>
      <c r="I1463" s="11" t="inlineStr">
        <is>
          <t>Not started</t>
        </is>
      </c>
      <c r="J1463" s="13" t="n"/>
      <c r="K1463" s="10" t="inlineStr"/>
      <c r="L1463" s="14" t="inlineStr">
        <is>
          <t>▶ watch</t>
        </is>
      </c>
      <c r="M1463" s="10" t="inlineStr"/>
      <c r="N1463" s="11" t="inlineStr"/>
      <c r="O1463" s="11" t="inlineStr">
        <is>
          <t>course lecture - no single paper</t>
        </is>
      </c>
      <c r="P1463" s="10" t="inlineStr"/>
    </row>
    <row r="1464">
      <c r="A1464" s="17" t="n">
        <v>1463</v>
      </c>
      <c r="B1464" s="17" t="inlineStr">
        <is>
          <t>Part III - Upstream AI Research</t>
        </is>
      </c>
      <c r="C1464" s="18" t="inlineStr">
        <is>
          <t>1. Modern vision architectures - ViT, ConvNeXt, Swin, the convolution debate</t>
        </is>
      </c>
      <c r="D1464" s="10" t="inlineStr">
        <is>
          <t>Longer-form version with Q&amp;A; adapters/parameter-efficient transfer lineage included</t>
        </is>
      </c>
      <c r="E1464" s="10" t="inlineStr">
        <is>
          <t>Cambridge Ellis Unit Seminar - Neil Houlsby (29 Oct 2021</t>
        </is>
      </c>
      <c r="F1464" s="11" t="inlineStr">
        <is>
          <t>56:25</t>
        </is>
      </c>
      <c r="G1464" s="11" t="n">
        <v>0.9399999999999999</v>
      </c>
      <c r="H1464" s="12" t="inlineStr">
        <is>
          <t>★</t>
        </is>
      </c>
      <c r="I1464" s="11" t="inlineStr">
        <is>
          <t>Not started</t>
        </is>
      </c>
      <c r="J1464" s="13" t="n"/>
      <c r="K1464" s="10" t="inlineStr"/>
      <c r="L1464" s="14" t="inlineStr">
        <is>
          <t>▶ watch</t>
        </is>
      </c>
      <c r="M1464" s="10" t="inlineStr"/>
      <c r="N1464" s="11" t="inlineStr"/>
      <c r="O1464" s="11" t="inlineStr">
        <is>
          <t>course lecture - no single paper</t>
        </is>
      </c>
      <c r="P1464" s="10" t="inlineStr"/>
    </row>
    <row r="1465">
      <c r="A1465" s="17" t="n">
        <v>1464</v>
      </c>
      <c r="B1465" s="17" t="inlineStr">
        <is>
          <t>Part III - Upstream AI Research</t>
        </is>
      </c>
      <c r="C1465" s="18" t="inlineStr">
        <is>
          <t>1. Modern vision architectures - ViT, ConvNeXt, Swin, the convolution debate</t>
        </is>
      </c>
      <c r="D1465" s="10" t="inlineStr">
        <is>
          <t>The ViT-scaling-laws author on compute/data/parameter tradeoffs - the empirical backbone of modern vision scaling</t>
        </is>
      </c>
      <c r="E1465" s="10" t="inlineStr">
        <is>
          <t>Scaling Vision and Language Learning with Vision Transformers - Tutorial (2/3</t>
        </is>
      </c>
      <c r="F1465" s="11" t="inlineStr">
        <is>
          <t>31:32</t>
        </is>
      </c>
      <c r="G1465" s="11" t="n">
        <v>0.53</v>
      </c>
      <c r="H1465" s="12" t="inlineStr">
        <is>
          <t>★</t>
        </is>
      </c>
      <c r="I1465" s="11" t="inlineStr">
        <is>
          <t>Not started</t>
        </is>
      </c>
      <c r="J1465" s="13" t="n"/>
      <c r="K1465" s="10" t="inlineStr"/>
      <c r="L1465" s="14" t="inlineStr">
        <is>
          <t>▶ watch</t>
        </is>
      </c>
      <c r="M1465" s="10" t="inlineStr"/>
      <c r="N1465" s="11" t="inlineStr"/>
      <c r="O1465" s="11" t="inlineStr">
        <is>
          <t>course lecture - no single paper</t>
        </is>
      </c>
      <c r="P1465" s="10" t="inlineStr"/>
    </row>
    <row r="1466">
      <c r="A1466" s="17" t="n">
        <v>1465</v>
      </c>
      <c r="B1466" s="17" t="inlineStr">
        <is>
          <t>Part III - Upstream AI Research</t>
        </is>
      </c>
      <c r="C1466" s="18" t="inlineStr">
        <is>
          <t>1. Modern vision architectures - ViT, ConvNeXt, Swin, the convolution debate</t>
        </is>
      </c>
      <c r="D1466" s="10" t="inlineStr">
        <is>
          <t>Shows that the ViT recipe extends to detection without hand-designed priors</t>
        </is>
      </c>
      <c r="E1466" s="10" t="inlineStr">
        <is>
          <t>Scalable approaches to localization &amp; dense prediction - Tutorial (3/3</t>
        </is>
      </c>
      <c r="F1466" s="11" t="inlineStr">
        <is>
          <t>31:58</t>
        </is>
      </c>
      <c r="G1466" s="11" t="n">
        <v>0.53</v>
      </c>
      <c r="H1466" s="12" t="inlineStr">
        <is>
          <t>★</t>
        </is>
      </c>
      <c r="I1466" s="11" t="inlineStr">
        <is>
          <t>Not started</t>
        </is>
      </c>
      <c r="J1466" s="13" t="n"/>
      <c r="K1466" s="10" t="inlineStr"/>
      <c r="L1466" s="14" t="inlineStr">
        <is>
          <t>▶ watch</t>
        </is>
      </c>
      <c r="M1466" s="10" t="inlineStr"/>
      <c r="N1466" s="11" t="inlineStr"/>
      <c r="O1466" s="11" t="inlineStr">
        <is>
          <t>course lecture - no single paper</t>
        </is>
      </c>
      <c r="P1466" s="10" t="inlineStr"/>
    </row>
    <row r="1467">
      <c r="A1467" s="17" t="n">
        <v>1466</v>
      </c>
      <c r="B1467" s="17" t="inlineStr">
        <is>
          <t>Part III - Upstream AI Research</t>
        </is>
      </c>
      <c r="C1467" s="18" t="inlineStr">
        <is>
          <t>1. Modern vision architectures - ViT, ConvNeXt, Swin, the convolution debate</t>
        </is>
      </c>
      <c r="D1467" s="10" t="inlineStr">
        <is>
          <t>The deepest free lecture on the ViT/MLP-Mixer/convolution tradeoff space, by a co-author of all three</t>
        </is>
      </c>
      <c r="E1467" s="10" t="inlineStr">
        <is>
          <t>Alexander Kolesnikov (Google Brain), IARAI Research</t>
        </is>
      </c>
      <c r="F1467" s="11" t="inlineStr">
        <is>
          <t>1:18:41</t>
        </is>
      </c>
      <c r="G1467" s="11" t="n">
        <v>1.31</v>
      </c>
      <c r="H1467" s="12" t="inlineStr">
        <is>
          <t>★</t>
        </is>
      </c>
      <c r="I1467" s="11" t="inlineStr">
        <is>
          <t>Not started</t>
        </is>
      </c>
      <c r="J1467" s="13" t="n"/>
      <c r="K1467" s="10" t="inlineStr"/>
      <c r="L1467" s="14" t="inlineStr">
        <is>
          <t>▶ watch</t>
        </is>
      </c>
      <c r="M1467" s="10" t="inlineStr"/>
      <c r="N1467" s="11" t="inlineStr"/>
      <c r="O1467" s="11" t="inlineStr">
        <is>
          <t>course lecture - no single paper</t>
        </is>
      </c>
      <c r="P1467" s="10" t="inlineStr"/>
    </row>
    <row r="1468">
      <c r="A1468" s="17" t="n">
        <v>1467</v>
      </c>
      <c r="B1468" s="17" t="inlineStr">
        <is>
          <t>Part III - Upstream AI Research</t>
        </is>
      </c>
      <c r="C1468" s="18" t="inlineStr">
        <is>
          <t>1. Modern vision architectures - ViT, ConvNeXt, Swin, the convolution debate</t>
        </is>
      </c>
      <c r="D1468" s="10" t="inlineStr">
        <is>
          <t>The rebuttal to ViT, from the first author - the methodological lesson (ablate training recipe before crediting architecture) is the real content</t>
        </is>
      </c>
      <c r="E1468" s="10" t="inlineStr">
        <is>
          <t>Zhuang Liu (Meta AI/FAIR), CVPR 2022 author video</t>
        </is>
      </c>
      <c r="F1468" s="11" t="inlineStr">
        <is>
          <t>4:54</t>
        </is>
      </c>
      <c r="G1468" s="11" t="n">
        <v>0.08</v>
      </c>
      <c r="H1468" s="12" t="inlineStr">
        <is>
          <t>★</t>
        </is>
      </c>
      <c r="I1468" s="11" t="inlineStr">
        <is>
          <t>Not started</t>
        </is>
      </c>
      <c r="J1468" s="13" t="n"/>
      <c r="K1468" s="10" t="inlineStr"/>
      <c r="L1468" s="14" t="inlineStr">
        <is>
          <t>▶ watch</t>
        </is>
      </c>
      <c r="M1468" s="10" t="inlineStr"/>
      <c r="N1468" s="11" t="inlineStr"/>
      <c r="O1468" s="11" t="inlineStr">
        <is>
          <t>course lecture - no single paper</t>
        </is>
      </c>
      <c r="P1468" s="10" t="inlineStr"/>
    </row>
    <row r="1469">
      <c r="A1469" s="17" t="n">
        <v>1468</v>
      </c>
      <c r="B1469" s="17" t="inlineStr">
        <is>
          <t>Part III - Upstream AI Research</t>
        </is>
      </c>
      <c r="C1469" s="18" t="inlineStr">
        <is>
          <t>1. Modern vision architectures - ViT, ConvNeXt, Swin, the convolution debate</t>
        </is>
      </c>
      <c r="D1469" s="10" t="inlineStr">
        <is>
          <t>Shows masked pretraining is architecture-agnostic - kills the "MAE needs transformers" claim</t>
        </is>
      </c>
      <c r="E1469" s="10" t="inlineStr">
        <is>
          <t>ConvNeXt V2: Co-designing and Scaling ConvNets with Masked Autoencoders \</t>
        </is>
      </c>
      <c r="F1469" s="11" t="inlineStr">
        <is>
          <t>7:58</t>
        </is>
      </c>
      <c r="G1469" s="11" t="n">
        <v>0.13</v>
      </c>
      <c r="H1469" s="12" t="inlineStr">
        <is>
          <t>★</t>
        </is>
      </c>
      <c r="I1469" s="11" t="inlineStr">
        <is>
          <t>Not started</t>
        </is>
      </c>
      <c r="J1469" s="13" t="n"/>
      <c r="K1469" s="10" t="inlineStr"/>
      <c r="L1469" s="14" t="inlineStr">
        <is>
          <t>▶ watch</t>
        </is>
      </c>
      <c r="M1469" s="10" t="inlineStr"/>
      <c r="N1469" s="11" t="inlineStr"/>
      <c r="O1469" s="11" t="inlineStr">
        <is>
          <t>course lecture - no single paper</t>
        </is>
      </c>
      <c r="P1469" s="10" t="inlineStr"/>
    </row>
    <row r="1470">
      <c r="A1470" s="17" t="n">
        <v>1469</v>
      </c>
      <c r="B1470" s="17" t="inlineStr">
        <is>
          <t>Part III - Upstream AI Research</t>
        </is>
      </c>
      <c r="C1470" s="18" t="inlineStr">
        <is>
          <t>1. Modern vision architectures - ViT, ConvNeXt, Swin, the convolution debate</t>
        </is>
      </c>
      <c r="D1470" s="10" t="inlineStr">
        <is>
          <t>Stanford CS25: V1 - Transformers in Vision: Tackling problems in Computer Vision</t>
        </is>
      </c>
      <c r="E1470" s="10" t="inlineStr">
        <is>
          <t>Stanford CS25, Stanford Online</t>
        </is>
      </c>
      <c r="F1470" s="11" t="inlineStr">
        <is>
          <t>1:08:37</t>
        </is>
      </c>
      <c r="G1470" s="11" t="n">
        <v>1.14</v>
      </c>
      <c r="H1470" s="12" t="inlineStr"/>
      <c r="I1470" s="11" t="inlineStr">
        <is>
          <t>Not started</t>
        </is>
      </c>
      <c r="J1470" s="13" t="n"/>
      <c r="K1470" s="10" t="inlineStr"/>
      <c r="L1470" s="14" t="inlineStr">
        <is>
          <t>▶ watch</t>
        </is>
      </c>
      <c r="M1470" s="10" t="inlineStr"/>
      <c r="N1470" s="11" t="inlineStr"/>
      <c r="O1470" s="11" t="inlineStr">
        <is>
          <t>course lecture - no single paper</t>
        </is>
      </c>
      <c r="P1470" s="10" t="inlineStr"/>
    </row>
    <row r="1471">
      <c r="A1471" s="17" t="n">
        <v>1470</v>
      </c>
      <c r="B1471" s="17" t="inlineStr">
        <is>
          <t>Part III - Upstream AI Research</t>
        </is>
      </c>
      <c r="C1471" s="18" t="inlineStr">
        <is>
          <t>1. Modern vision architectures - ViT, ConvNeXt, Swin, the convolution debate</t>
        </is>
      </c>
      <c r="D1471" s="10" t="inlineStr">
        <is>
          <t>Careful walkthrough of hierarchical/shifted-window attention - the argument that some locality prior is worth re-introducing</t>
        </is>
      </c>
      <c r="E1471" s="10" t="inlineStr">
        <is>
          <t>CV Study Group: Swin Transformer</t>
        </is>
      </c>
      <c r="F1471" s="11" t="inlineStr">
        <is>
          <t>46:05</t>
        </is>
      </c>
      <c r="G1471" s="11" t="n">
        <v>0.77</v>
      </c>
      <c r="H1471" s="12" t="inlineStr"/>
      <c r="I1471" s="11" t="inlineStr">
        <is>
          <t>Not started</t>
        </is>
      </c>
      <c r="J1471" s="13" t="n"/>
      <c r="K1471" s="10" t="inlineStr"/>
      <c r="L1471" s="14" t="inlineStr">
        <is>
          <t>▶ watch</t>
        </is>
      </c>
      <c r="M1471" s="10" t="inlineStr"/>
      <c r="N1471" s="11" t="inlineStr"/>
      <c r="O1471" s="11" t="inlineStr">
        <is>
          <t>course lecture - no single paper</t>
        </is>
      </c>
      <c r="P1471" s="10" t="inlineStr"/>
    </row>
    <row r="1472">
      <c r="A1472" s="17" t="n">
        <v>1471</v>
      </c>
      <c r="B1472" s="17" t="inlineStr">
        <is>
          <t>Part III - Upstream AI Research</t>
        </is>
      </c>
      <c r="C1472" s="18" t="inlineStr">
        <is>
          <t>1. Modern vision architectures - ViT, ConvNeXt, Swin, the convolution debate</t>
        </is>
      </c>
      <c r="D1472" s="10" t="inlineStr">
        <is>
          <t>Towards Generic Vision Transformers for Supervised and Self-Supervised Representation Learning</t>
        </is>
      </c>
      <c r="E1472" s="10" t="inlineStr">
        <is>
          <t>Computer Vision Talks reading group (speaker not stated in title</t>
        </is>
      </c>
      <c r="F1472" s="11" t="inlineStr">
        <is>
          <t>1:18:42</t>
        </is>
      </c>
      <c r="G1472" s="11" t="n">
        <v>1.31</v>
      </c>
      <c r="H1472" s="12" t="inlineStr"/>
      <c r="I1472" s="11" t="inlineStr">
        <is>
          <t>Not started</t>
        </is>
      </c>
      <c r="J1472" s="13" t="n"/>
      <c r="K1472" s="10" t="inlineStr"/>
      <c r="L1472" s="14" t="inlineStr">
        <is>
          <t>▶ watch</t>
        </is>
      </c>
      <c r="M1472" s="10" t="inlineStr"/>
      <c r="N1472" s="11" t="inlineStr"/>
      <c r="O1472" s="11" t="inlineStr">
        <is>
          <t>course lecture - no single paper</t>
        </is>
      </c>
      <c r="P1472" s="10" t="inlineStr"/>
    </row>
    <row r="1473">
      <c r="A1473" s="17" t="n">
        <v>1472</v>
      </c>
      <c r="B1473" s="17" t="inlineStr">
        <is>
          <t>Part III - Upstream AI Research</t>
        </is>
      </c>
      <c r="C1473" s="18" t="inlineStr">
        <is>
          <t>1. Modern vision architectures - ViT, ConvNeXt, Swin, the convolution debate</t>
        </is>
      </c>
      <c r="D1473" s="10" t="inlineStr">
        <is>
          <t>Scale-first representation learning, pre-foundation-model framing</t>
        </is>
      </c>
      <c r="E1473" s="10" t="inlineStr">
        <is>
          <t>Large Scale Visual Representation Learning</t>
        </is>
      </c>
      <c r="F1473" s="11" t="inlineStr">
        <is>
          <t>1:16:09</t>
        </is>
      </c>
      <c r="G1473" s="11" t="n">
        <v>1.27</v>
      </c>
      <c r="H1473" s="12" t="inlineStr"/>
      <c r="I1473" s="11" t="inlineStr">
        <is>
          <t>Not started</t>
        </is>
      </c>
      <c r="J1473" s="13" t="n"/>
      <c r="K1473" s="10" t="inlineStr"/>
      <c r="L1473" s="14" t="inlineStr">
        <is>
          <t>▶ watch</t>
        </is>
      </c>
      <c r="M1473" s="10" t="inlineStr"/>
      <c r="N1473" s="11" t="inlineStr"/>
      <c r="O1473" s="11" t="inlineStr">
        <is>
          <t>course lecture - no single paper</t>
        </is>
      </c>
      <c r="P1473" s="10" t="inlineStr"/>
    </row>
    <row r="1474">
      <c r="A1474" s="17" t="n">
        <v>1473</v>
      </c>
      <c r="B1474" s="17" t="inlineStr">
        <is>
          <t>Part III - Upstream AI Research</t>
        </is>
      </c>
      <c r="C1474" s="18" t="inlineStr">
        <is>
          <t>1. Modern vision architectures - ViT, ConvNeXt, Swin, the convolution debate</t>
        </is>
      </c>
      <c r="D1474" s="10" t="inlineStr">
        <is>
          <t>【EP3】Large-Scale Visual Representation Learning with Vision Transformers</t>
        </is>
      </c>
      <c r="E1474" s="10" t="inlineStr">
        <is>
          <t>The AI Talks</t>
        </is>
      </c>
      <c r="F1474" s="11" t="inlineStr">
        <is>
          <t>1:03:21</t>
        </is>
      </c>
      <c r="G1474" s="11" t="n">
        <v>1.06</v>
      </c>
      <c r="H1474" s="12" t="inlineStr"/>
      <c r="I1474" s="11" t="inlineStr">
        <is>
          <t>Not started</t>
        </is>
      </c>
      <c r="J1474" s="13" t="n"/>
      <c r="K1474" s="10" t="inlineStr"/>
      <c r="L1474" s="14" t="inlineStr">
        <is>
          <t>▶ watch</t>
        </is>
      </c>
      <c r="M1474" s="10" t="inlineStr"/>
      <c r="N1474" s="11" t="inlineStr"/>
      <c r="O1474" s="11" t="inlineStr">
        <is>
          <t>course lecture - no single paper</t>
        </is>
      </c>
      <c r="P1474" s="10" t="inlineStr"/>
    </row>
    <row r="1475">
      <c r="A1475" s="17" t="n">
        <v>1474</v>
      </c>
      <c r="B1475" s="17" t="inlineStr">
        <is>
          <t>Part III - Upstream AI Research</t>
        </is>
      </c>
      <c r="C1475" s="18" t="inlineStr">
        <is>
          <t>2. Self-supervised visual learning - contrastive, clustering, masked, JEPA</t>
        </is>
      </c>
      <c r="D1475" s="10" t="inlineStr">
        <is>
          <t>SimCLR's first author on where contrastive learning fails - the most research-useful framing available</t>
        </is>
      </c>
      <c r="E1475" s="10" t="inlineStr">
        <is>
          <t>Contrastive Self-Supervised Learning and Potential Limitations</t>
        </is>
      </c>
      <c r="F1475" s="11" t="inlineStr">
        <is>
          <t>55:12</t>
        </is>
      </c>
      <c r="G1475" s="11" t="n">
        <v>0.92</v>
      </c>
      <c r="H1475" s="12" t="inlineStr">
        <is>
          <t>★</t>
        </is>
      </c>
      <c r="I1475" s="11" t="inlineStr">
        <is>
          <t>Not started</t>
        </is>
      </c>
      <c r="J1475" s="13" t="n"/>
      <c r="K1475" s="10" t="inlineStr"/>
      <c r="L1475" s="14" t="inlineStr">
        <is>
          <t>▶ watch</t>
        </is>
      </c>
      <c r="M1475" s="10" t="inlineStr"/>
      <c r="N1475" s="11" t="inlineStr"/>
      <c r="O1475" s="11" t="inlineStr">
        <is>
          <t>course lecture - no single paper</t>
        </is>
      </c>
      <c r="P1475" s="10" t="inlineStr"/>
    </row>
    <row r="1476">
      <c r="A1476" s="17" t="n">
        <v>1475</v>
      </c>
      <c r="B1476" s="17" t="inlineStr">
        <is>
          <t>Part III - Upstream AI Research</t>
        </is>
      </c>
      <c r="C1476" s="18" t="inlineStr">
        <is>
          <t>2. Self-supervised visual learning - contrastive, clustering, masked, JEPA</t>
        </is>
      </c>
      <c r="D1476" s="10" t="inlineStr">
        <is>
          <t>Covers the semi-supervised distillation result of SimCLRv2, usually skipped</t>
        </is>
      </c>
      <c r="E1476" s="10" t="inlineStr">
        <is>
          <t>Contrastive Learning with SimCLR V1/V2 and Some Intriguing Properties</t>
        </is>
      </c>
      <c r="F1476" s="11" t="inlineStr">
        <is>
          <t>1:02:34</t>
        </is>
      </c>
      <c r="G1476" s="11" t="n">
        <v>1.04</v>
      </c>
      <c r="H1476" s="12" t="inlineStr"/>
      <c r="I1476" s="11" t="inlineStr">
        <is>
          <t>Not started</t>
        </is>
      </c>
      <c r="J1476" s="13" t="n"/>
      <c r="K1476" s="10" t="inlineStr"/>
      <c r="L1476" s="14" t="inlineStr">
        <is>
          <t>▶ watch</t>
        </is>
      </c>
      <c r="M1476" s="10" t="inlineStr"/>
      <c r="N1476" s="11" t="inlineStr"/>
      <c r="O1476" s="11" t="inlineStr">
        <is>
          <t>course lecture - no single paper</t>
        </is>
      </c>
      <c r="P1476" s="10" t="inlineStr"/>
    </row>
    <row r="1477">
      <c r="A1477" s="17" t="n">
        <v>1476</v>
      </c>
      <c r="B1477" s="17" t="inlineStr">
        <is>
          <t>Part III - Upstream AI Research</t>
        </is>
      </c>
      <c r="C1477" s="18" t="inlineStr">
        <is>
          <t>2. Self-supervised visual learning - contrastive, clustering, masked, JEPA</t>
        </is>
      </c>
      <c r="D1477" s="10" t="inlineStr">
        <is>
          <t>SimCLR: A Simple Framework for Contrastive Learning of Visual Representations</t>
        </is>
      </c>
      <c r="E1477" s="10" t="inlineStr">
        <is>
          <t>Stanford Contrastive &amp; SS Learning Group (embedding disabled; public</t>
        </is>
      </c>
      <c r="F1477" s="11" t="inlineStr">
        <is>
          <t>36:46</t>
        </is>
      </c>
      <c r="G1477" s="11" t="n">
        <v>0.61</v>
      </c>
      <c r="H1477" s="12" t="inlineStr"/>
      <c r="I1477" s="11" t="inlineStr">
        <is>
          <t>Not started</t>
        </is>
      </c>
      <c r="J1477" s="13" t="n"/>
      <c r="K1477" s="10" t="inlineStr"/>
      <c r="L1477" s="14" t="inlineStr">
        <is>
          <t>▶ watch</t>
        </is>
      </c>
      <c r="M1477" s="10" t="inlineStr"/>
      <c r="N1477" s="11" t="inlineStr"/>
      <c r="O1477" s="11" t="inlineStr">
        <is>
          <t>course lecture - no single paper</t>
        </is>
      </c>
      <c r="P1477" s="10" t="inlineStr"/>
    </row>
    <row r="1478">
      <c r="A1478" s="17" t="n">
        <v>1477</v>
      </c>
      <c r="B1478" s="17" t="inlineStr">
        <is>
          <t>Part III - Upstream AI Research</t>
        </is>
      </c>
      <c r="C1478" s="18" t="inlineStr">
        <is>
          <t>2. Self-supervised visual learning - contrastive, clustering, masked, JEPA</t>
        </is>
      </c>
      <c r="D1478" s="10" t="inlineStr">
        <is>
          <t>Canonical author presentation of MoCo - the queue + momentum-encoder idea that decoupled batch size from negatives</t>
        </is>
      </c>
      <c r="E1478" s="10" t="inlineStr">
        <is>
          <t>Momentum Contrast for Unsupervised Visual Representation Learning</t>
        </is>
      </c>
      <c r="F1478" s="11" t="inlineStr">
        <is>
          <t>4:53</t>
        </is>
      </c>
      <c r="G1478" s="11" t="n">
        <v>0.08</v>
      </c>
      <c r="H1478" s="12" t="inlineStr">
        <is>
          <t>★</t>
        </is>
      </c>
      <c r="I1478" s="11" t="inlineStr">
        <is>
          <t>Not started</t>
        </is>
      </c>
      <c r="J1478" s="13" t="n"/>
      <c r="K1478" s="10" t="inlineStr"/>
      <c r="L1478" s="14" t="inlineStr">
        <is>
          <t>▶ watch</t>
        </is>
      </c>
      <c r="M1478" s="10" t="inlineStr"/>
      <c r="N1478" s="11" t="inlineStr"/>
      <c r="O1478" s="11" t="inlineStr">
        <is>
          <t>course lecture - no single paper</t>
        </is>
      </c>
      <c r="P1478" s="10" t="inlineStr"/>
    </row>
    <row r="1479">
      <c r="A1479" s="17" t="n">
        <v>1478</v>
      </c>
      <c r="B1479" s="17" t="inlineStr">
        <is>
          <t>Part III - Upstream AI Research</t>
        </is>
      </c>
      <c r="C1479" s="18" t="inlineStr">
        <is>
          <t>2. Self-supervised visual learning - contrastive, clustering, masked, JEPA</t>
        </is>
      </c>
      <c r="D1479" s="10" t="inlineStr">
        <is>
          <t>The collapse-avoidance question - why stop-gradient alone works, and what that means theoretically. Central to understanding BYOL too</t>
        </is>
      </c>
      <c r="E1479" s="10" t="inlineStr">
        <is>
          <t>Exploring Simple Siamese Representation Learning and Beyond</t>
        </is>
      </c>
      <c r="F1479" s="11" t="inlineStr">
        <is>
          <t>1:14:14</t>
        </is>
      </c>
      <c r="G1479" s="11" t="n">
        <v>1.24</v>
      </c>
      <c r="H1479" s="12" t="inlineStr"/>
      <c r="I1479" s="11" t="inlineStr">
        <is>
          <t>Not started</t>
        </is>
      </c>
      <c r="J1479" s="13" t="n"/>
      <c r="K1479" s="10" t="inlineStr"/>
      <c r="L1479" s="14" t="inlineStr">
        <is>
          <t>▶ watch</t>
        </is>
      </c>
      <c r="M1479" s="10" t="inlineStr"/>
      <c r="N1479" s="11" t="inlineStr"/>
      <c r="O1479" s="11" t="inlineStr">
        <is>
          <t>course lecture - no single paper</t>
        </is>
      </c>
      <c r="P1479" s="10" t="inlineStr"/>
    </row>
    <row r="1480">
      <c r="A1480" s="17" t="n">
        <v>1479</v>
      </c>
      <c r="B1480" s="17" t="inlineStr">
        <is>
          <t>Part III - Upstream AI Research</t>
        </is>
      </c>
      <c r="C1480" s="18" t="inlineStr">
        <is>
          <t>2. Self-supervised visual learning - contrastive, clustering, masked, JEPA</t>
        </is>
      </c>
      <c r="D1480" s="10" t="inlineStr">
        <is>
          <t>MoCo v3 - the instability analysis of SSL ViT training is a model of empirical rigor</t>
        </is>
      </c>
      <c r="E1480" s="10" t="inlineStr">
        <is>
          <t>An Empirical Study of Training Self-Supervised Vision Transformers</t>
        </is>
      </c>
      <c r="F1480" s="11" t="inlineStr">
        <is>
          <t>10:11</t>
        </is>
      </c>
      <c r="G1480" s="11" t="n">
        <v>0.17</v>
      </c>
      <c r="H1480" s="12" t="inlineStr">
        <is>
          <t>★</t>
        </is>
      </c>
      <c r="I1480" s="11" t="inlineStr">
        <is>
          <t>Not started</t>
        </is>
      </c>
      <c r="J1480" s="13" t="n"/>
      <c r="K1480" s="10" t="inlineStr"/>
      <c r="L1480" s="14" t="inlineStr">
        <is>
          <t>▶ watch</t>
        </is>
      </c>
      <c r="M1480" s="10" t="inlineStr"/>
      <c r="N1480" s="11" t="inlineStr"/>
      <c r="O1480" s="11" t="inlineStr">
        <is>
          <t>course lecture - no single paper</t>
        </is>
      </c>
      <c r="P1480" s="10" t="inlineStr"/>
    </row>
    <row r="1481">
      <c r="A1481" s="17" t="n">
        <v>1480</v>
      </c>
      <c r="B1481" s="17" t="inlineStr">
        <is>
          <t>Part III - Upstream AI Research</t>
        </is>
      </c>
      <c r="C1481" s="18" t="inlineStr">
        <is>
          <t>2. Self-supervised visual learning - contrastive, clustering, masked, JEPA</t>
        </is>
      </c>
      <c r="D1481" s="10" t="inlineStr">
        <is>
          <t>Xinlei Chen: Self-supervised learning: two known paradigms and a less-known observation</t>
        </is>
      </c>
      <c r="E1481" s="10" t="inlineStr">
        <is>
          <t>Xinlei Chen (FAIR/Meta</t>
        </is>
      </c>
      <c r="F1481" s="11" t="inlineStr">
        <is>
          <t>44:26</t>
        </is>
      </c>
      <c r="G1481" s="11" t="n">
        <v>0.74</v>
      </c>
      <c r="H1481" s="12" t="inlineStr">
        <is>
          <t>★</t>
        </is>
      </c>
      <c r="I1481" s="11" t="inlineStr">
        <is>
          <t>Not started</t>
        </is>
      </c>
      <c r="J1481" s="13" t="n"/>
      <c r="K1481" s="10" t="inlineStr"/>
      <c r="L1481" s="14" t="inlineStr">
        <is>
          <t>▶ watch</t>
        </is>
      </c>
      <c r="M1481" s="10" t="inlineStr"/>
      <c r="N1481" s="11" t="inlineStr"/>
      <c r="O1481" s="11" t="inlineStr">
        <is>
          <t>course lecture - no single paper</t>
        </is>
      </c>
      <c r="P1481" s="10" t="inlineStr"/>
    </row>
    <row r="1482">
      <c r="A1482" s="17" t="n">
        <v>1481</v>
      </c>
      <c r="B1482" s="17" t="inlineStr">
        <is>
          <t>Part III - Upstream AI Research</t>
        </is>
      </c>
      <c r="C1482" s="18" t="inlineStr">
        <is>
          <t>2. Self-supervised visual learning - contrastive, clustering, masked, JEPA</t>
        </is>
      </c>
      <c r="D1482" s="10" t="inlineStr">
        <is>
          <t>Self-Supervised Learning of Visual Representations with Online Clustering (SwAV</t>
        </is>
      </c>
      <c r="E1482" s="10" t="inlineStr">
        <is>
          <t>Computer Vision Talks reading group</t>
        </is>
      </c>
      <c r="F1482" s="11" t="inlineStr">
        <is>
          <t>45:31</t>
        </is>
      </c>
      <c r="G1482" s="11" t="n">
        <v>0.76</v>
      </c>
      <c r="H1482" s="12" t="inlineStr"/>
      <c r="I1482" s="11" t="inlineStr">
        <is>
          <t>Not started</t>
        </is>
      </c>
      <c r="J1482" s="13" t="n"/>
      <c r="K1482" s="10" t="inlineStr"/>
      <c r="L1482" s="14" t="inlineStr">
        <is>
          <t>▶ watch</t>
        </is>
      </c>
      <c r="M1482" s="10" t="inlineStr"/>
      <c r="N1482" s="11" t="inlineStr"/>
      <c r="O1482" s="11" t="inlineStr">
        <is>
          <t>course lecture - no single paper</t>
        </is>
      </c>
      <c r="P1482" s="10" t="inlineStr"/>
    </row>
    <row r="1483">
      <c r="A1483" s="17" t="n">
        <v>1482</v>
      </c>
      <c r="B1483" s="17" t="inlineStr">
        <is>
          <t>Part III - Upstream AI Research</t>
        </is>
      </c>
      <c r="C1483" s="18" t="inlineStr">
        <is>
          <t>2. Self-supervised visual learning - contrastive, clustering, masked, JEPA</t>
        </is>
      </c>
      <c r="D1483" s="10" t="inlineStr">
        <is>
          <t>Self-Supervised Learning of Image Features with SwAV (with author Mathilde Caron</t>
        </is>
      </c>
      <c r="E1483" s="10" t="inlineStr">
        <is>
          <t>Mathilde Caron (FAIR/Inria), Lightning AI</t>
        </is>
      </c>
      <c r="F1483" s="11" t="inlineStr">
        <is>
          <t>36:45</t>
        </is>
      </c>
      <c r="G1483" s="11" t="n">
        <v>0.61</v>
      </c>
      <c r="H1483" s="12" t="inlineStr">
        <is>
          <t>★</t>
        </is>
      </c>
      <c r="I1483" s="11" t="inlineStr">
        <is>
          <t>Not started</t>
        </is>
      </c>
      <c r="J1483" s="13" t="n"/>
      <c r="K1483" s="10" t="inlineStr"/>
      <c r="L1483" s="14" t="inlineStr">
        <is>
          <t>▶ watch</t>
        </is>
      </c>
      <c r="M1483" s="10" t="inlineStr"/>
      <c r="N1483" s="11" t="inlineStr"/>
      <c r="O1483" s="11" t="inlineStr">
        <is>
          <t>course lecture - no single paper</t>
        </is>
      </c>
      <c r="P1483" s="10" t="inlineStr"/>
    </row>
    <row r="1484">
      <c r="A1484" s="17" t="n">
        <v>1483</v>
      </c>
      <c r="B1484" s="17" t="inlineStr">
        <is>
          <t>Part III - Upstream AI Research</t>
        </is>
      </c>
      <c r="C1484" s="18" t="inlineStr">
        <is>
          <t>2. Self-supervised visual learning - contrastive, clustering, masked, JEPA</t>
        </is>
      </c>
      <c r="D1484" s="10" t="inlineStr">
        <is>
          <t>Delivered the month DINO appeared; the emergent-segmentation finding presented by its author</t>
        </is>
      </c>
      <c r="E1484" s="10" t="inlineStr">
        <is>
          <t>Mathilde Caron - VGL group seminar, 27 May 2021</t>
        </is>
      </c>
      <c r="F1484" s="11" t="inlineStr">
        <is>
          <t>57:53</t>
        </is>
      </c>
      <c r="G1484" s="11" t="n">
        <v>0.96</v>
      </c>
      <c r="H1484" s="12" t="inlineStr">
        <is>
          <t>★</t>
        </is>
      </c>
      <c r="I1484" s="11" t="inlineStr">
        <is>
          <t>Not started</t>
        </is>
      </c>
      <c r="J1484" s="13" t="n"/>
      <c r="K1484" s="10" t="inlineStr"/>
      <c r="L1484" s="14" t="inlineStr">
        <is>
          <t>▶ watch</t>
        </is>
      </c>
      <c r="M1484" s="10" t="inlineStr"/>
      <c r="N1484" s="11" t="inlineStr"/>
      <c r="O1484" s="11" t="inlineStr">
        <is>
          <t>course lecture - no single paper</t>
        </is>
      </c>
      <c r="P1484" s="10" t="inlineStr"/>
    </row>
    <row r="1485">
      <c r="A1485" s="17" t="n">
        <v>1484</v>
      </c>
      <c r="B1485" s="17" t="inlineStr">
        <is>
          <t>Part III - Upstream AI Research</t>
        </is>
      </c>
      <c r="C1485" s="18" t="inlineStr">
        <is>
          <t>2. Self-supervised visual learning - contrastive, clustering, masked, JEPA</t>
        </is>
      </c>
      <c r="D1485" s="10" t="inlineStr">
        <is>
          <t>Paper-depth reading-group treatment of DINO's attention maps and k-NN evaluation</t>
        </is>
      </c>
      <c r="E1485" s="10" t="inlineStr">
        <is>
          <t>DINO: Emerging Properties in Self-Supervised Vision Transformers</t>
        </is>
      </c>
      <c r="F1485" s="11" t="inlineStr">
        <is>
          <t>52:32</t>
        </is>
      </c>
      <c r="G1485" s="11" t="n">
        <v>0.88</v>
      </c>
      <c r="H1485" s="12" t="inlineStr"/>
      <c r="I1485" s="11" t="inlineStr">
        <is>
          <t>Not started</t>
        </is>
      </c>
      <c r="J1485" s="13" t="n"/>
      <c r="K1485" s="10" t="inlineStr"/>
      <c r="L1485" s="14" t="inlineStr">
        <is>
          <t>▶ watch</t>
        </is>
      </c>
      <c r="M1485" s="10" t="inlineStr"/>
      <c r="N1485" s="11" t="inlineStr"/>
      <c r="O1485" s="11" t="inlineStr">
        <is>
          <t>course lecture - no single paper</t>
        </is>
      </c>
      <c r="P1485" s="10" t="inlineStr"/>
    </row>
    <row r="1486">
      <c r="A1486" s="17" t="n">
        <v>1485</v>
      </c>
      <c r="B1486" s="17" t="inlineStr">
        <is>
          <t>Part III - Upstream AI Research</t>
        </is>
      </c>
      <c r="C1486" s="18" t="inlineStr">
        <is>
          <t>2. Self-supervised visual learning - contrastive, clustering, masked, JEPA</t>
        </is>
      </c>
      <c r="D1486" s="10" t="inlineStr">
        <is>
          <t>The MAE author video - asymmetric encoder/decoder + 75% masking, stated by the people who found it</t>
        </is>
      </c>
      <c r="E1486" s="10" t="inlineStr">
        <is>
          <t>Masked Autoencoders Are Scalable Vision Learners</t>
        </is>
      </c>
      <c r="F1486" s="11" t="inlineStr">
        <is>
          <t>4:58</t>
        </is>
      </c>
      <c r="G1486" s="11" t="n">
        <v>0.08</v>
      </c>
      <c r="H1486" s="12" t="inlineStr">
        <is>
          <t>★</t>
        </is>
      </c>
      <c r="I1486" s="11" t="inlineStr">
        <is>
          <t>Not started</t>
        </is>
      </c>
      <c r="J1486" s="13" t="n"/>
      <c r="K1486" s="10" t="inlineStr"/>
      <c r="L1486" s="14" t="inlineStr">
        <is>
          <t>▶ watch</t>
        </is>
      </c>
      <c r="M1486" s="10" t="inlineStr"/>
      <c r="N1486" s="11" t="inlineStr"/>
      <c r="O1486" s="11" t="inlineStr">
        <is>
          <t>course lecture - no single paper</t>
        </is>
      </c>
      <c r="P1486" s="10" t="inlineStr"/>
    </row>
    <row r="1487">
      <c r="A1487" s="17" t="n">
        <v>1486</v>
      </c>
      <c r="B1487" s="17" t="inlineStr">
        <is>
          <t>Part III - Upstream AI Research</t>
        </is>
      </c>
      <c r="C1487" s="18" t="inlineStr">
        <is>
          <t>2. Self-supervised visual learning - contrastive, clustering, masked, JEPA</t>
        </is>
      </c>
      <c r="D1487" s="10" t="inlineStr">
        <is>
          <t>Kaiming He's own survey of his line of work - ResNet → MoCo → MAE - framed as research strategy, not results</t>
        </is>
      </c>
      <c r="E1487" s="10" t="inlineStr">
        <is>
          <t>Deep Learning Bootcamp: Kaiming He</t>
        </is>
      </c>
      <c r="F1487" s="11" t="inlineStr">
        <is>
          <t>1:15:46</t>
        </is>
      </c>
      <c r="G1487" s="11" t="n">
        <v>1.26</v>
      </c>
      <c r="H1487" s="12" t="inlineStr">
        <is>
          <t>★</t>
        </is>
      </c>
      <c r="I1487" s="11" t="inlineStr">
        <is>
          <t>Not started</t>
        </is>
      </c>
      <c r="J1487" s="13" t="n"/>
      <c r="K1487" s="10" t="inlineStr"/>
      <c r="L1487" s="14" t="inlineStr">
        <is>
          <t>▶ watch</t>
        </is>
      </c>
      <c r="M1487" s="10" t="inlineStr"/>
      <c r="N1487" s="11" t="inlineStr"/>
      <c r="O1487" s="11" t="inlineStr">
        <is>
          <t>course lecture - no single paper</t>
        </is>
      </c>
      <c r="P1487" s="10" t="inlineStr"/>
    </row>
    <row r="1488">
      <c r="A1488" s="17" t="n">
        <v>1487</v>
      </c>
      <c r="B1488" s="17" t="inlineStr">
        <is>
          <t>Part III - Upstream AI Research</t>
        </is>
      </c>
      <c r="C1488" s="18" t="inlineStr">
        <is>
          <t>2. Self-supervised visual learning - contrastive, clustering, masked, JEPA</t>
        </is>
      </c>
      <c r="D1488" s="10" t="inlineStr">
        <is>
          <t>The "what invariance are we actually imposing" question - the conceptual core of SSL pretext design</t>
        </is>
      </c>
      <c r="E1488" s="10" t="inlineStr">
        <is>
          <t>Multi-view Invariance and Grouping for Self-Supervised Learning</t>
        </is>
      </c>
      <c r="F1488" s="11" t="inlineStr">
        <is>
          <t>36:32</t>
        </is>
      </c>
      <c r="G1488" s="11" t="n">
        <v>0.61</v>
      </c>
      <c r="H1488" s="12" t="inlineStr">
        <is>
          <t>★</t>
        </is>
      </c>
      <c r="I1488" s="11" t="inlineStr">
        <is>
          <t>Not started</t>
        </is>
      </c>
      <c r="J1488" s="13" t="n"/>
      <c r="K1488" s="10" t="inlineStr"/>
      <c r="L1488" s="14" t="inlineStr">
        <is>
          <t>▶ watch</t>
        </is>
      </c>
      <c r="M1488" s="10" t="inlineStr"/>
      <c r="N1488" s="11" t="inlineStr"/>
      <c r="O1488" s="11" t="inlineStr">
        <is>
          <t>course lecture - no single paper</t>
        </is>
      </c>
      <c r="P1488" s="10" t="inlineStr"/>
    </row>
    <row r="1489">
      <c r="A1489" s="17" t="n">
        <v>1488</v>
      </c>
      <c r="B1489" s="17" t="inlineStr">
        <is>
          <t>Part III - Upstream AI Research</t>
        </is>
      </c>
      <c r="C1489" s="18" t="inlineStr">
        <is>
          <t>2. Self-supervised visual learning - contrastive, clustering, masked, JEPA</t>
        </is>
      </c>
      <c r="D1489" s="10" t="inlineStr">
        <is>
          <t>Cross-modality generalization of SSL - the bridge to 3D/molecular settings</t>
        </is>
      </c>
      <c r="E1489" s="10" t="inlineStr">
        <is>
          <t>Ishan Misra (Meta AI), GHOST Day AMLC 2022</t>
        </is>
      </c>
      <c r="F1489" s="11" t="inlineStr">
        <is>
          <t>1:04:11</t>
        </is>
      </c>
      <c r="G1489" s="11" t="n">
        <v>1.07</v>
      </c>
      <c r="H1489" s="12" t="inlineStr">
        <is>
          <t>★</t>
        </is>
      </c>
      <c r="I1489" s="11" t="inlineStr">
        <is>
          <t>Not started</t>
        </is>
      </c>
      <c r="J1489" s="13" t="n"/>
      <c r="K1489" s="10" t="inlineStr"/>
      <c r="L1489" s="14" t="inlineStr">
        <is>
          <t>▶ watch</t>
        </is>
      </c>
      <c r="M1489" s="10" t="inlineStr"/>
      <c r="N1489" s="11" t="inlineStr"/>
      <c r="O1489" s="11" t="inlineStr">
        <is>
          <t>course lecture - no single paper</t>
        </is>
      </c>
      <c r="P1489" s="10" t="inlineStr"/>
    </row>
    <row r="1490">
      <c r="A1490" s="17" t="n">
        <v>1489</v>
      </c>
      <c r="B1490" s="17" t="inlineStr">
        <is>
          <t>Part III - Upstream AI Research</t>
        </is>
      </c>
      <c r="C1490" s="18" t="inlineStr">
        <is>
          <t>2. Self-supervised visual learning - contrastive, clustering, masked, JEPA</t>
        </is>
      </c>
      <c r="D1490" s="10" t="inlineStr">
        <is>
          <t>General purpose visual recognition systems: beyond a single modality and a task</t>
        </is>
      </c>
      <c r="E1490" s="10" t="inlineStr">
        <is>
          <t>Ishan Misra (Meta AI), ECCV 2022 CVinW</t>
        </is>
      </c>
      <c r="F1490" s="11" t="inlineStr">
        <is>
          <t>29:03</t>
        </is>
      </c>
      <c r="G1490" s="11" t="n">
        <v>0.48</v>
      </c>
      <c r="H1490" s="12" t="inlineStr">
        <is>
          <t>★</t>
        </is>
      </c>
      <c r="I1490" s="11" t="inlineStr">
        <is>
          <t>Not started</t>
        </is>
      </c>
      <c r="J1490" s="13" t="n"/>
      <c r="K1490" s="10" t="inlineStr"/>
      <c r="L1490" s="14" t="inlineStr">
        <is>
          <t>▶ watch</t>
        </is>
      </c>
      <c r="M1490" s="10" t="inlineStr"/>
      <c r="N1490" s="11" t="inlineStr"/>
      <c r="O1490" s="11" t="inlineStr">
        <is>
          <t>course lecture - no single paper</t>
        </is>
      </c>
      <c r="P1490" s="10" t="inlineStr"/>
    </row>
    <row r="1491">
      <c r="A1491" s="17" t="n">
        <v>1490</v>
      </c>
      <c r="B1491" s="17" t="inlineStr">
        <is>
          <t>Part III - Upstream AI Research</t>
        </is>
      </c>
      <c r="C1491" s="18" t="inlineStr">
        <is>
          <t>2. Self-supervised visual learning - contrastive, clustering, masked, JEPA</t>
        </is>
      </c>
      <c r="D1491" s="10" t="inlineStr">
        <is>
          <t>Temporal SSL - narrow-view/broad-view asymmetry, a design pattern that recurs in V-JEPA</t>
        </is>
      </c>
      <c r="E1491" s="10" t="inlineStr">
        <is>
          <t>Broaden Your Views for Self-Supervised Video Learning</t>
        </is>
      </c>
      <c r="F1491" s="11" t="inlineStr">
        <is>
          <t>1:04:47</t>
        </is>
      </c>
      <c r="G1491" s="11" t="n">
        <v>1.08</v>
      </c>
      <c r="H1491" s="12" t="inlineStr"/>
      <c r="I1491" s="11" t="inlineStr">
        <is>
          <t>Not started</t>
        </is>
      </c>
      <c r="J1491" s="13" t="n"/>
      <c r="K1491" s="10" t="inlineStr"/>
      <c r="L1491" s="14" t="inlineStr">
        <is>
          <t>▶ watch</t>
        </is>
      </c>
      <c r="M1491" s="10" t="inlineStr"/>
      <c r="N1491" s="11" t="inlineStr"/>
      <c r="O1491" s="11" t="inlineStr">
        <is>
          <t>course lecture - no single paper</t>
        </is>
      </c>
      <c r="P1491" s="10" t="inlineStr"/>
    </row>
    <row r="1492">
      <c r="A1492" s="17" t="n">
        <v>1491</v>
      </c>
      <c r="B1492" s="17" t="inlineStr">
        <is>
          <t>Part III - Upstream AI Research</t>
        </is>
      </c>
      <c r="C1492" s="18" t="inlineStr">
        <is>
          <t>2. Self-supervised visual learning - contrastive, clustering, masked, JEPA</t>
        </is>
      </c>
      <c r="D1492" s="10" t="inlineStr">
        <is>
          <t>The primary-source statement of the joint-embedding-predictive thesis and the argument against generative pixel prediction</t>
        </is>
      </c>
      <c r="E1492" s="10" t="inlineStr">
        <is>
          <t>Yann LeCun \</t>
        </is>
      </c>
      <c r="F1492" s="11" t="inlineStr">
        <is>
          <t>1:08:37</t>
        </is>
      </c>
      <c r="G1492" s="11" t="n">
        <v>1.14</v>
      </c>
      <c r="H1492" s="12" t="inlineStr">
        <is>
          <t>★</t>
        </is>
      </c>
      <c r="I1492" s="11" t="inlineStr">
        <is>
          <t>Not started</t>
        </is>
      </c>
      <c r="J1492" s="13" t="n"/>
      <c r="K1492" s="10" t="inlineStr"/>
      <c r="L1492" s="14" t="inlineStr">
        <is>
          <t>▶ watch</t>
        </is>
      </c>
      <c r="M1492" s="10" t="inlineStr"/>
      <c r="N1492" s="11" t="inlineStr"/>
      <c r="O1492" s="11" t="inlineStr">
        <is>
          <t>course lecture - no single paper</t>
        </is>
      </c>
      <c r="P1492" s="10" t="inlineStr"/>
    </row>
    <row r="1493">
      <c r="A1493" s="17" t="n">
        <v>1492</v>
      </c>
      <c r="B1493" s="17" t="inlineStr">
        <is>
          <t>Part III - Upstream AI Research</t>
        </is>
      </c>
      <c r="C1493" s="18" t="inlineStr">
        <is>
          <t>2. Self-supervised visual learning - contrastive, clustering, masked, JEPA</t>
        </is>
      </c>
      <c r="D1493" s="10" t="inlineStr">
        <is>
          <t>The most recent (2026) LeCun JEPA/world-model talk to a vision audience</t>
        </is>
      </c>
      <c r="E1493" s="10" t="inlineStr">
        <is>
          <t>Yann LeCun: World Models: Enabling the next AI revolution</t>
        </is>
      </c>
      <c r="F1493" s="11" t="inlineStr">
        <is>
          <t>58:54</t>
        </is>
      </c>
      <c r="G1493" s="11" t="n">
        <v>0.98</v>
      </c>
      <c r="H1493" s="12" t="inlineStr">
        <is>
          <t>★</t>
        </is>
      </c>
      <c r="I1493" s="11" t="inlineStr">
        <is>
          <t>Not started</t>
        </is>
      </c>
      <c r="J1493" s="13" t="n"/>
      <c r="K1493" s="10" t="inlineStr"/>
      <c r="L1493" s="14" t="inlineStr">
        <is>
          <t>▶ watch</t>
        </is>
      </c>
      <c r="M1493" s="10" t="inlineStr"/>
      <c r="N1493" s="11" t="inlineStr"/>
      <c r="O1493" s="11" t="inlineStr">
        <is>
          <t>course lecture - no single paper</t>
        </is>
      </c>
      <c r="P1493" s="10" t="inlineStr"/>
    </row>
    <row r="1494">
      <c r="A1494" s="17" t="n">
        <v>1493</v>
      </c>
      <c r="B1494" s="17" t="inlineStr">
        <is>
          <t>Part III - Upstream AI Research</t>
        </is>
      </c>
      <c r="C1494" s="18" t="inlineStr">
        <is>
          <t>3. Vision-language and multimodal</t>
        </is>
      </c>
      <c r="D1494" s="10" t="inlineStr">
        <is>
          <t>The single most important vision-language talk available free. Radford on why language supervision beats label supervision, and the zero-shot evaluation philosophy</t>
        </is>
      </c>
      <c r="E1494" s="10" t="inlineStr">
        <is>
          <t>Alec Radford, OpenAI: CLIP - Learning Transferable Visual Models From Natural Language Supervision</t>
        </is>
      </c>
      <c r="F1494" s="11" t="inlineStr">
        <is>
          <t>49:54</t>
        </is>
      </c>
      <c r="G1494" s="11" t="n">
        <v>0.83</v>
      </c>
      <c r="H1494" s="12" t="inlineStr">
        <is>
          <t>★</t>
        </is>
      </c>
      <c r="I1494" s="11" t="inlineStr">
        <is>
          <t>Not started</t>
        </is>
      </c>
      <c r="J1494" s="13" t="n"/>
      <c r="K1494" s="10" t="inlineStr"/>
      <c r="L1494" s="14" t="inlineStr">
        <is>
          <t>▶ watch</t>
        </is>
      </c>
      <c r="M1494" s="10" t="inlineStr"/>
      <c r="N1494" s="11" t="inlineStr"/>
      <c r="O1494" s="11" t="inlineStr">
        <is>
          <t>course lecture - no single paper</t>
        </is>
      </c>
      <c r="P1494" s="10" t="inlineStr"/>
    </row>
    <row r="1495">
      <c r="A1495" s="17" t="n">
        <v>1494</v>
      </c>
      <c r="B1495" s="17" t="inlineStr">
        <is>
          <t>Part III - Upstream AI Research</t>
        </is>
      </c>
      <c r="C1495" s="18" t="inlineStr">
        <is>
          <t>3. Vision-language and multimodal</t>
        </is>
      </c>
      <c r="D1495" s="10" t="inlineStr">
        <is>
          <t>ALIGN: Scaling Up Visual and Vision-Language Representation Learning With Noisy Text Supervision</t>
        </is>
      </c>
      <c r="E1495" s="10" t="inlineStr">
        <is>
          <t>Stanford Contrastive &amp; SS Learning Group</t>
        </is>
      </c>
      <c r="F1495" s="11" t="inlineStr">
        <is>
          <t>29:11</t>
        </is>
      </c>
      <c r="G1495" s="11" t="n">
        <v>0.49</v>
      </c>
      <c r="H1495" s="12" t="inlineStr"/>
      <c r="I1495" s="11" t="inlineStr">
        <is>
          <t>Not started</t>
        </is>
      </c>
      <c r="J1495" s="13" t="n"/>
      <c r="K1495" s="10" t="inlineStr"/>
      <c r="L1495" s="14" t="inlineStr">
        <is>
          <t>▶ watch</t>
        </is>
      </c>
      <c r="M1495" s="10" t="inlineStr"/>
      <c r="N1495" s="11" t="inlineStr"/>
      <c r="O1495" s="11" t="inlineStr">
        <is>
          <t>course lecture - no single paper</t>
        </is>
      </c>
      <c r="P1495" s="10" t="inlineStr"/>
    </row>
    <row r="1496">
      <c r="A1496" s="17" t="n">
        <v>1495</v>
      </c>
      <c r="B1496" s="17" t="inlineStr">
        <is>
          <t>Part III - Upstream AI Research</t>
        </is>
      </c>
      <c r="C1496" s="18" t="inlineStr">
        <is>
          <t>3. Vision-language and multimodal</t>
        </is>
      </c>
      <c r="D1496" s="10" t="inlineStr">
        <is>
          <t>ALIGN: Scaling Up Visual and Vision-Language Representation Learning With Noisy Text Supervision</t>
        </is>
      </c>
      <c r="E1496" s="10" t="inlineStr">
        <is>
          <t>Microsoft Research</t>
        </is>
      </c>
      <c r="F1496" s="11" t="inlineStr">
        <is>
          <t>57:53</t>
        </is>
      </c>
      <c r="G1496" s="11" t="n">
        <v>0.96</v>
      </c>
      <c r="H1496" s="12" t="inlineStr"/>
      <c r="I1496" s="11" t="inlineStr">
        <is>
          <t>Not started</t>
        </is>
      </c>
      <c r="J1496" s="13" t="n"/>
      <c r="K1496" s="10" t="inlineStr"/>
      <c r="L1496" s="14" t="inlineStr">
        <is>
          <t>▶ watch</t>
        </is>
      </c>
      <c r="M1496" s="10" t="inlineStr"/>
      <c r="N1496" s="11" t="inlineStr"/>
      <c r="O1496" s="11" t="inlineStr">
        <is>
          <t>course lecture - no single paper</t>
        </is>
      </c>
      <c r="P1496" s="10" t="inlineStr"/>
    </row>
    <row r="1497">
      <c r="A1497" s="17" t="n">
        <v>1496</v>
      </c>
      <c r="B1497" s="17" t="inlineStr">
        <is>
          <t>Part III - Upstream AI Research</t>
        </is>
      </c>
      <c r="C1497" s="18" t="inlineStr">
        <is>
          <t>3. Vision-language and multimodal</t>
        </is>
      </c>
      <c r="D1497" s="10" t="inlineStr">
        <is>
          <t>SigLIP author explaining why removing the softmax/global-batch coupling changes the economics of contrastive pretraining - a genuinely transferable loss-design lesson</t>
        </is>
      </c>
      <c r="E1497" s="10" t="inlineStr">
        <is>
          <t>Lucas Beyer - Sigmoid Loss for Language Image Pre-Training</t>
        </is>
      </c>
      <c r="F1497" s="11" t="inlineStr">
        <is>
          <t>59:57</t>
        </is>
      </c>
      <c r="G1497" s="11" t="n">
        <v>1</v>
      </c>
      <c r="H1497" s="12" t="inlineStr">
        <is>
          <t>★</t>
        </is>
      </c>
      <c r="I1497" s="11" t="inlineStr">
        <is>
          <t>Not started</t>
        </is>
      </c>
      <c r="J1497" s="13" t="n"/>
      <c r="K1497" s="10" t="inlineStr"/>
      <c r="L1497" s="14" t="inlineStr">
        <is>
          <t>▶ watch</t>
        </is>
      </c>
      <c r="M1497" s="10" t="inlineStr"/>
      <c r="N1497" s="11" t="inlineStr"/>
      <c r="O1497" s="11" t="inlineStr">
        <is>
          <t>course lecture - no single paper</t>
        </is>
      </c>
      <c r="P1497" s="10" t="inlineStr"/>
    </row>
    <row r="1498">
      <c r="A1498" s="17" t="n">
        <v>1497</v>
      </c>
      <c r="B1498" s="17" t="inlineStr">
        <is>
          <t>Part III - Upstream AI Research</t>
        </is>
      </c>
      <c r="C1498" s="18" t="inlineStr">
        <is>
          <t>3. Vision-language and multimodal</t>
        </is>
      </c>
      <c r="D1498" s="10" t="inlineStr">
        <is>
          <t>Flamingo co-author on gated cross-attention into a frozen LM - the architectural ancestor of every modern VLM</t>
        </is>
      </c>
      <c r="E1498" s="10" t="inlineStr">
        <is>
          <t>Antoine Miech - Flamingo: a Visual Language Model for Few-Shot Learning</t>
        </is>
      </c>
      <c r="F1498" s="11" t="inlineStr">
        <is>
          <t>1:04:46</t>
        </is>
      </c>
      <c r="G1498" s="11" t="n">
        <v>1.08</v>
      </c>
      <c r="H1498" s="12" t="inlineStr">
        <is>
          <t>★</t>
        </is>
      </c>
      <c r="I1498" s="11" t="inlineStr">
        <is>
          <t>Not started</t>
        </is>
      </c>
      <c r="J1498" s="13" t="n"/>
      <c r="K1498" s="10" t="inlineStr"/>
      <c r="L1498" s="14" t="inlineStr">
        <is>
          <t>▶ watch</t>
        </is>
      </c>
      <c r="M1498" s="10" t="inlineStr"/>
      <c r="N1498" s="11" t="inlineStr"/>
      <c r="O1498" s="11" t="inlineStr">
        <is>
          <t>course lecture - no single paper</t>
        </is>
      </c>
      <c r="P1498" s="10" t="inlineStr"/>
    </row>
    <row r="1499">
      <c r="A1499" s="17" t="n">
        <v>1498</v>
      </c>
      <c r="B1499" s="17" t="inlineStr">
        <is>
          <t>Part III - Upstream AI Research</t>
        </is>
      </c>
      <c r="C1499" s="18" t="inlineStr">
        <is>
          <t>3. Vision-language and multimodal</t>
        </is>
      </c>
      <c r="D1499" s="10" t="inlineStr">
        <is>
          <t>Exhaustive 95-minute technical dissection - the deepest free Flamingo treatment</t>
        </is>
      </c>
      <c r="E1499" s="10" t="inlineStr">
        <is>
          <t>Flamingo: a Visual Language Model for Few-Shot Learning</t>
        </is>
      </c>
      <c r="F1499" s="11" t="inlineStr">
        <is>
          <t>1:35:38</t>
        </is>
      </c>
      <c r="G1499" s="11" t="n">
        <v>1.59</v>
      </c>
      <c r="H1499" s="12" t="inlineStr">
        <is>
          <t>★</t>
        </is>
      </c>
      <c r="I1499" s="11" t="inlineStr">
        <is>
          <t>Not started</t>
        </is>
      </c>
      <c r="J1499" s="13" t="n"/>
      <c r="K1499" s="10" t="inlineStr"/>
      <c r="L1499" s="14" t="inlineStr">
        <is>
          <t>▶ watch</t>
        </is>
      </c>
      <c r="M1499" s="10" t="inlineStr"/>
      <c r="N1499" s="11" t="inlineStr"/>
      <c r="O1499" s="11" t="inlineStr">
        <is>
          <t>course lecture - no single paper</t>
        </is>
      </c>
      <c r="P1499" s="10" t="inlineStr"/>
    </row>
    <row r="1500">
      <c r="A1500" s="17" t="n">
        <v>1499</v>
      </c>
      <c r="B1500" s="17" t="inlineStr">
        <is>
          <t>Part III - Upstream AI Research</t>
        </is>
      </c>
      <c r="C1500" s="18" t="inlineStr">
        <is>
          <t>3. Vision-language and multimodal</t>
        </is>
      </c>
      <c r="D1500" s="10" t="inlineStr">
        <is>
          <t>BLIP/BLIP-2 first authors on the Q-Former and bootstrapped captioning - includes what they would do differently</t>
        </is>
      </c>
      <c r="E1500" s="10" t="inlineStr">
        <is>
          <t>The AI Multimodal Revolution with Junnan Li and Dongxu Li of BLIP &amp; BLIP2</t>
        </is>
      </c>
      <c r="F1500" s="11" t="inlineStr">
        <is>
          <t>1:21:21</t>
        </is>
      </c>
      <c r="G1500" s="11" t="n">
        <v>1.36</v>
      </c>
      <c r="H1500" s="12" t="inlineStr">
        <is>
          <t>★</t>
        </is>
      </c>
      <c r="I1500" s="11" t="inlineStr">
        <is>
          <t>Not started</t>
        </is>
      </c>
      <c r="J1500" s="13" t="n"/>
      <c r="K1500" s="10" t="inlineStr"/>
      <c r="L1500" s="14" t="inlineStr">
        <is>
          <t>▶ watch</t>
        </is>
      </c>
      <c r="M1500" s="10" t="inlineStr"/>
      <c r="N1500" s="11" t="inlineStr"/>
      <c r="O1500" s="11" t="inlineStr">
        <is>
          <t>course lecture - no single paper</t>
        </is>
      </c>
      <c r="P1500" s="10" t="inlineStr"/>
    </row>
    <row r="1501">
      <c r="A1501" s="17" t="n">
        <v>1500</v>
      </c>
      <c r="B1501" s="17" t="inlineStr">
        <is>
          <t>Part III - Upstream AI Research</t>
        </is>
      </c>
      <c r="C1501" s="18" t="inlineStr">
        <is>
          <t>3. Vision-language and multimodal</t>
        </is>
      </c>
      <c r="D1501" s="10" t="inlineStr">
        <is>
          <t>LLaVA's co-author giving the canonical survey of visual instruction tuning</t>
        </is>
      </c>
      <c r="E1501" s="10" t="inlineStr">
        <is>
          <t>CVPR24 Vision Foundation Model Tutorial] Large Multimodal Models</t>
        </is>
      </c>
      <c r="F1501" s="11" t="inlineStr">
        <is>
          <t>50:19</t>
        </is>
      </c>
      <c r="G1501" s="11" t="n">
        <v>0.84</v>
      </c>
      <c r="H1501" s="12" t="inlineStr">
        <is>
          <t>★</t>
        </is>
      </c>
      <c r="I1501" s="11" t="inlineStr">
        <is>
          <t>Not started</t>
        </is>
      </c>
      <c r="J1501" s="13" t="n"/>
      <c r="K1501" s="10" t="inlineStr"/>
      <c r="L1501" s="14" t="inlineStr">
        <is>
          <t>▶ watch</t>
        </is>
      </c>
      <c r="M1501" s="10" t="inlineStr"/>
      <c r="N1501" s="11" t="inlineStr"/>
      <c r="O1501" s="11" t="inlineStr">
        <is>
          <t>course lecture - no single paper</t>
        </is>
      </c>
      <c r="P1501" s="10" t="inlineStr"/>
    </row>
    <row r="1502">
      <c r="A1502" s="17" t="n">
        <v>1501</v>
      </c>
      <c r="B1502" s="17" t="inlineStr">
        <is>
          <t>Part III - Upstream AI Research</t>
        </is>
      </c>
      <c r="C1502" s="18" t="inlineStr">
        <is>
          <t>3. Vision-language and multimodal</t>
        </is>
      </c>
      <c r="D1502" s="10" t="inlineStr">
        <is>
          <t>Pretraining-recipe-level detail for MLLMs (data mixtures, resolution, connector choice</t>
        </is>
      </c>
      <c r="E1502" s="10" t="inlineStr">
        <is>
          <t>CVPR24 Vision Foundation Models Tutorial] Multimodal LLM Pre-training</t>
        </is>
      </c>
      <c r="F1502" s="11" t="inlineStr">
        <is>
          <t>50:17</t>
        </is>
      </c>
      <c r="G1502" s="11" t="n">
        <v>0.84</v>
      </c>
      <c r="H1502" s="12" t="inlineStr">
        <is>
          <t>★</t>
        </is>
      </c>
      <c r="I1502" s="11" t="inlineStr">
        <is>
          <t>Not started</t>
        </is>
      </c>
      <c r="J1502" s="13" t="n"/>
      <c r="K1502" s="10" t="inlineStr"/>
      <c r="L1502" s="14" t="inlineStr">
        <is>
          <t>▶ watch</t>
        </is>
      </c>
      <c r="M1502" s="10" t="inlineStr"/>
      <c r="N1502" s="11" t="inlineStr"/>
      <c r="O1502" s="11" t="inlineStr">
        <is>
          <t>course lecture - no single paper</t>
        </is>
      </c>
      <c r="P1502" s="10" t="inlineStr"/>
    </row>
    <row r="1503">
      <c r="A1503" s="17" t="n">
        <v>1502</v>
      </c>
      <c r="B1503" s="17" t="inlineStr">
        <is>
          <t>Part III - Upstream AI Research</t>
        </is>
      </c>
      <c r="C1503" s="18" t="inlineStr">
        <is>
          <t>3. Vision-language and multimodal</t>
        </is>
      </c>
      <c r="D1503" s="10" t="inlineStr">
        <is>
          <t>Argues the vision encoder is the bottleneck in MLLMs - a live open research question</t>
        </is>
      </c>
      <c r="E1503" s="10" t="inlineStr">
        <is>
          <t>CVPR24 Vision Foundation Model Tutorial] Vision in LMMs</t>
        </is>
      </c>
      <c r="F1503" s="11" t="inlineStr">
        <is>
          <t>56:30</t>
        </is>
      </c>
      <c r="G1503" s="11" t="n">
        <v>0.9399999999999999</v>
      </c>
      <c r="H1503" s="12" t="inlineStr">
        <is>
          <t>★</t>
        </is>
      </c>
      <c r="I1503" s="11" t="inlineStr">
        <is>
          <t>Not started</t>
        </is>
      </c>
      <c r="J1503" s="13" t="n"/>
      <c r="K1503" s="10" t="inlineStr"/>
      <c r="L1503" s="14" t="inlineStr">
        <is>
          <t>▶ watch</t>
        </is>
      </c>
      <c r="M1503" s="10" t="inlineStr"/>
      <c r="N1503" s="11" t="inlineStr"/>
      <c r="O1503" s="11" t="inlineStr">
        <is>
          <t>course lecture - no single paper</t>
        </is>
      </c>
      <c r="P1503" s="10" t="inlineStr"/>
    </row>
    <row r="1504">
      <c r="A1504" s="17" t="n">
        <v>1503</v>
      </c>
      <c r="B1504" s="17" t="inlineStr">
        <is>
          <t>Part III - Upstream AI Research</t>
        </is>
      </c>
      <c r="C1504" s="18" t="inlineStr">
        <is>
          <t>3. Vision-language and multimodal</t>
        </is>
      </c>
      <c r="D1504" s="10" t="inlineStr">
        <is>
          <t>CVPR2023 Tutorial Talk] Recent Advances in Vision Foundation Models</t>
        </is>
      </c>
      <c r="E1504" s="10" t="inlineStr">
        <is>
          <t>VLP Tutorial (CVPR 2023</t>
        </is>
      </c>
      <c r="F1504" s="11" t="inlineStr">
        <is>
          <t>44:31</t>
        </is>
      </c>
      <c r="G1504" s="11" t="n">
        <v>0.74</v>
      </c>
      <c r="H1504" s="12" t="inlineStr"/>
      <c r="I1504" s="11" t="inlineStr">
        <is>
          <t>Not started</t>
        </is>
      </c>
      <c r="J1504" s="13" t="n"/>
      <c r="K1504" s="10" t="inlineStr"/>
      <c r="L1504" s="14" t="inlineStr">
        <is>
          <t>▶ watch</t>
        </is>
      </c>
      <c r="M1504" s="10" t="inlineStr"/>
      <c r="N1504" s="11" t="inlineStr"/>
      <c r="O1504" s="11" t="inlineStr">
        <is>
          <t>course lecture - no single paper</t>
        </is>
      </c>
      <c r="P1504" s="10" t="inlineStr"/>
    </row>
    <row r="1505">
      <c r="A1505" s="17" t="n">
        <v>1504</v>
      </c>
      <c r="B1505" s="17" t="inlineStr">
        <is>
          <t>Part III - Upstream AI Research</t>
        </is>
      </c>
      <c r="C1505" s="18" t="inlineStr">
        <is>
          <t>3. Vision-language and multimodal</t>
        </is>
      </c>
      <c r="D1505" s="10" t="inlineStr">
        <is>
          <t>The complete 3.5-hour official CVF recording - the most comprehensive single free resource in this section</t>
        </is>
      </c>
      <c r="E1505" s="10" t="inlineStr">
        <is>
          <t>CVPR #18558 - Recent Advances in Vision Foundation Models (full tutorial</t>
        </is>
      </c>
      <c r="F1505" s="11" t="inlineStr">
        <is>
          <t>3:27:12</t>
        </is>
      </c>
      <c r="G1505" s="11" t="n">
        <v>3.45</v>
      </c>
      <c r="H1505" s="12" t="inlineStr"/>
      <c r="I1505" s="11" t="inlineStr">
        <is>
          <t>Not started</t>
        </is>
      </c>
      <c r="J1505" s="13" t="n"/>
      <c r="K1505" s="10" t="inlineStr"/>
      <c r="L1505" s="14" t="inlineStr">
        <is>
          <t>▶ watch</t>
        </is>
      </c>
      <c r="M1505" s="10" t="inlineStr"/>
      <c r="N1505" s="11" t="inlineStr"/>
      <c r="O1505" s="11" t="inlineStr">
        <is>
          <t>course lecture - no single paper</t>
        </is>
      </c>
      <c r="P1505" s="10" t="inlineStr"/>
    </row>
    <row r="1506">
      <c r="A1506" s="17" t="n">
        <v>1505</v>
      </c>
      <c r="B1506" s="17" t="inlineStr">
        <is>
          <t>Part III - Upstream AI Research</t>
        </is>
      </c>
      <c r="C1506" s="18" t="inlineStr">
        <is>
          <t>3. Vision-language and multimodal</t>
        </is>
      </c>
      <c r="D1506" s="10" t="inlineStr">
        <is>
          <t>Stanford CS25: Transformers United V6 - From Language Models to Native Multimodal Intelligence</t>
        </is>
      </c>
      <c r="E1506" s="10" t="inlineStr">
        <is>
          <t>Stanford CS25, Stanford Online (embedding disabled; public</t>
        </is>
      </c>
      <c r="F1506" s="11" t="inlineStr">
        <is>
          <t>1:04:40</t>
        </is>
      </c>
      <c r="G1506" s="11" t="n">
        <v>1.08</v>
      </c>
      <c r="H1506" s="12" t="inlineStr"/>
      <c r="I1506" s="11" t="inlineStr">
        <is>
          <t>Not started</t>
        </is>
      </c>
      <c r="J1506" s="13" t="n"/>
      <c r="K1506" s="10" t="inlineStr"/>
      <c r="L1506" s="14" t="inlineStr">
        <is>
          <t>▶ watch</t>
        </is>
      </c>
      <c r="M1506" s="10" t="inlineStr"/>
      <c r="N1506" s="11" t="inlineStr"/>
      <c r="O1506" s="11" t="inlineStr">
        <is>
          <t>course lecture - no single paper</t>
        </is>
      </c>
      <c r="P1506" s="10" t="inlineStr"/>
    </row>
    <row r="1507">
      <c r="A1507" s="17" t="n">
        <v>1506</v>
      </c>
      <c r="B1507" s="17" t="inlineStr">
        <is>
          <t>Part III - Upstream AI Research</t>
        </is>
      </c>
      <c r="C1507" s="18" t="inlineStr">
        <is>
          <t>3. Vision-language and multimodal</t>
        </is>
      </c>
      <c r="D1507" s="10" t="inlineStr">
        <is>
          <t>Yevgen Chebotar: RT-2 - Vision-Language-Action Models Transfer Web Knowledge to Robotic Control</t>
        </is>
      </c>
      <c r="E1507" s="10" t="inlineStr">
        <is>
          <t>Yevgen Chebotar (Google DeepMind), Montreal Robotics</t>
        </is>
      </c>
      <c r="F1507" s="11" t="inlineStr">
        <is>
          <t>1:10:36</t>
        </is>
      </c>
      <c r="G1507" s="11" t="n">
        <v>1.18</v>
      </c>
      <c r="H1507" s="12" t="inlineStr">
        <is>
          <t>★</t>
        </is>
      </c>
      <c r="I1507" s="11" t="inlineStr">
        <is>
          <t>Not started</t>
        </is>
      </c>
      <c r="J1507" s="13" t="n"/>
      <c r="K1507" s="10" t="inlineStr"/>
      <c r="L1507" s="14" t="inlineStr">
        <is>
          <t>▶ watch</t>
        </is>
      </c>
      <c r="M1507" s="10" t="inlineStr"/>
      <c r="N1507" s="11" t="inlineStr"/>
      <c r="O1507" s="11" t="inlineStr">
        <is>
          <t>course lecture - no single paper</t>
        </is>
      </c>
      <c r="P1507" s="10" t="inlineStr"/>
    </row>
    <row r="1508">
      <c r="A1508" s="17" t="n">
        <v>1507</v>
      </c>
      <c r="B1508" s="17" t="inlineStr">
        <is>
          <t>Part III - Upstream AI Research</t>
        </is>
      </c>
      <c r="C1508" s="18" t="inlineStr">
        <is>
          <t>3. Vision-language and multimodal</t>
        </is>
      </c>
      <c r="D1508" s="10" t="inlineStr">
        <is>
          <t>OpenVLA first author - the open reproduction, with honest ablations of what actually mattered</t>
        </is>
      </c>
      <c r="E1508" s="10" t="inlineStr">
        <is>
          <t>OpenVLA: LeRobot Research Presentation #5</t>
        </is>
      </c>
      <c r="F1508" s="11" t="inlineStr">
        <is>
          <t>1:18:40</t>
        </is>
      </c>
      <c r="G1508" s="11" t="n">
        <v>1.31</v>
      </c>
      <c r="H1508" s="12" t="inlineStr">
        <is>
          <t>★</t>
        </is>
      </c>
      <c r="I1508" s="11" t="inlineStr">
        <is>
          <t>Not started</t>
        </is>
      </c>
      <c r="J1508" s="13" t="n"/>
      <c r="K1508" s="10" t="inlineStr"/>
      <c r="L1508" s="14" t="inlineStr">
        <is>
          <t>▶ watch</t>
        </is>
      </c>
      <c r="M1508" s="10" t="inlineStr"/>
      <c r="N1508" s="11" t="inlineStr"/>
      <c r="O1508" s="11" t="inlineStr">
        <is>
          <t>course lecture - no single paper</t>
        </is>
      </c>
      <c r="P1508" s="10" t="inlineStr"/>
    </row>
    <row r="1509">
      <c r="A1509" s="17" t="n">
        <v>1508</v>
      </c>
      <c r="B1509" s="17" t="inlineStr">
        <is>
          <t>Part III - Upstream AI Research</t>
        </is>
      </c>
      <c r="C1509" s="18" t="inlineStr">
        <is>
          <t>4. Segmentation, detection, dense prediction</t>
        </is>
      </c>
      <c r="D1509" s="10" t="inlineStr">
        <is>
          <t>The first author on bipartite-matching set prediction - deleting NMS and anchors. The set-prediction formulation is the reusable idea</t>
        </is>
      </c>
      <c r="E1509" s="10" t="inlineStr">
        <is>
          <t>DETR - End to end object detection with transformers (ECCV 2020</t>
        </is>
      </c>
      <c r="F1509" s="11" t="inlineStr">
        <is>
          <t>9:35</t>
        </is>
      </c>
      <c r="G1509" s="11" t="n">
        <v>0.16</v>
      </c>
      <c r="H1509" s="12" t="inlineStr">
        <is>
          <t>★</t>
        </is>
      </c>
      <c r="I1509" s="11" t="inlineStr">
        <is>
          <t>Not started</t>
        </is>
      </c>
      <c r="J1509" s="13" t="n"/>
      <c r="K1509" s="10" t="inlineStr"/>
      <c r="L1509" s="14" t="inlineStr">
        <is>
          <t>▶ watch</t>
        </is>
      </c>
      <c r="M1509" s="10" t="inlineStr"/>
      <c r="N1509" s="11" t="inlineStr"/>
      <c r="O1509" s="11" t="inlineStr">
        <is>
          <t>course lecture - no single paper</t>
        </is>
      </c>
      <c r="P1509" s="10" t="inlineStr"/>
    </row>
    <row r="1510">
      <c r="A1510" s="17" t="n">
        <v>1509</v>
      </c>
      <c r="B1510" s="17" t="inlineStr">
        <is>
          <t>Part III - Upstream AI Research</t>
        </is>
      </c>
      <c r="C1510" s="18" t="inlineStr">
        <is>
          <t>4. Segmentation, detection, dense prediction</t>
        </is>
      </c>
      <c r="D1510" s="10" t="inlineStr">
        <is>
          <t>The author of Panoptic Segmentation, PointRend, MaskFormer and SAM on unifying segmentation tasks - recorded 18 months before SAM shipped</t>
        </is>
      </c>
      <c r="E1510" s="10" t="inlineStr">
        <is>
          <t>Alexander Kirillov - 6th BMTT Workshop, ICCV 2021</t>
        </is>
      </c>
      <c r="F1510" s="11" t="inlineStr">
        <is>
          <t>32:53</t>
        </is>
      </c>
      <c r="G1510" s="11" t="n">
        <v>0.55</v>
      </c>
      <c r="H1510" s="12" t="inlineStr">
        <is>
          <t>★</t>
        </is>
      </c>
      <c r="I1510" s="11" t="inlineStr">
        <is>
          <t>Not started</t>
        </is>
      </c>
      <c r="J1510" s="13" t="n"/>
      <c r="K1510" s="10" t="inlineStr"/>
      <c r="L1510" s="14" t="inlineStr">
        <is>
          <t>▶ watch</t>
        </is>
      </c>
      <c r="M1510" s="10" t="inlineStr"/>
      <c r="N1510" s="11" t="inlineStr"/>
      <c r="O1510" s="11" t="inlineStr">
        <is>
          <t>course lecture - no single paper</t>
        </is>
      </c>
      <c r="P1510" s="10" t="inlineStr"/>
    </row>
    <row r="1511">
      <c r="A1511" s="17" t="n">
        <v>1510</v>
      </c>
      <c r="B1511" s="17" t="inlineStr">
        <is>
          <t>Part III - Upstream AI Research</t>
        </is>
      </c>
      <c r="C1511" s="18" t="inlineStr">
        <is>
          <t>4. Segmentation, detection, dense prediction</t>
        </is>
      </c>
      <c r="D1511" s="10" t="inlineStr">
        <is>
          <t>The "one architecture for semantic + instance + panoptic" argument in compact form</t>
        </is>
      </c>
      <c r="E1511" s="10" t="inlineStr">
        <is>
          <t>Invited Talk: From Pixels to Regions: Towards Universal Image Segmentation</t>
        </is>
      </c>
      <c r="F1511" s="11" t="inlineStr">
        <is>
          <t>14:50</t>
        </is>
      </c>
      <c r="G1511" s="11" t="n">
        <v>0.25</v>
      </c>
      <c r="H1511" s="12" t="inlineStr"/>
      <c r="I1511" s="11" t="inlineStr">
        <is>
          <t>Not started</t>
        </is>
      </c>
      <c r="J1511" s="13" t="n"/>
      <c r="K1511" s="10" t="inlineStr"/>
      <c r="L1511" s="14" t="inlineStr">
        <is>
          <t>▶ watch</t>
        </is>
      </c>
      <c r="M1511" s="10" t="inlineStr"/>
      <c r="N1511" s="11" t="inlineStr"/>
      <c r="O1511" s="11" t="inlineStr">
        <is>
          <t>course lecture - no single paper</t>
        </is>
      </c>
      <c r="P1511" s="10" t="inlineStr"/>
    </row>
    <row r="1512">
      <c r="A1512" s="17" t="n">
        <v>1511</v>
      </c>
      <c r="B1512" s="17" t="inlineStr">
        <is>
          <t>Part III - Upstream AI Research</t>
        </is>
      </c>
      <c r="C1512" s="18" t="inlineStr">
        <is>
          <t>4. Segmentation, detection, dense prediction</t>
        </is>
      </c>
      <c r="D1512" s="10" t="inlineStr">
        <is>
          <t>ViLD's first author - distilling CLIP into a detector is the template for open-vocabulary dense prediction</t>
        </is>
      </c>
      <c r="E1512" s="10" t="inlineStr">
        <is>
          <t>Xiuye Gu: Open-Vocabulary Detection and Segmentation</t>
        </is>
      </c>
      <c r="F1512" s="11" t="inlineStr">
        <is>
          <t>27:24</t>
        </is>
      </c>
      <c r="G1512" s="11" t="n">
        <v>0.46</v>
      </c>
      <c r="H1512" s="12" t="inlineStr">
        <is>
          <t>★</t>
        </is>
      </c>
      <c r="I1512" s="11" t="inlineStr">
        <is>
          <t>Not started</t>
        </is>
      </c>
      <c r="J1512" s="13" t="n"/>
      <c r="K1512" s="10" t="inlineStr"/>
      <c r="L1512" s="14" t="inlineStr">
        <is>
          <t>▶ watch</t>
        </is>
      </c>
      <c r="M1512" s="10" t="inlineStr"/>
      <c r="N1512" s="11" t="inlineStr"/>
      <c r="O1512" s="11" t="inlineStr">
        <is>
          <t>course lecture - no single paper</t>
        </is>
      </c>
      <c r="P1512" s="10" t="inlineStr"/>
    </row>
    <row r="1513">
      <c r="A1513" s="17" t="n">
        <v>1512</v>
      </c>
      <c r="B1513" s="17" t="inlineStr">
        <is>
          <t>Part III - Upstream AI Research</t>
        </is>
      </c>
      <c r="C1513" s="18" t="inlineStr">
        <is>
          <t>4. Segmentation, detection, dense prediction</t>
        </is>
      </c>
      <c r="D1513" s="10" t="inlineStr">
        <is>
          <t>The frozen-backbone design pattern - large implications for compute-constrained research</t>
        </is>
      </c>
      <c r="E1513" s="10" t="inlineStr">
        <is>
          <t>Open-Vocabulary Visual Perception upon Frozen Vision and Language Models</t>
        </is>
      </c>
      <c r="F1513" s="11" t="inlineStr">
        <is>
          <t>32:24</t>
        </is>
      </c>
      <c r="G1513" s="11" t="n">
        <v>0.54</v>
      </c>
      <c r="H1513" s="12" t="inlineStr">
        <is>
          <t>★</t>
        </is>
      </c>
      <c r="I1513" s="11" t="inlineStr">
        <is>
          <t>Not started</t>
        </is>
      </c>
      <c r="J1513" s="13" t="n"/>
      <c r="K1513" s="10" t="inlineStr"/>
      <c r="L1513" s="14" t="inlineStr">
        <is>
          <t>▶ watch</t>
        </is>
      </c>
      <c r="M1513" s="10" t="inlineStr"/>
      <c r="N1513" s="11" t="inlineStr"/>
      <c r="O1513" s="11" t="inlineStr">
        <is>
          <t>course lecture - no single paper</t>
        </is>
      </c>
      <c r="P1513" s="10" t="inlineStr"/>
    </row>
    <row r="1514">
      <c r="A1514" s="17" t="n">
        <v>1513</v>
      </c>
      <c r="B1514" s="17" t="inlineStr">
        <is>
          <t>Part III - Upstream AI Research</t>
        </is>
      </c>
      <c r="C1514" s="18" t="inlineStr">
        <is>
          <t>4. Segmentation, detection, dense prediction</t>
        </is>
      </c>
      <c r="D1514" s="10" t="inlineStr">
        <is>
          <t>Self-training to 1B+ pseudo-boxes - how open-vocab detection scales</t>
        </is>
      </c>
      <c r="E1514" s="10" t="inlineStr">
        <is>
          <t>Lecture 20 - OWLv2: Scaling Open-Vocabulary Object Detection</t>
        </is>
      </c>
      <c r="F1514" s="11" t="inlineStr">
        <is>
          <t>24:35</t>
        </is>
      </c>
      <c r="G1514" s="11" t="n">
        <v>0.41</v>
      </c>
      <c r="H1514" s="12" t="inlineStr"/>
      <c r="I1514" s="11" t="inlineStr">
        <is>
          <t>Not started</t>
        </is>
      </c>
      <c r="J1514" s="13" t="n"/>
      <c r="K1514" s="10" t="inlineStr"/>
      <c r="L1514" s="14" t="inlineStr">
        <is>
          <t>▶ watch</t>
        </is>
      </c>
      <c r="M1514" s="10" t="inlineStr"/>
      <c r="N1514" s="11" t="inlineStr"/>
      <c r="O1514" s="11" t="inlineStr">
        <is>
          <t>course lecture - no single paper</t>
        </is>
      </c>
      <c r="P1514" s="10" t="inlineStr"/>
    </row>
    <row r="1515">
      <c r="A1515" s="17" t="n">
        <v>1514</v>
      </c>
      <c r="B1515" s="17" t="inlineStr">
        <is>
          <t>Part III - Upstream AI Research</t>
        </is>
      </c>
      <c r="C1515" s="18" t="inlineStr">
        <is>
          <t>4. Segmentation, detection, dense prediction</t>
        </is>
      </c>
      <c r="D1515" s="10" t="inlineStr">
        <is>
          <t>SAM 2 and SAM 3 leads on the data engine, promptable segmentation, and the memory architecture for video. The data-engine discussion is the most research-transferable part</t>
        </is>
      </c>
      <c r="E1515" s="10" t="inlineStr">
        <is>
          <t>SAM 3: The Eyes for AI - Nikhila Ravi &amp; Pengchuan Zhang (Meta Superintelligence Labs), ft. Joseph Nelson</t>
        </is>
      </c>
      <c r="F1515" s="11" t="inlineStr">
        <is>
          <t>1:15:04</t>
        </is>
      </c>
      <c r="G1515" s="11" t="n">
        <v>1.25</v>
      </c>
      <c r="H1515" s="12" t="inlineStr">
        <is>
          <t>★</t>
        </is>
      </c>
      <c r="I1515" s="11" t="inlineStr">
        <is>
          <t>Not started</t>
        </is>
      </c>
      <c r="J1515" s="13" t="n"/>
      <c r="K1515" s="10" t="inlineStr"/>
      <c r="L1515" s="14" t="inlineStr">
        <is>
          <t>▶ watch</t>
        </is>
      </c>
      <c r="M1515" s="10" t="inlineStr"/>
      <c r="N1515" s="11" t="inlineStr"/>
      <c r="O1515" s="11" t="inlineStr">
        <is>
          <t>course lecture - no single paper</t>
        </is>
      </c>
      <c r="P1515" s="10" t="inlineStr"/>
    </row>
    <row r="1516">
      <c r="A1516" s="17" t="n">
        <v>1515</v>
      </c>
      <c r="B1516" s="17" t="inlineStr">
        <is>
          <t>Part III - Upstream AI Research</t>
        </is>
      </c>
      <c r="C1516" s="18" t="inlineStr">
        <is>
          <t>5. Generative vision - GANs, diffusion, autoregressive, video, evaluation</t>
        </is>
      </c>
      <c r="D1516" s="10" t="inlineStr">
        <is>
          <t>The definitive GAN tutorial from the inventor. The game-theoretic framing and the enumerated open problems are still the right way to think about adversarial objectives</t>
        </is>
      </c>
      <c r="E1516" s="10" t="inlineStr">
        <is>
          <t>Ian Goodfellow: Generative Adversarial Networks (NIPS 2016 tutorial</t>
        </is>
      </c>
      <c r="F1516" s="11" t="inlineStr">
        <is>
          <t>1:55:54</t>
        </is>
      </c>
      <c r="G1516" s="11" t="n">
        <v>1.93</v>
      </c>
      <c r="H1516" s="12" t="inlineStr">
        <is>
          <t>★</t>
        </is>
      </c>
      <c r="I1516" s="11" t="inlineStr">
        <is>
          <t>Not started</t>
        </is>
      </c>
      <c r="J1516" s="13" t="n"/>
      <c r="K1516" s="10" t="inlineStr"/>
      <c r="L1516" s="14" t="inlineStr">
        <is>
          <t>▶ watch</t>
        </is>
      </c>
      <c r="M1516" s="10" t="inlineStr"/>
      <c r="N1516" s="11" t="inlineStr"/>
      <c r="O1516" s="11" t="inlineStr">
        <is>
          <t>course lecture - no single paper</t>
        </is>
      </c>
      <c r="P1516" s="10" t="inlineStr"/>
    </row>
    <row r="1517">
      <c r="A1517" s="17" t="n">
        <v>1516</v>
      </c>
      <c r="B1517" s="17" t="inlineStr">
        <is>
          <t>Part III - Upstream AI Research</t>
        </is>
      </c>
      <c r="C1517" s="18" t="inlineStr">
        <is>
          <t>5. Generative vision - GANs, diffusion, autoregressive, video, evaluation</t>
        </is>
      </c>
      <c r="D1517" s="10" t="inlineStr">
        <is>
          <t>Mid-era reassessment: what worked, what didn't, and why mode collapse resisted fixes</t>
        </is>
      </c>
      <c r="E1517" s="10" t="inlineStr">
        <is>
          <t>BayLearn 2017 Keynote - Ian Goodfellow</t>
        </is>
      </c>
      <c r="F1517" s="11" t="inlineStr">
        <is>
          <t>59:14</t>
        </is>
      </c>
      <c r="G1517" s="11" t="n">
        <v>0.99</v>
      </c>
      <c r="H1517" s="12" t="inlineStr">
        <is>
          <t>★</t>
        </is>
      </c>
      <c r="I1517" s="11" t="inlineStr">
        <is>
          <t>Not started</t>
        </is>
      </c>
      <c r="J1517" s="13" t="n"/>
      <c r="K1517" s="10" t="inlineStr"/>
      <c r="L1517" s="14" t="inlineStr">
        <is>
          <t>▶ watch</t>
        </is>
      </c>
      <c r="M1517" s="10" t="inlineStr"/>
      <c r="N1517" s="11" t="inlineStr"/>
      <c r="O1517" s="11" t="inlineStr">
        <is>
          <t>course lecture - no single paper</t>
        </is>
      </c>
      <c r="P1517" s="10" t="inlineStr"/>
    </row>
    <row r="1518">
      <c r="A1518" s="17" t="n">
        <v>1517</v>
      </c>
      <c r="B1518" s="17" t="inlineStr">
        <is>
          <t>Part III - Upstream AI Research</t>
        </is>
      </c>
      <c r="C1518" s="18" t="inlineStr">
        <is>
          <t>5. Generative vision - GANs, diffusion, autoregressive, video, evaluation</t>
        </is>
      </c>
      <c r="D1518" s="10" t="inlineStr">
        <is>
          <t>The adversarial-robustness half of the story - essential for understanding what "distribution" means in vision</t>
        </is>
      </c>
      <c r="E1518" s="10" t="inlineStr">
        <is>
          <t>Ian Goodfellow: Adversarial Machine Learning (ICLR 2019 invited talk</t>
        </is>
      </c>
      <c r="F1518" s="11" t="inlineStr">
        <is>
          <t>43:06</t>
        </is>
      </c>
      <c r="G1518" s="11" t="n">
        <v>0.72</v>
      </c>
      <c r="H1518" s="12" t="inlineStr">
        <is>
          <t>★</t>
        </is>
      </c>
      <c r="I1518" s="11" t="inlineStr">
        <is>
          <t>Not started</t>
        </is>
      </c>
      <c r="J1518" s="13" t="n"/>
      <c r="K1518" s="10" t="inlineStr"/>
      <c r="L1518" s="14" t="inlineStr">
        <is>
          <t>▶ watch</t>
        </is>
      </c>
      <c r="M1518" s="10" t="inlineStr"/>
      <c r="N1518" s="11" t="inlineStr"/>
      <c r="O1518" s="11" t="inlineStr">
        <is>
          <t>course lecture - no single paper</t>
        </is>
      </c>
      <c r="P1518" s="10" t="inlineStr"/>
    </row>
    <row r="1519">
      <c r="A1519" s="17" t="n">
        <v>1518</v>
      </c>
      <c r="B1519" s="17" t="inlineStr">
        <is>
          <t>Part III - Upstream AI Research</t>
        </is>
      </c>
      <c r="C1519" s="18" t="inlineStr">
        <is>
          <t>5. Generative vision - GANs, diffusion, autoregressive, video, evaluation</t>
        </is>
      </c>
      <c r="D1519" s="10" t="inlineStr">
        <is>
          <t>StyleGAN's author on adaptive discriminator augmentation - a masterclass in diagnosing why a model overfits rather than patching it</t>
        </is>
      </c>
      <c r="E1519" s="10" t="inlineStr">
        <is>
          <t>Tero Karras - Training Generative Adversarial Networks with Limited Data</t>
        </is>
      </c>
      <c r="F1519" s="11" t="inlineStr">
        <is>
          <t>44:54</t>
        </is>
      </c>
      <c r="G1519" s="11" t="n">
        <v>0.75</v>
      </c>
      <c r="H1519" s="12" t="inlineStr">
        <is>
          <t>★</t>
        </is>
      </c>
      <c r="I1519" s="11" t="inlineStr">
        <is>
          <t>Not started</t>
        </is>
      </c>
      <c r="J1519" s="13" t="n"/>
      <c r="K1519" s="10" t="inlineStr"/>
      <c r="L1519" s="14" t="inlineStr">
        <is>
          <t>▶ watch</t>
        </is>
      </c>
      <c r="M1519" s="10" t="inlineStr"/>
      <c r="N1519" s="11" t="inlineStr"/>
      <c r="O1519" s="11" t="inlineStr">
        <is>
          <t>course lecture - no single paper</t>
        </is>
      </c>
      <c r="P1519" s="10" t="inlineStr"/>
    </row>
    <row r="1520">
      <c r="A1520" s="17" t="n">
        <v>1519</v>
      </c>
      <c r="B1520" s="17" t="inlineStr">
        <is>
          <t>Part III - Upstream AI Research</t>
        </is>
      </c>
      <c r="C1520" s="18" t="inlineStr">
        <is>
          <t>5. Generative vision - GANs, diffusion, autoregressive, video, evaluation</t>
        </is>
      </c>
      <c r="D1520" s="10" t="inlineStr">
        <is>
          <t>StyleGAN3 - signal-processing reasoning applied to a generator. The equivariance argument transfers directly to any continuous-signal model</t>
        </is>
      </c>
      <c r="E1520" s="10" t="inlineStr">
        <is>
          <t>Miika Aittala: Alias-Free Generative Adversarial Networks</t>
        </is>
      </c>
      <c r="F1520" s="11" t="inlineStr">
        <is>
          <t>45:07</t>
        </is>
      </c>
      <c r="G1520" s="11" t="n">
        <v>0.75</v>
      </c>
      <c r="H1520" s="12" t="inlineStr">
        <is>
          <t>★</t>
        </is>
      </c>
      <c r="I1520" s="11" t="inlineStr">
        <is>
          <t>Not started</t>
        </is>
      </c>
      <c r="J1520" s="13" t="n"/>
      <c r="K1520" s="10" t="inlineStr"/>
      <c r="L1520" s="14" t="inlineStr">
        <is>
          <t>▶ watch</t>
        </is>
      </c>
      <c r="M1520" s="10" t="inlineStr"/>
      <c r="N1520" s="11" t="inlineStr"/>
      <c r="O1520" s="11" t="inlineStr">
        <is>
          <t>course lecture - no single paper</t>
        </is>
      </c>
      <c r="P1520" s="10" t="inlineStr"/>
    </row>
    <row r="1521">
      <c r="A1521" s="17" t="n">
        <v>1520</v>
      </c>
      <c r="B1521" s="17" t="inlineStr">
        <is>
          <t>Part III - Upstream AI Research</t>
        </is>
      </c>
      <c r="C1521" s="18" t="inlineStr">
        <is>
          <t>5. Generative vision - GANs, diffusion, autoregressive, video, evaluation</t>
        </is>
      </c>
      <c r="D1521" s="10" t="inlineStr">
        <is>
          <t>The EDM talk. Disentangling the sampler, the noise schedule and the network preconditioning is the most reusable methodological contribution in diffusion</t>
        </is>
      </c>
      <c r="E1521" s="10" t="inlineStr">
        <is>
          <t>Miika Aittala: Elucidating the Design Space of Diffusion-Based Generative Models</t>
        </is>
      </c>
      <c r="F1521" s="11" t="inlineStr">
        <is>
          <t>52:46</t>
        </is>
      </c>
      <c r="G1521" s="11" t="n">
        <v>0.88</v>
      </c>
      <c r="H1521" s="12" t="inlineStr">
        <is>
          <t>★</t>
        </is>
      </c>
      <c r="I1521" s="11" t="inlineStr">
        <is>
          <t>Not started</t>
        </is>
      </c>
      <c r="J1521" s="13" t="n"/>
      <c r="K1521" s="10" t="inlineStr"/>
      <c r="L1521" s="14" t="inlineStr">
        <is>
          <t>▶ watch</t>
        </is>
      </c>
      <c r="M1521" s="10" t="inlineStr"/>
      <c r="N1521" s="11" t="inlineStr"/>
      <c r="O1521" s="11" t="inlineStr">
        <is>
          <t>course lecture - no single paper</t>
        </is>
      </c>
      <c r="P1521" s="10" t="inlineStr"/>
    </row>
    <row r="1522">
      <c r="A1522" s="17" t="n">
        <v>1521</v>
      </c>
      <c r="B1522" s="17" t="inlineStr">
        <is>
          <t>Part III - Upstream AI Research</t>
        </is>
      </c>
      <c r="C1522" s="18" t="inlineStr">
        <is>
          <t>5. Generative vision - GANs, diffusion, autoregressive, video, evaluation</t>
        </is>
      </c>
      <c r="D1522" s="10" t="inlineStr">
        <is>
          <t>Latent diffusion from its first author - why moving to a perceptually-compressed latent space is the whole ballgame</t>
        </is>
      </c>
      <c r="E1522" s="10" t="inlineStr">
        <is>
          <t>Stable Diffusion and Friends - Generative Modeling in Latent Space</t>
        </is>
      </c>
      <c r="F1522" s="11" t="inlineStr">
        <is>
          <t>57:58</t>
        </is>
      </c>
      <c r="G1522" s="11" t="n">
        <v>0.97</v>
      </c>
      <c r="H1522" s="12" t="inlineStr">
        <is>
          <t>★</t>
        </is>
      </c>
      <c r="I1522" s="11" t="inlineStr">
        <is>
          <t>Not started</t>
        </is>
      </c>
      <c r="J1522" s="13" t="n"/>
      <c r="K1522" s="10" t="inlineStr"/>
      <c r="L1522" s="14" t="inlineStr">
        <is>
          <t>▶ watch</t>
        </is>
      </c>
      <c r="M1522" s="10" t="inlineStr"/>
      <c r="N1522" s="11" t="inlineStr"/>
      <c r="O1522" s="11" t="inlineStr">
        <is>
          <t>course lecture - no single paper</t>
        </is>
      </c>
      <c r="P1522" s="10" t="inlineStr"/>
    </row>
    <row r="1523">
      <c r="A1523" s="17" t="n">
        <v>1522</v>
      </c>
      <c r="B1523" s="17" t="inlineStr">
        <is>
          <t>Part III - Upstream AI Research</t>
        </is>
      </c>
      <c r="C1523" s="18" t="inlineStr">
        <is>
          <t>5. Generative vision - GANs, diffusion, autoregressive, video, evaluation</t>
        </is>
      </c>
      <c r="D1523" s="10" t="inlineStr">
        <is>
          <t>VQGAN - the prequel to latent diffusion, and the clearest account of learned discrete visual tokenizers</t>
        </is>
      </c>
      <c r="E1523" s="10" t="inlineStr">
        <is>
          <t>TL#006 Robin Rombach - Taming Transformers for High Resolution Image Synthesis</t>
        </is>
      </c>
      <c r="F1523" s="11" t="inlineStr">
        <is>
          <t>45:39</t>
        </is>
      </c>
      <c r="G1523" s="11" t="n">
        <v>0.76</v>
      </c>
      <c r="H1523" s="12" t="inlineStr">
        <is>
          <t>★</t>
        </is>
      </c>
      <c r="I1523" s="11" t="inlineStr">
        <is>
          <t>Not started</t>
        </is>
      </c>
      <c r="J1523" s="13" t="n"/>
      <c r="K1523" s="10" t="inlineStr"/>
      <c r="L1523" s="14" t="inlineStr">
        <is>
          <t>▶ watch</t>
        </is>
      </c>
      <c r="M1523" s="10" t="inlineStr"/>
      <c r="N1523" s="11" t="inlineStr"/>
      <c r="O1523" s="11" t="inlineStr">
        <is>
          <t>course lecture - no single paper</t>
        </is>
      </c>
      <c r="P1523" s="10" t="inlineStr"/>
    </row>
    <row r="1524">
      <c r="A1524" s="17" t="n">
        <v>1523</v>
      </c>
      <c r="B1524" s="17" t="inlineStr">
        <is>
          <t>Part III - Upstream AI Research</t>
        </is>
      </c>
      <c r="C1524" s="18" t="inlineStr">
        <is>
          <t>5. Generative vision - GANs, diffusion, autoregressive, video, evaluation</t>
        </is>
      </c>
      <c r="D1524" s="10" t="inlineStr">
        <is>
          <t>Blattmann et al., Align Your Latents, CVPR 2023; Stable Video Diffusion (2023</t>
        </is>
      </c>
      <c r="E1524" s="10" t="inlineStr">
        <is>
          <t>MAS.S61 presents Andreas Blattmann / Robin Rombach, Stable Diffusion</t>
        </is>
      </c>
      <c r="F1524" s="11" t="inlineStr">
        <is>
          <t>1:03:31</t>
        </is>
      </c>
      <c r="G1524" s="11" t="n">
        <v>1.06</v>
      </c>
      <c r="H1524" s="12" t="inlineStr">
        <is>
          <t>★</t>
        </is>
      </c>
      <c r="I1524" s="11" t="inlineStr">
        <is>
          <t>Not started</t>
        </is>
      </c>
      <c r="J1524" s="13" t="n"/>
      <c r="K1524" s="10" t="inlineStr"/>
      <c r="L1524" s="14" t="inlineStr">
        <is>
          <t>▶ watch</t>
        </is>
      </c>
      <c r="M1524" s="10" t="inlineStr"/>
      <c r="N1524" s="11" t="inlineStr"/>
      <c r="O1524" s="11" t="inlineStr">
        <is>
          <t>course lecture - no single paper</t>
        </is>
      </c>
      <c r="P1524" s="10" t="inlineStr"/>
    </row>
    <row r="1525">
      <c r="A1525" s="17" t="n">
        <v>1524</v>
      </c>
      <c r="B1525" s="17" t="inlineStr">
        <is>
          <t>Part III - Upstream AI Research</t>
        </is>
      </c>
      <c r="C1525" s="18" t="inlineStr">
        <is>
          <t>5. Generative vision - GANs, diffusion, autoregressive, video, evaluation</t>
        </is>
      </c>
      <c r="D1525" s="10" t="inlineStr">
        <is>
          <t>The rectified-flow/flow-matching transition told by the person who shipped it at scale - why the industry left DDPM-style diffusion</t>
        </is>
      </c>
      <c r="E1525" s="10" t="inlineStr">
        <is>
          <t>TUM AI Lecture Series - FLUX: Flow Matching for Content Creation at Scale</t>
        </is>
      </c>
      <c r="F1525" s="11" t="inlineStr">
        <is>
          <t>1:06:11</t>
        </is>
      </c>
      <c r="G1525" s="11" t="n">
        <v>1.1</v>
      </c>
      <c r="H1525" s="12" t="inlineStr">
        <is>
          <t>★</t>
        </is>
      </c>
      <c r="I1525" s="11" t="inlineStr">
        <is>
          <t>Not started</t>
        </is>
      </c>
      <c r="J1525" s="13" t="n"/>
      <c r="K1525" s="10" t="inlineStr"/>
      <c r="L1525" s="14" t="inlineStr">
        <is>
          <t>▶ watch</t>
        </is>
      </c>
      <c r="M1525" s="10" t="inlineStr"/>
      <c r="N1525" s="11" t="inlineStr"/>
      <c r="O1525" s="11" t="inlineStr">
        <is>
          <t>course lecture - no single paper</t>
        </is>
      </c>
      <c r="P1525" s="10" t="inlineStr"/>
    </row>
    <row r="1526">
      <c r="A1526" s="17" t="n">
        <v>1525</v>
      </c>
      <c r="B1526" s="17" t="inlineStr">
        <is>
          <t>Part III - Upstream AI Research</t>
        </is>
      </c>
      <c r="C1526" s="18" t="inlineStr">
        <is>
          <t>5. Generative vision - GANs, diffusion, autoregressive, video, evaluation</t>
        </is>
      </c>
      <c r="D1526" s="10" t="inlineStr">
        <is>
          <t>DiT's co-author (and ConvNeXt's) on why representation quality gates generation quality - includes the REPA line of work</t>
        </is>
      </c>
      <c r="E1526" s="10" t="inlineStr">
        <is>
          <t>TUM AI Lecture Series - The multimodal future: Why visual representation still matters</t>
        </is>
      </c>
      <c r="F1526" s="11" t="inlineStr">
        <is>
          <t>1:04:21</t>
        </is>
      </c>
      <c r="G1526" s="11" t="n">
        <v>1.07</v>
      </c>
      <c r="H1526" s="12" t="inlineStr">
        <is>
          <t>★</t>
        </is>
      </c>
      <c r="I1526" s="11" t="inlineStr">
        <is>
          <t>Not started</t>
        </is>
      </c>
      <c r="J1526" s="13" t="n"/>
      <c r="K1526" s="10" t="inlineStr"/>
      <c r="L1526" s="14" t="inlineStr">
        <is>
          <t>▶ watch</t>
        </is>
      </c>
      <c r="M1526" s="10" t="inlineStr"/>
      <c r="N1526" s="11" t="inlineStr"/>
      <c r="O1526" s="11" t="inlineStr">
        <is>
          <t>course lecture - no single paper</t>
        </is>
      </c>
      <c r="P1526" s="10" t="inlineStr"/>
    </row>
    <row r="1527">
      <c r="A1527" s="17" t="n">
        <v>1526</v>
      </c>
      <c r="B1527" s="17" t="inlineStr">
        <is>
          <t>Part III - Upstream AI Research</t>
        </is>
      </c>
      <c r="C1527" s="18" t="inlineStr">
        <is>
          <t>5. Generative vision - GANs, diffusion, autoregressive, video, evaluation</t>
        </is>
      </c>
      <c r="D1527" s="10" t="inlineStr">
        <is>
          <t>Graduate-seminar treatment of DiT/MMDiT and the scaling behavior that replaced the U-Net</t>
        </is>
      </c>
      <c r="E1527" s="10" t="inlineStr">
        <is>
          <t>Stanford CS25: V5 - Transformers in Diffusion Models for Image Generation and Beyond</t>
        </is>
      </c>
      <c r="F1527" s="11" t="inlineStr">
        <is>
          <t>1:14:32</t>
        </is>
      </c>
      <c r="G1527" s="11" t="n">
        <v>1.24</v>
      </c>
      <c r="H1527" s="12" t="inlineStr"/>
      <c r="I1527" s="11" t="inlineStr">
        <is>
          <t>Not started</t>
        </is>
      </c>
      <c r="J1527" s="13" t="n"/>
      <c r="K1527" s="10" t="inlineStr"/>
      <c r="L1527" s="14" t="inlineStr">
        <is>
          <t>▶ watch</t>
        </is>
      </c>
      <c r="M1527" s="10" t="inlineStr"/>
      <c r="N1527" s="11" t="inlineStr"/>
      <c r="O1527" s="11" t="inlineStr">
        <is>
          <t>course lecture - no single paper</t>
        </is>
      </c>
      <c r="P1527" s="10" t="inlineStr"/>
    </row>
    <row r="1528">
      <c r="A1528" s="17" t="n">
        <v>1527</v>
      </c>
      <c r="B1528" s="17" t="inlineStr">
        <is>
          <t>Part III - Upstream AI Research</t>
        </is>
      </c>
      <c r="C1528" s="18" t="inlineStr">
        <is>
          <t>5. Generative vision - GANs, diffusion, autoregressive, video, evaluation</t>
        </is>
      </c>
      <c r="D1528" s="10" t="inlineStr">
        <is>
          <t>The technical lecture version of the above, with the SDE/ODE derivation done properly</t>
        </is>
      </c>
      <c r="E1528" s="10" t="inlineStr">
        <is>
          <t>Learning to Generate Data by Estimating Gradients of the Data Distribution</t>
        </is>
      </c>
      <c r="F1528" s="11" t="inlineStr">
        <is>
          <t>1:03:15</t>
        </is>
      </c>
      <c r="G1528" s="11" t="n">
        <v>1.05</v>
      </c>
      <c r="H1528" s="12" t="inlineStr">
        <is>
          <t>★</t>
        </is>
      </c>
      <c r="I1528" s="11" t="inlineStr">
        <is>
          <t>Not started</t>
        </is>
      </c>
      <c r="J1528" s="13" t="n"/>
      <c r="K1528" s="10" t="inlineStr"/>
      <c r="L1528" s="14" t="inlineStr">
        <is>
          <t>▶ watch</t>
        </is>
      </c>
      <c r="M1528" s="10" t="inlineStr"/>
      <c r="N1528" s="11" t="inlineStr"/>
      <c r="O1528" s="11" t="inlineStr">
        <is>
          <t>course lecture - no single paper</t>
        </is>
      </c>
      <c r="P1528" s="10" t="inlineStr"/>
    </row>
    <row r="1529">
      <c r="A1529" s="17" t="n">
        <v>1528</v>
      </c>
      <c r="B1529" s="17" t="inlineStr">
        <is>
          <t>Part III - Upstream AI Research</t>
        </is>
      </c>
      <c r="C1529" s="18" t="inlineStr">
        <is>
          <t>5. Generative vision - GANs, diffusion, autoregressive, video, evaluation</t>
        </is>
      </c>
      <c r="D1529" s="10" t="inlineStr">
        <is>
          <t>A graduate course that derives flow matching and diffusion from one framework - the cleanest free mathematical treatment</t>
        </is>
      </c>
      <c r="E1529" s="10" t="inlineStr">
        <is>
          <t>MIT 6.S184: Flow Matching and Diffusion Models - Lecture 01: Generative AI with SDEs (2025</t>
        </is>
      </c>
      <c r="F1529" s="11" t="inlineStr">
        <is>
          <t>1:25:12</t>
        </is>
      </c>
      <c r="G1529" s="11" t="n">
        <v>1.42</v>
      </c>
      <c r="H1529" s="12" t="inlineStr">
        <is>
          <t>★</t>
        </is>
      </c>
      <c r="I1529" s="11" t="inlineStr">
        <is>
          <t>Not started</t>
        </is>
      </c>
      <c r="J1529" s="13" t="n"/>
      <c r="K1529" s="10" t="inlineStr"/>
      <c r="L1529" s="14" t="inlineStr">
        <is>
          <t>▶ watch</t>
        </is>
      </c>
      <c r="M1529" s="10" t="inlineStr"/>
      <c r="N1529" s="11" t="inlineStr"/>
      <c r="O1529" s="11" t="inlineStr">
        <is>
          <t>course lecture - no single paper</t>
        </is>
      </c>
      <c r="P1529" s="10" t="inlineStr"/>
    </row>
    <row r="1530">
      <c r="A1530" s="17" t="n">
        <v>1529</v>
      </c>
      <c r="B1530" s="17" t="inlineStr">
        <is>
          <t>Part III - Upstream AI Research</t>
        </is>
      </c>
      <c r="C1530" s="18" t="inlineStr">
        <is>
          <t>5. Generative vision - GANs, diffusion, autoregressive, video, evaluation</t>
        </is>
      </c>
      <c r="D1530" s="10" t="inlineStr">
        <is>
          <t>MIT 6.S184: Flow Matching and Diffusion Models - Lecture 01: Flow and Diffusion Models (2026</t>
        </is>
      </c>
      <c r="E1530" s="10" t="inlineStr">
        <is>
          <t>Peter Holderrieth (MIT</t>
        </is>
      </c>
      <c r="F1530" s="11" t="inlineStr">
        <is>
          <t>1:18:03</t>
        </is>
      </c>
      <c r="G1530" s="11" t="n">
        <v>1.3</v>
      </c>
      <c r="H1530" s="12" t="inlineStr">
        <is>
          <t>★</t>
        </is>
      </c>
      <c r="I1530" s="11" t="inlineStr">
        <is>
          <t>Not started</t>
        </is>
      </c>
      <c r="J1530" s="13" t="n"/>
      <c r="K1530" s="10" t="inlineStr"/>
      <c r="L1530" s="14" t="inlineStr">
        <is>
          <t>▶ watch</t>
        </is>
      </c>
      <c r="M1530" s="10" t="inlineStr"/>
      <c r="N1530" s="11" t="inlineStr"/>
      <c r="O1530" s="11" t="inlineStr">
        <is>
          <t>course lecture - no single paper</t>
        </is>
      </c>
      <c r="P1530" s="10" t="inlineStr"/>
    </row>
    <row r="1531">
      <c r="A1531" s="17" t="n">
        <v>1530</v>
      </c>
      <c r="B1531" s="17" t="inlineStr">
        <is>
          <t>Part III - Upstream AI Research</t>
        </is>
      </c>
      <c r="C1531" s="18" t="inlineStr">
        <is>
          <t>5. Generative vision - GANs, diffusion, autoregressive, video, evaluation</t>
        </is>
      </c>
      <c r="D1531" s="10" t="inlineStr">
        <is>
          <t>He's current research direction - collapsing the two-stage tokenizer+diffusion pipeline. This is an open research frontier stated as such</t>
        </is>
      </c>
      <c r="E1531" s="10" t="inlineStr">
        <is>
          <t>GCV @ CVPR25] Kaiming He - Towards End-to-End Generative Modeling</t>
        </is>
      </c>
      <c r="F1531" s="11" t="inlineStr">
        <is>
          <t>42:34</t>
        </is>
      </c>
      <c r="G1531" s="11" t="n">
        <v>0.71</v>
      </c>
      <c r="H1531" s="12" t="inlineStr">
        <is>
          <t>★</t>
        </is>
      </c>
      <c r="I1531" s="11" t="inlineStr">
        <is>
          <t>Not started</t>
        </is>
      </c>
      <c r="J1531" s="13" t="n"/>
      <c r="K1531" s="10" t="inlineStr"/>
      <c r="L1531" s="14" t="inlineStr">
        <is>
          <t>▶ watch</t>
        </is>
      </c>
      <c r="M1531" s="10" t="inlineStr"/>
      <c r="N1531" s="11" t="inlineStr"/>
      <c r="O1531" s="11" t="inlineStr">
        <is>
          <t>course lecture - no single paper</t>
        </is>
      </c>
      <c r="P1531" s="10" t="inlineStr"/>
    </row>
    <row r="1532">
      <c r="A1532" s="17" t="n">
        <v>1531</v>
      </c>
      <c r="B1532" s="17" t="inlineStr">
        <is>
          <t>Part III - Upstream AI Research</t>
        </is>
      </c>
      <c r="C1532" s="18" t="inlineStr">
        <is>
          <t>5. Generative vision - GANs, diffusion, autoregressive, video, evaluation</t>
        </is>
      </c>
      <c r="D1532" s="10" t="inlineStr">
        <is>
          <t>The senior author of Stable Diffusion arguing against pure scale - the most useful contrarian position in generative vision</t>
        </is>
      </c>
      <c r="E1532" s="10" t="inlineStr">
        <is>
          <t>GCV @ CVPR25] Björn Ommer - Bitter Lesson 2.0: Boosting the Efficiency &amp; Control of Generative Models</t>
        </is>
      </c>
      <c r="F1532" s="11" t="inlineStr">
        <is>
          <t>36:47</t>
        </is>
      </c>
      <c r="G1532" s="11" t="n">
        <v>0.61</v>
      </c>
      <c r="H1532" s="12" t="inlineStr">
        <is>
          <t>★</t>
        </is>
      </c>
      <c r="I1532" s="11" t="inlineStr">
        <is>
          <t>Not started</t>
        </is>
      </c>
      <c r="J1532" s="13" t="n"/>
      <c r="K1532" s="10" t="inlineStr"/>
      <c r="L1532" s="14" t="inlineStr">
        <is>
          <t>▶ watch</t>
        </is>
      </c>
      <c r="M1532" s="10" t="inlineStr"/>
      <c r="N1532" s="11" t="inlineStr"/>
      <c r="O1532" s="11" t="inlineStr">
        <is>
          <t>course lecture - no single paper</t>
        </is>
      </c>
      <c r="P1532" s="10" t="inlineStr"/>
    </row>
    <row r="1533">
      <c r="A1533" s="17" t="n">
        <v>1532</v>
      </c>
      <c r="B1533" s="17" t="inlineStr">
        <is>
          <t>Part III - Upstream AI Research</t>
        </is>
      </c>
      <c r="C1533" s="18" t="inlineStr">
        <is>
          <t>5. Generative vision - GANs, diffusion, autoregressive, video, evaluation</t>
        </is>
      </c>
      <c r="D1533" s="10" t="inlineStr">
        <is>
          <t>GCV @ CVPR23] Björn Ommer - Why This is Not the End of Research in Generative AI</t>
        </is>
      </c>
      <c r="E1533" s="10" t="inlineStr">
        <is>
          <t>Björn Ommer (LMU Munich</t>
        </is>
      </c>
      <c r="F1533" s="11" t="inlineStr">
        <is>
          <t>31:12</t>
        </is>
      </c>
      <c r="G1533" s="11" t="n">
        <v>0.52</v>
      </c>
      <c r="H1533" s="12" t="inlineStr">
        <is>
          <t>★</t>
        </is>
      </c>
      <c r="I1533" s="11" t="inlineStr">
        <is>
          <t>Not started</t>
        </is>
      </c>
      <c r="J1533" s="13" t="n"/>
      <c r="K1533" s="10" t="inlineStr"/>
      <c r="L1533" s="14" t="inlineStr">
        <is>
          <t>▶ watch</t>
        </is>
      </c>
      <c r="M1533" s="10" t="inlineStr"/>
      <c r="N1533" s="11" t="inlineStr"/>
      <c r="O1533" s="11" t="inlineStr">
        <is>
          <t>course lecture - no single paper</t>
        </is>
      </c>
      <c r="P1533" s="10" t="inlineStr"/>
    </row>
    <row r="1534">
      <c r="A1534" s="17" t="n">
        <v>1533</v>
      </c>
      <c r="B1534" s="17" t="inlineStr">
        <is>
          <t>Part III - Upstream AI Research</t>
        </is>
      </c>
      <c r="C1534" s="18" t="inlineStr">
        <is>
          <t>5. Generative vision - GANs, diffusion, autoregressive, video, evaluation</t>
        </is>
      </c>
      <c r="D1534" s="10" t="inlineStr">
        <is>
          <t>Reframes generative models as queryable datasets rather than samplers. One of the genuinely original conceptual contributions in the section</t>
        </is>
      </c>
      <c r="E1534" s="10" t="inlineStr">
        <is>
          <t>GCV @ CVPR23] Phillip Isola - Generative Models as Data++</t>
        </is>
      </c>
      <c r="F1534" s="11" t="inlineStr">
        <is>
          <t>31:41</t>
        </is>
      </c>
      <c r="G1534" s="11" t="n">
        <v>0.53</v>
      </c>
      <c r="H1534" s="12" t="inlineStr">
        <is>
          <t>★</t>
        </is>
      </c>
      <c r="I1534" s="11" t="inlineStr">
        <is>
          <t>Not started</t>
        </is>
      </c>
      <c r="J1534" s="13" t="n"/>
      <c r="K1534" s="10" t="inlineStr"/>
      <c r="L1534" s="14" t="inlineStr">
        <is>
          <t>▶ watch</t>
        </is>
      </c>
      <c r="M1534" s="10" t="inlineStr"/>
      <c r="N1534" s="11" t="inlineStr"/>
      <c r="O1534" s="11" t="inlineStr">
        <is>
          <t>course lecture - no single paper</t>
        </is>
      </c>
      <c r="P1534" s="10" t="inlineStr"/>
    </row>
    <row r="1535">
      <c r="A1535" s="17" t="n">
        <v>1534</v>
      </c>
      <c r="B1535" s="17" t="inlineStr">
        <is>
          <t>Part III - Upstream AI Research</t>
        </is>
      </c>
      <c r="C1535" s="18" t="inlineStr">
        <is>
          <t>5. Generative vision - GANs, diffusion, autoregressive, video, evaluation</t>
        </is>
      </c>
      <c r="D1535" s="10" t="inlineStr">
        <is>
          <t>GCV @ CVPR 2026] Hila Chefer - Is Scale All You Need? A Case for Native Generative Representation Learning</t>
        </is>
      </c>
      <c r="E1535" s="10" t="inlineStr">
        <is>
          <t>Hila Chefer (Google DeepMind / Tel Aviv U.</t>
        </is>
      </c>
      <c r="F1535" s="11" t="inlineStr">
        <is>
          <t>27:16</t>
        </is>
      </c>
      <c r="G1535" s="11" t="n">
        <v>0.45</v>
      </c>
      <c r="H1535" s="12" t="inlineStr">
        <is>
          <t>★</t>
        </is>
      </c>
      <c r="I1535" s="11" t="inlineStr">
        <is>
          <t>Not started</t>
        </is>
      </c>
      <c r="J1535" s="13" t="n"/>
      <c r="K1535" s="10" t="inlineStr"/>
      <c r="L1535" s="14" t="inlineStr">
        <is>
          <t>▶ watch</t>
        </is>
      </c>
      <c r="M1535" s="10" t="inlineStr"/>
      <c r="N1535" s="11" t="inlineStr"/>
      <c r="O1535" s="11" t="inlineStr">
        <is>
          <t>course lecture - no single paper</t>
        </is>
      </c>
      <c r="P1535" s="10" t="inlineStr"/>
    </row>
    <row r="1536">
      <c r="A1536" s="17" t="n">
        <v>1535</v>
      </c>
      <c r="B1536" s="17" t="inlineStr">
        <is>
          <t>Part III - Upstream AI Research</t>
        </is>
      </c>
      <c r="C1536" s="18" t="inlineStr">
        <is>
          <t>5. Generative vision - GANs, diffusion, autoregressive, video, evaluation</t>
        </is>
      </c>
      <c r="D1536" s="10" t="inlineStr">
        <is>
          <t>A Sora-class video model explained by its lead, with the factorized text→image→video design and honest evaluation discussion</t>
        </is>
      </c>
      <c r="E1536" s="10" t="inlineStr">
        <is>
          <t>Ishan Misra (Meta) - Emu Video Generation</t>
        </is>
      </c>
      <c r="F1536" s="11" t="inlineStr">
        <is>
          <t>55:26</t>
        </is>
      </c>
      <c r="G1536" s="11" t="n">
        <v>0.92</v>
      </c>
      <c r="H1536" s="12" t="inlineStr">
        <is>
          <t>★</t>
        </is>
      </c>
      <c r="I1536" s="11" t="inlineStr">
        <is>
          <t>Not started</t>
        </is>
      </c>
      <c r="J1536" s="13" t="n"/>
      <c r="K1536" s="10" t="inlineStr"/>
      <c r="L1536" s="14" t="inlineStr">
        <is>
          <t>▶ watch</t>
        </is>
      </c>
      <c r="M1536" s="10" t="inlineStr"/>
      <c r="N1536" s="11" t="inlineStr"/>
      <c r="O1536" s="11" t="inlineStr">
        <is>
          <t>course lecture - no single paper</t>
        </is>
      </c>
      <c r="P1536" s="10" t="inlineStr"/>
    </row>
    <row r="1537">
      <c r="A1537" s="17" t="n">
        <v>1536</v>
      </c>
      <c r="B1537" s="17" t="inlineStr">
        <is>
          <t>Part III - Upstream AI Research</t>
        </is>
      </c>
      <c r="C1537" s="18" t="inlineStr">
        <is>
          <t>5. Generative vision - GANs, diffusion, autoregressive, video, evaluation</t>
        </is>
      </c>
      <c r="D1537" s="10" t="inlineStr">
        <is>
          <t>The closest thing to a Sora research talk that exists publicly; useful for the world-model framing, light on technical detail</t>
        </is>
      </c>
      <c r="E1537" s="10" t="inlineStr">
        <is>
          <t>OpenAI Sora 2 Team: How Generative Video Will Unlock Creativity and World Models</t>
        </is>
      </c>
      <c r="F1537" s="11" t="inlineStr">
        <is>
          <t>1:00:26</t>
        </is>
      </c>
      <c r="G1537" s="11" t="n">
        <v>1.01</v>
      </c>
      <c r="H1537" s="12" t="inlineStr"/>
      <c r="I1537" s="11" t="inlineStr">
        <is>
          <t>Not started</t>
        </is>
      </c>
      <c r="J1537" s="13" t="n"/>
      <c r="K1537" s="10" t="inlineStr"/>
      <c r="L1537" s="14" t="inlineStr">
        <is>
          <t>▶ watch</t>
        </is>
      </c>
      <c r="M1537" s="10" t="inlineStr"/>
      <c r="N1537" s="11" t="inlineStr"/>
      <c r="O1537" s="11" t="inlineStr">
        <is>
          <t>course lecture - no single paper</t>
        </is>
      </c>
      <c r="P1537" s="10" t="inlineStr"/>
    </row>
    <row r="1538">
      <c r="A1538" s="17" t="n">
        <v>1537</v>
      </c>
      <c r="B1538" s="17" t="inlineStr">
        <is>
          <t>Part III - Upstream AI Research</t>
        </is>
      </c>
      <c r="C1538" s="18" t="inlineStr">
        <is>
          <t>5. Generative vision - GANs, diffusion, autoregressive, video, evaluation</t>
        </is>
      </c>
      <c r="D1538" s="10" t="inlineStr">
        <is>
          <t>The FID critique: density &amp; coverage, and a demonstration that FID conflates fidelity with diversity. Required before you report FID in any paper</t>
        </is>
      </c>
      <c r="E1538" s="10" t="inlineStr">
        <is>
          <t>Reliable Fidelity and Diversity Metrics for Generative Models (ICML 2020</t>
        </is>
      </c>
      <c r="F1538" s="11" t="inlineStr">
        <is>
          <t>15:41</t>
        </is>
      </c>
      <c r="G1538" s="11" t="n">
        <v>0.26</v>
      </c>
      <c r="H1538" s="12" t="inlineStr">
        <is>
          <t>★</t>
        </is>
      </c>
      <c r="I1538" s="11" t="inlineStr">
        <is>
          <t>Not started</t>
        </is>
      </c>
      <c r="J1538" s="13" t="n"/>
      <c r="K1538" s="10" t="inlineStr"/>
      <c r="L1538" s="14" t="inlineStr">
        <is>
          <t>▶ watch</t>
        </is>
      </c>
      <c r="M1538" s="10" t="inlineStr"/>
      <c r="N1538" s="11" t="inlineStr"/>
      <c r="O1538" s="11" t="inlineStr">
        <is>
          <t>course lecture - no single paper</t>
        </is>
      </c>
      <c r="P1538" s="10" t="inlineStr"/>
    </row>
    <row r="1539">
      <c r="A1539" s="17" t="n">
        <v>1538</v>
      </c>
      <c r="B1539" s="17" t="inlineStr">
        <is>
          <t>Part III - Upstream AI Research</t>
        </is>
      </c>
      <c r="C1539" s="18" t="inlineStr">
        <is>
          <t>5. Generative vision - GANs, diffusion, autoregressive, video, evaluation</t>
        </is>
      </c>
      <c r="D1539" s="10" t="inlineStr">
        <is>
          <t>Deep reading-group treatment of VAR's next-scale prediction. No author talk for VAR could be verified - see flag below</t>
        </is>
      </c>
      <c r="E1539" s="10" t="inlineStr">
        <is>
          <t>Visual Autoregressive Modeling - Part 1</t>
        </is>
      </c>
      <c r="F1539" s="11" t="inlineStr">
        <is>
          <t>1:27:37</t>
        </is>
      </c>
      <c r="G1539" s="11" t="n">
        <v>1.46</v>
      </c>
      <c r="H1539" s="12" t="inlineStr">
        <is>
          <t>★</t>
        </is>
      </c>
      <c r="I1539" s="11" t="inlineStr">
        <is>
          <t>Not started</t>
        </is>
      </c>
      <c r="J1539" s="13" t="n"/>
      <c r="K1539" s="10" t="inlineStr"/>
      <c r="L1539" s="14" t="inlineStr">
        <is>
          <t>▶ watch</t>
        </is>
      </c>
      <c r="M1539" s="10" t="inlineStr"/>
      <c r="N1539" s="11" t="inlineStr"/>
      <c r="O1539" s="11" t="inlineStr">
        <is>
          <t>course lecture - no single paper</t>
        </is>
      </c>
      <c r="P1539" s="10" t="inlineStr"/>
    </row>
    <row r="1540">
      <c r="A1540" s="17" t="n">
        <v>1539</v>
      </c>
      <c r="B1540" s="17" t="inlineStr">
        <is>
          <t>Part III - Upstream AI Research</t>
        </is>
      </c>
      <c r="C1540" s="18" t="inlineStr">
        <is>
          <t>6. 3D vision and geometry - directly transferable to molecular structure</t>
        </is>
      </c>
      <c r="D1540" s="10" t="inlineStr">
        <is>
          <t>The rigorous classical foundation: rigid-body motion, SE(3), Lie groups. This is the same SE(3) machinery as equivariant molecular networks</t>
        </is>
      </c>
      <c r="E1540" s="10" t="inlineStr">
        <is>
          <t>Multiple View Geometry - Lecture 1</t>
        </is>
      </c>
      <c r="F1540" s="11" t="inlineStr">
        <is>
          <t>1:27:30</t>
        </is>
      </c>
      <c r="G1540" s="11" t="n">
        <v>1.46</v>
      </c>
      <c r="H1540" s="12" t="inlineStr">
        <is>
          <t>★</t>
        </is>
      </c>
      <c r="I1540" s="11" t="inlineStr">
        <is>
          <t>Not started</t>
        </is>
      </c>
      <c r="J1540" s="13" t="n"/>
      <c r="K1540" s="10" t="inlineStr"/>
      <c r="L1540" s="14" t="inlineStr">
        <is>
          <t>▶ watch</t>
        </is>
      </c>
      <c r="M1540" s="10" t="inlineStr"/>
      <c r="N1540" s="11" t="inlineStr"/>
      <c r="O1540" s="11" t="inlineStr">
        <is>
          <t>course lecture - no single paper</t>
        </is>
      </c>
      <c r="P1540" s="10" t="inlineStr"/>
    </row>
    <row r="1541">
      <c r="A1541" s="17" t="n">
        <v>1540</v>
      </c>
      <c r="B1541" s="17" t="inlineStr">
        <is>
          <t>Part III - Upstream AI Research</t>
        </is>
      </c>
      <c r="C1541" s="18" t="inlineStr">
        <is>
          <t>6. 3D vision and geometry - directly transferable to molecular structure</t>
        </is>
      </c>
      <c r="D1541" s="10" t="inlineStr">
        <is>
          <t>Hartley &amp; Zisserman (2004); Ma, Soatto, Košecká, Sastry, An Invitation to 3-D Vision</t>
        </is>
      </c>
      <c r="E1541" s="10" t="inlineStr">
        <is>
          <t>Multiple View Geometry - Lecture 2</t>
        </is>
      </c>
      <c r="F1541" s="11" t="inlineStr">
        <is>
          <t>1:24:33</t>
        </is>
      </c>
      <c r="G1541" s="11" t="n">
        <v>1.41</v>
      </c>
      <c r="H1541" s="12" t="inlineStr">
        <is>
          <t>★</t>
        </is>
      </c>
      <c r="I1541" s="11" t="inlineStr">
        <is>
          <t>Not started</t>
        </is>
      </c>
      <c r="J1541" s="13" t="n"/>
      <c r="K1541" s="10" t="inlineStr"/>
      <c r="L1541" s="14" t="inlineStr">
        <is>
          <t>▶ watch</t>
        </is>
      </c>
      <c r="M1541" s="10" t="inlineStr"/>
      <c r="N1541" s="11" t="inlineStr"/>
      <c r="O1541" s="11" t="inlineStr">
        <is>
          <t>course lecture - no single paper</t>
        </is>
      </c>
      <c r="P1541" s="10" t="inlineStr"/>
    </row>
    <row r="1542">
      <c r="A1542" s="17" t="n">
        <v>1541</v>
      </c>
      <c r="B1542" s="17" t="inlineStr">
        <is>
          <t>Part III - Upstream AI Research</t>
        </is>
      </c>
      <c r="C1542" s="18" t="inlineStr">
        <is>
          <t>6. 3D vision and geometry - directly transferable to molecular structure</t>
        </is>
      </c>
      <c r="D1542" s="10" t="inlineStr">
        <is>
          <t>Modern graduate SfM formulation - epipolar geometry, bundle adjustment framing</t>
        </is>
      </c>
      <c r="E1542" s="10" t="inlineStr">
        <is>
          <t>Computer Vision - Lecture 3.1 (Structure-from-Motion: Preliminaries</t>
        </is>
      </c>
      <c r="F1542" s="11" t="inlineStr">
        <is>
          <t>26:18</t>
        </is>
      </c>
      <c r="G1542" s="11" t="n">
        <v>0.44</v>
      </c>
      <c r="H1542" s="12" t="inlineStr">
        <is>
          <t>★</t>
        </is>
      </c>
      <c r="I1542" s="11" t="inlineStr">
        <is>
          <t>Not started</t>
        </is>
      </c>
      <c r="J1542" s="13" t="n"/>
      <c r="K1542" s="10" t="inlineStr"/>
      <c r="L1542" s="14" t="inlineStr">
        <is>
          <t>▶ watch</t>
        </is>
      </c>
      <c r="M1542" s="10" t="inlineStr"/>
      <c r="N1542" s="11" t="inlineStr"/>
      <c r="O1542" s="11" t="inlineStr">
        <is>
          <t>course lecture - no single paper</t>
        </is>
      </c>
      <c r="P1542" s="10" t="inlineStr"/>
    </row>
    <row r="1543">
      <c r="A1543" s="17" t="n">
        <v>1542</v>
      </c>
      <c r="B1543" s="17" t="inlineStr">
        <is>
          <t>Part III - Upstream AI Research</t>
        </is>
      </c>
      <c r="C1543" s="18" t="inlineStr">
        <is>
          <t>6. 3D vision and geometry - directly transferable to molecular structure</t>
        </is>
      </c>
      <c r="D1543" s="10" t="inlineStr">
        <is>
          <t>COLMAP's author - the system that every NeRF/3DGS paper silently depends on for camera poses</t>
        </is>
      </c>
      <c r="E1543" s="10" t="inlineStr">
        <is>
          <t>Structure-from-Motion Revisited</t>
        </is>
      </c>
      <c r="F1543" s="11" t="inlineStr">
        <is>
          <t>4:39</t>
        </is>
      </c>
      <c r="G1543" s="11" t="n">
        <v>0.08</v>
      </c>
      <c r="H1543" s="12" t="inlineStr">
        <is>
          <t>★</t>
        </is>
      </c>
      <c r="I1543" s="11" t="inlineStr">
        <is>
          <t>Not started</t>
        </is>
      </c>
      <c r="J1543" s="13" t="n"/>
      <c r="K1543" s="10" t="inlineStr"/>
      <c r="L1543" s="14" t="inlineStr">
        <is>
          <t>▶ watch</t>
        </is>
      </c>
      <c r="M1543" s="10" t="inlineStr"/>
      <c r="N1543" s="11" t="inlineStr"/>
      <c r="O1543" s="11" t="inlineStr">
        <is>
          <t>course lecture - no single paper</t>
        </is>
      </c>
      <c r="P1543" s="10" t="inlineStr"/>
    </row>
    <row r="1544">
      <c r="A1544" s="17" t="n">
        <v>1543</v>
      </c>
      <c r="B1544" s="17" t="inlineStr">
        <is>
          <t>Part III - Upstream AI Research</t>
        </is>
      </c>
      <c r="C1544" s="18" t="inlineStr">
        <is>
          <t>6. 3D vision and geometry - directly transferable to molecular structure</t>
        </is>
      </c>
      <c r="D1544" s="10" t="inlineStr">
        <is>
          <t>Practical failure modes of SfM - essential if you ever build on reconstructed geometry</t>
        </is>
      </c>
      <c r="E1544" s="10" t="inlineStr">
        <is>
          <t>ROB 2018 - Johannes Schönberger: COLMAP</t>
        </is>
      </c>
      <c r="F1544" s="11" t="inlineStr">
        <is>
          <t>13:34</t>
        </is>
      </c>
      <c r="G1544" s="11" t="n">
        <v>0.23</v>
      </c>
      <c r="H1544" s="12" t="inlineStr">
        <is>
          <t>★</t>
        </is>
      </c>
      <c r="I1544" s="11" t="inlineStr">
        <is>
          <t>Not started</t>
        </is>
      </c>
      <c r="J1544" s="13" t="n"/>
      <c r="K1544" s="10" t="inlineStr"/>
      <c r="L1544" s="14" t="inlineStr">
        <is>
          <t>▶ watch</t>
        </is>
      </c>
      <c r="M1544" s="10" t="inlineStr"/>
      <c r="N1544" s="11" t="inlineStr"/>
      <c r="O1544" s="11" t="inlineStr">
        <is>
          <t>course lecture - no single paper</t>
        </is>
      </c>
      <c r="P1544" s="10" t="inlineStr"/>
    </row>
    <row r="1545">
      <c r="A1545" s="17" t="n">
        <v>1544</v>
      </c>
      <c r="B1545" s="17" t="inlineStr">
        <is>
          <t>Part III - Upstream AI Research</t>
        </is>
      </c>
      <c r="C1545" s="18" t="inlineStr">
        <is>
          <t>6. 3D vision and geometry - directly transferable to molecular structure</t>
        </is>
      </c>
      <c r="D1545" s="10" t="inlineStr">
        <is>
          <t>The original NeRF author video. The key insight - positional encoding to overcome spectral bias in coordinate MLPs - is the one most reusable in scientific modeling</t>
        </is>
      </c>
      <c r="E1545" s="10" t="inlineStr">
        <is>
          <t>NeRF: Neural Radiance Fields</t>
        </is>
      </c>
      <c r="F1545" s="11" t="inlineStr">
        <is>
          <t>4:15</t>
        </is>
      </c>
      <c r="G1545" s="11" t="n">
        <v>0.07000000000000001</v>
      </c>
      <c r="H1545" s="12" t="inlineStr">
        <is>
          <t>★</t>
        </is>
      </c>
      <c r="I1545" s="11" t="inlineStr">
        <is>
          <t>Not started</t>
        </is>
      </c>
      <c r="J1545" s="13" t="n"/>
      <c r="K1545" s="10" t="inlineStr"/>
      <c r="L1545" s="14" t="inlineStr">
        <is>
          <t>▶ watch</t>
        </is>
      </c>
      <c r="M1545" s="10" t="inlineStr"/>
      <c r="N1545" s="11" t="inlineStr"/>
      <c r="O1545" s="11" t="inlineStr">
        <is>
          <t>course lecture - no single paper</t>
        </is>
      </c>
      <c r="P1545" s="10" t="inlineStr"/>
    </row>
    <row r="1546">
      <c r="A1546" s="17" t="n">
        <v>1545</v>
      </c>
      <c r="B1546" s="17" t="inlineStr">
        <is>
          <t>Part III - Upstream AI Research</t>
        </is>
      </c>
      <c r="C1546" s="18" t="inlineStr">
        <is>
          <t>6. 3D vision and geometry - directly transferable to molecular structure</t>
        </is>
      </c>
      <c r="D1546" s="10" t="inlineStr">
        <is>
          <t>NeRF's first author giving a full retrospective keynote four years on - what held up and what didn't</t>
        </is>
      </c>
      <c r="E1546" s="10" t="inlineStr">
        <is>
          <t>3DV 2024 Keynote - Ben Mildenhall</t>
        </is>
      </c>
      <c r="F1546" s="11" t="inlineStr">
        <is>
          <t>1:09:18</t>
        </is>
      </c>
      <c r="G1546" s="11" t="n">
        <v>1.16</v>
      </c>
      <c r="H1546" s="12" t="inlineStr">
        <is>
          <t>★</t>
        </is>
      </c>
      <c r="I1546" s="11" t="inlineStr">
        <is>
          <t>Not started</t>
        </is>
      </c>
      <c r="J1546" s="13" t="n"/>
      <c r="K1546" s="10" t="inlineStr"/>
      <c r="L1546" s="14" t="inlineStr">
        <is>
          <t>▶ watch</t>
        </is>
      </c>
      <c r="M1546" s="10" t="inlineStr"/>
      <c r="N1546" s="11" t="inlineStr"/>
      <c r="O1546" s="11" t="inlineStr">
        <is>
          <t>course lecture - no single paper</t>
        </is>
      </c>
      <c r="P1546" s="10" t="inlineStr"/>
    </row>
    <row r="1547">
      <c r="A1547" s="17" t="n">
        <v>1546</v>
      </c>
      <c r="B1547" s="17" t="inlineStr">
        <is>
          <t>Part III - Upstream AI Research</t>
        </is>
      </c>
      <c r="C1547" s="18" t="inlineStr">
        <is>
          <t>6. 3D vision and geometry - directly transferable to molecular structure</t>
        </is>
      </c>
      <c r="D1547" s="10" t="inlineStr">
        <is>
          <t>Full lecture-format NeRF derivation by its author, built for students</t>
        </is>
      </c>
      <c r="E1547" s="10" t="inlineStr">
        <is>
          <t>L13b Neural Radiance Fields - Guest Lecturer Ben Mildenhall</t>
        </is>
      </c>
      <c r="F1547" s="11" t="inlineStr">
        <is>
          <t>1:04:24</t>
        </is>
      </c>
      <c r="G1547" s="11" t="n">
        <v>1.07</v>
      </c>
      <c r="H1547" s="12" t="inlineStr">
        <is>
          <t>★</t>
        </is>
      </c>
      <c r="I1547" s="11" t="inlineStr">
        <is>
          <t>Not started</t>
        </is>
      </c>
      <c r="J1547" s="13" t="n"/>
      <c r="K1547" s="10" t="inlineStr"/>
      <c r="L1547" s="14" t="inlineStr">
        <is>
          <t>▶ watch</t>
        </is>
      </c>
      <c r="M1547" s="10" t="inlineStr"/>
      <c r="N1547" s="11" t="inlineStr"/>
      <c r="O1547" s="11" t="inlineStr">
        <is>
          <t>course lecture - no single paper</t>
        </is>
      </c>
      <c r="P1547" s="10" t="inlineStr"/>
    </row>
    <row r="1548">
      <c r="A1548" s="17" t="n">
        <v>1547</v>
      </c>
      <c r="B1548" s="17" t="inlineStr">
        <is>
          <t>Part III - Upstream AI Research</t>
        </is>
      </c>
      <c r="C1548" s="18" t="inlineStr">
        <is>
          <t>6. 3D vision and geometry - directly transferable to molecular structure</t>
        </is>
      </c>
      <c r="D1548" s="10" t="inlineStr">
        <is>
          <t>The best single talk on why NeRF works, with the aliasing/scale analysis that led to mip-NeRF</t>
        </is>
      </c>
      <c r="E1548" s="10" t="inlineStr">
        <is>
          <t>Jon Barron - Understanding and Extending Neural Radiance Fields</t>
        </is>
      </c>
      <c r="F1548" s="11" t="inlineStr">
        <is>
          <t>54:43</t>
        </is>
      </c>
      <c r="G1548" s="11" t="n">
        <v>0.91</v>
      </c>
      <c r="H1548" s="12" t="inlineStr">
        <is>
          <t>★</t>
        </is>
      </c>
      <c r="I1548" s="11" t="inlineStr">
        <is>
          <t>Not started</t>
        </is>
      </c>
      <c r="J1548" s="13" t="n"/>
      <c r="K1548" s="10" t="inlineStr"/>
      <c r="L1548" s="14" t="inlineStr">
        <is>
          <t>▶ watch</t>
        </is>
      </c>
      <c r="M1548" s="10" t="inlineStr"/>
      <c r="N1548" s="11" t="inlineStr"/>
      <c r="O1548" s="11" t="inlineStr">
        <is>
          <t>course lecture - no single paper</t>
        </is>
      </c>
      <c r="P1548" s="10" t="inlineStr"/>
    </row>
    <row r="1549">
      <c r="A1549" s="17" t="n">
        <v>1548</v>
      </c>
      <c r="B1549" s="17" t="inlineStr">
        <is>
          <t>Part III - Upstream AI Research</t>
        </is>
      </c>
      <c r="C1549" s="18" t="inlineStr">
        <is>
          <t>6. 3D vision and geometry - directly transferable to molecular structure</t>
        </is>
      </c>
      <c r="D1549" s="10" t="inlineStr">
        <is>
          <t>TUM AI Lecture Series - Understanding and Extending Neural Radiance Fields</t>
        </is>
      </c>
      <c r="E1549" s="10" t="inlineStr">
        <is>
          <t>Jonathan T. Barron (Google Research</t>
        </is>
      </c>
      <c r="F1549" s="11" t="inlineStr">
        <is>
          <t>1:02:05</t>
        </is>
      </c>
      <c r="G1549" s="11" t="n">
        <v>1.03</v>
      </c>
      <c r="H1549" s="12" t="inlineStr">
        <is>
          <t>★</t>
        </is>
      </c>
      <c r="I1549" s="11" t="inlineStr">
        <is>
          <t>Not started</t>
        </is>
      </c>
      <c r="J1549" s="13" t="n"/>
      <c r="K1549" s="10" t="inlineStr"/>
      <c r="L1549" s="14" t="inlineStr">
        <is>
          <t>▶ watch</t>
        </is>
      </c>
      <c r="M1549" s="10" t="inlineStr"/>
      <c r="N1549" s="11" t="inlineStr"/>
      <c r="O1549" s="11" t="inlineStr">
        <is>
          <t>course lecture - no single paper</t>
        </is>
      </c>
      <c r="P1549" s="10" t="inlineStr"/>
    </row>
    <row r="1550">
      <c r="A1550" s="17" t="n">
        <v>1549</v>
      </c>
      <c r="B1550" s="17" t="inlineStr">
        <is>
          <t>Part III - Upstream AI Research</t>
        </is>
      </c>
      <c r="C1550" s="18" t="inlineStr">
        <is>
          <t>6. 3D vision and geometry - directly transferable to molecular structure</t>
        </is>
      </c>
      <c r="D1550" s="10" t="inlineStr">
        <is>
          <t>How to combine hash-grid speed with anti-aliasing rigor - a model of careful incremental research</t>
        </is>
      </c>
      <c r="E1550" s="10" t="inlineStr">
        <is>
          <t>Zip-NeRF: Anti-Aliased Grid-Based Neural Radiance Fields - ICCV 2023 Talk</t>
        </is>
      </c>
      <c r="F1550" s="11" t="inlineStr">
        <is>
          <t>5:00</t>
        </is>
      </c>
      <c r="G1550" s="11" t="n">
        <v>0.08</v>
      </c>
      <c r="H1550" s="12" t="inlineStr">
        <is>
          <t>★</t>
        </is>
      </c>
      <c r="I1550" s="11" t="inlineStr">
        <is>
          <t>Not started</t>
        </is>
      </c>
      <c r="J1550" s="13" t="n"/>
      <c r="K1550" s="10" t="inlineStr"/>
      <c r="L1550" s="14" t="inlineStr">
        <is>
          <t>▶ watch</t>
        </is>
      </c>
      <c r="M1550" s="10" t="inlineStr"/>
      <c r="N1550" s="11" t="inlineStr"/>
      <c r="O1550" s="11" t="inlineStr">
        <is>
          <t>course lecture - no single paper</t>
        </is>
      </c>
      <c r="P1550" s="10" t="inlineStr"/>
    </row>
    <row r="1551">
      <c r="A1551" s="17" t="n">
        <v>1550</v>
      </c>
      <c r="B1551" s="17" t="inlineStr">
        <is>
          <t>Part III - Upstream AI Research</t>
        </is>
      </c>
      <c r="C1551" s="18" t="inlineStr">
        <is>
          <t>6. 3D vision and geometry - directly transferable to molecular structure</t>
        </is>
      </c>
      <c r="D1551" s="10" t="inlineStr">
        <is>
          <t>Barron's current view on where radiance fields and generative models merge</t>
        </is>
      </c>
      <c r="E1551" s="10" t="inlineStr">
        <is>
          <t>Radiance Fields and the Future of Generative Media</t>
        </is>
      </c>
      <c r="F1551" s="11" t="inlineStr">
        <is>
          <t>48:39</t>
        </is>
      </c>
      <c r="G1551" s="11" t="n">
        <v>0.8100000000000001</v>
      </c>
      <c r="H1551" s="12" t="inlineStr">
        <is>
          <t>★</t>
        </is>
      </c>
      <c r="I1551" s="11" t="inlineStr">
        <is>
          <t>Not started</t>
        </is>
      </c>
      <c r="J1551" s="13" t="n"/>
      <c r="K1551" s="10" t="inlineStr"/>
      <c r="L1551" s="14" t="inlineStr">
        <is>
          <t>▶ watch</t>
        </is>
      </c>
      <c r="M1551" s="10" t="inlineStr"/>
      <c r="N1551" s="11" t="inlineStr"/>
      <c r="O1551" s="11" t="inlineStr">
        <is>
          <t>course lecture - no single paper</t>
        </is>
      </c>
      <c r="P1551" s="10" t="inlineStr"/>
    </row>
    <row r="1552">
      <c r="A1552" s="17" t="n">
        <v>1551</v>
      </c>
      <c r="B1552" s="17" t="inlineStr">
        <is>
          <t>Part III - Upstream AI Research</t>
        </is>
      </c>
      <c r="C1552" s="18" t="inlineStr">
        <is>
          <t>6. 3D vision and geometry - directly transferable to molecular structure</t>
        </is>
      </c>
      <c r="D1552" s="10" t="inlineStr">
        <is>
          <t>Tancik et al., Fourier Features Let Networks Learn High Frequency Functions, NeurIPS 2020</t>
        </is>
      </c>
      <c r="E1552" s="10" t="inlineStr">
        <is>
          <t>Matthew Tancik: Neural Radiance Fields for View Synthesis</t>
        </is>
      </c>
      <c r="F1552" s="11" t="inlineStr">
        <is>
          <t>49:11</t>
        </is>
      </c>
      <c r="G1552" s="11" t="n">
        <v>0.82</v>
      </c>
      <c r="H1552" s="12" t="inlineStr">
        <is>
          <t>★</t>
        </is>
      </c>
      <c r="I1552" s="11" t="inlineStr">
        <is>
          <t>Not started</t>
        </is>
      </c>
      <c r="J1552" s="13" t="n"/>
      <c r="K1552" s="10" t="inlineStr"/>
      <c r="L1552" s="14" t="inlineStr">
        <is>
          <t>▶ watch</t>
        </is>
      </c>
      <c r="M1552" s="10" t="inlineStr"/>
      <c r="N1552" s="11" t="inlineStr"/>
      <c r="O1552" s="11" t="inlineStr">
        <is>
          <t>course lecture - no single paper</t>
        </is>
      </c>
      <c r="P1552" s="10" t="inlineStr"/>
    </row>
    <row r="1553">
      <c r="A1553" s="17" t="n">
        <v>1552</v>
      </c>
      <c r="B1553" s="17" t="inlineStr">
        <is>
          <t>Part III - Upstream AI Research</t>
        </is>
      </c>
      <c r="C1553" s="18" t="inlineStr">
        <is>
          <t>6. 3D vision and geometry - directly transferable to molecular structure</t>
        </is>
      </c>
      <c r="D1553" s="10" t="inlineStr">
        <is>
          <t>The research-infrastructure side - how Nerfstudio was built and why tooling accelerated the field</t>
        </is>
      </c>
      <c r="E1553" s="10" t="inlineStr">
        <is>
          <t>MAS.S61 presents Matthew Tancik, Co-Author of NeRF and Nerfstudio</t>
        </is>
      </c>
      <c r="F1553" s="11" t="inlineStr">
        <is>
          <t>1:02:02</t>
        </is>
      </c>
      <c r="G1553" s="11" t="n">
        <v>1.03</v>
      </c>
      <c r="H1553" s="12" t="inlineStr">
        <is>
          <t>★</t>
        </is>
      </c>
      <c r="I1553" s="11" t="inlineStr">
        <is>
          <t>Not started</t>
        </is>
      </c>
      <c r="J1553" s="13" t="n"/>
      <c r="K1553" s="10" t="inlineStr"/>
      <c r="L1553" s="14" t="inlineStr">
        <is>
          <t>▶ watch</t>
        </is>
      </c>
      <c r="M1553" s="10" t="inlineStr"/>
      <c r="N1553" s="11" t="inlineStr"/>
      <c r="O1553" s="11" t="inlineStr">
        <is>
          <t>course lecture - no single paper</t>
        </is>
      </c>
      <c r="P1553" s="10" t="inlineStr"/>
    </row>
    <row r="1554">
      <c r="A1554" s="17" t="n">
        <v>1553</v>
      </c>
      <c r="B1554" s="17" t="inlineStr">
        <is>
          <t>Part III - Upstream AI Research</t>
        </is>
      </c>
      <c r="C1554" s="18" t="inlineStr">
        <is>
          <t>6. 3D vision and geometry - directly transferable to molecular structure</t>
        </is>
      </c>
      <c r="D1554" s="10" t="inlineStr">
        <is>
          <t>3DGS first author. The explicit-primitive-plus-differentiable-rasterizer design is a direct template for differentiable molecular density modeling</t>
        </is>
      </c>
      <c r="E1554" s="10" t="inlineStr">
        <is>
          <t>Bernhard Kerbl: 3D Gaussian Splatting - Real-Time Radiance Fields and their Applications</t>
        </is>
      </c>
      <c r="F1554" s="11" t="inlineStr">
        <is>
          <t>1:04:09</t>
        </is>
      </c>
      <c r="G1554" s="11" t="n">
        <v>1.07</v>
      </c>
      <c r="H1554" s="12" t="inlineStr">
        <is>
          <t>★</t>
        </is>
      </c>
      <c r="I1554" s="11" t="inlineStr">
        <is>
          <t>Not started</t>
        </is>
      </c>
      <c r="J1554" s="13" t="n"/>
      <c r="K1554" s="10" t="inlineStr"/>
      <c r="L1554" s="14" t="inlineStr">
        <is>
          <t>▶ watch</t>
        </is>
      </c>
      <c r="M1554" s="10" t="inlineStr"/>
      <c r="N1554" s="11" t="inlineStr"/>
      <c r="O1554" s="11" t="inlineStr">
        <is>
          <t>course lecture - no single paper</t>
        </is>
      </c>
      <c r="P1554" s="10" t="inlineStr"/>
    </row>
    <row r="1555">
      <c r="A1555" s="17" t="n">
        <v>1554</v>
      </c>
      <c r="B1555" s="17" t="inlineStr">
        <is>
          <t>Part III - Upstream AI Research</t>
        </is>
      </c>
      <c r="C1555" s="18" t="inlineStr">
        <is>
          <t>6. 3D vision and geometry - directly transferable to molecular structure</t>
        </is>
      </c>
      <c r="D1555" s="10" t="inlineStr">
        <is>
          <t>Long-form interview - the design decisions and dead ends behind 3DGS, rarely written down</t>
        </is>
      </c>
      <c r="E1555" s="10" t="inlineStr">
        <is>
          <t>Gaussian Splatting with Bernhard Kerbl</t>
        </is>
      </c>
      <c r="F1555" s="11" t="inlineStr">
        <is>
          <t>1:05:39</t>
        </is>
      </c>
      <c r="G1555" s="11" t="n">
        <v>1.09</v>
      </c>
      <c r="H1555" s="12" t="inlineStr">
        <is>
          <t>★</t>
        </is>
      </c>
      <c r="I1555" s="11" t="inlineStr">
        <is>
          <t>Not started</t>
        </is>
      </c>
      <c r="J1555" s="13" t="n"/>
      <c r="K1555" s="10" t="inlineStr"/>
      <c r="L1555" s="14" t="inlineStr">
        <is>
          <t>▶ watch</t>
        </is>
      </c>
      <c r="M1555" s="10" t="inlineStr"/>
      <c r="N1555" s="11" t="inlineStr"/>
      <c r="O1555" s="11" t="inlineStr">
        <is>
          <t>course lecture - no single paper</t>
        </is>
      </c>
      <c r="P1555" s="10" t="inlineStr"/>
    </row>
    <row r="1556">
      <c r="A1556" s="17" t="n">
        <v>1555</v>
      </c>
      <c r="B1556" s="17" t="inlineStr">
        <is>
          <t>Part III - Upstream AI Research</t>
        </is>
      </c>
      <c r="C1556" s="18" t="inlineStr">
        <is>
          <t>6. 3D vision and geometry - directly transferable to molecular structure</t>
        </is>
      </c>
      <c r="D1556" s="10" t="inlineStr">
        <is>
          <t>The senior author's full research-program framing, from point-based rendering history to future directions</t>
        </is>
      </c>
      <c r="E1556" s="10" t="inlineStr">
        <is>
          <t>TUM AI Lecture Series - The 3D Gaussian Splatting Adventure: Past, Present, Future</t>
        </is>
      </c>
      <c r="F1556" s="11" t="inlineStr">
        <is>
          <t>1:04:20</t>
        </is>
      </c>
      <c r="G1556" s="11" t="n">
        <v>1.07</v>
      </c>
      <c r="H1556" s="12" t="inlineStr">
        <is>
          <t>★</t>
        </is>
      </c>
      <c r="I1556" s="11" t="inlineStr">
        <is>
          <t>Not started</t>
        </is>
      </c>
      <c r="J1556" s="13" t="n"/>
      <c r="K1556" s="10" t="inlineStr"/>
      <c r="L1556" s="14" t="inlineStr">
        <is>
          <t>▶ watch</t>
        </is>
      </c>
      <c r="M1556" s="10" t="inlineStr"/>
      <c r="N1556" s="11" t="inlineStr"/>
      <c r="O1556" s="11" t="inlineStr">
        <is>
          <t>course lecture - no single paper</t>
        </is>
      </c>
      <c r="P1556" s="10" t="inlineStr"/>
    </row>
    <row r="1557">
      <c r="A1557" s="17" t="n">
        <v>1556</v>
      </c>
      <c r="B1557" s="17" t="inlineStr">
        <is>
          <t>Part III - Upstream AI Research</t>
        </is>
      </c>
      <c r="C1557" s="18" t="inlineStr">
        <is>
          <t>6. 3D vision and geometry - directly transferable to molecular structure</t>
        </is>
      </c>
      <c r="D1557" s="10" t="inlineStr">
        <is>
          <t>SIREN/SRN author on coordinate-based neural fields as a general representation - the most directly transferable idea in this whole section for molecular work</t>
        </is>
      </c>
      <c r="E1557" s="10" t="inlineStr">
        <is>
          <t>TUM AI Lecture Series - Implicit Neural Scene Representations</t>
        </is>
      </c>
      <c r="F1557" s="11" t="inlineStr">
        <is>
          <t>1:10:59</t>
        </is>
      </c>
      <c r="G1557" s="11" t="n">
        <v>1.18</v>
      </c>
      <c r="H1557" s="12" t="inlineStr">
        <is>
          <t>★</t>
        </is>
      </c>
      <c r="I1557" s="11" t="inlineStr">
        <is>
          <t>Not started</t>
        </is>
      </c>
      <c r="J1557" s="13" t="n"/>
      <c r="K1557" s="10" t="inlineStr"/>
      <c r="L1557" s="14" t="inlineStr">
        <is>
          <t>▶ watch</t>
        </is>
      </c>
      <c r="M1557" s="10" t="inlineStr"/>
      <c r="N1557" s="11" t="inlineStr"/>
      <c r="O1557" s="11" t="inlineStr">
        <is>
          <t>course lecture - no single paper</t>
        </is>
      </c>
      <c r="P1557" s="10" t="inlineStr"/>
    </row>
    <row r="1558">
      <c r="A1558" s="17" t="n">
        <v>1557</v>
      </c>
      <c r="B1558" s="17" t="inlineStr">
        <is>
          <t>Part III - Upstream AI Research</t>
        </is>
      </c>
      <c r="C1558" s="18" t="inlineStr">
        <is>
          <t>6. 3D vision and geometry - directly transferable to molecular structure</t>
        </is>
      </c>
      <c r="D1558" s="10" t="inlineStr">
        <is>
          <t>Alternate-venue version with a different emphasis on generalization across scenes</t>
        </is>
      </c>
      <c r="E1558" s="10" t="inlineStr">
        <is>
          <t>Vincent Sitzmann: Implicit Neural Scene Representations</t>
        </is>
      </c>
      <c r="F1558" s="11" t="inlineStr">
        <is>
          <t>56:42</t>
        </is>
      </c>
      <c r="G1558" s="11" t="n">
        <v>0.9399999999999999</v>
      </c>
      <c r="H1558" s="12" t="inlineStr">
        <is>
          <t>★</t>
        </is>
      </c>
      <c r="I1558" s="11" t="inlineStr">
        <is>
          <t>Not started</t>
        </is>
      </c>
      <c r="J1558" s="13" t="n"/>
      <c r="K1558" s="10" t="inlineStr"/>
      <c r="L1558" s="14" t="inlineStr">
        <is>
          <t>▶ watch</t>
        </is>
      </c>
      <c r="M1558" s="10" t="inlineStr"/>
      <c r="N1558" s="11" t="inlineStr"/>
      <c r="O1558" s="11" t="inlineStr">
        <is>
          <t>course lecture - no single paper</t>
        </is>
      </c>
      <c r="P1558" s="10" t="inlineStr"/>
    </row>
    <row r="1559">
      <c r="A1559" s="17" t="n">
        <v>1558</v>
      </c>
      <c r="B1559" s="17" t="inlineStr">
        <is>
          <t>Part III - Upstream AI Research</t>
        </is>
      </c>
      <c r="C1559" s="18" t="inlineStr">
        <is>
          <t>6. 3D vision and geometry - directly transferable to molecular structure</t>
        </is>
      </c>
      <c r="D1559" s="10" t="inlineStr">
        <is>
          <t>The SIREN author video - periodic activations for representing signals and their derivatives, which matters whenever you need a differentiable field (PDEs, densities</t>
        </is>
      </c>
      <c r="E1559" s="10" t="inlineStr">
        <is>
          <t>Implicit Neural Representations with Periodic Activation Functions</t>
        </is>
      </c>
      <c r="F1559" s="11" t="inlineStr">
        <is>
          <t>10:20</t>
        </is>
      </c>
      <c r="G1559" s="11" t="n">
        <v>0.17</v>
      </c>
      <c r="H1559" s="12" t="inlineStr"/>
      <c r="I1559" s="11" t="inlineStr">
        <is>
          <t>Not started</t>
        </is>
      </c>
      <c r="J1559" s="13" t="n"/>
      <c r="K1559" s="10" t="inlineStr"/>
      <c r="L1559" s="14" t="inlineStr">
        <is>
          <t>▶ watch</t>
        </is>
      </c>
      <c r="M1559" s="10" t="inlineStr"/>
      <c r="N1559" s="11" t="inlineStr"/>
      <c r="O1559" s="11" t="inlineStr">
        <is>
          <t>course lecture - no single paper</t>
        </is>
      </c>
      <c r="P1559" s="10" t="inlineStr"/>
    </row>
    <row r="1560">
      <c r="A1560" s="17" t="n">
        <v>1559</v>
      </c>
      <c r="B1560" s="17" t="inlineStr">
        <is>
          <t>Part III - Upstream AI Research</t>
        </is>
      </c>
      <c r="C1560" s="18" t="inlineStr">
        <is>
          <t>6. 3D vision and geometry - directly transferable to molecular structure</t>
        </is>
      </c>
      <c r="D1560" s="10" t="inlineStr">
        <is>
          <t>Permutation invariance via symmetric functions - the direct ancestor of every atom-set molecular network</t>
        </is>
      </c>
      <c r="E1560" s="10" t="inlineStr">
        <is>
          <t>PointNet: Deep Learning on Point Sets for 3D Classification and Segmentation</t>
        </is>
      </c>
      <c r="F1560" s="11" t="inlineStr">
        <is>
          <t>11:24</t>
        </is>
      </c>
      <c r="G1560" s="11" t="n">
        <v>0.19</v>
      </c>
      <c r="H1560" s="12" t="inlineStr">
        <is>
          <t>★</t>
        </is>
      </c>
      <c r="I1560" s="11" t="inlineStr">
        <is>
          <t>Not started</t>
        </is>
      </c>
      <c r="J1560" s="13" t="n"/>
      <c r="K1560" s="10" t="inlineStr"/>
      <c r="L1560" s="14" t="inlineStr">
        <is>
          <t>▶ watch</t>
        </is>
      </c>
      <c r="M1560" s="10" t="inlineStr"/>
      <c r="N1560" s="11" t="inlineStr"/>
      <c r="O1560" s="11" t="inlineStr">
        <is>
          <t>course lecture - no single paper</t>
        </is>
      </c>
      <c r="P1560" s="10" t="inlineStr"/>
    </row>
    <row r="1561">
      <c r="A1561" s="17" t="n">
        <v>1560</v>
      </c>
      <c r="B1561" s="17" t="inlineStr">
        <is>
          <t>Part III - Upstream AI Research</t>
        </is>
      </c>
      <c r="C1561" s="18" t="inlineStr">
        <is>
          <t>6. 3D vision and geometry - directly transferable to molecular structure</t>
        </is>
      </c>
      <c r="D1561" s="10" t="inlineStr">
        <is>
          <t>PointNet's author on 3D detection at production scale - how the set abstraction idea evolved</t>
        </is>
      </c>
      <c r="E1561" s="10" t="inlineStr">
        <is>
          <t>Charles Qi - 6th BMTT Workshop, ICCV 2021</t>
        </is>
      </c>
      <c r="F1561" s="11" t="inlineStr">
        <is>
          <t>22:52</t>
        </is>
      </c>
      <c r="G1561" s="11" t="n">
        <v>0.38</v>
      </c>
      <c r="H1561" s="12" t="inlineStr">
        <is>
          <t>★</t>
        </is>
      </c>
      <c r="I1561" s="11" t="inlineStr">
        <is>
          <t>Not started</t>
        </is>
      </c>
      <c r="J1561" s="13" t="n"/>
      <c r="K1561" s="10" t="inlineStr"/>
      <c r="L1561" s="14" t="inlineStr">
        <is>
          <t>▶ watch</t>
        </is>
      </c>
      <c r="M1561" s="10" t="inlineStr"/>
      <c r="N1561" s="11" t="inlineStr"/>
      <c r="O1561" s="11" t="inlineStr">
        <is>
          <t>course lecture - no single paper</t>
        </is>
      </c>
      <c r="P1561" s="10" t="inlineStr"/>
    </row>
    <row r="1562">
      <c r="A1562" s="17" t="n">
        <v>1561</v>
      </c>
      <c r="B1562" s="17" t="inlineStr">
        <is>
          <t>Part III - Upstream AI Research</t>
        </is>
      </c>
      <c r="C1562" s="18" t="inlineStr">
        <is>
          <t>6. 3D vision and geometry - directly transferable to molecular structure</t>
        </is>
      </c>
      <c r="D1562" s="10" t="inlineStr">
        <is>
          <t>DUSt3R/MASt3R co-author. Replacing the entire SfM pipeline with a feed-forward pointmap regressor is the most important recent idea in geometric vision</t>
        </is>
      </c>
      <c r="E1562" s="10" t="inlineStr">
        <is>
          <t>Vincent Leroy: From CroCo to MASt3R - A Paradigm Change in 3D Vision</t>
        </is>
      </c>
      <c r="F1562" s="11" t="inlineStr">
        <is>
          <t>53:50</t>
        </is>
      </c>
      <c r="G1562" s="11" t="n">
        <v>0.9</v>
      </c>
      <c r="H1562" s="12" t="inlineStr">
        <is>
          <t>★</t>
        </is>
      </c>
      <c r="I1562" s="11" t="inlineStr">
        <is>
          <t>Not started</t>
        </is>
      </c>
      <c r="J1562" s="13" t="n"/>
      <c r="K1562" s="10" t="inlineStr"/>
      <c r="L1562" s="14" t="inlineStr">
        <is>
          <t>▶ watch</t>
        </is>
      </c>
      <c r="M1562" s="10" t="inlineStr"/>
      <c r="N1562" s="11" t="inlineStr"/>
      <c r="O1562" s="11" t="inlineStr">
        <is>
          <t>course lecture - no single paper</t>
        </is>
      </c>
      <c r="P1562" s="10" t="inlineStr"/>
    </row>
    <row r="1563">
      <c r="A1563" s="17" t="n">
        <v>1562</v>
      </c>
      <c r="B1563" s="17" t="inlineStr">
        <is>
          <t>Part III - Upstream AI Research</t>
        </is>
      </c>
      <c r="C1563" s="18" t="inlineStr">
        <is>
          <t>6. 3D vision and geometry - directly transferable to molecular structure</t>
        </is>
      </c>
      <c r="D1563" s="10" t="inlineStr">
        <is>
          <t>Impossible Image Matching of DUSt3R &amp; MASt3R with Jérôme Revaud and Vincent Leroy</t>
        </is>
      </c>
      <c r="E1563" s="10" t="inlineStr">
        <is>
          <t>Revaud &amp; Leroy (NAVER LABS Europe), View Dependent</t>
        </is>
      </c>
      <c r="F1563" s="11" t="inlineStr">
        <is>
          <t>1:14:01</t>
        </is>
      </c>
      <c r="G1563" s="11" t="n">
        <v>1.23</v>
      </c>
      <c r="H1563" s="12" t="inlineStr">
        <is>
          <t>★</t>
        </is>
      </c>
      <c r="I1563" s="11" t="inlineStr">
        <is>
          <t>Not started</t>
        </is>
      </c>
      <c r="J1563" s="13" t="n"/>
      <c r="K1563" s="10" t="inlineStr"/>
      <c r="L1563" s="14" t="inlineStr">
        <is>
          <t>▶ watch</t>
        </is>
      </c>
      <c r="M1563" s="10" t="inlineStr"/>
      <c r="N1563" s="11" t="inlineStr"/>
      <c r="O1563" s="11" t="inlineStr">
        <is>
          <t>course lecture - no single paper</t>
        </is>
      </c>
      <c r="P1563" s="10" t="inlineStr"/>
    </row>
    <row r="1564">
      <c r="A1564" s="17" t="n">
        <v>1563</v>
      </c>
      <c r="B1564" s="17" t="inlineStr">
        <is>
          <t>Part III - Upstream AI Research</t>
        </is>
      </c>
      <c r="C1564" s="18" t="inlineStr">
        <is>
          <t>6. 3D vision and geometry - directly transferable to molecular structure</t>
        </is>
      </c>
      <c r="D1564" s="10" t="inlineStr">
        <is>
          <t>RAFT/DROID-SLAM author on embedding classical optimization structure inside networks - the best available argument for architecture-as-algorithm</t>
        </is>
      </c>
      <c r="E1564" s="10" t="inlineStr">
        <is>
          <t>Zachary Teed - Optimization Inspired Neural Networks for Multiview 3D</t>
        </is>
      </c>
      <c r="F1564" s="11" t="inlineStr">
        <is>
          <t>58:51</t>
        </is>
      </c>
      <c r="G1564" s="11" t="n">
        <v>0.98</v>
      </c>
      <c r="H1564" s="12" t="inlineStr">
        <is>
          <t>★</t>
        </is>
      </c>
      <c r="I1564" s="11" t="inlineStr">
        <is>
          <t>Not started</t>
        </is>
      </c>
      <c r="J1564" s="13" t="n"/>
      <c r="K1564" s="10" t="inlineStr"/>
      <c r="L1564" s="14" t="inlineStr">
        <is>
          <t>▶ watch</t>
        </is>
      </c>
      <c r="M1564" s="10" t="inlineStr"/>
      <c r="N1564" s="11" t="inlineStr"/>
      <c r="O1564" s="11" t="inlineStr">
        <is>
          <t>course lecture - no single paper</t>
        </is>
      </c>
      <c r="P1564" s="10" t="inlineStr"/>
    </row>
    <row r="1565">
      <c r="A1565" s="17" t="n">
        <v>1564</v>
      </c>
      <c r="B1565" s="17" t="inlineStr">
        <is>
          <t>Part III - Upstream AI Research</t>
        </is>
      </c>
      <c r="C1565" s="18" t="inlineStr">
        <is>
          <t>6. 3D vision and geometry - directly transferable to molecular structure</t>
        </is>
      </c>
      <c r="D1565" s="10" t="inlineStr">
        <is>
          <t>The rigorous treatment of differentiating through a physical forward model - the exact problem structure of differentiable cryo-EM / scattering simulation</t>
        </is>
      </c>
      <c r="E1565" s="10" t="inlineStr">
        <is>
          <t>Physics-based differentiable rendering (CVPR 2021 tutorial</t>
        </is>
      </c>
      <c r="F1565" s="11" t="inlineStr">
        <is>
          <t>3:10:42</t>
        </is>
      </c>
      <c r="G1565" s="11" t="n">
        <v>3.18</v>
      </c>
      <c r="H1565" s="12" t="inlineStr">
        <is>
          <t>★</t>
        </is>
      </c>
      <c r="I1565" s="11" t="inlineStr">
        <is>
          <t>Not started</t>
        </is>
      </c>
      <c r="J1565" s="13" t="n"/>
      <c r="K1565" s="10" t="inlineStr"/>
      <c r="L1565" s="14" t="inlineStr">
        <is>
          <t>▶ watch</t>
        </is>
      </c>
      <c r="M1565" s="10" t="inlineStr"/>
      <c r="N1565" s="11" t="inlineStr"/>
      <c r="O1565" s="11" t="inlineStr">
        <is>
          <t>course lecture - no single paper</t>
        </is>
      </c>
      <c r="P1565" s="10" t="inlineStr"/>
    </row>
    <row r="1566">
      <c r="A1566" s="17" t="n">
        <v>1565</v>
      </c>
      <c r="B1566" s="17" t="inlineStr">
        <is>
          <t>Part III - Upstream AI Research</t>
        </is>
      </c>
      <c r="C1566" s="18" t="inlineStr">
        <is>
          <t>6. 3D vision and geometry - directly transferable to molecular structure</t>
        </is>
      </c>
      <c r="D1566" s="10" t="inlineStr">
        <is>
          <t>Full tutorial on the analysis-by-synthesis paradigm that unified graphics and vision</t>
        </is>
      </c>
      <c r="E1566" s="10" t="inlineStr">
        <is>
          <t>Neural Rendering (CVPR 2020) - Afternoon Session</t>
        </is>
      </c>
      <c r="F1566" s="11" t="inlineStr">
        <is>
          <t>3:00:01</t>
        </is>
      </c>
      <c r="G1566" s="11" t="n">
        <v>3</v>
      </c>
      <c r="H1566" s="12" t="inlineStr"/>
      <c r="I1566" s="11" t="inlineStr">
        <is>
          <t>Not started</t>
        </is>
      </c>
      <c r="J1566" s="13" t="n"/>
      <c r="K1566" s="10" t="inlineStr"/>
      <c r="L1566" s="14" t="inlineStr">
        <is>
          <t>▶ watch</t>
        </is>
      </c>
      <c r="M1566" s="10" t="inlineStr"/>
      <c r="N1566" s="11" t="inlineStr"/>
      <c r="O1566" s="11" t="inlineStr">
        <is>
          <t>course lecture - no single paper</t>
        </is>
      </c>
      <c r="P1566" s="10" t="inlineStr"/>
    </row>
    <row r="1567">
      <c r="A1567" s="17" t="n">
        <v>1566</v>
      </c>
      <c r="B1567" s="17" t="inlineStr">
        <is>
          <t>Part III - Upstream AI Research</t>
        </is>
      </c>
      <c r="C1567" s="18" t="inlineStr">
        <is>
          <t>6. 3D vision and geometry - directly transferable to molecular structure</t>
        </is>
      </c>
      <c r="D1567" s="10" t="inlineStr">
        <is>
          <t>Recasts neural fields as MAP inference - a probabilistic framing that generalizes cleanly to scientific inverse problems</t>
        </is>
      </c>
      <c r="E1567" s="10" t="inlineStr">
        <is>
          <t>GCV @ CVPR23] Andrea Tagliasacchi - Neural fields for 3D Vision (a MAP perspective</t>
        </is>
      </c>
      <c r="F1567" s="11" t="inlineStr">
        <is>
          <t>30:05</t>
        </is>
      </c>
      <c r="G1567" s="11" t="n">
        <v>0.5</v>
      </c>
      <c r="H1567" s="12" t="inlineStr">
        <is>
          <t>★</t>
        </is>
      </c>
      <c r="I1567" s="11" t="inlineStr">
        <is>
          <t>Not started</t>
        </is>
      </c>
      <c r="J1567" s="13" t="n"/>
      <c r="K1567" s="10" t="inlineStr"/>
      <c r="L1567" s="14" t="inlineStr">
        <is>
          <t>▶ watch</t>
        </is>
      </c>
      <c r="M1567" s="10" t="inlineStr"/>
      <c r="N1567" s="11" t="inlineStr"/>
      <c r="O1567" s="11" t="inlineStr">
        <is>
          <t>course lecture - no single paper</t>
        </is>
      </c>
      <c r="P1567" s="10" t="inlineStr"/>
    </row>
    <row r="1568">
      <c r="A1568" s="17" t="n">
        <v>1567</v>
      </c>
      <c r="B1568" s="17" t="inlineStr">
        <is>
          <t>Part III - Upstream AI Research</t>
        </is>
      </c>
      <c r="C1568" s="18" t="inlineStr">
        <is>
          <t>6. 3D vision and geometry - directly transferable to molecular structure</t>
        </is>
      </c>
      <c r="D1568" s="10" t="inlineStr">
        <is>
          <t>GCV @ CVPR 2026] Georgia Gkioxari - Beyond Image and Language: Building 3D Perception Systems</t>
        </is>
      </c>
      <c r="E1568" s="10" t="inlineStr">
        <is>
          <t>Georgia Gkioxari (Caltech</t>
        </is>
      </c>
      <c r="F1568" s="11" t="inlineStr">
        <is>
          <t>33:01</t>
        </is>
      </c>
      <c r="G1568" s="11" t="n">
        <v>0.55</v>
      </c>
      <c r="H1568" s="12" t="inlineStr">
        <is>
          <t>★</t>
        </is>
      </c>
      <c r="I1568" s="11" t="inlineStr">
        <is>
          <t>Not started</t>
        </is>
      </c>
      <c r="J1568" s="13" t="n"/>
      <c r="K1568" s="10" t="inlineStr"/>
      <c r="L1568" s="14" t="inlineStr">
        <is>
          <t>▶ watch</t>
        </is>
      </c>
      <c r="M1568" s="10" t="inlineStr"/>
      <c r="N1568" s="11" t="inlineStr"/>
      <c r="O1568" s="11" t="inlineStr">
        <is>
          <t>course lecture - no single paper</t>
        </is>
      </c>
      <c r="P1568" s="10" t="inlineStr"/>
    </row>
    <row r="1569">
      <c r="A1569" s="17" t="n">
        <v>1568</v>
      </c>
      <c r="B1569" s="17" t="inlineStr">
        <is>
          <t>Part III - Upstream AI Research</t>
        </is>
      </c>
      <c r="C1569" s="18" t="inlineStr">
        <is>
          <t>6. 3D vision and geometry - directly transferable to molecular structure</t>
        </is>
      </c>
      <c r="D1569" s="10" t="inlineStr">
        <is>
          <t>Current honest assessment of where feed-forward reconstruction actually stands</t>
        </is>
      </c>
      <c r="E1569" s="10" t="inlineStr">
        <is>
          <t>Andreas Geiger: Is 3D Reconstruction ready for the Physical World? (ECCV 2026</t>
        </is>
      </c>
      <c r="F1569" s="11" t="inlineStr">
        <is>
          <t>24:46</t>
        </is>
      </c>
      <c r="G1569" s="11" t="n">
        <v>0.41</v>
      </c>
      <c r="H1569" s="12" t="inlineStr">
        <is>
          <t>★</t>
        </is>
      </c>
      <c r="I1569" s="11" t="inlineStr">
        <is>
          <t>Not started</t>
        </is>
      </c>
      <c r="J1569" s="13" t="n"/>
      <c r="K1569" s="10" t="inlineStr"/>
      <c r="L1569" s="14" t="inlineStr">
        <is>
          <t>▶ watch</t>
        </is>
      </c>
      <c r="M1569" s="10" t="inlineStr"/>
      <c r="N1569" s="11" t="inlineStr"/>
      <c r="O1569" s="11" t="inlineStr">
        <is>
          <t>course lecture - no single paper</t>
        </is>
      </c>
      <c r="P1569" s="10" t="inlineStr"/>
    </row>
    <row r="1570">
      <c r="A1570" s="17" t="n">
        <v>1569</v>
      </c>
      <c r="B1570" s="17" t="inlineStr">
        <is>
          <t>Part III - Upstream AI Research</t>
        </is>
      </c>
      <c r="C1570" s="18" t="inlineStr">
        <is>
          <t>6. 3D vision and geometry - directly transferable to molecular structure</t>
        </is>
      </c>
      <c r="D1570" s="10" t="inlineStr">
        <is>
          <t>The generation/reconstruction convergence, stated by one of the field's most careful methodologists</t>
        </is>
      </c>
      <c r="E1570" s="10" t="inlineStr">
        <is>
          <t>Andreas Geiger: Opening the Black Box of Generation and Reconstruction (ECCV 2026</t>
        </is>
      </c>
      <c r="F1570" s="11" t="inlineStr">
        <is>
          <t>26:00</t>
        </is>
      </c>
      <c r="G1570" s="11" t="n">
        <v>0.43</v>
      </c>
      <c r="H1570" s="12" t="inlineStr">
        <is>
          <t>★</t>
        </is>
      </c>
      <c r="I1570" s="11" t="inlineStr">
        <is>
          <t>Not started</t>
        </is>
      </c>
      <c r="J1570" s="13" t="n"/>
      <c r="K1570" s="10" t="inlineStr"/>
      <c r="L1570" s="14" t="inlineStr">
        <is>
          <t>▶ watch</t>
        </is>
      </c>
      <c r="M1570" s="10" t="inlineStr"/>
      <c r="N1570" s="11" t="inlineStr"/>
      <c r="O1570" s="11" t="inlineStr">
        <is>
          <t>course lecture - no single paper</t>
        </is>
      </c>
      <c r="P1570" s="10" t="inlineStr"/>
    </row>
    <row r="1571">
      <c r="A1571" s="17" t="n">
        <v>1570</v>
      </c>
      <c r="B1571" s="17" t="inlineStr">
        <is>
          <t>Part III - Upstream AI Research</t>
        </is>
      </c>
      <c r="C1571" s="18" t="inlineStr">
        <is>
          <t>7. Research seminars, keynotes, and research taste</t>
        </is>
      </c>
      <c r="D1571" s="10" t="inlineStr">
        <is>
          <t>The best talk on research taste in computer vision, full stop. 98 minutes of "the model is not the contribution, the data is" - with the historical receipts</t>
        </is>
      </c>
      <c r="E1571" s="10" t="inlineStr">
        <is>
          <t>We are (still!) not giving Data enough credit - Keynote at ACVSS 24</t>
        </is>
      </c>
      <c r="F1571" s="11" t="inlineStr">
        <is>
          <t>1:38:21</t>
        </is>
      </c>
      <c r="G1571" s="11" t="n">
        <v>1.64</v>
      </c>
      <c r="H1571" s="12" t="inlineStr">
        <is>
          <t>★</t>
        </is>
      </c>
      <c r="I1571" s="11" t="inlineStr">
        <is>
          <t>Not started</t>
        </is>
      </c>
      <c r="J1571" s="13" t="n"/>
      <c r="K1571" s="10" t="inlineStr"/>
      <c r="L1571" s="14" t="inlineStr">
        <is>
          <t>▶ watch</t>
        </is>
      </c>
      <c r="M1571" s="10" t="inlineStr"/>
      <c r="N1571" s="11" t="inlineStr"/>
      <c r="O1571" s="11" t="inlineStr">
        <is>
          <t>course lecture - no single paper</t>
        </is>
      </c>
      <c r="P1571" s="10" t="inlineStr"/>
    </row>
    <row r="1572">
      <c r="A1572" s="17" t="n">
        <v>1571</v>
      </c>
      <c r="B1572" s="17" t="inlineStr">
        <is>
          <t>Part III - Upstream AI Research</t>
        </is>
      </c>
      <c r="C1572" s="18" t="inlineStr">
        <is>
          <t>7. Research seminars, keynotes, and research taste</t>
        </is>
      </c>
      <c r="D1572" s="10" t="inlineStr">
        <is>
          <t>Same thesis, delivered to a theory audience - forces the argument to be made more precisely</t>
        </is>
      </c>
      <c r="E1572" s="10" t="inlineStr">
        <is>
          <t>Computer Vision after the Victory of Data</t>
        </is>
      </c>
      <c r="F1572" s="11" t="inlineStr">
        <is>
          <t>1:18:06</t>
        </is>
      </c>
      <c r="G1572" s="11" t="n">
        <v>1.3</v>
      </c>
      <c r="H1572" s="12" t="inlineStr">
        <is>
          <t>★</t>
        </is>
      </c>
      <c r="I1572" s="11" t="inlineStr">
        <is>
          <t>Not started</t>
        </is>
      </c>
      <c r="J1572" s="13" t="n"/>
      <c r="K1572" s="10" t="inlineStr"/>
      <c r="L1572" s="14" t="inlineStr">
        <is>
          <t>▶ watch</t>
        </is>
      </c>
      <c r="M1572" s="10" t="inlineStr"/>
      <c r="N1572" s="11" t="inlineStr"/>
      <c r="O1572" s="11" t="inlineStr">
        <is>
          <t>course lecture - no single paper</t>
        </is>
      </c>
      <c r="P1572" s="10" t="inlineStr"/>
    </row>
    <row r="1573">
      <c r="A1573" s="17" t="n">
        <v>1572</v>
      </c>
      <c r="B1573" s="17" t="inlineStr">
        <is>
          <t>Part III - Upstream AI Research</t>
        </is>
      </c>
      <c r="C1573" s="18" t="inlineStr">
        <is>
          <t>7. Research seminars, keynotes, and research taste</t>
        </is>
      </c>
      <c r="D1573" s="10" t="inlineStr">
        <is>
          <t>Doersch, Gupta, Efros, Unsupervised Visual Representation Learning by Context Prediction, ICCV 2015</t>
        </is>
      </c>
      <c r="E1573" s="10" t="inlineStr">
        <is>
          <t>Self Supervision for Learning from the Bottom Up - Invited Talk, ICLR 2021</t>
        </is>
      </c>
      <c r="F1573" s="11" t="inlineStr">
        <is>
          <t>1:01:11</t>
        </is>
      </c>
      <c r="G1573" s="11" t="n">
        <v>1.02</v>
      </c>
      <c r="H1573" s="12" t="inlineStr">
        <is>
          <t>★</t>
        </is>
      </c>
      <c r="I1573" s="11" t="inlineStr">
        <is>
          <t>Not started</t>
        </is>
      </c>
      <c r="J1573" s="13" t="n"/>
      <c r="K1573" s="10" t="inlineStr"/>
      <c r="L1573" s="14" t="inlineStr">
        <is>
          <t>▶ watch</t>
        </is>
      </c>
      <c r="M1573" s="10" t="inlineStr"/>
      <c r="N1573" s="11" t="inlineStr"/>
      <c r="O1573" s="11" t="inlineStr">
        <is>
          <t>course lecture - no single paper</t>
        </is>
      </c>
      <c r="P1573" s="10" t="inlineStr"/>
    </row>
    <row r="1574">
      <c r="A1574" s="17" t="n">
        <v>1573</v>
      </c>
      <c r="B1574" s="17" t="inlineStr">
        <is>
          <t>Part III - Upstream AI Research</t>
        </is>
      </c>
      <c r="C1574" s="18" t="inlineStr">
        <is>
          <t>7. Research seminars, keynotes, and research taste</t>
        </is>
      </c>
      <c r="D1574" s="10" t="inlineStr">
        <is>
          <t>The extended version with a long Q&amp;A - the Q&amp;A is where the research-strategy advice is</t>
        </is>
      </c>
      <c r="E1574" s="10" t="inlineStr">
        <is>
          <t>Alexei Efros: In the end, it's all about the Data</t>
        </is>
      </c>
      <c r="F1574" s="11" t="inlineStr">
        <is>
          <t>1:27:31</t>
        </is>
      </c>
      <c r="G1574" s="11" t="n">
        <v>1.46</v>
      </c>
      <c r="H1574" s="12" t="inlineStr">
        <is>
          <t>★</t>
        </is>
      </c>
      <c r="I1574" s="11" t="inlineStr">
        <is>
          <t>Not started</t>
        </is>
      </c>
      <c r="J1574" s="13" t="n"/>
      <c r="K1574" s="10" t="inlineStr"/>
      <c r="L1574" s="14" t="inlineStr">
        <is>
          <t>▶ watch</t>
        </is>
      </c>
      <c r="M1574" s="10" t="inlineStr"/>
      <c r="N1574" s="11" t="inlineStr"/>
      <c r="O1574" s="11" t="inlineStr">
        <is>
          <t>course lecture - no single paper</t>
        </is>
      </c>
      <c r="P1574" s="10" t="inlineStr"/>
    </row>
    <row r="1575">
      <c r="A1575" s="17" t="n">
        <v>1574</v>
      </c>
      <c r="B1575" s="17" t="inlineStr">
        <is>
          <t>Part III - Upstream AI Research</t>
        </is>
      </c>
      <c r="C1575" s="18" t="inlineStr">
        <is>
          <t>7. Research seminars, keynotes, and research taste</t>
        </is>
      </c>
      <c r="D1575" s="10" t="inlineStr">
        <is>
          <t>Ties self-supervision and synthesis together as one problem - the thread that leads to today's generative pretraining</t>
        </is>
      </c>
      <c r="E1575" s="10" t="inlineStr">
        <is>
          <t>Alexei Efros - Lecture: "Self-Supervised Visual Learning and Synthesis"</t>
        </is>
      </c>
      <c r="F1575" s="11" t="inlineStr">
        <is>
          <t>51:29</t>
        </is>
      </c>
      <c r="G1575" s="11" t="n">
        <v>0.86</v>
      </c>
      <c r="H1575" s="12" t="inlineStr">
        <is>
          <t>★</t>
        </is>
      </c>
      <c r="I1575" s="11" t="inlineStr">
        <is>
          <t>Not started</t>
        </is>
      </c>
      <c r="J1575" s="13" t="n"/>
      <c r="K1575" s="10" t="inlineStr"/>
      <c r="L1575" s="14" t="inlineStr">
        <is>
          <t>▶ watch</t>
        </is>
      </c>
      <c r="M1575" s="10" t="inlineStr"/>
      <c r="N1575" s="11" t="inlineStr"/>
      <c r="O1575" s="11" t="inlineStr">
        <is>
          <t>course lecture - no single paper</t>
        </is>
      </c>
      <c r="P1575" s="10" t="inlineStr"/>
    </row>
    <row r="1576">
      <c r="A1576" s="17" t="n">
        <v>1575</v>
      </c>
      <c r="B1576" s="17" t="inlineStr">
        <is>
          <t>Part III - Upstream AI Research</t>
        </is>
      </c>
      <c r="C1576" s="18" t="inlineStr">
        <is>
          <t>7. Research seminars, keynotes, and research taste</t>
        </is>
      </c>
      <c r="D1576" s="10" t="inlineStr">
        <is>
          <t>An explicit list of open problems from the field's most senior figure. This is how to choose a dissertation topic</t>
        </is>
      </c>
      <c r="E1576" s="10" t="inlineStr">
        <is>
          <t>Jitendra Malik - The Hilbert Problems of Computer Vision</t>
        </is>
      </c>
      <c r="F1576" s="11" t="inlineStr">
        <is>
          <t>40:45</t>
        </is>
      </c>
      <c r="G1576" s="11" t="n">
        <v>0.68</v>
      </c>
      <c r="H1576" s="12" t="inlineStr">
        <is>
          <t>★</t>
        </is>
      </c>
      <c r="I1576" s="11" t="inlineStr">
        <is>
          <t>Not started</t>
        </is>
      </c>
      <c r="J1576" s="13" t="n"/>
      <c r="K1576" s="10" t="inlineStr"/>
      <c r="L1576" s="14" t="inlineStr">
        <is>
          <t>▶ watch</t>
        </is>
      </c>
      <c r="M1576" s="10" t="inlineStr"/>
      <c r="N1576" s="11" t="inlineStr"/>
      <c r="O1576" s="11" t="inlineStr">
        <is>
          <t>course lecture - no single paper</t>
        </is>
      </c>
      <c r="P1576" s="10" t="inlineStr"/>
    </row>
    <row r="1577">
      <c r="A1577" s="17" t="n">
        <v>1576</v>
      </c>
      <c r="B1577" s="17" t="inlineStr">
        <is>
          <t>Part III - Upstream AI Research</t>
        </is>
      </c>
      <c r="C1577" s="18" t="inlineStr">
        <is>
          <t>7. Research seminars, keynotes, and research taste</t>
        </is>
      </c>
      <c r="D1577" s="10" t="inlineStr">
        <is>
          <t>Malik's current position: perception is not separable from action</t>
        </is>
      </c>
      <c r="E1577" s="10" t="inlineStr">
        <is>
          <t>Jitendra Malik: Vision and Robotics for Embodied AI</t>
        </is>
      </c>
      <c r="F1577" s="11" t="inlineStr">
        <is>
          <t>50:45</t>
        </is>
      </c>
      <c r="G1577" s="11" t="n">
        <v>0.85</v>
      </c>
      <c r="H1577" s="12" t="inlineStr">
        <is>
          <t>★</t>
        </is>
      </c>
      <c r="I1577" s="11" t="inlineStr">
        <is>
          <t>Not started</t>
        </is>
      </c>
      <c r="J1577" s="13" t="n"/>
      <c r="K1577" s="10" t="inlineStr"/>
      <c r="L1577" s="14" t="inlineStr">
        <is>
          <t>▶ watch</t>
        </is>
      </c>
      <c r="M1577" s="10" t="inlineStr"/>
      <c r="N1577" s="11" t="inlineStr"/>
      <c r="O1577" s="11" t="inlineStr">
        <is>
          <t>course lecture - no single paper</t>
        </is>
      </c>
      <c r="P1577" s="10" t="inlineStr"/>
    </row>
    <row r="1578">
      <c r="A1578" s="17" t="n">
        <v>1577</v>
      </c>
      <c r="B1578" s="17" t="inlineStr">
        <is>
          <t>Part III - Upstream AI Research</t>
        </is>
      </c>
      <c r="C1578" s="18" t="inlineStr">
        <is>
          <t>7. Research seminars, keynotes, and research taste</t>
        </is>
      </c>
      <c r="D1578" s="10" t="inlineStr">
        <is>
          <t>Developmental-learning framing of representation acquisition - a genuinely different source of research hypotheses</t>
        </is>
      </c>
      <c r="E1578" s="10" t="inlineStr">
        <is>
          <t>RI Seminar: Jitendra Malik - Robot Learning, With Inspiration From Child Development</t>
        </is>
      </c>
      <c r="F1578" s="11" t="inlineStr">
        <is>
          <t>1:07:14</t>
        </is>
      </c>
      <c r="G1578" s="11" t="n">
        <v>1.12</v>
      </c>
      <c r="H1578" s="12" t="inlineStr">
        <is>
          <t>★</t>
        </is>
      </c>
      <c r="I1578" s="11" t="inlineStr">
        <is>
          <t>Not started</t>
        </is>
      </c>
      <c r="J1578" s="13" t="n"/>
      <c r="K1578" s="10" t="inlineStr"/>
      <c r="L1578" s="14" t="inlineStr">
        <is>
          <t>▶ watch</t>
        </is>
      </c>
      <c r="M1578" s="10" t="inlineStr"/>
      <c r="N1578" s="11" t="inlineStr"/>
      <c r="O1578" s="11" t="inlineStr">
        <is>
          <t>course lecture - no single paper</t>
        </is>
      </c>
      <c r="P1578" s="10" t="inlineStr"/>
    </row>
    <row r="1579">
      <c r="A1579" s="17" t="n">
        <v>1578</v>
      </c>
      <c r="B1579" s="17" t="inlineStr">
        <is>
          <t>Part III - Upstream AI Research</t>
        </is>
      </c>
      <c r="C1579" s="18" t="inlineStr">
        <is>
          <t>7. Research seminars, keynotes, and research taste</t>
        </is>
      </c>
      <c r="D1579" s="10" t="inlineStr">
        <is>
          <t>Compositionality as the unsolved problem - directly relevant to anyone working on structured/molecular domains</t>
        </is>
      </c>
      <c r="E1579" s="10" t="inlineStr">
        <is>
          <t>What next in Computer Vision + Compositionality in Tasks</t>
        </is>
      </c>
      <c r="F1579" s="11" t="inlineStr">
        <is>
          <t>59:55</t>
        </is>
      </c>
      <c r="G1579" s="11" t="n">
        <v>1</v>
      </c>
      <c r="H1579" s="12" t="inlineStr">
        <is>
          <t>★</t>
        </is>
      </c>
      <c r="I1579" s="11" t="inlineStr">
        <is>
          <t>Not started</t>
        </is>
      </c>
      <c r="J1579" s="13" t="n"/>
      <c r="K1579" s="10" t="inlineStr"/>
      <c r="L1579" s="14" t="inlineStr">
        <is>
          <t>▶ watch</t>
        </is>
      </c>
      <c r="M1579" s="10" t="inlineStr"/>
      <c r="N1579" s="11" t="inlineStr"/>
      <c r="O1579" s="11" t="inlineStr">
        <is>
          <t>course lecture - no single paper</t>
        </is>
      </c>
      <c r="P1579" s="10" t="inlineStr"/>
    </row>
    <row r="1580">
      <c r="A1580" s="17" t="n">
        <v>1579</v>
      </c>
      <c r="B1580" s="17" t="inlineStr">
        <is>
          <t>Part III - Upstream AI Research</t>
        </is>
      </c>
      <c r="C1580" s="18" t="inlineStr">
        <is>
          <t>7. Research seminars, keynotes, and research taste</t>
        </is>
      </c>
      <c r="D1580" s="10" t="inlineStr">
        <is>
          <t>Freeman at his best: an apparently absurd problem (use the moon as a lens), solved with careful physics and inverse modeling. A masterclass in problem selection</t>
        </is>
      </c>
      <c r="E1580" s="10" t="inlineStr">
        <is>
          <t>TUM AI Lecture Series - The Moon Camera</t>
        </is>
      </c>
      <c r="F1580" s="11" t="inlineStr">
        <is>
          <t>1:04:45</t>
        </is>
      </c>
      <c r="G1580" s="11" t="n">
        <v>1.08</v>
      </c>
      <c r="H1580" s="12" t="inlineStr">
        <is>
          <t>★</t>
        </is>
      </c>
      <c r="I1580" s="11" t="inlineStr">
        <is>
          <t>Not started</t>
        </is>
      </c>
      <c r="J1580" s="13" t="n"/>
      <c r="K1580" s="10" t="inlineStr"/>
      <c r="L1580" s="14" t="inlineStr">
        <is>
          <t>▶ watch</t>
        </is>
      </c>
      <c r="M1580" s="10" t="inlineStr"/>
      <c r="N1580" s="11" t="inlineStr"/>
      <c r="O1580" s="11" t="inlineStr">
        <is>
          <t>course lecture - no single paper</t>
        </is>
      </c>
      <c r="P1580" s="10" t="inlineStr"/>
    </row>
    <row r="1581">
      <c r="A1581" s="17" t="n">
        <v>1580</v>
      </c>
      <c r="B1581" s="17" t="inlineStr">
        <is>
          <t>Part III - Upstream AI Research</t>
        </is>
      </c>
      <c r="C1581" s="18" t="inlineStr">
        <is>
          <t>7. Research seminars, keynotes, and research taste</t>
        </is>
      </c>
      <c r="D1581" s="10" t="inlineStr">
        <is>
          <t>Bill Freeman (MIT), Hariri Institute, Boston University</t>
        </is>
      </c>
      <c r="E1581" s="10" t="inlineStr">
        <is>
          <t>AIR Distinguished Speaker - Bill Freeman</t>
        </is>
      </c>
      <c r="F1581" s="11" t="inlineStr">
        <is>
          <t>44:34</t>
        </is>
      </c>
      <c r="G1581" s="11" t="n">
        <v>0.74</v>
      </c>
      <c r="H1581" s="12" t="inlineStr">
        <is>
          <t>★</t>
        </is>
      </c>
      <c r="I1581" s="11" t="inlineStr">
        <is>
          <t>Not started</t>
        </is>
      </c>
      <c r="J1581" s="13" t="n"/>
      <c r="K1581" s="10" t="inlineStr"/>
      <c r="L1581" s="14" t="inlineStr">
        <is>
          <t>▶ watch</t>
        </is>
      </c>
      <c r="M1581" s="10" t="inlineStr"/>
      <c r="N1581" s="11" t="inlineStr"/>
      <c r="O1581" s="11" t="inlineStr">
        <is>
          <t>course lecture - no single paper</t>
        </is>
      </c>
      <c r="P1581" s="10" t="inlineStr"/>
    </row>
    <row r="1582">
      <c r="A1582" s="17" t="n">
        <v>1581</v>
      </c>
      <c r="B1582" s="17" t="inlineStr">
        <is>
          <t>Part III - Upstream AI Research</t>
        </is>
      </c>
      <c r="C1582" s="18" t="inlineStr">
        <is>
          <t>7. Research seminars, keynotes, and research taste</t>
        </is>
      </c>
      <c r="D1582" s="10" t="inlineStr">
        <is>
          <t>Owens et al., Ambient Sound Provides Supervision, ECCV 2016; Visually Indicated Sounds, CVPR 2016</t>
        </is>
      </c>
      <c r="E1582" s="10" t="inlineStr">
        <is>
          <t>LMSS @ Cornell Tech: Bill Freeman - Learning from Sight and Sound</t>
        </is>
      </c>
      <c r="F1582" s="11" t="inlineStr">
        <is>
          <t>55:33</t>
        </is>
      </c>
      <c r="G1582" s="11" t="n">
        <v>0.93</v>
      </c>
      <c r="H1582" s="12" t="inlineStr">
        <is>
          <t>★</t>
        </is>
      </c>
      <c r="I1582" s="11" t="inlineStr">
        <is>
          <t>Not started</t>
        </is>
      </c>
      <c r="J1582" s="13" t="n"/>
      <c r="K1582" s="10" t="inlineStr"/>
      <c r="L1582" s="14" t="inlineStr">
        <is>
          <t>▶ watch</t>
        </is>
      </c>
      <c r="M1582" s="10" t="inlineStr"/>
      <c r="N1582" s="11" t="inlineStr"/>
      <c r="O1582" s="11" t="inlineStr">
        <is>
          <t>course lecture - no single paper</t>
        </is>
      </c>
      <c r="P1582" s="10" t="inlineStr"/>
    </row>
    <row r="1583">
      <c r="A1583" s="17" t="n">
        <v>1582</v>
      </c>
      <c r="B1583" s="17" t="inlineStr">
        <is>
          <t>Part III - Upstream AI Research</t>
        </is>
      </c>
      <c r="C1583" s="18" t="inlineStr">
        <is>
          <t>7. Research seminars, keynotes, and research taste</t>
        </is>
      </c>
      <c r="D1583" s="10" t="inlineStr">
        <is>
          <t>The claim that models trained on different modalities converge to the same representation. One of the few genuinely new ideas (as opposed to results) in recent vision</t>
        </is>
      </c>
      <c r="E1583" s="10" t="inlineStr">
        <is>
          <t>The Platonic Representation Hypothesis</t>
        </is>
      </c>
      <c r="F1583" s="11" t="inlineStr">
        <is>
          <t>1:09:11</t>
        </is>
      </c>
      <c r="G1583" s="11" t="n">
        <v>1.15</v>
      </c>
      <c r="H1583" s="12" t="inlineStr">
        <is>
          <t>★</t>
        </is>
      </c>
      <c r="I1583" s="11" t="inlineStr">
        <is>
          <t>Not started</t>
        </is>
      </c>
      <c r="J1583" s="13" t="n"/>
      <c r="K1583" s="10" t="inlineStr"/>
      <c r="L1583" s="14" t="inlineStr">
        <is>
          <t>▶ watch</t>
        </is>
      </c>
      <c r="M1583" s="10" t="inlineStr"/>
      <c r="N1583" s="11" t="inlineStr"/>
      <c r="O1583" s="11" t="inlineStr">
        <is>
          <t>course lecture - no single paper</t>
        </is>
      </c>
      <c r="P1583" s="10" t="inlineStr"/>
    </row>
    <row r="1584">
      <c r="A1584" s="17" t="n">
        <v>1583</v>
      </c>
      <c r="B1584" s="17" t="inlineStr">
        <is>
          <t>Part III - Upstream AI Research</t>
        </is>
      </c>
      <c r="C1584" s="18" t="inlineStr">
        <is>
          <t>7. Research seminars, keynotes, and research taste</t>
        </is>
      </c>
      <c r="D1584" s="10" t="inlineStr">
        <is>
          <t>A career-retrospective lecture - ResNet's origin story and the reasoning behind each subsequent bet</t>
        </is>
      </c>
      <c r="E1584" s="10" t="inlineStr">
        <is>
          <t>Dr Kaiming He - 2023 Future Science Prize Laureates Lecture</t>
        </is>
      </c>
      <c r="F1584" s="11" t="inlineStr">
        <is>
          <t>1:15:51</t>
        </is>
      </c>
      <c r="G1584" s="11" t="n">
        <v>1.26</v>
      </c>
      <c r="H1584" s="12" t="inlineStr">
        <is>
          <t>★</t>
        </is>
      </c>
      <c r="I1584" s="11" t="inlineStr">
        <is>
          <t>Not started</t>
        </is>
      </c>
      <c r="J1584" s="13" t="n"/>
      <c r="K1584" s="10" t="inlineStr"/>
      <c r="L1584" s="14" t="inlineStr">
        <is>
          <t>▶ watch</t>
        </is>
      </c>
      <c r="M1584" s="10" t="inlineStr"/>
      <c r="N1584" s="11" t="inlineStr"/>
      <c r="O1584" s="11" t="inlineStr">
        <is>
          <t>course lecture - no single paper</t>
        </is>
      </c>
      <c r="P1584" s="10" t="inlineStr"/>
    </row>
    <row r="1585">
      <c r="A1585" s="17" t="n">
        <v>1584</v>
      </c>
      <c r="B1585" s="17" t="inlineStr">
        <is>
          <t>Part III - Upstream AI Research</t>
        </is>
      </c>
      <c r="C1585" s="18" t="inlineStr">
        <is>
          <t>7. Research seminars, keynotes, and research taste</t>
        </is>
      </c>
      <c r="D1585" s="10" t="inlineStr">
        <is>
          <t>A senior vision theorist's structured critique of current VLMs - useful as a source of falsifiable research claims</t>
        </is>
      </c>
      <c r="E1585" s="10" t="inlineStr">
        <is>
          <t>GCV @ CVPR 2026] Alan Yuille - Vision Language Models need 3D</t>
        </is>
      </c>
      <c r="F1585" s="11" t="inlineStr">
        <is>
          <t>38:23</t>
        </is>
      </c>
      <c r="G1585" s="11" t="n">
        <v>0.64</v>
      </c>
      <c r="H1585" s="12" t="inlineStr">
        <is>
          <t>★</t>
        </is>
      </c>
      <c r="I1585" s="11" t="inlineStr">
        <is>
          <t>Not started</t>
        </is>
      </c>
      <c r="J1585" s="13" t="n"/>
      <c r="K1585" s="10" t="inlineStr"/>
      <c r="L1585" s="14" t="inlineStr">
        <is>
          <t>▶ watch</t>
        </is>
      </c>
      <c r="M1585" s="10" t="inlineStr"/>
      <c r="N1585" s="11" t="inlineStr"/>
      <c r="O1585" s="11" t="inlineStr">
        <is>
          <t>course lecture - no single paper</t>
        </is>
      </c>
      <c r="P1585" s="10" t="inlineStr"/>
    </row>
    <row r="1586">
      <c r="A1586" s="17" t="n">
        <v>1585</v>
      </c>
      <c r="B1586" s="17" t="inlineStr">
        <is>
          <t>Part III - Upstream AI Research</t>
        </is>
      </c>
      <c r="C1586" s="18" t="inlineStr">
        <is>
          <t>8a. Stanford CS231n - Deep Learning for Computer Vision, Spring 2025 (18 lectures, Stanford Online</t>
        </is>
      </c>
      <c r="D1586" s="10" t="inlineStr">
        <is>
          <t>Introduction</t>
        </is>
      </c>
      <c r="E1586" s="10" t="inlineStr"/>
      <c r="F1586" s="11" t="inlineStr">
        <is>
          <t>1:02:53</t>
        </is>
      </c>
      <c r="G1586" s="11" t="n">
        <v>1.05</v>
      </c>
      <c r="H1586" s="12" t="inlineStr"/>
      <c r="I1586" s="11" t="inlineStr">
        <is>
          <t>Not started</t>
        </is>
      </c>
      <c r="J1586" s="13" t="n"/>
      <c r="K1586" s="10" t="inlineStr"/>
      <c r="L1586" s="14" t="inlineStr">
        <is>
          <t>▶ watch</t>
        </is>
      </c>
      <c r="M1586" s="10" t="inlineStr"/>
      <c r="N1586" s="11" t="inlineStr"/>
      <c r="O1586" s="11" t="inlineStr">
        <is>
          <t>course lecture - no single paper</t>
        </is>
      </c>
      <c r="P1586" s="10" t="inlineStr"/>
    </row>
    <row r="1587">
      <c r="A1587" s="17" t="n">
        <v>1586</v>
      </c>
      <c r="B1587" s="17" t="inlineStr">
        <is>
          <t>Part III - Upstream AI Research</t>
        </is>
      </c>
      <c r="C1587" s="18" t="inlineStr">
        <is>
          <t>8a. Stanford CS231n - Deep Learning for Computer Vision, Spring 2025 (18 lectures, Stanford Online</t>
        </is>
      </c>
      <c r="D1587" s="10" t="inlineStr">
        <is>
          <t>Image Classification with Linear Classifiers</t>
        </is>
      </c>
      <c r="E1587" s="10" t="inlineStr"/>
      <c r="F1587" s="11" t="inlineStr">
        <is>
          <t>1:07:02</t>
        </is>
      </c>
      <c r="G1587" s="11" t="n">
        <v>1.12</v>
      </c>
      <c r="H1587" s="12" t="inlineStr"/>
      <c r="I1587" s="11" t="inlineStr">
        <is>
          <t>Not started</t>
        </is>
      </c>
      <c r="J1587" s="13" t="n"/>
      <c r="K1587" s="10" t="inlineStr"/>
      <c r="L1587" s="14" t="inlineStr">
        <is>
          <t>▶ watch</t>
        </is>
      </c>
      <c r="M1587" s="10" t="inlineStr"/>
      <c r="N1587" s="11" t="inlineStr"/>
      <c r="O1587" s="11" t="inlineStr">
        <is>
          <t>course lecture - no single paper</t>
        </is>
      </c>
      <c r="P1587" s="10" t="inlineStr"/>
    </row>
    <row r="1588">
      <c r="A1588" s="17" t="n">
        <v>1587</v>
      </c>
      <c r="B1588" s="17" t="inlineStr">
        <is>
          <t>Part III - Upstream AI Research</t>
        </is>
      </c>
      <c r="C1588" s="18" t="inlineStr">
        <is>
          <t>8a. Stanford CS231n - Deep Learning for Computer Vision, Spring 2025 (18 lectures, Stanford Online</t>
        </is>
      </c>
      <c r="D1588" s="10" t="inlineStr">
        <is>
          <t>Regularization and Optimization</t>
        </is>
      </c>
      <c r="E1588" s="10" t="inlineStr"/>
      <c r="F1588" s="11" t="inlineStr">
        <is>
          <t>1:08:39</t>
        </is>
      </c>
      <c r="G1588" s="11" t="n">
        <v>1.14</v>
      </c>
      <c r="H1588" s="12" t="inlineStr"/>
      <c r="I1588" s="11" t="inlineStr">
        <is>
          <t>Not started</t>
        </is>
      </c>
      <c r="J1588" s="13" t="n"/>
      <c r="K1588" s="10" t="inlineStr"/>
      <c r="L1588" s="14" t="inlineStr">
        <is>
          <t>▶ watch</t>
        </is>
      </c>
      <c r="M1588" s="10" t="inlineStr"/>
      <c r="N1588" s="11" t="inlineStr"/>
      <c r="O1588" s="11" t="inlineStr">
        <is>
          <t>course lecture - no single paper</t>
        </is>
      </c>
      <c r="P1588" s="10" t="inlineStr"/>
    </row>
    <row r="1589">
      <c r="A1589" s="17" t="n">
        <v>1588</v>
      </c>
      <c r="B1589" s="17" t="inlineStr">
        <is>
          <t>Part III - Upstream AI Research</t>
        </is>
      </c>
      <c r="C1589" s="18" t="inlineStr">
        <is>
          <t>8a. Stanford CS231n - Deep Learning for Computer Vision, Spring 2025 (18 lectures, Stanford Online</t>
        </is>
      </c>
      <c r="D1589" s="10" t="inlineStr">
        <is>
          <t>Neural Networks and Backpropagation</t>
        </is>
      </c>
      <c r="E1589" s="10" t="inlineStr"/>
      <c r="F1589" s="11" t="inlineStr">
        <is>
          <t>1:16:47</t>
        </is>
      </c>
      <c r="G1589" s="11" t="n">
        <v>1.28</v>
      </c>
      <c r="H1589" s="12" t="inlineStr"/>
      <c r="I1589" s="11" t="inlineStr">
        <is>
          <t>Not started</t>
        </is>
      </c>
      <c r="J1589" s="13" t="n"/>
      <c r="K1589" s="10" t="inlineStr"/>
      <c r="L1589" s="14" t="inlineStr">
        <is>
          <t>▶ watch</t>
        </is>
      </c>
      <c r="M1589" s="10" t="inlineStr"/>
      <c r="N1589" s="11" t="inlineStr"/>
      <c r="O1589" s="11" t="inlineStr">
        <is>
          <t>course lecture - no single paper</t>
        </is>
      </c>
      <c r="P1589" s="10" t="inlineStr"/>
    </row>
    <row r="1590">
      <c r="A1590" s="17" t="n">
        <v>1589</v>
      </c>
      <c r="B1590" s="17" t="inlineStr">
        <is>
          <t>Part III - Upstream AI Research</t>
        </is>
      </c>
      <c r="C1590" s="18" t="inlineStr">
        <is>
          <t>8a. Stanford CS231n - Deep Learning for Computer Vision, Spring 2025 (18 lectures, Stanford Online</t>
        </is>
      </c>
      <c r="D1590" s="10" t="inlineStr">
        <is>
          <t>Image Classification with CNNs</t>
        </is>
      </c>
      <c r="E1590" s="10" t="inlineStr"/>
      <c r="F1590" s="11" t="inlineStr">
        <is>
          <t>1:08:04</t>
        </is>
      </c>
      <c r="G1590" s="11" t="n">
        <v>1.13</v>
      </c>
      <c r="H1590" s="12" t="inlineStr"/>
      <c r="I1590" s="11" t="inlineStr">
        <is>
          <t>Not started</t>
        </is>
      </c>
      <c r="J1590" s="13" t="n"/>
      <c r="K1590" s="10" t="inlineStr"/>
      <c r="L1590" s="14" t="inlineStr">
        <is>
          <t>▶ watch</t>
        </is>
      </c>
      <c r="M1590" s="10" t="inlineStr"/>
      <c r="N1590" s="11" t="inlineStr"/>
      <c r="O1590" s="11" t="inlineStr">
        <is>
          <t>course lecture - no single paper</t>
        </is>
      </c>
      <c r="P1590" s="10" t="inlineStr"/>
    </row>
    <row r="1591">
      <c r="A1591" s="17" t="n">
        <v>1590</v>
      </c>
      <c r="B1591" s="17" t="inlineStr">
        <is>
          <t>Part III - Upstream AI Research</t>
        </is>
      </c>
      <c r="C1591" s="18" t="inlineStr">
        <is>
          <t>8a. Stanford CS231n - Deep Learning for Computer Vision, Spring 2025 (18 lectures, Stanford Online</t>
        </is>
      </c>
      <c r="D1591" s="10" t="inlineStr">
        <is>
          <t>CNN Architectures</t>
        </is>
      </c>
      <c r="E1591" s="10" t="inlineStr"/>
      <c r="F1591" s="11" t="inlineStr">
        <is>
          <t>1:11:07</t>
        </is>
      </c>
      <c r="G1591" s="11" t="n">
        <v>1.19</v>
      </c>
      <c r="H1591" s="12" t="inlineStr"/>
      <c r="I1591" s="11" t="inlineStr">
        <is>
          <t>Not started</t>
        </is>
      </c>
      <c r="J1591" s="13" t="n"/>
      <c r="K1591" s="10" t="inlineStr"/>
      <c r="L1591" s="14" t="inlineStr">
        <is>
          <t>▶ watch</t>
        </is>
      </c>
      <c r="M1591" s="10" t="inlineStr"/>
      <c r="N1591" s="11" t="inlineStr"/>
      <c r="O1591" s="11" t="inlineStr">
        <is>
          <t>course lecture - no single paper</t>
        </is>
      </c>
      <c r="P1591" s="10" t="inlineStr"/>
    </row>
    <row r="1592">
      <c r="A1592" s="17" t="n">
        <v>1591</v>
      </c>
      <c r="B1592" s="17" t="inlineStr">
        <is>
          <t>Part III - Upstream AI Research</t>
        </is>
      </c>
      <c r="C1592" s="18" t="inlineStr">
        <is>
          <t>8a. Stanford CS231n - Deep Learning for Computer Vision, Spring 2025 (18 lectures, Stanford Online</t>
        </is>
      </c>
      <c r="D1592" s="10" t="inlineStr">
        <is>
          <t>Recurrent Neural Networks</t>
        </is>
      </c>
      <c r="E1592" s="10" t="inlineStr"/>
      <c r="F1592" s="11" t="inlineStr">
        <is>
          <t>1:11:48</t>
        </is>
      </c>
      <c r="G1592" s="11" t="n">
        <v>1.2</v>
      </c>
      <c r="H1592" s="12" t="inlineStr"/>
      <c r="I1592" s="11" t="inlineStr">
        <is>
          <t>Not started</t>
        </is>
      </c>
      <c r="J1592" s="13" t="n"/>
      <c r="K1592" s="10" t="inlineStr"/>
      <c r="L1592" s="14" t="inlineStr">
        <is>
          <t>▶ watch</t>
        </is>
      </c>
      <c r="M1592" s="10" t="inlineStr"/>
      <c r="N1592" s="11" t="inlineStr"/>
      <c r="O1592" s="11" t="inlineStr">
        <is>
          <t>course lecture - no single paper</t>
        </is>
      </c>
      <c r="P1592" s="10" t="inlineStr"/>
    </row>
    <row r="1593">
      <c r="A1593" s="17" t="n">
        <v>1592</v>
      </c>
      <c r="B1593" s="17" t="inlineStr">
        <is>
          <t>Part III - Upstream AI Research</t>
        </is>
      </c>
      <c r="C1593" s="18" t="inlineStr">
        <is>
          <t>8a. Stanford CS231n - Deep Learning for Computer Vision, Spring 2025 (18 lectures, Stanford Online</t>
        </is>
      </c>
      <c r="D1593" s="10" t="inlineStr">
        <is>
          <t>Attention and Transformers</t>
        </is>
      </c>
      <c r="E1593" s="10" t="inlineStr"/>
      <c r="F1593" s="11" t="inlineStr">
        <is>
          <t>1:06:31</t>
        </is>
      </c>
      <c r="G1593" s="11" t="n">
        <v>1.11</v>
      </c>
      <c r="H1593" s="12" t="inlineStr"/>
      <c r="I1593" s="11" t="inlineStr">
        <is>
          <t>Not started</t>
        </is>
      </c>
      <c r="J1593" s="13" t="n"/>
      <c r="K1593" s="10" t="inlineStr"/>
      <c r="L1593" s="14" t="inlineStr">
        <is>
          <t>▶ watch</t>
        </is>
      </c>
      <c r="M1593" s="10" t="inlineStr"/>
      <c r="N1593" s="11" t="inlineStr"/>
      <c r="O1593" s="11" t="inlineStr">
        <is>
          <t>course lecture - no single paper</t>
        </is>
      </c>
      <c r="P1593" s="10" t="inlineStr"/>
    </row>
    <row r="1594">
      <c r="A1594" s="17" t="n">
        <v>1593</v>
      </c>
      <c r="B1594" s="17" t="inlineStr">
        <is>
          <t>Part III - Upstream AI Research</t>
        </is>
      </c>
      <c r="C1594" s="18" t="inlineStr">
        <is>
          <t>8a. Stanford CS231n - Deep Learning for Computer Vision, Spring 2025 (18 lectures, Stanford Online</t>
        </is>
      </c>
      <c r="D1594" s="10" t="inlineStr">
        <is>
          <t>Object Detection, Image Segmentation, Visualizing</t>
        </is>
      </c>
      <c r="E1594" s="10" t="inlineStr"/>
      <c r="F1594" s="11" t="inlineStr">
        <is>
          <t>1:13:44</t>
        </is>
      </c>
      <c r="G1594" s="11" t="n">
        <v>1.23</v>
      </c>
      <c r="H1594" s="12" t="inlineStr"/>
      <c r="I1594" s="11" t="inlineStr">
        <is>
          <t>Not started</t>
        </is>
      </c>
      <c r="J1594" s="13" t="n"/>
      <c r="K1594" s="10" t="inlineStr"/>
      <c r="L1594" s="14" t="inlineStr">
        <is>
          <t>▶ watch</t>
        </is>
      </c>
      <c r="M1594" s="10" t="inlineStr"/>
      <c r="N1594" s="11" t="inlineStr"/>
      <c r="O1594" s="11" t="inlineStr">
        <is>
          <t>course lecture - no single paper</t>
        </is>
      </c>
      <c r="P1594" s="10" t="inlineStr"/>
    </row>
    <row r="1595">
      <c r="A1595" s="17" t="n">
        <v>1594</v>
      </c>
      <c r="B1595" s="17" t="inlineStr">
        <is>
          <t>Part III - Upstream AI Research</t>
        </is>
      </c>
      <c r="C1595" s="18" t="inlineStr">
        <is>
          <t>8a. Stanford CS231n - Deep Learning for Computer Vision, Spring 2025 (18 lectures, Stanford Online</t>
        </is>
      </c>
      <c r="D1595" s="10" t="inlineStr">
        <is>
          <t>Video Understanding</t>
        </is>
      </c>
      <c r="E1595" s="10" t="inlineStr"/>
      <c r="F1595" s="11" t="inlineStr">
        <is>
          <t>1:08:45</t>
        </is>
      </c>
      <c r="G1595" s="11" t="n">
        <v>1.15</v>
      </c>
      <c r="H1595" s="12" t="inlineStr"/>
      <c r="I1595" s="11" t="inlineStr">
        <is>
          <t>Not started</t>
        </is>
      </c>
      <c r="J1595" s="13" t="n"/>
      <c r="K1595" s="10" t="inlineStr"/>
      <c r="L1595" s="14" t="inlineStr">
        <is>
          <t>▶ watch</t>
        </is>
      </c>
      <c r="M1595" s="10" t="inlineStr"/>
      <c r="N1595" s="11" t="inlineStr"/>
      <c r="O1595" s="11" t="inlineStr">
        <is>
          <t>course lecture - no single paper</t>
        </is>
      </c>
      <c r="P1595" s="10" t="inlineStr"/>
    </row>
    <row r="1596">
      <c r="A1596" s="17" t="n">
        <v>1595</v>
      </c>
      <c r="B1596" s="17" t="inlineStr">
        <is>
          <t>Part III - Upstream AI Research</t>
        </is>
      </c>
      <c r="C1596" s="18" t="inlineStr">
        <is>
          <t>8a. Stanford CS231n - Deep Learning for Computer Vision, Spring 2025 (18 lectures, Stanford Online</t>
        </is>
      </c>
      <c r="D1596" s="10" t="inlineStr">
        <is>
          <t>Self-Supervised Learning</t>
        </is>
      </c>
      <c r="E1596" s="10" t="inlineStr"/>
      <c r="F1596" s="11" t="inlineStr">
        <is>
          <t>1:14:42</t>
        </is>
      </c>
      <c r="G1596" s="11" t="n">
        <v>1.25</v>
      </c>
      <c r="H1596" s="12" t="inlineStr">
        <is>
          <t>★</t>
        </is>
      </c>
      <c r="I1596" s="11" t="inlineStr">
        <is>
          <t>Not started</t>
        </is>
      </c>
      <c r="J1596" s="13" t="n"/>
      <c r="K1596" s="10" t="inlineStr"/>
      <c r="L1596" s="14" t="inlineStr">
        <is>
          <t>▶ watch</t>
        </is>
      </c>
      <c r="M1596" s="10" t="inlineStr"/>
      <c r="N1596" s="11" t="inlineStr"/>
      <c r="O1596" s="11" t="inlineStr">
        <is>
          <t>course lecture - no single paper</t>
        </is>
      </c>
      <c r="P1596" s="10" t="inlineStr"/>
    </row>
    <row r="1597">
      <c r="A1597" s="17" t="n">
        <v>1596</v>
      </c>
      <c r="B1597" s="17" t="inlineStr">
        <is>
          <t>Part III - Upstream AI Research</t>
        </is>
      </c>
      <c r="C1597" s="18" t="inlineStr">
        <is>
          <t>8a. Stanford CS231n - Deep Learning for Computer Vision, Spring 2025 (18 lectures, Stanford Online</t>
        </is>
      </c>
      <c r="D1597" s="10" t="inlineStr">
        <is>
          <t>Generative Models 1</t>
        </is>
      </c>
      <c r="E1597" s="10" t="inlineStr"/>
      <c r="F1597" s="11" t="inlineStr">
        <is>
          <t>1:12:31</t>
        </is>
      </c>
      <c r="G1597" s="11" t="n">
        <v>1.21</v>
      </c>
      <c r="H1597" s="12" t="inlineStr"/>
      <c r="I1597" s="11" t="inlineStr">
        <is>
          <t>Not started</t>
        </is>
      </c>
      <c r="J1597" s="13" t="n"/>
      <c r="K1597" s="10" t="inlineStr"/>
      <c r="L1597" s="14" t="inlineStr">
        <is>
          <t>▶ watch</t>
        </is>
      </c>
      <c r="M1597" s="10" t="inlineStr"/>
      <c r="N1597" s="11" t="inlineStr"/>
      <c r="O1597" s="11" t="inlineStr">
        <is>
          <t>course lecture - no single paper</t>
        </is>
      </c>
      <c r="P1597" s="10" t="inlineStr"/>
    </row>
    <row r="1598">
      <c r="A1598" s="17" t="n">
        <v>1597</v>
      </c>
      <c r="B1598" s="17" t="inlineStr">
        <is>
          <t>Part III - Upstream AI Research</t>
        </is>
      </c>
      <c r="C1598" s="18" t="inlineStr">
        <is>
          <t>8a. Stanford CS231n - Deep Learning for Computer Vision, Spring 2025 (18 lectures, Stanford Online</t>
        </is>
      </c>
      <c r="D1598" s="10" t="inlineStr">
        <is>
          <t>Generative Models 2</t>
        </is>
      </c>
      <c r="E1598" s="10" t="inlineStr"/>
      <c r="F1598" s="11" t="inlineStr">
        <is>
          <t>1:12:09</t>
        </is>
      </c>
      <c r="G1598" s="11" t="n">
        <v>1.2</v>
      </c>
      <c r="H1598" s="12" t="inlineStr"/>
      <c r="I1598" s="11" t="inlineStr">
        <is>
          <t>Not started</t>
        </is>
      </c>
      <c r="J1598" s="13" t="n"/>
      <c r="K1598" s="10" t="inlineStr"/>
      <c r="L1598" s="14" t="inlineStr">
        <is>
          <t>▶ watch</t>
        </is>
      </c>
      <c r="M1598" s="10" t="inlineStr"/>
      <c r="N1598" s="11" t="inlineStr"/>
      <c r="O1598" s="11" t="inlineStr">
        <is>
          <t>course lecture - no single paper</t>
        </is>
      </c>
      <c r="P1598" s="10" t="inlineStr"/>
    </row>
    <row r="1599">
      <c r="A1599" s="17" t="n">
        <v>1598</v>
      </c>
      <c r="B1599" s="17" t="inlineStr">
        <is>
          <t>Part III - Upstream AI Research</t>
        </is>
      </c>
      <c r="C1599" s="18" t="inlineStr">
        <is>
          <t>8a. Stanford CS231n - Deep Learning for Computer Vision, Spring 2025 (18 lectures, Stanford Online</t>
        </is>
      </c>
      <c r="D1599" s="10" t="inlineStr">
        <is>
          <t>3D Vision</t>
        </is>
      </c>
      <c r="E1599" s="10" t="inlineStr"/>
      <c r="F1599" s="11" t="inlineStr">
        <is>
          <t>1:11:50</t>
        </is>
      </c>
      <c r="G1599" s="11" t="n">
        <v>1.2</v>
      </c>
      <c r="H1599" s="12" t="inlineStr">
        <is>
          <t>★</t>
        </is>
      </c>
      <c r="I1599" s="11" t="inlineStr">
        <is>
          <t>Not started</t>
        </is>
      </c>
      <c r="J1599" s="13" t="n"/>
      <c r="K1599" s="10" t="inlineStr"/>
      <c r="L1599" s="14" t="inlineStr">
        <is>
          <t>▶ watch</t>
        </is>
      </c>
      <c r="M1599" s="10" t="inlineStr"/>
      <c r="N1599" s="11" t="inlineStr"/>
      <c r="O1599" s="11" t="inlineStr">
        <is>
          <t>course lecture - no single paper</t>
        </is>
      </c>
      <c r="P1599" s="10" t="inlineStr"/>
    </row>
    <row r="1600">
      <c r="A1600" s="17" t="n">
        <v>1599</v>
      </c>
      <c r="B1600" s="17" t="inlineStr">
        <is>
          <t>Part III - Upstream AI Research</t>
        </is>
      </c>
      <c r="C1600" s="18" t="inlineStr">
        <is>
          <t>8a. Stanford CS231n - Deep Learning for Computer Vision, Spring 2025 (18 lectures, Stanford Online</t>
        </is>
      </c>
      <c r="D1600" s="10" t="inlineStr">
        <is>
          <t>Vision and Language</t>
        </is>
      </c>
      <c r="E1600" s="10" t="inlineStr"/>
      <c r="F1600" s="11" t="inlineStr">
        <is>
          <t>1:09:54</t>
        </is>
      </c>
      <c r="G1600" s="11" t="n">
        <v>1.17</v>
      </c>
      <c r="H1600" s="12" t="inlineStr">
        <is>
          <t>★</t>
        </is>
      </c>
      <c r="I1600" s="11" t="inlineStr">
        <is>
          <t>Not started</t>
        </is>
      </c>
      <c r="J1600" s="13" t="n"/>
      <c r="K1600" s="10" t="inlineStr"/>
      <c r="L1600" s="14" t="inlineStr">
        <is>
          <t>▶ watch</t>
        </is>
      </c>
      <c r="M1600" s="10" t="inlineStr"/>
      <c r="N1600" s="11" t="inlineStr"/>
      <c r="O1600" s="11" t="inlineStr">
        <is>
          <t>course lecture - no single paper</t>
        </is>
      </c>
      <c r="P1600" s="10" t="inlineStr"/>
    </row>
    <row r="1601">
      <c r="A1601" s="17" t="n">
        <v>1600</v>
      </c>
      <c r="B1601" s="17" t="inlineStr">
        <is>
          <t>Part III - Upstream AI Research</t>
        </is>
      </c>
      <c r="C1601" s="18" t="inlineStr">
        <is>
          <t>8a. Stanford CS231n - Deep Learning for Computer Vision, Spring 2025 (18 lectures, Stanford Online</t>
        </is>
      </c>
      <c r="D1601" s="10" t="inlineStr">
        <is>
          <t>Robot Learning</t>
        </is>
      </c>
      <c r="E1601" s="10" t="inlineStr"/>
      <c r="F1601" s="11" t="inlineStr">
        <is>
          <t>1:18:33</t>
        </is>
      </c>
      <c r="G1601" s="11" t="n">
        <v>1.31</v>
      </c>
      <c r="H1601" s="12" t="inlineStr"/>
      <c r="I1601" s="11" t="inlineStr">
        <is>
          <t>Not started</t>
        </is>
      </c>
      <c r="J1601" s="13" t="n"/>
      <c r="K1601" s="10" t="inlineStr"/>
      <c r="L1601" s="14" t="inlineStr">
        <is>
          <t>▶ watch</t>
        </is>
      </c>
      <c r="M1601" s="10" t="inlineStr"/>
      <c r="N1601" s="11" t="inlineStr"/>
      <c r="O1601" s="11" t="inlineStr">
        <is>
          <t>course lecture - no single paper</t>
        </is>
      </c>
      <c r="P1601" s="10" t="inlineStr"/>
    </row>
    <row r="1602">
      <c r="A1602" s="17" t="n">
        <v>1601</v>
      </c>
      <c r="B1602" s="17" t="inlineStr">
        <is>
          <t>Part III - Upstream AI Research</t>
        </is>
      </c>
      <c r="C1602" s="18" t="inlineStr">
        <is>
          <t>8a. Stanford CS231n - Deep Learning for Computer Vision, Spring 2025 (18 lectures, Stanford Online</t>
        </is>
      </c>
      <c r="D1602" s="10" t="inlineStr">
        <is>
          <t>Human-Centered AI</t>
        </is>
      </c>
      <c r="E1602" s="10" t="inlineStr"/>
      <c r="F1602" s="11" t="inlineStr">
        <is>
          <t>1:05:16</t>
        </is>
      </c>
      <c r="G1602" s="11" t="n">
        <v>1.09</v>
      </c>
      <c r="H1602" s="12" t="inlineStr"/>
      <c r="I1602" s="11" t="inlineStr">
        <is>
          <t>Not started</t>
        </is>
      </c>
      <c r="J1602" s="13" t="n"/>
      <c r="K1602" s="10" t="inlineStr"/>
      <c r="L1602" s="14" t="inlineStr">
        <is>
          <t>▶ watch</t>
        </is>
      </c>
      <c r="M1602" s="10" t="inlineStr"/>
      <c r="N1602" s="11" t="inlineStr"/>
      <c r="O1602" s="11" t="inlineStr">
        <is>
          <t>course lecture - no single paper</t>
        </is>
      </c>
      <c r="P1602" s="10" t="inlineStr"/>
    </row>
    <row r="1603">
      <c r="A1603" s="17" t="n">
        <v>1602</v>
      </c>
      <c r="B1603" s="17" t="inlineStr">
        <is>
          <t>Part III - Upstream AI Research</t>
        </is>
      </c>
      <c r="C1603" s="18" t="inlineStr">
        <is>
          <t>8b. University of Michigan EECS 498-007 / 598-005 - Deep Learning for Computer Vision (Justin Johnson), 22 lectures, Michigan Online</t>
        </is>
      </c>
      <c r="D1603" s="10" t="inlineStr">
        <is>
          <t>Introduction to Deep Learning for Computer Vision</t>
        </is>
      </c>
      <c r="E1603" s="10" t="inlineStr"/>
      <c r="F1603" s="11" t="inlineStr">
        <is>
          <t>57:56</t>
        </is>
      </c>
      <c r="G1603" s="11" t="n">
        <v>0.97</v>
      </c>
      <c r="H1603" s="12" t="inlineStr"/>
      <c r="I1603" s="11" t="inlineStr">
        <is>
          <t>Not started</t>
        </is>
      </c>
      <c r="J1603" s="13" t="n"/>
      <c r="K1603" s="10" t="inlineStr"/>
      <c r="L1603" s="14" t="inlineStr">
        <is>
          <t>▶ watch</t>
        </is>
      </c>
      <c r="M1603" s="10" t="inlineStr"/>
      <c r="N1603" s="11" t="inlineStr"/>
      <c r="O1603" s="11" t="inlineStr">
        <is>
          <t>course lecture - no single paper</t>
        </is>
      </c>
      <c r="P1603" s="10" t="inlineStr"/>
    </row>
    <row r="1604">
      <c r="A1604" s="17" t="n">
        <v>1603</v>
      </c>
      <c r="B1604" s="17" t="inlineStr">
        <is>
          <t>Part III - Upstream AI Research</t>
        </is>
      </c>
      <c r="C1604" s="18" t="inlineStr">
        <is>
          <t>8b. University of Michigan EECS 498-007 / 598-005 - Deep Learning for Computer Vision (Justin Johnson), 22 lectures, Michigan Online</t>
        </is>
      </c>
      <c r="D1604" s="10" t="inlineStr">
        <is>
          <t>Image Classification</t>
        </is>
      </c>
      <c r="E1604" s="10" t="inlineStr"/>
      <c r="F1604" s="11" t="inlineStr">
        <is>
          <t>1:02:15</t>
        </is>
      </c>
      <c r="G1604" s="11" t="n">
        <v>1.04</v>
      </c>
      <c r="H1604" s="12" t="inlineStr"/>
      <c r="I1604" s="11" t="inlineStr">
        <is>
          <t>Not started</t>
        </is>
      </c>
      <c r="J1604" s="13" t="n"/>
      <c r="K1604" s="10" t="inlineStr"/>
      <c r="L1604" s="14" t="inlineStr">
        <is>
          <t>▶ watch</t>
        </is>
      </c>
      <c r="M1604" s="10" t="inlineStr"/>
      <c r="N1604" s="11" t="inlineStr"/>
      <c r="O1604" s="11" t="inlineStr">
        <is>
          <t>course lecture - no single paper</t>
        </is>
      </c>
      <c r="P1604" s="10" t="inlineStr"/>
    </row>
    <row r="1605">
      <c r="A1605" s="17" t="n">
        <v>1604</v>
      </c>
      <c r="B1605" s="17" t="inlineStr">
        <is>
          <t>Part III - Upstream AI Research</t>
        </is>
      </c>
      <c r="C1605" s="18" t="inlineStr">
        <is>
          <t>8b. University of Michigan EECS 498-007 / 598-005 - Deep Learning for Computer Vision (Justin Johnson), 22 lectures, Michigan Online</t>
        </is>
      </c>
      <c r="D1605" s="10" t="inlineStr">
        <is>
          <t>Linear Classifiers</t>
        </is>
      </c>
      <c r="E1605" s="10" t="inlineStr"/>
      <c r="F1605" s="11" t="inlineStr">
        <is>
          <t>1:02:06</t>
        </is>
      </c>
      <c r="G1605" s="11" t="n">
        <v>1.03</v>
      </c>
      <c r="H1605" s="12" t="inlineStr"/>
      <c r="I1605" s="11" t="inlineStr">
        <is>
          <t>Not started</t>
        </is>
      </c>
      <c r="J1605" s="13" t="n"/>
      <c r="K1605" s="10" t="inlineStr"/>
      <c r="L1605" s="14" t="inlineStr">
        <is>
          <t>▶ watch</t>
        </is>
      </c>
      <c r="M1605" s="10" t="inlineStr"/>
      <c r="N1605" s="11" t="inlineStr"/>
      <c r="O1605" s="11" t="inlineStr">
        <is>
          <t>course lecture - no single paper</t>
        </is>
      </c>
      <c r="P1605" s="10" t="inlineStr"/>
    </row>
    <row r="1606">
      <c r="A1606" s="17" t="n">
        <v>1605</v>
      </c>
      <c r="B1606" s="17" t="inlineStr">
        <is>
          <t>Part III - Upstream AI Research</t>
        </is>
      </c>
      <c r="C1606" s="18" t="inlineStr">
        <is>
          <t>8b. University of Michigan EECS 498-007 / 598-005 - Deep Learning for Computer Vision (Justin Johnson), 22 lectures, Michigan Online</t>
        </is>
      </c>
      <c r="D1606" s="10" t="inlineStr">
        <is>
          <t>Optimization</t>
        </is>
      </c>
      <c r="E1606" s="10" t="inlineStr"/>
      <c r="F1606" s="11" t="inlineStr">
        <is>
          <t>1:03:07</t>
        </is>
      </c>
      <c r="G1606" s="11" t="n">
        <v>1.05</v>
      </c>
      <c r="H1606" s="12" t="inlineStr"/>
      <c r="I1606" s="11" t="inlineStr">
        <is>
          <t>Not started</t>
        </is>
      </c>
      <c r="J1606" s="13" t="n"/>
      <c r="K1606" s="10" t="inlineStr"/>
      <c r="L1606" s="14" t="inlineStr">
        <is>
          <t>▶ watch</t>
        </is>
      </c>
      <c r="M1606" s="10" t="inlineStr"/>
      <c r="N1606" s="11" t="inlineStr"/>
      <c r="O1606" s="11" t="inlineStr">
        <is>
          <t>course lecture - no single paper</t>
        </is>
      </c>
      <c r="P1606" s="10" t="inlineStr"/>
    </row>
    <row r="1607">
      <c r="A1607" s="17" t="n">
        <v>1606</v>
      </c>
      <c r="B1607" s="17" t="inlineStr">
        <is>
          <t>Part III - Upstream AI Research</t>
        </is>
      </c>
      <c r="C1607" s="18" t="inlineStr">
        <is>
          <t>8b. University of Michigan EECS 498-007 / 598-005 - Deep Learning for Computer Vision (Justin Johnson), 22 lectures, Michigan Online</t>
        </is>
      </c>
      <c r="D1607" s="10" t="inlineStr">
        <is>
          <t>Neural Networks</t>
        </is>
      </c>
      <c r="E1607" s="10" t="inlineStr"/>
      <c r="F1607" s="11" t="inlineStr">
        <is>
          <t>1:02:07</t>
        </is>
      </c>
      <c r="G1607" s="11" t="n">
        <v>1.04</v>
      </c>
      <c r="H1607" s="12" t="inlineStr"/>
      <c r="I1607" s="11" t="inlineStr">
        <is>
          <t>Not started</t>
        </is>
      </c>
      <c r="J1607" s="13" t="n"/>
      <c r="K1607" s="10" t="inlineStr"/>
      <c r="L1607" s="14" t="inlineStr">
        <is>
          <t>▶ watch</t>
        </is>
      </c>
      <c r="M1607" s="10" t="inlineStr"/>
      <c r="N1607" s="11" t="inlineStr"/>
      <c r="O1607" s="11" t="inlineStr">
        <is>
          <t>course lecture - no single paper</t>
        </is>
      </c>
      <c r="P1607" s="10" t="inlineStr"/>
    </row>
    <row r="1608">
      <c r="A1608" s="17" t="n">
        <v>1607</v>
      </c>
      <c r="B1608" s="17" t="inlineStr">
        <is>
          <t>Part III - Upstream AI Research</t>
        </is>
      </c>
      <c r="C1608" s="18" t="inlineStr">
        <is>
          <t>8b. University of Michigan EECS 498-007 / 598-005 - Deep Learning for Computer Vision (Justin Johnson), 22 lectures, Michigan Online</t>
        </is>
      </c>
      <c r="D1608" s="10" t="inlineStr">
        <is>
          <t>Backpropagation</t>
        </is>
      </c>
      <c r="E1608" s="10" t="inlineStr"/>
      <c r="F1608" s="11" t="inlineStr">
        <is>
          <t>1:11:16</t>
        </is>
      </c>
      <c r="G1608" s="11" t="n">
        <v>1.19</v>
      </c>
      <c r="H1608" s="12" t="inlineStr"/>
      <c r="I1608" s="11" t="inlineStr">
        <is>
          <t>Not started</t>
        </is>
      </c>
      <c r="J1608" s="13" t="n"/>
      <c r="K1608" s="10" t="inlineStr"/>
      <c r="L1608" s="14" t="inlineStr">
        <is>
          <t>▶ watch</t>
        </is>
      </c>
      <c r="M1608" s="10" t="inlineStr"/>
      <c r="N1608" s="11" t="inlineStr"/>
      <c r="O1608" s="11" t="inlineStr">
        <is>
          <t>course lecture - no single paper</t>
        </is>
      </c>
      <c r="P1608" s="10" t="inlineStr"/>
    </row>
    <row r="1609">
      <c r="A1609" s="17" t="n">
        <v>1608</v>
      </c>
      <c r="B1609" s="17" t="inlineStr">
        <is>
          <t>Part III - Upstream AI Research</t>
        </is>
      </c>
      <c r="C1609" s="18" t="inlineStr">
        <is>
          <t>8b. University of Michigan EECS 498-007 / 598-005 - Deep Learning for Computer Vision (Justin Johnson), 22 lectures, Michigan Online</t>
        </is>
      </c>
      <c r="D1609" s="10" t="inlineStr">
        <is>
          <t>Convolutional Networks</t>
        </is>
      </c>
      <c r="E1609" s="10" t="inlineStr"/>
      <c r="F1609" s="11" t="inlineStr">
        <is>
          <t>1:08:53</t>
        </is>
      </c>
      <c r="G1609" s="11" t="n">
        <v>1.15</v>
      </c>
      <c r="H1609" s="12" t="inlineStr"/>
      <c r="I1609" s="11" t="inlineStr">
        <is>
          <t>Not started</t>
        </is>
      </c>
      <c r="J1609" s="13" t="n"/>
      <c r="K1609" s="10" t="inlineStr"/>
      <c r="L1609" s="14" t="inlineStr">
        <is>
          <t>▶ watch</t>
        </is>
      </c>
      <c r="M1609" s="10" t="inlineStr"/>
      <c r="N1609" s="11" t="inlineStr"/>
      <c r="O1609" s="11" t="inlineStr">
        <is>
          <t>course lecture - no single paper</t>
        </is>
      </c>
      <c r="P1609" s="10" t="inlineStr"/>
    </row>
    <row r="1610">
      <c r="A1610" s="17" t="n">
        <v>1609</v>
      </c>
      <c r="B1610" s="17" t="inlineStr">
        <is>
          <t>Part III - Upstream AI Research</t>
        </is>
      </c>
      <c r="C1610" s="18" t="inlineStr">
        <is>
          <t>8b. University of Michigan EECS 498-007 / 598-005 - Deep Learning for Computer Vision (Justin Johnson), 22 lectures, Michigan Online</t>
        </is>
      </c>
      <c r="D1610" s="10" t="inlineStr">
        <is>
          <t>CNN Architectures</t>
        </is>
      </c>
      <c r="E1610" s="10" t="inlineStr"/>
      <c r="F1610" s="11" t="inlineStr">
        <is>
          <t>1:12:03</t>
        </is>
      </c>
      <c r="G1610" s="11" t="n">
        <v>1.2</v>
      </c>
      <c r="H1610" s="12" t="inlineStr"/>
      <c r="I1610" s="11" t="inlineStr">
        <is>
          <t>Not started</t>
        </is>
      </c>
      <c r="J1610" s="13" t="n"/>
      <c r="K1610" s="10" t="inlineStr"/>
      <c r="L1610" s="14" t="inlineStr">
        <is>
          <t>▶ watch</t>
        </is>
      </c>
      <c r="M1610" s="10" t="inlineStr"/>
      <c r="N1610" s="11" t="inlineStr"/>
      <c r="O1610" s="11" t="inlineStr">
        <is>
          <t>course lecture - no single paper</t>
        </is>
      </c>
      <c r="P1610" s="10" t="inlineStr"/>
    </row>
    <row r="1611">
      <c r="A1611" s="17" t="n">
        <v>1610</v>
      </c>
      <c r="B1611" s="17" t="inlineStr">
        <is>
          <t>Part III - Upstream AI Research</t>
        </is>
      </c>
      <c r="C1611" s="18" t="inlineStr">
        <is>
          <t>8b. University of Michigan EECS 498-007 / 598-005 - Deep Learning for Computer Vision (Justin Johnson), 22 lectures, Michigan Online</t>
        </is>
      </c>
      <c r="D1611" s="10" t="inlineStr">
        <is>
          <t>Hardware and Software</t>
        </is>
      </c>
      <c r="E1611" s="10" t="inlineStr"/>
      <c r="F1611" s="11" t="inlineStr">
        <is>
          <t>1:12:22</t>
        </is>
      </c>
      <c r="G1611" s="11" t="n">
        <v>1.21</v>
      </c>
      <c r="H1611" s="12" t="inlineStr"/>
      <c r="I1611" s="11" t="inlineStr">
        <is>
          <t>Not started</t>
        </is>
      </c>
      <c r="J1611" s="13" t="n"/>
      <c r="K1611" s="10" t="inlineStr"/>
      <c r="L1611" s="14" t="inlineStr">
        <is>
          <t>▶ watch</t>
        </is>
      </c>
      <c r="M1611" s="10" t="inlineStr"/>
      <c r="N1611" s="11" t="inlineStr"/>
      <c r="O1611" s="11" t="inlineStr">
        <is>
          <t>course lecture - no single paper</t>
        </is>
      </c>
      <c r="P1611" s="10" t="inlineStr"/>
    </row>
    <row r="1612">
      <c r="A1612" s="17" t="n">
        <v>1611</v>
      </c>
      <c r="B1612" s="17" t="inlineStr">
        <is>
          <t>Part III - Upstream AI Research</t>
        </is>
      </c>
      <c r="C1612" s="18" t="inlineStr">
        <is>
          <t>8b. University of Michigan EECS 498-007 / 598-005 - Deep Learning for Computer Vision (Justin Johnson), 22 lectures, Michigan Online</t>
        </is>
      </c>
      <c r="D1612" s="10" t="inlineStr">
        <is>
          <t>Training Neural Networks I</t>
        </is>
      </c>
      <c r="E1612" s="10" t="inlineStr"/>
      <c r="F1612" s="11" t="inlineStr">
        <is>
          <t>1:12:14</t>
        </is>
      </c>
      <c r="G1612" s="11" t="n">
        <v>1.2</v>
      </c>
      <c r="H1612" s="12" t="inlineStr"/>
      <c r="I1612" s="11" t="inlineStr">
        <is>
          <t>Not started</t>
        </is>
      </c>
      <c r="J1612" s="13" t="n"/>
      <c r="K1612" s="10" t="inlineStr"/>
      <c r="L1612" s="14" t="inlineStr">
        <is>
          <t>▶ watch</t>
        </is>
      </c>
      <c r="M1612" s="10" t="inlineStr"/>
      <c r="N1612" s="11" t="inlineStr"/>
      <c r="O1612" s="11" t="inlineStr">
        <is>
          <t>course lecture - no single paper</t>
        </is>
      </c>
      <c r="P1612" s="10" t="inlineStr"/>
    </row>
    <row r="1613">
      <c r="A1613" s="17" t="n">
        <v>1612</v>
      </c>
      <c r="B1613" s="17" t="inlineStr">
        <is>
          <t>Part III - Upstream AI Research</t>
        </is>
      </c>
      <c r="C1613" s="18" t="inlineStr">
        <is>
          <t>8b. University of Michigan EECS 498-007 / 598-005 - Deep Learning for Computer Vision (Justin Johnson), 22 lectures, Michigan Online</t>
        </is>
      </c>
      <c r="D1613" s="10" t="inlineStr">
        <is>
          <t>Training Neural Networks II</t>
        </is>
      </c>
      <c r="E1613" s="10" t="inlineStr"/>
      <c r="F1613" s="11" t="inlineStr">
        <is>
          <t>1:19:14</t>
        </is>
      </c>
      <c r="G1613" s="11" t="n">
        <v>1.32</v>
      </c>
      <c r="H1613" s="12" t="inlineStr"/>
      <c r="I1613" s="11" t="inlineStr">
        <is>
          <t>Not started</t>
        </is>
      </c>
      <c r="J1613" s="13" t="n"/>
      <c r="K1613" s="10" t="inlineStr"/>
      <c r="L1613" s="14" t="inlineStr">
        <is>
          <t>▶ watch</t>
        </is>
      </c>
      <c r="M1613" s="10" t="inlineStr"/>
      <c r="N1613" s="11" t="inlineStr"/>
      <c r="O1613" s="11" t="inlineStr">
        <is>
          <t>course lecture - no single paper</t>
        </is>
      </c>
      <c r="P1613" s="10" t="inlineStr"/>
    </row>
    <row r="1614">
      <c r="A1614" s="17" t="n">
        <v>1613</v>
      </c>
      <c r="B1614" s="17" t="inlineStr">
        <is>
          <t>Part III - Upstream AI Research</t>
        </is>
      </c>
      <c r="C1614" s="18" t="inlineStr">
        <is>
          <t>8b. University of Michigan EECS 498-007 / 598-005 - Deep Learning for Computer Vision (Justin Johnson), 22 lectures, Michigan Online</t>
        </is>
      </c>
      <c r="D1614" s="10" t="inlineStr">
        <is>
          <t>Recurrent Networks</t>
        </is>
      </c>
      <c r="E1614" s="10" t="inlineStr"/>
      <c r="F1614" s="11" t="inlineStr">
        <is>
          <t>1:13:27</t>
        </is>
      </c>
      <c r="G1614" s="11" t="n">
        <v>1.22</v>
      </c>
      <c r="H1614" s="12" t="inlineStr"/>
      <c r="I1614" s="11" t="inlineStr">
        <is>
          <t>Not started</t>
        </is>
      </c>
      <c r="J1614" s="13" t="n"/>
      <c r="K1614" s="10" t="inlineStr"/>
      <c r="L1614" s="14" t="inlineStr">
        <is>
          <t>▶ watch</t>
        </is>
      </c>
      <c r="M1614" s="10" t="inlineStr"/>
      <c r="N1614" s="11" t="inlineStr"/>
      <c r="O1614" s="11" t="inlineStr">
        <is>
          <t>course lecture - no single paper</t>
        </is>
      </c>
      <c r="P1614" s="10" t="inlineStr"/>
    </row>
    <row r="1615">
      <c r="A1615" s="17" t="n">
        <v>1614</v>
      </c>
      <c r="B1615" s="17" t="inlineStr">
        <is>
          <t>Part III - Upstream AI Research</t>
        </is>
      </c>
      <c r="C1615" s="18" t="inlineStr">
        <is>
          <t>8b. University of Michigan EECS 498-007 / 598-005 - Deep Learning for Computer Vision (Justin Johnson), 22 lectures, Michigan Online</t>
        </is>
      </c>
      <c r="D1615" s="10" t="inlineStr">
        <is>
          <t>Attention</t>
        </is>
      </c>
      <c r="E1615" s="10" t="inlineStr"/>
      <c r="F1615" s="11" t="inlineStr">
        <is>
          <t>1:11:53</t>
        </is>
      </c>
      <c r="G1615" s="11" t="n">
        <v>1.2</v>
      </c>
      <c r="H1615" s="12" t="inlineStr"/>
      <c r="I1615" s="11" t="inlineStr">
        <is>
          <t>Not started</t>
        </is>
      </c>
      <c r="J1615" s="13" t="n"/>
      <c r="K1615" s="10" t="inlineStr"/>
      <c r="L1615" s="14" t="inlineStr">
        <is>
          <t>▶ watch</t>
        </is>
      </c>
      <c r="M1615" s="10" t="inlineStr"/>
      <c r="N1615" s="11" t="inlineStr"/>
      <c r="O1615" s="11" t="inlineStr">
        <is>
          <t>course lecture - no single paper</t>
        </is>
      </c>
      <c r="P1615" s="10" t="inlineStr"/>
    </row>
    <row r="1616">
      <c r="A1616" s="17" t="n">
        <v>1615</v>
      </c>
      <c r="B1616" s="17" t="inlineStr">
        <is>
          <t>Part III - Upstream AI Research</t>
        </is>
      </c>
      <c r="C1616" s="18" t="inlineStr">
        <is>
          <t>8b. University of Michigan EECS 498-007 / 598-005 - Deep Learning for Computer Vision (Justin Johnson), 22 lectures, Michigan Online</t>
        </is>
      </c>
      <c r="D1616" s="10" t="inlineStr">
        <is>
          <t>Visualizing and Understanding</t>
        </is>
      </c>
      <c r="E1616" s="10" t="inlineStr"/>
      <c r="F1616" s="11" t="inlineStr">
        <is>
          <t>1:12:04</t>
        </is>
      </c>
      <c r="G1616" s="11" t="n">
        <v>1.2</v>
      </c>
      <c r="H1616" s="12" t="inlineStr"/>
      <c r="I1616" s="11" t="inlineStr">
        <is>
          <t>Not started</t>
        </is>
      </c>
      <c r="J1616" s="13" t="n"/>
      <c r="K1616" s="10" t="inlineStr"/>
      <c r="L1616" s="14" t="inlineStr">
        <is>
          <t>▶ watch</t>
        </is>
      </c>
      <c r="M1616" s="10" t="inlineStr"/>
      <c r="N1616" s="11" t="inlineStr"/>
      <c r="O1616" s="11" t="inlineStr">
        <is>
          <t>course lecture - no single paper</t>
        </is>
      </c>
      <c r="P1616" s="10" t="inlineStr"/>
    </row>
    <row r="1617">
      <c r="A1617" s="17" t="n">
        <v>1616</v>
      </c>
      <c r="B1617" s="17" t="inlineStr">
        <is>
          <t>Part III - Upstream AI Research</t>
        </is>
      </c>
      <c r="C1617" s="18" t="inlineStr">
        <is>
          <t>8b. University of Michigan EECS 498-007 / 598-005 - Deep Learning for Computer Vision (Justin Johnson), 22 lectures, Michigan Online</t>
        </is>
      </c>
      <c r="D1617" s="10" t="inlineStr">
        <is>
          <t>Object Detection</t>
        </is>
      </c>
      <c r="E1617" s="10" t="inlineStr"/>
      <c r="F1617" s="11" t="inlineStr">
        <is>
          <t>1:12:32</t>
        </is>
      </c>
      <c r="G1617" s="11" t="n">
        <v>1.21</v>
      </c>
      <c r="H1617" s="12" t="inlineStr"/>
      <c r="I1617" s="11" t="inlineStr">
        <is>
          <t>Not started</t>
        </is>
      </c>
      <c r="J1617" s="13" t="n"/>
      <c r="K1617" s="10" t="inlineStr"/>
      <c r="L1617" s="14" t="inlineStr">
        <is>
          <t>▶ watch</t>
        </is>
      </c>
      <c r="M1617" s="10" t="inlineStr"/>
      <c r="N1617" s="11" t="inlineStr"/>
      <c r="O1617" s="11" t="inlineStr">
        <is>
          <t>course lecture - no single paper</t>
        </is>
      </c>
      <c r="P1617" s="10" t="inlineStr"/>
    </row>
    <row r="1618">
      <c r="A1618" s="17" t="n">
        <v>1617</v>
      </c>
      <c r="B1618" s="17" t="inlineStr">
        <is>
          <t>Part III - Upstream AI Research</t>
        </is>
      </c>
      <c r="C1618" s="18" t="inlineStr">
        <is>
          <t>8b. University of Michigan EECS 498-007 / 598-005 - Deep Learning for Computer Vision (Justin Johnson), 22 lectures, Michigan Online</t>
        </is>
      </c>
      <c r="D1618" s="10" t="inlineStr">
        <is>
          <t>Detection and Segmentation</t>
        </is>
      </c>
      <c r="E1618" s="10" t="inlineStr"/>
      <c r="F1618" s="11" t="inlineStr">
        <is>
          <t>1:10:07</t>
        </is>
      </c>
      <c r="G1618" s="11" t="n">
        <v>1.17</v>
      </c>
      <c r="H1618" s="12" t="inlineStr"/>
      <c r="I1618" s="11" t="inlineStr">
        <is>
          <t>Not started</t>
        </is>
      </c>
      <c r="J1618" s="13" t="n"/>
      <c r="K1618" s="10" t="inlineStr"/>
      <c r="L1618" s="14" t="inlineStr">
        <is>
          <t>▶ watch</t>
        </is>
      </c>
      <c r="M1618" s="10" t="inlineStr"/>
      <c r="N1618" s="11" t="inlineStr"/>
      <c r="O1618" s="11" t="inlineStr">
        <is>
          <t>course lecture - no single paper</t>
        </is>
      </c>
      <c r="P1618" s="10" t="inlineStr"/>
    </row>
    <row r="1619">
      <c r="A1619" s="17" t="n">
        <v>1618</v>
      </c>
      <c r="B1619" s="17" t="inlineStr">
        <is>
          <t>Part III - Upstream AI Research</t>
        </is>
      </c>
      <c r="C1619" s="18" t="inlineStr">
        <is>
          <t>8b. University of Michigan EECS 498-007 / 598-005 - Deep Learning for Computer Vision (Justin Johnson), 22 lectures, Michigan Online</t>
        </is>
      </c>
      <c r="D1619" s="10" t="inlineStr">
        <is>
          <t>3D Vision</t>
        </is>
      </c>
      <c r="E1619" s="10" t="inlineStr"/>
      <c r="F1619" s="11" t="inlineStr">
        <is>
          <t>1:12:34</t>
        </is>
      </c>
      <c r="G1619" s="11" t="n">
        <v>1.21</v>
      </c>
      <c r="H1619" s="12" t="inlineStr">
        <is>
          <t>★</t>
        </is>
      </c>
      <c r="I1619" s="11" t="inlineStr">
        <is>
          <t>Not started</t>
        </is>
      </c>
      <c r="J1619" s="13" t="n"/>
      <c r="K1619" s="10" t="inlineStr"/>
      <c r="L1619" s="14" t="inlineStr">
        <is>
          <t>▶ watch</t>
        </is>
      </c>
      <c r="M1619" s="10" t="inlineStr"/>
      <c r="N1619" s="11" t="inlineStr"/>
      <c r="O1619" s="11" t="inlineStr">
        <is>
          <t>course lecture - no single paper</t>
        </is>
      </c>
      <c r="P1619" s="10" t="inlineStr"/>
    </row>
    <row r="1620">
      <c r="A1620" s="17" t="n">
        <v>1619</v>
      </c>
      <c r="B1620" s="17" t="inlineStr">
        <is>
          <t>Part III - Upstream AI Research</t>
        </is>
      </c>
      <c r="C1620" s="18" t="inlineStr">
        <is>
          <t>8b. University of Michigan EECS 498-007 / 598-005 - Deep Learning for Computer Vision (Justin Johnson), 22 lectures, Michigan Online</t>
        </is>
      </c>
      <c r="D1620" s="10" t="inlineStr">
        <is>
          <t>Videos</t>
        </is>
      </c>
      <c r="E1620" s="10" t="inlineStr"/>
      <c r="F1620" s="11" t="inlineStr">
        <is>
          <t>1:15:21</t>
        </is>
      </c>
      <c r="G1620" s="11" t="n">
        <v>1.26</v>
      </c>
      <c r="H1620" s="12" t="inlineStr"/>
      <c r="I1620" s="11" t="inlineStr">
        <is>
          <t>Not started</t>
        </is>
      </c>
      <c r="J1620" s="13" t="n"/>
      <c r="K1620" s="10" t="inlineStr"/>
      <c r="L1620" s="14" t="inlineStr">
        <is>
          <t>▶ watch</t>
        </is>
      </c>
      <c r="M1620" s="10" t="inlineStr"/>
      <c r="N1620" s="11" t="inlineStr"/>
      <c r="O1620" s="11" t="inlineStr">
        <is>
          <t>course lecture - no single paper</t>
        </is>
      </c>
      <c r="P1620" s="10" t="inlineStr"/>
    </row>
    <row r="1621">
      <c r="A1621" s="17" t="n">
        <v>1620</v>
      </c>
      <c r="B1621" s="17" t="inlineStr">
        <is>
          <t>Part III - Upstream AI Research</t>
        </is>
      </c>
      <c r="C1621" s="18" t="inlineStr">
        <is>
          <t>8b. University of Michigan EECS 498-007 / 598-005 - Deep Learning for Computer Vision (Justin Johnson), 22 lectures, Michigan Online</t>
        </is>
      </c>
      <c r="D1621" s="10" t="inlineStr">
        <is>
          <t>Generative Models I</t>
        </is>
      </c>
      <c r="E1621" s="10" t="inlineStr"/>
      <c r="F1621" s="11" t="inlineStr">
        <is>
          <t>1:11:13</t>
        </is>
      </c>
      <c r="G1621" s="11" t="n">
        <v>1.19</v>
      </c>
      <c r="H1621" s="12" t="inlineStr"/>
      <c r="I1621" s="11" t="inlineStr">
        <is>
          <t>Not started</t>
        </is>
      </c>
      <c r="J1621" s="13" t="n"/>
      <c r="K1621" s="10" t="inlineStr"/>
      <c r="L1621" s="14" t="inlineStr">
        <is>
          <t>▶ watch</t>
        </is>
      </c>
      <c r="M1621" s="10" t="inlineStr"/>
      <c r="N1621" s="11" t="inlineStr"/>
      <c r="O1621" s="11" t="inlineStr">
        <is>
          <t>course lecture - no single paper</t>
        </is>
      </c>
      <c r="P1621" s="10" t="inlineStr"/>
    </row>
    <row r="1622">
      <c r="A1622" s="17" t="n">
        <v>1621</v>
      </c>
      <c r="B1622" s="17" t="inlineStr">
        <is>
          <t>Part III - Upstream AI Research</t>
        </is>
      </c>
      <c r="C1622" s="18" t="inlineStr">
        <is>
          <t>8b. University of Michigan EECS 498-007 / 598-005 - Deep Learning for Computer Vision (Justin Johnson), 22 lectures, Michigan Online</t>
        </is>
      </c>
      <c r="D1622" s="10" t="inlineStr">
        <is>
          <t>Generative Models II</t>
        </is>
      </c>
      <c r="E1622" s="10" t="inlineStr"/>
      <c r="F1622" s="11" t="inlineStr">
        <is>
          <t>1:12:47</t>
        </is>
      </c>
      <c r="G1622" s="11" t="n">
        <v>1.21</v>
      </c>
      <c r="H1622" s="12" t="inlineStr"/>
      <c r="I1622" s="11" t="inlineStr">
        <is>
          <t>Not started</t>
        </is>
      </c>
      <c r="J1622" s="13" t="n"/>
      <c r="K1622" s="10" t="inlineStr"/>
      <c r="L1622" s="14" t="inlineStr">
        <is>
          <t>▶ watch</t>
        </is>
      </c>
      <c r="M1622" s="10" t="inlineStr"/>
      <c r="N1622" s="11" t="inlineStr"/>
      <c r="O1622" s="11" t="inlineStr">
        <is>
          <t>course lecture - no single paper</t>
        </is>
      </c>
      <c r="P1622" s="10" t="inlineStr"/>
    </row>
    <row r="1623">
      <c r="A1623" s="17" t="n">
        <v>1622</v>
      </c>
      <c r="B1623" s="17" t="inlineStr">
        <is>
          <t>Part III - Upstream AI Research</t>
        </is>
      </c>
      <c r="C1623" s="18" t="inlineStr">
        <is>
          <t>8b. University of Michigan EECS 498-007 / 598-005 - Deep Learning for Computer Vision (Justin Johnson), 22 lectures, Michigan Online</t>
        </is>
      </c>
      <c r="D1623" s="10" t="inlineStr">
        <is>
          <t>Reinforcement Learning</t>
        </is>
      </c>
      <c r="E1623" s="10" t="inlineStr"/>
      <c r="F1623" s="11" t="inlineStr">
        <is>
          <t>1:11:45</t>
        </is>
      </c>
      <c r="G1623" s="11" t="n">
        <v>1.2</v>
      </c>
      <c r="H1623" s="12" t="inlineStr"/>
      <c r="I1623" s="11" t="inlineStr">
        <is>
          <t>Not started</t>
        </is>
      </c>
      <c r="J1623" s="13" t="n"/>
      <c r="K1623" s="10" t="inlineStr"/>
      <c r="L1623" s="14" t="inlineStr">
        <is>
          <t>▶ watch</t>
        </is>
      </c>
      <c r="M1623" s="10" t="inlineStr"/>
      <c r="N1623" s="11" t="inlineStr"/>
      <c r="O1623" s="11" t="inlineStr">
        <is>
          <t>course lecture - no single paper</t>
        </is>
      </c>
      <c r="P1623" s="10" t="inlineStr"/>
    </row>
    <row r="1624">
      <c r="A1624" s="17" t="n">
        <v>1623</v>
      </c>
      <c r="B1624" s="17" t="inlineStr">
        <is>
          <t>Part III - Upstream AI Research</t>
        </is>
      </c>
      <c r="C1624" s="18" t="inlineStr">
        <is>
          <t>8b. University of Michigan EECS 498-007 / 598-005 - Deep Learning for Computer Vision (Justin Johnson), 22 lectures, Michigan Online</t>
        </is>
      </c>
      <c r="D1624" s="10" t="inlineStr">
        <is>
          <t>Conclusion</t>
        </is>
      </c>
      <c r="E1624" s="10" t="inlineStr"/>
      <c r="F1624" s="11" t="inlineStr">
        <is>
          <t>1:13:28</t>
        </is>
      </c>
      <c r="G1624" s="11" t="n">
        <v>1.22</v>
      </c>
      <c r="H1624" s="12" t="inlineStr"/>
      <c r="I1624" s="11" t="inlineStr">
        <is>
          <t>Not started</t>
        </is>
      </c>
      <c r="J1624" s="13" t="n"/>
      <c r="K1624" s="10" t="inlineStr"/>
      <c r="L1624" s="14" t="inlineStr">
        <is>
          <t>▶ watch</t>
        </is>
      </c>
      <c r="M1624" s="10" t="inlineStr"/>
      <c r="N1624" s="11" t="inlineStr"/>
      <c r="O1624" s="11" t="inlineStr">
        <is>
          <t>course lecture - no single paper</t>
        </is>
      </c>
      <c r="P1624" s="10" t="inlineStr"/>
    </row>
    <row r="1625">
      <c r="A1625" s="17" t="n">
        <v>1624</v>
      </c>
      <c r="B1625" s="17" t="inlineStr">
        <is>
          <t>Part III - Upstream AI Research</t>
        </is>
      </c>
      <c r="C1625" s="18" t="inlineStr">
        <is>
          <t>8c. Supplementary graduate courses (verified, enumerate individually as needed</t>
        </is>
      </c>
      <c r="D1625" s="10" t="inlineStr">
        <is>
          <t>MIT 6.801 Machine Vision</t>
        </is>
      </c>
      <c r="E1625" s="10" t="inlineStr"/>
      <c r="F1625" s="11" t="inlineStr">
        <is>
          <t>1:19:53</t>
        </is>
      </c>
      <c r="G1625" s="11" t="n">
        <v>1.33</v>
      </c>
      <c r="H1625" s="12" t="inlineStr">
        <is>
          <t>★</t>
        </is>
      </c>
      <c r="I1625" s="11" t="inlineStr">
        <is>
          <t>Not started</t>
        </is>
      </c>
      <c r="J1625" s="13" t="n"/>
      <c r="K1625" s="10" t="inlineStr"/>
      <c r="L1625" s="14" t="inlineStr">
        <is>
          <t>▶ watch</t>
        </is>
      </c>
      <c r="M1625" s="10" t="inlineStr"/>
      <c r="N1625" s="11" t="inlineStr"/>
      <c r="O1625" s="11" t="inlineStr">
        <is>
          <t>course lecture - no single paper</t>
        </is>
      </c>
      <c r="P1625" s="10" t="inlineStr"/>
    </row>
    <row r="1626">
      <c r="A1626" s="17" t="n">
        <v>1625</v>
      </c>
      <c r="B1626" s="17" t="inlineStr">
        <is>
          <t>Part III - Upstream AI Research</t>
        </is>
      </c>
      <c r="C1626" s="18" t="inlineStr">
        <is>
          <t>D.4.1 State space models - the strongest single thread here</t>
        </is>
      </c>
      <c r="D1626" s="10" t="inlineStr">
        <is>
          <t>Efficiently Modeling Long Sequences with Structured State Spaces (S4</t>
        </is>
      </c>
      <c r="E1626" s="10" t="inlineStr">
        <is>
          <t>Albert Gu (Stanford MLSys #46</t>
        </is>
      </c>
      <c r="F1626" s="11" t="inlineStr">
        <is>
          <t>57:18</t>
        </is>
      </c>
      <c r="G1626" s="11" t="n">
        <v>0.95</v>
      </c>
      <c r="H1626" s="12" t="inlineStr">
        <is>
          <t>★</t>
        </is>
      </c>
      <c r="I1626" s="11" t="inlineStr">
        <is>
          <t>Not started</t>
        </is>
      </c>
      <c r="J1626" s="13" t="n"/>
      <c r="K1626" s="10" t="inlineStr"/>
      <c r="L1626" s="14" t="inlineStr">
        <is>
          <t>▶ watch</t>
        </is>
      </c>
      <c r="M1626" s="10" t="inlineStr">
        <is>
          <t>Gu et al. 2021, arXiv:2111.00396 (S4) · Fu et al. 2022, arXiv:2212.14052 (H3)</t>
        </is>
      </c>
      <c r="N1626" s="14" t="inlineStr">
        <is>
          <t>read ↗</t>
        </is>
      </c>
      <c r="O1626" s="11" t="inlineStr">
        <is>
          <t>section reading (2 of 4)</t>
        </is>
      </c>
      <c r="P1626" s="10" t="inlineStr"/>
    </row>
    <row r="1627">
      <c r="A1627" s="17" t="n">
        <v>1626</v>
      </c>
      <c r="B1627" s="17" t="inlineStr">
        <is>
          <t>Part III - Upstream AI Research</t>
        </is>
      </c>
      <c r="C1627" s="18" t="inlineStr">
        <is>
          <t>D.4.1 State space models - the strongest single thread here</t>
        </is>
      </c>
      <c r="D1627" s="10" t="inlineStr">
        <is>
          <t>Structured State Space Models for Deep Sequence Modeling</t>
        </is>
      </c>
      <c r="E1627" s="10" t="inlineStr">
        <is>
          <t>Albert Gu (CMU</t>
        </is>
      </c>
      <c r="F1627" s="11" t="inlineStr">
        <is>
          <t>1:04:27</t>
        </is>
      </c>
      <c r="G1627" s="11" t="n">
        <v>1.07</v>
      </c>
      <c r="H1627" s="12" t="inlineStr"/>
      <c r="I1627" s="11" t="inlineStr">
        <is>
          <t>Not started</t>
        </is>
      </c>
      <c r="J1627" s="13" t="n"/>
      <c r="K1627" s="10" t="inlineStr"/>
      <c r="L1627" s="14" t="inlineStr">
        <is>
          <t>▶ watch</t>
        </is>
      </c>
      <c r="M1627" s="10" t="inlineStr">
        <is>
          <t>Gu et al. 2021, arXiv:2111.00396 (S4) · Fu et al. 2022, arXiv:2212.14052 (H3)</t>
        </is>
      </c>
      <c r="N1627" s="14" t="inlineStr">
        <is>
          <t>read ↗</t>
        </is>
      </c>
      <c r="O1627" s="11" t="inlineStr">
        <is>
          <t>section reading (2 of 4)</t>
        </is>
      </c>
      <c r="P1627" s="10" t="inlineStr"/>
    </row>
    <row r="1628">
      <c r="A1628" s="17" t="n">
        <v>1627</v>
      </c>
      <c r="B1628" s="17" t="inlineStr">
        <is>
          <t>Part III - Upstream AI Research</t>
        </is>
      </c>
      <c r="C1628" s="18" t="inlineStr">
        <is>
          <t>D.4.1 State space models - the strongest single thread here</t>
        </is>
      </c>
      <c r="D1628" s="10" t="inlineStr">
        <is>
          <t>EPFL AI Center - SSMs for Deep Sequence Modeling</t>
        </is>
      </c>
      <c r="E1628" s="10" t="inlineStr">
        <is>
          <t>Albert Gu (EPFL</t>
        </is>
      </c>
      <c r="F1628" s="11" t="inlineStr">
        <is>
          <t>1:01:10</t>
        </is>
      </c>
      <c r="G1628" s="11" t="n">
        <v>1.02</v>
      </c>
      <c r="H1628" s="12" t="inlineStr"/>
      <c r="I1628" s="11" t="inlineStr">
        <is>
          <t>Not started</t>
        </is>
      </c>
      <c r="J1628" s="13" t="n"/>
      <c r="K1628" s="10" t="inlineStr"/>
      <c r="L1628" s="14" t="inlineStr">
        <is>
          <t>▶ watch</t>
        </is>
      </c>
      <c r="M1628" s="10" t="inlineStr">
        <is>
          <t>Gu et al. 2021, arXiv:2111.00396 (S4) · Fu et al. 2022, arXiv:2212.14052 (H3)</t>
        </is>
      </c>
      <c r="N1628" s="14" t="inlineStr">
        <is>
          <t>read ↗</t>
        </is>
      </c>
      <c r="O1628" s="11" t="inlineStr">
        <is>
          <t>section reading (2 of 4)</t>
        </is>
      </c>
      <c r="P1628" s="10" t="inlineStr"/>
    </row>
    <row r="1629">
      <c r="A1629" s="17" t="n">
        <v>1628</v>
      </c>
      <c r="B1629" s="17" t="inlineStr">
        <is>
          <t>Part III - Upstream AI Research</t>
        </is>
      </c>
      <c r="C1629" s="18" t="inlineStr">
        <is>
          <t>D.4.1 State space models - the strongest single thread here</t>
        </is>
      </c>
      <c r="D1629" s="10" t="inlineStr">
        <is>
          <t>Computational Benefits and Limitations of Transformers and SSMs</t>
        </is>
      </c>
      <c r="E1629" s="10" t="inlineStr">
        <is>
          <t>Eran Malach (Kempner, Simons</t>
        </is>
      </c>
      <c r="F1629" s="11" t="inlineStr">
        <is>
          <t>50:52</t>
        </is>
      </c>
      <c r="G1629" s="11" t="n">
        <v>0.85</v>
      </c>
      <c r="H1629" s="12" t="inlineStr">
        <is>
          <t>★</t>
        </is>
      </c>
      <c r="I1629" s="11" t="inlineStr">
        <is>
          <t>Not started</t>
        </is>
      </c>
      <c r="J1629" s="13" t="n"/>
      <c r="K1629" s="10" t="inlineStr"/>
      <c r="L1629" s="14" t="inlineStr">
        <is>
          <t>▶ watch</t>
        </is>
      </c>
      <c r="M1629" s="10" t="inlineStr">
        <is>
          <t>Gu et al. 2021, arXiv:2111.00396 (S4) · Fu et al. 2022, arXiv:2212.14052 (H3)</t>
        </is>
      </c>
      <c r="N1629" s="14" t="inlineStr">
        <is>
          <t>read ↗</t>
        </is>
      </c>
      <c r="O1629" s="11" t="inlineStr">
        <is>
          <t>section reading (2 of 4)</t>
        </is>
      </c>
      <c r="P1629" s="10" t="inlineStr">
        <is>
          <t>7.5 State space model theory; 9.4 Simons: Special Year on Large Language Models and Transformers (2023–2024</t>
        </is>
      </c>
    </row>
    <row r="1630">
      <c r="A1630" s="17" t="n">
        <v>1629</v>
      </c>
      <c r="B1630" s="17" t="inlineStr">
        <is>
          <t>Part III - Upstream AI Research</t>
        </is>
      </c>
      <c r="C1630" s="18" t="inlineStr">
        <is>
          <t>D.4.1 State space models - the strongest single thread here</t>
        </is>
      </c>
      <c r="D1630" s="10" t="inlineStr">
        <is>
          <t>Hardware-aware Algorithms for Sequence Modeling</t>
        </is>
      </c>
      <c r="E1630" s="10" t="inlineStr">
        <is>
          <t>Tri Dao (Stanford MLSys #87</t>
        </is>
      </c>
      <c r="F1630" s="11" t="inlineStr">
        <is>
          <t>1:19:06</t>
        </is>
      </c>
      <c r="G1630" s="11" t="n">
        <v>1.32</v>
      </c>
      <c r="H1630" s="12" t="inlineStr">
        <is>
          <t>★</t>
        </is>
      </c>
      <c r="I1630" s="11" t="inlineStr">
        <is>
          <t>Not started</t>
        </is>
      </c>
      <c r="J1630" s="13" t="n"/>
      <c r="K1630" s="10" t="inlineStr"/>
      <c r="L1630" s="14" t="inlineStr">
        <is>
          <t>▶ watch</t>
        </is>
      </c>
      <c r="M1630" s="10" t="inlineStr">
        <is>
          <t>Gu et al. 2021, arXiv:2111.00396 (S4) · Fu et al. 2022, arXiv:2212.14052 (H3)</t>
        </is>
      </c>
      <c r="N1630" s="14" t="inlineStr">
        <is>
          <t>read ↗</t>
        </is>
      </c>
      <c r="O1630" s="11" t="inlineStr">
        <is>
          <t>section reading (2 of 4)</t>
        </is>
      </c>
      <c r="P1630" s="10" t="inlineStr">
        <is>
          <t>E.4.1 Architecture fundamentals</t>
        </is>
      </c>
    </row>
    <row r="1631">
      <c r="A1631" s="17" t="n">
        <v>1630</v>
      </c>
      <c r="B1631" s="17" t="inlineStr">
        <is>
          <t>Part III - Upstream AI Research</t>
        </is>
      </c>
      <c r="C1631" s="18" t="inlineStr">
        <is>
          <t>D.4.1 State space models - the strongest single thread here</t>
        </is>
      </c>
      <c r="D1631" s="10" t="inlineStr">
        <is>
          <t>Model Architecture Design for Modern Hardware</t>
        </is>
      </c>
      <c r="E1631" s="10" t="inlineStr">
        <is>
          <t>Tri Dao (Kempner, Harvard</t>
        </is>
      </c>
      <c r="F1631" s="11" t="inlineStr">
        <is>
          <t>1:08:38</t>
        </is>
      </c>
      <c r="G1631" s="11" t="n">
        <v>1.14</v>
      </c>
      <c r="H1631" s="12" t="inlineStr"/>
      <c r="I1631" s="11" t="inlineStr">
        <is>
          <t>Not started</t>
        </is>
      </c>
      <c r="J1631" s="13" t="n"/>
      <c r="K1631" s="10" t="inlineStr"/>
      <c r="L1631" s="14" t="inlineStr">
        <is>
          <t>▶ watch</t>
        </is>
      </c>
      <c r="M1631" s="10" t="inlineStr">
        <is>
          <t>Gu et al. 2021, arXiv:2111.00396 (S4) · Fu et al. 2022, arXiv:2212.14052 (H3)</t>
        </is>
      </c>
      <c r="N1631" s="14" t="inlineStr">
        <is>
          <t>read ↗</t>
        </is>
      </c>
      <c r="O1631" s="11" t="inlineStr">
        <is>
          <t>section reading (2 of 4)</t>
        </is>
      </c>
      <c r="P1631" s="10" t="inlineStr"/>
    </row>
    <row r="1632">
      <c r="A1632" s="17" t="n">
        <v>1631</v>
      </c>
      <c r="B1632" s="17" t="inlineStr">
        <is>
          <t>Part III - Upstream AI Research</t>
        </is>
      </c>
      <c r="C1632" s="18" t="inlineStr">
        <is>
          <t>D.4.2 Linear attention and efficient attention</t>
        </is>
      </c>
      <c r="D1632" s="10" t="inlineStr">
        <is>
          <t>Linear Attention and Beyond (interactive tutorial</t>
        </is>
      </c>
      <c r="E1632" s="10" t="inlineStr">
        <is>
          <t>Songlin Yang (MIT), hosted by Sasha Rush</t>
        </is>
      </c>
      <c r="F1632" s="11" t="inlineStr">
        <is>
          <t>1:27:08</t>
        </is>
      </c>
      <c r="G1632" s="11" t="n">
        <v>1.45</v>
      </c>
      <c r="H1632" s="12" t="inlineStr">
        <is>
          <t>★</t>
        </is>
      </c>
      <c r="I1632" s="11" t="inlineStr">
        <is>
          <t>Not started</t>
        </is>
      </c>
      <c r="J1632" s="13" t="n"/>
      <c r="K1632" s="10" t="inlineStr"/>
      <c r="L1632" s="14" t="inlineStr">
        <is>
          <t>▶ watch</t>
        </is>
      </c>
      <c r="M1632" s="10" t="inlineStr">
        <is>
          <t>Yang et al. 2023, arXiv:2312.06635 (Gated Linear Attention) · Yang et al. 2024, arXiv:2406.06484 (DeltaNet, parallelized delta rule)</t>
        </is>
      </c>
      <c r="N1632" s="14" t="inlineStr">
        <is>
          <t>read ↗</t>
        </is>
      </c>
      <c r="O1632" s="11" t="inlineStr">
        <is>
          <t>section reading (2 of 4)</t>
        </is>
      </c>
      <c r="P1632" s="10" t="inlineStr"/>
    </row>
    <row r="1633">
      <c r="A1633" s="17" t="n">
        <v>1632</v>
      </c>
      <c r="B1633" s="17" t="inlineStr">
        <is>
          <t>Part III - Upstream AI Research</t>
        </is>
      </c>
      <c r="C1633" s="18" t="inlineStr">
        <is>
          <t>D.4.2 Linear attention and efficient attention</t>
        </is>
      </c>
      <c r="D1633" s="10" t="inlineStr">
        <is>
          <t>Understanding and Improving Efficient Language Models</t>
        </is>
      </c>
      <c r="E1633" s="10" t="inlineStr">
        <is>
          <t>Simran Arora (Stanford, Simons</t>
        </is>
      </c>
      <c r="F1633" s="11" t="inlineStr">
        <is>
          <t>46:36</t>
        </is>
      </c>
      <c r="G1633" s="11" t="n">
        <v>0.78</v>
      </c>
      <c r="H1633" s="12" t="inlineStr"/>
      <c r="I1633" s="11" t="inlineStr">
        <is>
          <t>Not started</t>
        </is>
      </c>
      <c r="J1633" s="13" t="n"/>
      <c r="K1633" s="10" t="inlineStr"/>
      <c r="L1633" s="14" t="inlineStr">
        <is>
          <t>▶ watch</t>
        </is>
      </c>
      <c r="M1633" s="10" t="inlineStr">
        <is>
          <t>Yang et al. 2023, arXiv:2312.06635 (Gated Linear Attention) · Yang et al. 2024, arXiv:2406.06484 (DeltaNet, parallelized delta rule)</t>
        </is>
      </c>
      <c r="N1633" s="14" t="inlineStr">
        <is>
          <t>read ↗</t>
        </is>
      </c>
      <c r="O1633" s="11" t="inlineStr">
        <is>
          <t>section reading (2 of 4)</t>
        </is>
      </c>
      <c r="P1633" s="10" t="inlineStr"/>
    </row>
    <row r="1634">
      <c r="A1634" s="17" t="n">
        <v>1633</v>
      </c>
      <c r="B1634" s="17" t="inlineStr">
        <is>
          <t>Part III - Upstream AI Research</t>
        </is>
      </c>
      <c r="C1634" s="18" t="inlineStr">
        <is>
          <t>D.4.2 Linear attention and efficient attention</t>
        </is>
      </c>
      <c r="D1634" s="10" t="inlineStr">
        <is>
          <t>Monarch Mixer: Making Foundation Models More Efficient</t>
        </is>
      </c>
      <c r="E1634" s="10" t="inlineStr">
        <is>
          <t>Dan Fu (Stanford MLSys #86</t>
        </is>
      </c>
      <c r="F1634" s="11" t="inlineStr">
        <is>
          <t>56:32</t>
        </is>
      </c>
      <c r="G1634" s="11" t="n">
        <v>0.9399999999999999</v>
      </c>
      <c r="H1634" s="12" t="inlineStr"/>
      <c r="I1634" s="11" t="inlineStr">
        <is>
          <t>Not started</t>
        </is>
      </c>
      <c r="J1634" s="13" t="n"/>
      <c r="K1634" s="10" t="inlineStr"/>
      <c r="L1634" s="14" t="inlineStr">
        <is>
          <t>▶ watch</t>
        </is>
      </c>
      <c r="M1634" s="10" t="inlineStr">
        <is>
          <t>Yang et al. 2023, arXiv:2312.06635 (Gated Linear Attention) · Yang et al. 2024, arXiv:2406.06484 (DeltaNet, parallelized delta rule)</t>
        </is>
      </c>
      <c r="N1634" s="14" t="inlineStr">
        <is>
          <t>read ↗</t>
        </is>
      </c>
      <c r="O1634" s="11" t="inlineStr">
        <is>
          <t>section reading (2 of 4)</t>
        </is>
      </c>
      <c r="P1634" s="10" t="inlineStr"/>
    </row>
    <row r="1635">
      <c r="A1635" s="17" t="n">
        <v>1634</v>
      </c>
      <c r="B1635" s="17" t="inlineStr">
        <is>
          <t>Part III - Upstream AI Research</t>
        </is>
      </c>
      <c r="C1635" s="18" t="inlineStr">
        <is>
          <t>D.4.2 Linear attention and efficient attention</t>
        </is>
      </c>
      <c r="D1635" s="10" t="inlineStr">
        <is>
          <t>Dynamic Short Convolutions Improve Transformers</t>
        </is>
      </c>
      <c r="E1635" s="10" t="inlineStr">
        <is>
          <t>Oliver Sieberling (Cohere Labs</t>
        </is>
      </c>
      <c r="F1635" s="11" t="inlineStr">
        <is>
          <t>43:33</t>
        </is>
      </c>
      <c r="G1635" s="11" t="n">
        <v>0.73</v>
      </c>
      <c r="H1635" s="12" t="inlineStr"/>
      <c r="I1635" s="11" t="inlineStr">
        <is>
          <t>Not started</t>
        </is>
      </c>
      <c r="J1635" s="13" t="n"/>
      <c r="K1635" s="10" t="inlineStr"/>
      <c r="L1635" s="14" t="inlineStr">
        <is>
          <t>▶ watch</t>
        </is>
      </c>
      <c r="M1635" s="10" t="inlineStr">
        <is>
          <t>Yang et al. 2023, arXiv:2312.06635 (Gated Linear Attention) · Yang et al. 2024, arXiv:2406.06484 (DeltaNet, parallelized delta rule)</t>
        </is>
      </c>
      <c r="N1635" s="14" t="inlineStr">
        <is>
          <t>read ↗</t>
        </is>
      </c>
      <c r="O1635" s="11" t="inlineStr">
        <is>
          <t>section reading (2 of 4)</t>
        </is>
      </c>
      <c r="P1635" s="10" t="inlineStr"/>
    </row>
    <row r="1636">
      <c r="A1636" s="17" t="n">
        <v>1635</v>
      </c>
      <c r="B1636" s="17" t="inlineStr">
        <is>
          <t>Part III - Upstream AI Research</t>
        </is>
      </c>
      <c r="C1636" s="18" t="inlineStr">
        <is>
          <t>D.4.2 Linear attention and efficient attention</t>
        </is>
      </c>
      <c r="D1636" s="10" t="inlineStr">
        <is>
          <t>ML Perf Reading Group 18: Kimi Delta Attention</t>
        </is>
      </c>
      <c r="E1636" s="10" t="inlineStr">
        <is>
          <t>EleutherAI</t>
        </is>
      </c>
      <c r="F1636" s="11" t="inlineStr">
        <is>
          <t>1:22:27</t>
        </is>
      </c>
      <c r="G1636" s="11" t="n">
        <v>1.37</v>
      </c>
      <c r="H1636" s="12" t="inlineStr"/>
      <c r="I1636" s="11" t="inlineStr">
        <is>
          <t>Not started</t>
        </is>
      </c>
      <c r="J1636" s="13" t="n"/>
      <c r="K1636" s="10" t="inlineStr"/>
      <c r="L1636" s="14" t="inlineStr">
        <is>
          <t>▶ watch</t>
        </is>
      </c>
      <c r="M1636" s="10" t="inlineStr">
        <is>
          <t>Yang et al. 2023, arXiv:2312.06635 (Gated Linear Attention) · Yang et al. 2024, arXiv:2406.06484 (DeltaNet, parallelized delta rule)</t>
        </is>
      </c>
      <c r="N1636" s="14" t="inlineStr">
        <is>
          <t>read ↗</t>
        </is>
      </c>
      <c r="O1636" s="11" t="inlineStr">
        <is>
          <t>section reading (2 of 4)</t>
        </is>
      </c>
      <c r="P1636" s="10" t="inlineStr"/>
    </row>
    <row r="1637">
      <c r="A1637" s="17" t="n">
        <v>1636</v>
      </c>
      <c r="B1637" s="17" t="inlineStr">
        <is>
          <t>Part III - Upstream AI Research</t>
        </is>
      </c>
      <c r="C1637" s="18" t="inlineStr">
        <is>
          <t>D.4.3 Positional encoding, normalization, tokenization</t>
        </is>
      </c>
      <c r="D1637" s="10" t="inlineStr">
        <is>
          <t>ALiBi enables transformers to handle longer inputs</t>
        </is>
      </c>
      <c r="E1637" s="10" t="inlineStr">
        <is>
          <t>Ofir Press (author</t>
        </is>
      </c>
      <c r="F1637" s="11" t="inlineStr">
        <is>
          <t>46:57</t>
        </is>
      </c>
      <c r="G1637" s="11" t="n">
        <v>0.78</v>
      </c>
      <c r="H1637" s="12" t="inlineStr">
        <is>
          <t>★</t>
        </is>
      </c>
      <c r="I1637" s="11" t="inlineStr">
        <is>
          <t>Not started</t>
        </is>
      </c>
      <c r="J1637" s="13" t="n"/>
      <c r="K1637" s="10" t="inlineStr"/>
      <c r="L1637" s="14" t="inlineStr">
        <is>
          <t>▶ watch</t>
        </is>
      </c>
      <c r="M1637" s="10" t="inlineStr">
        <is>
          <t>Press et al. 2021, arXiv:2108.12409 (ALiBi)</t>
        </is>
      </c>
      <c r="N1637" s="14" t="inlineStr">
        <is>
          <t>read ↗</t>
        </is>
      </c>
      <c r="O1637" s="11" t="inlineStr">
        <is>
          <t>names ALIBI</t>
        </is>
      </c>
      <c r="P1637" s="10" t="inlineStr"/>
    </row>
    <row r="1638">
      <c r="A1638" s="17" t="n">
        <v>1637</v>
      </c>
      <c r="B1638" s="17" t="inlineStr">
        <is>
          <t>Part III - Upstream AI Research</t>
        </is>
      </c>
      <c r="C1638" s="18" t="inlineStr">
        <is>
          <t>D.4.3 Positional encoding, normalization, tokenization</t>
        </is>
      </c>
      <c r="D1638" s="10" t="inlineStr">
        <is>
          <t>Lili Yu (author, Cognitive Revolution</t>
        </is>
      </c>
      <c r="E1638" s="10" t="inlineStr">
        <is>
          <t>Meta's MEGABYTE with Lili Yu</t>
        </is>
      </c>
      <c r="F1638" s="11" t="inlineStr">
        <is>
          <t>1:32:22</t>
        </is>
      </c>
      <c r="G1638" s="11" t="n">
        <v>1.54</v>
      </c>
      <c r="H1638" s="12" t="inlineStr"/>
      <c r="I1638" s="11" t="inlineStr">
        <is>
          <t>Not started</t>
        </is>
      </c>
      <c r="J1638" s="13" t="n"/>
      <c r="K1638" s="10" t="inlineStr"/>
      <c r="L1638" s="14" t="inlineStr">
        <is>
          <t>▶ watch</t>
        </is>
      </c>
      <c r="M1638" s="10" t="inlineStr">
        <is>
          <t>Yu et al. 2023, arXiv:2305.07185 (MEGABYTE)</t>
        </is>
      </c>
      <c r="N1638" s="14" t="inlineStr">
        <is>
          <t>read ↗</t>
        </is>
      </c>
      <c r="O1638" s="11" t="inlineStr">
        <is>
          <t>names MEGABYTE</t>
        </is>
      </c>
      <c r="P1638" s="10" t="inlineStr"/>
    </row>
    <row r="1639">
      <c r="A1639" s="17" t="n">
        <v>1638</v>
      </c>
      <c r="B1639" s="17" t="inlineStr">
        <is>
          <t>Part III - Upstream AI Research</t>
        </is>
      </c>
      <c r="C1639" s="18" t="inlineStr">
        <is>
          <t>D.4.4 Mixture of experts</t>
        </is>
      </c>
      <c r="D1639" s="10" t="inlineStr">
        <is>
          <t>Switch Transformers: Scaling to Trillion Parameter Models</t>
        </is>
      </c>
      <c r="E1639" s="10" t="inlineStr">
        <is>
          <t>Barret Zoph (KUIS AI</t>
        </is>
      </c>
      <c r="F1639" s="11" t="inlineStr">
        <is>
          <t>55:54</t>
        </is>
      </c>
      <c r="G1639" s="11" t="n">
        <v>0.93</v>
      </c>
      <c r="H1639" s="12" t="inlineStr">
        <is>
          <t>★</t>
        </is>
      </c>
      <c r="I1639" s="11" t="inlineStr">
        <is>
          <t>Not started</t>
        </is>
      </c>
      <c r="J1639" s="13" t="n"/>
      <c r="K1639" s="10" t="inlineStr"/>
      <c r="L1639" s="14" t="inlineStr">
        <is>
          <t>▶ watch</t>
        </is>
      </c>
      <c r="M1639" s="10" t="inlineStr">
        <is>
          <t>Fedus et al. 2022, JMLR 23:120 (Switch Transformer) · Zoph et al. 2022, arXiv:2202.08906 (ST-MoE)</t>
        </is>
      </c>
      <c r="N1639" s="14" t="inlineStr">
        <is>
          <t>read ↗</t>
        </is>
      </c>
      <c r="O1639" s="11" t="inlineStr">
        <is>
          <t>section reading (2 of 5)</t>
        </is>
      </c>
      <c r="P1639" s="10" t="inlineStr"/>
    </row>
    <row r="1640">
      <c r="A1640" s="17" t="n">
        <v>1639</v>
      </c>
      <c r="B1640" s="17" t="inlineStr">
        <is>
          <t>Part III - Upstream AI Research</t>
        </is>
      </c>
      <c r="C1640" s="18" t="inlineStr">
        <is>
          <t>D.4.4 Mixture of experts</t>
        </is>
      </c>
      <c r="D1640" s="10" t="inlineStr">
        <is>
          <t>Sparse Expert Models - with the authors</t>
        </is>
      </c>
      <c r="E1640" s="10" t="inlineStr">
        <is>
          <t>Zoph &amp; Fedus</t>
        </is>
      </c>
      <c r="F1640" s="11" t="inlineStr">
        <is>
          <t>58:22</t>
        </is>
      </c>
      <c r="G1640" s="11" t="n">
        <v>0.97</v>
      </c>
      <c r="H1640" s="12" t="inlineStr">
        <is>
          <t>★</t>
        </is>
      </c>
      <c r="I1640" s="11" t="inlineStr">
        <is>
          <t>Not started</t>
        </is>
      </c>
      <c r="J1640" s="13" t="n"/>
      <c r="K1640" s="10" t="inlineStr"/>
      <c r="L1640" s="14" t="inlineStr">
        <is>
          <t>▶ watch</t>
        </is>
      </c>
      <c r="M1640" s="10" t="inlineStr">
        <is>
          <t>Fedus et al. 2022, JMLR 23:120</t>
        </is>
      </c>
      <c r="N1640" s="14" t="inlineStr">
        <is>
          <t>read ↗</t>
        </is>
      </c>
      <c r="O1640" s="11" t="inlineStr">
        <is>
          <t>paired reading</t>
        </is>
      </c>
      <c r="P1640" s="10" t="inlineStr"/>
    </row>
    <row r="1641">
      <c r="A1641" s="17" t="n">
        <v>1640</v>
      </c>
      <c r="B1641" s="17" t="inlineStr">
        <is>
          <t>Part III - Upstream AI Research</t>
        </is>
      </c>
      <c r="C1641" s="18" t="inlineStr">
        <is>
          <t>D.4.4 Mixture of experts</t>
        </is>
      </c>
      <c r="D1641" s="10" t="inlineStr">
        <is>
          <t>Zoph &amp; Fedus (Google Brain</t>
        </is>
      </c>
      <c r="E1641" s="10" t="inlineStr">
        <is>
          <t>MIAI Deeptails Seminar</t>
        </is>
      </c>
      <c r="F1641" s="11" t="inlineStr">
        <is>
          <t>1:11:39</t>
        </is>
      </c>
      <c r="G1641" s="11" t="n">
        <v>1.19</v>
      </c>
      <c r="H1641" s="12" t="inlineStr"/>
      <c r="I1641" s="11" t="inlineStr">
        <is>
          <t>Not started</t>
        </is>
      </c>
      <c r="J1641" s="13" t="n"/>
      <c r="K1641" s="10" t="inlineStr"/>
      <c r="L1641" s="14" t="inlineStr">
        <is>
          <t>▶ watch</t>
        </is>
      </c>
      <c r="M1641" s="10" t="inlineStr">
        <is>
          <t>Fedus et al. 2022, JMLR 23:120 (Switch Transformer) · Zoph et al. 2022, arXiv:2202.08906 (ST-MoE)</t>
        </is>
      </c>
      <c r="N1641" s="14" t="inlineStr">
        <is>
          <t>read ↗</t>
        </is>
      </c>
      <c r="O1641" s="11" t="inlineStr">
        <is>
          <t>section reading (2 of 5)</t>
        </is>
      </c>
      <c r="P1641" s="10" t="inlineStr"/>
    </row>
    <row r="1642">
      <c r="A1642" s="17" t="n">
        <v>1641</v>
      </c>
      <c r="B1642" s="17" t="inlineStr">
        <is>
          <t>Part III - Upstream AI Research</t>
        </is>
      </c>
      <c r="C1642" s="18" t="inlineStr">
        <is>
          <t>D.4.4 Mixture of experts</t>
        </is>
      </c>
      <c r="D1642" s="10" t="inlineStr">
        <is>
          <t>CS25 V1 - MoE and the Switch Transformer</t>
        </is>
      </c>
      <c r="E1642" s="10" t="inlineStr">
        <is>
          <t>Stanford (speaker not in metadata</t>
        </is>
      </c>
      <c r="F1642" s="11" t="inlineStr">
        <is>
          <t>1:05:44</t>
        </is>
      </c>
      <c r="G1642" s="11" t="n">
        <v>1.1</v>
      </c>
      <c r="H1642" s="12" t="inlineStr"/>
      <c r="I1642" s="11" t="inlineStr">
        <is>
          <t>Not started</t>
        </is>
      </c>
      <c r="J1642" s="13" t="n"/>
      <c r="K1642" s="10" t="inlineStr"/>
      <c r="L1642" s="14" t="inlineStr">
        <is>
          <t>▶ watch</t>
        </is>
      </c>
      <c r="M1642" s="10" t="inlineStr">
        <is>
          <t>Zoph et al. 2022, arXiv:2202.08906 (ST-MoE)</t>
        </is>
      </c>
      <c r="N1642" s="14" t="inlineStr">
        <is>
          <t>read ↗</t>
        </is>
      </c>
      <c r="O1642" s="11" t="inlineStr">
        <is>
          <t>names MOE</t>
        </is>
      </c>
      <c r="P1642" s="10" t="inlineStr"/>
    </row>
    <row r="1643">
      <c r="A1643" s="17" t="n">
        <v>1642</v>
      </c>
      <c r="B1643" s="17" t="inlineStr">
        <is>
          <t>Part III - Upstream AI Research</t>
        </is>
      </c>
      <c r="C1643" s="18" t="inlineStr">
        <is>
          <t>D.4.4 Mixture of experts</t>
        </is>
      </c>
      <c r="D1643" s="10" t="inlineStr">
        <is>
          <t>CS25 V4 - Demystifying Mixtral of Experts</t>
        </is>
      </c>
      <c r="E1643" s="10" t="inlineStr">
        <is>
          <t>Albert Jiang (Mistral/Cambridge</t>
        </is>
      </c>
      <c r="F1643" s="11" t="inlineStr">
        <is>
          <t>1:04:31</t>
        </is>
      </c>
      <c r="G1643" s="11" t="n">
        <v>1.08</v>
      </c>
      <c r="H1643" s="12" t="inlineStr"/>
      <c r="I1643" s="11" t="inlineStr">
        <is>
          <t>Not started</t>
        </is>
      </c>
      <c r="J1643" s="13" t="n"/>
      <c r="K1643" s="10" t="inlineStr"/>
      <c r="L1643" s="14" t="inlineStr">
        <is>
          <t>▶ watch</t>
        </is>
      </c>
      <c r="M1643" s="10" t="inlineStr">
        <is>
          <t>Fedus et al. 2022, JMLR 23:120 (Switch Transformer) · Zoph et al. 2022, arXiv:2202.08906 (ST-MoE)</t>
        </is>
      </c>
      <c r="N1643" s="14" t="inlineStr">
        <is>
          <t>read ↗</t>
        </is>
      </c>
      <c r="O1643" s="11" t="inlineStr">
        <is>
          <t>section reading (2 of 5)</t>
        </is>
      </c>
      <c r="P1643" s="10" t="inlineStr"/>
    </row>
    <row r="1644">
      <c r="A1644" s="17" t="n">
        <v>1643</v>
      </c>
      <c r="B1644" s="17" t="inlineStr">
        <is>
          <t>Part III - Upstream AI Research</t>
        </is>
      </c>
      <c r="C1644" s="18" t="inlineStr">
        <is>
          <t>D.4.4 Mixture of experts</t>
        </is>
      </c>
      <c r="D1644" s="10" t="inlineStr">
        <is>
          <t>CS336 2025 Lecture 4: Mixture of experts</t>
        </is>
      </c>
      <c r="E1644" s="10" t="inlineStr">
        <is>
          <t>Stanford</t>
        </is>
      </c>
      <c r="F1644" s="11" t="inlineStr">
        <is>
          <t>1:22:04</t>
        </is>
      </c>
      <c r="G1644" s="11" t="n">
        <v>1.37</v>
      </c>
      <c r="H1644" s="12" t="inlineStr">
        <is>
          <t>★</t>
        </is>
      </c>
      <c r="I1644" s="11" t="inlineStr">
        <is>
          <t>Not started</t>
        </is>
      </c>
      <c r="J1644" s="13" t="n"/>
      <c r="K1644" s="10" t="inlineStr"/>
      <c r="L1644" s="14" t="inlineStr">
        <is>
          <t>▶ watch</t>
        </is>
      </c>
      <c r="M1644" s="10" t="inlineStr">
        <is>
          <t>Fedus et al. 2022, JMLR 23:120 (Switch Transformer) · Zoph et al. 2022, arXiv:2202.08906 (ST-MoE)</t>
        </is>
      </c>
      <c r="N1644" s="14" t="inlineStr">
        <is>
          <t>read ↗</t>
        </is>
      </c>
      <c r="O1644" s="11" t="inlineStr">
        <is>
          <t>section reading (2 of 5)</t>
        </is>
      </c>
      <c r="P1644" s="10" t="inlineStr"/>
    </row>
    <row r="1645">
      <c r="A1645" s="17" t="n">
        <v>1644</v>
      </c>
      <c r="B1645" s="17" t="inlineStr">
        <is>
          <t>Part III - Upstream AI Research</t>
        </is>
      </c>
      <c r="C1645" s="18" t="inlineStr">
        <is>
          <t>D.4.4 Mixture of experts</t>
        </is>
      </c>
      <c r="D1645" s="10" t="inlineStr">
        <is>
          <t>ML Perf Reading Group 15: Megablocks</t>
        </is>
      </c>
      <c r="E1645" s="10" t="inlineStr">
        <is>
          <t>EleutherAI</t>
        </is>
      </c>
      <c r="F1645" s="11" t="inlineStr">
        <is>
          <t>1:00:30</t>
        </is>
      </c>
      <c r="G1645" s="11" t="n">
        <v>1.01</v>
      </c>
      <c r="H1645" s="12" t="inlineStr"/>
      <c r="I1645" s="11" t="inlineStr">
        <is>
          <t>Not started</t>
        </is>
      </c>
      <c r="J1645" s="13" t="n"/>
      <c r="K1645" s="10" t="inlineStr"/>
      <c r="L1645" s="14" t="inlineStr">
        <is>
          <t>▶ watch</t>
        </is>
      </c>
      <c r="M1645" s="10" t="inlineStr">
        <is>
          <t>Fedus et al. 2022, JMLR 23:120 (Switch Transformer) · Zoph et al. 2022, arXiv:2202.08906 (ST-MoE)</t>
        </is>
      </c>
      <c r="N1645" s="14" t="inlineStr">
        <is>
          <t>read ↗</t>
        </is>
      </c>
      <c r="O1645" s="11" t="inlineStr">
        <is>
          <t>section reading (2 of 5)</t>
        </is>
      </c>
      <c r="P1645" s="10" t="inlineStr"/>
    </row>
    <row r="1646">
      <c r="A1646" s="17" t="n">
        <v>1645</v>
      </c>
      <c r="B1646" s="17" t="inlineStr">
        <is>
          <t>Part III - Upstream AI Research</t>
        </is>
      </c>
      <c r="C1646" s="18" t="inlineStr">
        <is>
          <t>D.4.4 Mixture of experts</t>
        </is>
      </c>
      <c r="D1646" s="10" t="inlineStr">
        <is>
          <t>ML Perf Reading Group 17: MXFP8 Training for MoEs</t>
        </is>
      </c>
      <c r="E1646" s="10" t="inlineStr">
        <is>
          <t>EleutherAI</t>
        </is>
      </c>
      <c r="F1646" s="11" t="inlineStr">
        <is>
          <t>37:12</t>
        </is>
      </c>
      <c r="G1646" s="11" t="n">
        <v>0.62</v>
      </c>
      <c r="H1646" s="12" t="inlineStr"/>
      <c r="I1646" s="11" t="inlineStr">
        <is>
          <t>Not started</t>
        </is>
      </c>
      <c r="J1646" s="13" t="n"/>
      <c r="K1646" s="10" t="inlineStr"/>
      <c r="L1646" s="14" t="inlineStr">
        <is>
          <t>▶ watch</t>
        </is>
      </c>
      <c r="M1646" s="10" t="inlineStr">
        <is>
          <t>Fedus et al. 2022, JMLR 23:120 (Switch Transformer) · Zoph et al. 2022, arXiv:2202.08906 (ST-MoE)</t>
        </is>
      </c>
      <c r="N1646" s="14" t="inlineStr">
        <is>
          <t>read ↗</t>
        </is>
      </c>
      <c r="O1646" s="11" t="inlineStr">
        <is>
          <t>section reading (2 of 5)</t>
        </is>
      </c>
      <c r="P1646" s="10" t="inlineStr"/>
    </row>
    <row r="1647">
      <c r="A1647" s="17" t="n">
        <v>1646</v>
      </c>
      <c r="B1647" s="17" t="inlineStr">
        <is>
          <t>Part III - Upstream AI Research</t>
        </is>
      </c>
      <c r="C1647" s="18" t="inlineStr">
        <is>
          <t>D.4.5 Long context</t>
        </is>
      </c>
      <c r="D1647" s="10" t="inlineStr">
        <is>
          <t>The Frontier between Retrieval-augmented and Long-context LMs</t>
        </is>
      </c>
      <c r="E1647" s="10" t="inlineStr">
        <is>
          <t>Danqi Chen (Princeton, Simons</t>
        </is>
      </c>
      <c r="F1647" s="11" t="inlineStr">
        <is>
          <t>59:30</t>
        </is>
      </c>
      <c r="G1647" s="11" t="n">
        <v>0.99</v>
      </c>
      <c r="H1647" s="12" t="inlineStr">
        <is>
          <t>★</t>
        </is>
      </c>
      <c r="I1647" s="11" t="inlineStr">
        <is>
          <t>Not started</t>
        </is>
      </c>
      <c r="J1647" s="13" t="n"/>
      <c r="K1647" s="10" t="inlineStr"/>
      <c r="L1647" s="14" t="inlineStr">
        <is>
          <t>▶ watch</t>
        </is>
      </c>
      <c r="M1647" s="10" t="inlineStr">
        <is>
          <t>Liu et al. 2023, arXiv:2310.01889 (Ring Attention) · Yuan et al. 2025, arXiv:2502.11089 (Native Sparse Attention)</t>
        </is>
      </c>
      <c r="N1647" s="14" t="inlineStr">
        <is>
          <t>read ↗</t>
        </is>
      </c>
      <c r="O1647" s="11" t="inlineStr">
        <is>
          <t>section reading (2 of 4)</t>
        </is>
      </c>
      <c r="P1647" s="10" t="inlineStr"/>
    </row>
    <row r="1648">
      <c r="A1648" s="17" t="n">
        <v>1647</v>
      </c>
      <c r="B1648" s="17" t="inlineStr">
        <is>
          <t>Part III - Upstream AI Research</t>
        </is>
      </c>
      <c r="C1648" s="18" t="inlineStr">
        <is>
          <t>D.4.5 Long context</t>
        </is>
      </c>
      <c r="D1648" s="10" t="inlineStr">
        <is>
          <t>ML Perf Reading Group 4: Ring Attention</t>
        </is>
      </c>
      <c r="E1648" s="10" t="inlineStr">
        <is>
          <t>EleutherAI</t>
        </is>
      </c>
      <c r="F1648" s="11" t="inlineStr">
        <is>
          <t>48:20</t>
        </is>
      </c>
      <c r="G1648" s="11" t="n">
        <v>0.8100000000000001</v>
      </c>
      <c r="H1648" s="12" t="inlineStr"/>
      <c r="I1648" s="11" t="inlineStr">
        <is>
          <t>Not started</t>
        </is>
      </c>
      <c r="J1648" s="13" t="n"/>
      <c r="K1648" s="10" t="inlineStr"/>
      <c r="L1648" s="14" t="inlineStr">
        <is>
          <t>▶ watch</t>
        </is>
      </c>
      <c r="M1648" s="10" t="inlineStr">
        <is>
          <t>Liu et al. 2023, arXiv:2310.01889 (Ring Attention) · Yuan et al. 2025, arXiv:2502.11089 (Native Sparse Attention)</t>
        </is>
      </c>
      <c r="N1648" s="14" t="inlineStr">
        <is>
          <t>read ↗</t>
        </is>
      </c>
      <c r="O1648" s="11" t="inlineStr">
        <is>
          <t>section reading (2 of 4)</t>
        </is>
      </c>
      <c r="P1648" s="10" t="inlineStr"/>
    </row>
    <row r="1649">
      <c r="A1649" s="17" t="n">
        <v>1648</v>
      </c>
      <c r="B1649" s="17" t="inlineStr">
        <is>
          <t>Part III - Upstream AI Research</t>
        </is>
      </c>
      <c r="C1649" s="18" t="inlineStr">
        <is>
          <t>D.4.5 Long context</t>
        </is>
      </c>
      <c r="D1649" s="10" t="inlineStr">
        <is>
          <t>GPU MODE Lecture 13: Ring Attention</t>
        </is>
      </c>
      <c r="E1649" s="10" t="inlineStr">
        <is>
          <t>GPU MODE</t>
        </is>
      </c>
      <c r="F1649" s="11" t="inlineStr">
        <is>
          <t>1:15:35</t>
        </is>
      </c>
      <c r="G1649" s="11" t="n">
        <v>1.26</v>
      </c>
      <c r="H1649" s="12" t="inlineStr"/>
      <c r="I1649" s="11" t="inlineStr">
        <is>
          <t>Not started</t>
        </is>
      </c>
      <c r="J1649" s="13" t="n"/>
      <c r="K1649" s="10" t="inlineStr"/>
      <c r="L1649" s="14" t="inlineStr">
        <is>
          <t>▶ watch</t>
        </is>
      </c>
      <c r="M1649" s="10" t="inlineStr">
        <is>
          <t>Liu et al. 2023, arXiv:2310.01889 (Ring Attention) · Yuan et al. 2025, arXiv:2502.11089 (Native Sparse Attention)</t>
        </is>
      </c>
      <c r="N1649" s="14" t="inlineStr">
        <is>
          <t>read ↗</t>
        </is>
      </c>
      <c r="O1649" s="11" t="inlineStr">
        <is>
          <t>section reading (2 of 4)</t>
        </is>
      </c>
      <c r="P1649" s="10" t="inlineStr">
        <is>
          <t>E.4.3 GPU MODE - 116 lectures, enumerated</t>
        </is>
      </c>
    </row>
    <row r="1650">
      <c r="A1650" s="17" t="n">
        <v>1649</v>
      </c>
      <c r="B1650" s="17" t="inlineStr">
        <is>
          <t>Part III - Upstream AI Research</t>
        </is>
      </c>
      <c r="C1650" s="18" t="inlineStr">
        <is>
          <t>D.4.5 Long context</t>
        </is>
      </c>
      <c r="D1650" s="10" t="inlineStr">
        <is>
          <t>ML Perf Reading Group 20: Native Sparse Attention</t>
        </is>
      </c>
      <c r="E1650" s="10" t="inlineStr">
        <is>
          <t>EleutherAI</t>
        </is>
      </c>
      <c r="F1650" s="11" t="inlineStr">
        <is>
          <t>59:24</t>
        </is>
      </c>
      <c r="G1650" s="11" t="n">
        <v>0.99</v>
      </c>
      <c r="H1650" s="12" t="inlineStr"/>
      <c r="I1650" s="11" t="inlineStr">
        <is>
          <t>Not started</t>
        </is>
      </c>
      <c r="J1650" s="13" t="n"/>
      <c r="K1650" s="10" t="inlineStr"/>
      <c r="L1650" s="14" t="inlineStr">
        <is>
          <t>▶ watch</t>
        </is>
      </c>
      <c r="M1650" s="10" t="inlineStr">
        <is>
          <t>Liu et al. 2023, arXiv:2310.01889 (Ring Attention) · Yuan et al. 2025, arXiv:2502.11089 (Native Sparse Attention)</t>
        </is>
      </c>
      <c r="N1650" s="14" t="inlineStr">
        <is>
          <t>read ↗</t>
        </is>
      </c>
      <c r="O1650" s="11" t="inlineStr">
        <is>
          <t>section reading (2 of 4)</t>
        </is>
      </c>
      <c r="P1650" s="10" t="inlineStr"/>
    </row>
    <row r="1651">
      <c r="A1651" s="17" t="n">
        <v>1650</v>
      </c>
      <c r="B1651" s="17" t="inlineStr">
        <is>
          <t>Part III - Upstream AI Research</t>
        </is>
      </c>
      <c r="C1651" s="18" t="inlineStr">
        <is>
          <t>D.4.5 Long context</t>
        </is>
      </c>
      <c r="D1651" s="10" t="inlineStr">
        <is>
          <t>CMU Advanced NLP (13): Long Sequence Models</t>
        </is>
      </c>
      <c r="E1651" s="10" t="inlineStr">
        <is>
          <t>Graham Neubig</t>
        </is>
      </c>
      <c r="F1651" s="11" t="inlineStr">
        <is>
          <t>57:11</t>
        </is>
      </c>
      <c r="G1651" s="11" t="n">
        <v>0.95</v>
      </c>
      <c r="H1651" s="12" t="inlineStr"/>
      <c r="I1651" s="11" t="inlineStr">
        <is>
          <t>Not started</t>
        </is>
      </c>
      <c r="J1651" s="13" t="n"/>
      <c r="K1651" s="10" t="inlineStr"/>
      <c r="L1651" s="14" t="inlineStr">
        <is>
          <t>▶ watch</t>
        </is>
      </c>
      <c r="M1651" s="10" t="inlineStr">
        <is>
          <t>Liu et al. 2023, arXiv:2310.01889 (Ring Attention) · Yuan et al. 2025, arXiv:2502.11089 (Native Sparse Attention)</t>
        </is>
      </c>
      <c r="N1651" s="14" t="inlineStr">
        <is>
          <t>read ↗</t>
        </is>
      </c>
      <c r="O1651" s="11" t="inlineStr">
        <is>
          <t>section reading (2 of 4)</t>
        </is>
      </c>
      <c r="P1651" s="10" t="inlineStr"/>
    </row>
    <row r="1652">
      <c r="A1652" s="17" t="n">
        <v>1651</v>
      </c>
      <c r="B1652" s="17" t="inlineStr">
        <is>
          <t>Part III - Upstream AI Research</t>
        </is>
      </c>
      <c r="C1652" s="18" t="inlineStr">
        <is>
          <t>D.4.6 Diffusion language models</t>
        </is>
      </c>
      <c r="D1652" s="10" t="inlineStr">
        <is>
          <t>How to Build a Modern Diffusion Language Model</t>
        </is>
      </c>
      <c r="E1652" s="10" t="inlineStr">
        <is>
          <t>Volodymyr Kuleshov (Cornell, Simons</t>
        </is>
      </c>
      <c r="F1652" s="11" t="inlineStr">
        <is>
          <t>48:40</t>
        </is>
      </c>
      <c r="G1652" s="11" t="n">
        <v>0.8100000000000001</v>
      </c>
      <c r="H1652" s="12" t="inlineStr">
        <is>
          <t>★</t>
        </is>
      </c>
      <c r="I1652" s="11" t="inlineStr">
        <is>
          <t>Not started</t>
        </is>
      </c>
      <c r="J1652" s="13" t="n"/>
      <c r="K1652" s="10" t="inlineStr"/>
      <c r="L1652" s="14" t="inlineStr">
        <is>
          <t>▶ watch</t>
        </is>
      </c>
      <c r="M1652" s="10" t="inlineStr">
        <is>
          <t>Lou et al. 2024, ICML, arXiv:2310.16834 (SEDD - score entropy) · Sahoo et al. 2024, NeurIPS (MDLM)</t>
        </is>
      </c>
      <c r="N1652" s="14" t="inlineStr">
        <is>
          <t>read ↗</t>
        </is>
      </c>
      <c r="O1652" s="11" t="inlineStr">
        <is>
          <t>section reading (2 of 4)</t>
        </is>
      </c>
      <c r="P1652" s="10" t="inlineStr"/>
    </row>
    <row r="1653">
      <c r="A1653" s="17" t="n">
        <v>1652</v>
      </c>
      <c r="B1653" s="17" t="inlineStr">
        <is>
          <t>Part III - Upstream AI Research</t>
        </is>
      </c>
      <c r="C1653" s="18" t="inlineStr">
        <is>
          <t>D.4.6 Diffusion language models</t>
        </is>
      </c>
      <c r="D1653" s="10" t="inlineStr">
        <is>
          <t>Advancing Diffusion Models for Text Generation</t>
        </is>
      </c>
      <c r="E1653" s="10" t="inlineStr">
        <is>
          <t>Kilian Weinberger (Cornell, Simons</t>
        </is>
      </c>
      <c r="F1653" s="11" t="inlineStr">
        <is>
          <t>1:01:50</t>
        </is>
      </c>
      <c r="G1653" s="11" t="n">
        <v>1.03</v>
      </c>
      <c r="H1653" s="12" t="inlineStr"/>
      <c r="I1653" s="11" t="inlineStr">
        <is>
          <t>Not started</t>
        </is>
      </c>
      <c r="J1653" s="13" t="n"/>
      <c r="K1653" s="10" t="inlineStr"/>
      <c r="L1653" s="14" t="inlineStr">
        <is>
          <t>▶ watch</t>
        </is>
      </c>
      <c r="M1653" s="10" t="inlineStr">
        <is>
          <t>Lou et al. 2024, ICML, arXiv:2310.16834 (SEDD - score entropy) · Sahoo et al. 2024, NeurIPS (MDLM)</t>
        </is>
      </c>
      <c r="N1653" s="14" t="inlineStr">
        <is>
          <t>read ↗</t>
        </is>
      </c>
      <c r="O1653" s="11" t="inlineStr">
        <is>
          <t>section reading (2 of 4)</t>
        </is>
      </c>
      <c r="P1653" s="10" t="inlineStr"/>
    </row>
    <row r="1654">
      <c r="A1654" s="17" t="n">
        <v>1653</v>
      </c>
      <c r="B1654" s="17" t="inlineStr">
        <is>
          <t>Part III - Upstream AI Research</t>
        </is>
      </c>
      <c r="C1654" s="18" t="inlineStr">
        <is>
          <t>D.4.6 Diffusion language models</t>
        </is>
      </c>
      <c r="D1654" s="10" t="inlineStr">
        <is>
          <t>Unlocking Lossless Speedups via Discrete Diffusion</t>
        </is>
      </c>
      <c r="E1654" s="10" t="inlineStr">
        <is>
          <t>Subham Sahoo (Cohere Labs</t>
        </is>
      </c>
      <c r="F1654" s="11" t="inlineStr">
        <is>
          <t>1:09:04</t>
        </is>
      </c>
      <c r="G1654" s="11" t="n">
        <v>1.15</v>
      </c>
      <c r="H1654" s="12" t="inlineStr"/>
      <c r="I1654" s="11" t="inlineStr">
        <is>
          <t>Not started</t>
        </is>
      </c>
      <c r="J1654" s="13" t="n"/>
      <c r="K1654" s="10" t="inlineStr"/>
      <c r="L1654" s="14" t="inlineStr">
        <is>
          <t>▶ watch</t>
        </is>
      </c>
      <c r="M1654" s="10" t="inlineStr">
        <is>
          <t>Lou et al. 2024, ICML, arXiv:2310.16834 (SEDD - score entropy) · Sahoo et al. 2024, NeurIPS (MDLM)</t>
        </is>
      </c>
      <c r="N1654" s="14" t="inlineStr">
        <is>
          <t>read ↗</t>
        </is>
      </c>
      <c r="O1654" s="11" t="inlineStr">
        <is>
          <t>section reading (2 of 4)</t>
        </is>
      </c>
      <c r="P1654" s="10" t="inlineStr"/>
    </row>
    <row r="1655">
      <c r="A1655" s="17" t="n">
        <v>1654</v>
      </c>
      <c r="B1655" s="17" t="inlineStr">
        <is>
          <t>Part III - Upstream AI Research</t>
        </is>
      </c>
      <c r="C1655" s="18" t="inlineStr">
        <is>
          <t>D.4.6 Diffusion language models</t>
        </is>
      </c>
      <c r="D1655" s="10" t="inlineStr">
        <is>
          <t>Diffusion LLM &amp; Why the Future Won't Be Autoregressive</t>
        </is>
      </c>
      <c r="E1655" s="10" t="inlineStr">
        <is>
          <t>Stefano Ermon (Stanford/Inception</t>
        </is>
      </c>
      <c r="F1655" s="11" t="inlineStr">
        <is>
          <t>49:18</t>
        </is>
      </c>
      <c r="G1655" s="11" t="n">
        <v>0.82</v>
      </c>
      <c r="H1655" s="12" t="inlineStr"/>
      <c r="I1655" s="11" t="inlineStr">
        <is>
          <t>Not started</t>
        </is>
      </c>
      <c r="J1655" s="13" t="n"/>
      <c r="K1655" s="10" t="inlineStr"/>
      <c r="L1655" s="14" t="inlineStr">
        <is>
          <t>▶ watch</t>
        </is>
      </c>
      <c r="M1655" s="10" t="inlineStr">
        <is>
          <t>Lou et al. 2024, ICML, arXiv:2310.16834 (SEDD - score entropy) · Sahoo et al. 2024, NeurIPS (MDLM)</t>
        </is>
      </c>
      <c r="N1655" s="14" t="inlineStr">
        <is>
          <t>read ↗</t>
        </is>
      </c>
      <c r="O1655" s="11" t="inlineStr">
        <is>
          <t>section reading (2 of 4)</t>
        </is>
      </c>
      <c r="P1655" s="10" t="inlineStr"/>
    </row>
    <row r="1656">
      <c r="A1656" s="17" t="n">
        <v>1655</v>
      </c>
      <c r="B1656" s="17" t="inlineStr">
        <is>
          <t>Part III - Upstream AI Research</t>
        </is>
      </c>
      <c r="C1656" s="18" t="inlineStr">
        <is>
          <t>D.4.6 Diffusion language models</t>
        </is>
      </c>
      <c r="D1656" s="10" t="inlineStr">
        <is>
          <t>Discrete diffusion by estimating ratios of the data distribution</t>
        </is>
      </c>
      <c r="E1656" s="10" t="inlineStr">
        <is>
          <t>Generative Memory Lab</t>
        </is>
      </c>
      <c r="F1656" s="11" t="inlineStr">
        <is>
          <t>1:20:34</t>
        </is>
      </c>
      <c r="G1656" s="11" t="n">
        <v>1.34</v>
      </c>
      <c r="H1656" s="12" t="inlineStr"/>
      <c r="I1656" s="11" t="inlineStr">
        <is>
          <t>Not started</t>
        </is>
      </c>
      <c r="J1656" s="13" t="n"/>
      <c r="K1656" s="10" t="inlineStr"/>
      <c r="L1656" s="14" t="inlineStr">
        <is>
          <t>▶ watch</t>
        </is>
      </c>
      <c r="M1656" s="10" t="inlineStr">
        <is>
          <t>Lou et al. 2024, ICML, arXiv:2310.16834 (SEDD - score entropy) · Sahoo et al. 2024, NeurIPS (MDLM)</t>
        </is>
      </c>
      <c r="N1656" s="14" t="inlineStr">
        <is>
          <t>read ↗</t>
        </is>
      </c>
      <c r="O1656" s="11" t="inlineStr">
        <is>
          <t>section reading (2 of 4)</t>
        </is>
      </c>
      <c r="P1656" s="10" t="inlineStr"/>
    </row>
    <row r="1657">
      <c r="A1657" s="17" t="n">
        <v>1656</v>
      </c>
      <c r="B1657" s="17" t="inlineStr">
        <is>
          <t>Part III - Upstream AI Research</t>
        </is>
      </c>
      <c r="C1657" s="18" t="inlineStr">
        <is>
          <t>D.4.7 RWKV, Hyena, xLSTM - the other attention alternatives</t>
        </is>
      </c>
      <c r="D1657" s="10" t="inlineStr">
        <is>
          <t>How RWKV-7 "Goose" and Its Linear Inference Work</t>
        </is>
      </c>
      <c r="E1657" s="10" t="inlineStr">
        <is>
          <t>Eugene Cheah (author, Oxen AI</t>
        </is>
      </c>
      <c r="F1657" s="11" t="inlineStr">
        <is>
          <t>1:11:16</t>
        </is>
      </c>
      <c r="G1657" s="11" t="n">
        <v>1.19</v>
      </c>
      <c r="H1657" s="12" t="inlineStr"/>
      <c r="I1657" s="11" t="inlineStr">
        <is>
          <t>Not started</t>
        </is>
      </c>
      <c r="J1657" s="13" t="n"/>
      <c r="K1657" s="10" t="inlineStr"/>
      <c r="L1657" s="14" t="inlineStr">
        <is>
          <t>▶ watch</t>
        </is>
      </c>
      <c r="M1657" s="10" t="inlineStr">
        <is>
          <t>Peng et al. 2023, arXiv:2305.13048 (RWKV)</t>
        </is>
      </c>
      <c r="N1657" s="14" t="inlineStr">
        <is>
          <t>read ↗</t>
        </is>
      </c>
      <c r="O1657" s="11" t="inlineStr">
        <is>
          <t>names RWKV</t>
        </is>
      </c>
      <c r="P1657" s="10" t="inlineStr"/>
    </row>
    <row r="1658">
      <c r="A1658" s="17" t="n">
        <v>1657</v>
      </c>
      <c r="B1658" s="17" t="inlineStr">
        <is>
          <t>Part III - Upstream AI Research</t>
        </is>
      </c>
      <c r="C1658" s="18" t="inlineStr">
        <is>
          <t>D.4.7 RWKV, Hyena, xLSTM - the other attention alternatives</t>
        </is>
      </c>
      <c r="D1658" s="10" t="inlineStr">
        <is>
          <t>Beyond Transformers - Intro to RWKV</t>
        </is>
      </c>
      <c r="E1658" s="10" t="inlineStr">
        <is>
          <t>Cheah &amp; Vanderbyl (Linux Foundation</t>
        </is>
      </c>
      <c r="F1658" s="11" t="inlineStr">
        <is>
          <t>34:16</t>
        </is>
      </c>
      <c r="G1658" s="11" t="n">
        <v>0.57</v>
      </c>
      <c r="H1658" s="12" t="inlineStr"/>
      <c r="I1658" s="11" t="inlineStr">
        <is>
          <t>Not started</t>
        </is>
      </c>
      <c r="J1658" s="13" t="n"/>
      <c r="K1658" s="10" t="inlineStr"/>
      <c r="L1658" s="14" t="inlineStr">
        <is>
          <t>▶ watch</t>
        </is>
      </c>
      <c r="M1658" s="10" t="inlineStr">
        <is>
          <t>Peng et al. 2023, arXiv:2305.13048 (RWKV)</t>
        </is>
      </c>
      <c r="N1658" s="14" t="inlineStr">
        <is>
          <t>read ↗</t>
        </is>
      </c>
      <c r="O1658" s="11" t="inlineStr">
        <is>
          <t>names RWKV</t>
        </is>
      </c>
      <c r="P1658" s="10" t="inlineStr"/>
    </row>
    <row r="1659">
      <c r="A1659" s="17" t="n">
        <v>1658</v>
      </c>
      <c r="B1659" s="17" t="inlineStr">
        <is>
          <t>Part III - Upstream AI Research</t>
        </is>
      </c>
      <c r="C1659" s="18" t="inlineStr">
        <is>
          <t>D.4.7 RWKV, Hyena, xLSTM - the other attention alternatives</t>
        </is>
      </c>
      <c r="D1659" s="10" t="inlineStr">
        <is>
          <t>xLSTM: New Architectures for LLMs</t>
        </is>
      </c>
      <c r="E1659" s="10" t="inlineStr">
        <is>
          <t>Sepp Hochreiter (SCIoI</t>
        </is>
      </c>
      <c r="F1659" s="11" t="inlineStr">
        <is>
          <t>1:25:38</t>
        </is>
      </c>
      <c r="G1659" s="11" t="n">
        <v>1.43</v>
      </c>
      <c r="H1659" s="12" t="inlineStr">
        <is>
          <t>★</t>
        </is>
      </c>
      <c r="I1659" s="11" t="inlineStr">
        <is>
          <t>Not started</t>
        </is>
      </c>
      <c r="J1659" s="13" t="n"/>
      <c r="K1659" s="10" t="inlineStr"/>
      <c r="L1659" s="14" t="inlineStr">
        <is>
          <t>▶ watch</t>
        </is>
      </c>
      <c r="M1659" s="10" t="inlineStr">
        <is>
          <t>Beck et al. 2024, arXiv:2405.04517 (xLSTM)</t>
        </is>
      </c>
      <c r="N1659" s="14" t="inlineStr">
        <is>
          <t>read ↗</t>
        </is>
      </c>
      <c r="O1659" s="11" t="inlineStr">
        <is>
          <t>names XLSTM</t>
        </is>
      </c>
      <c r="P1659" s="10" t="inlineStr"/>
    </row>
    <row r="1660">
      <c r="A1660" s="17" t="n">
        <v>1659</v>
      </c>
      <c r="B1660" s="17" t="inlineStr">
        <is>
          <t>Part III - Upstream AI Research</t>
        </is>
      </c>
      <c r="C1660" s="18" t="inlineStr">
        <is>
          <t>D.4.7 RWKV, Hyena, xLSTM - the other attention alternatives</t>
        </is>
      </c>
      <c r="D1660" s="10" t="inlineStr">
        <is>
          <t>LSTM: The Comeback Story?</t>
        </is>
      </c>
      <c r="E1660" s="10" t="inlineStr">
        <is>
          <t>Hochreiter (MLST</t>
        </is>
      </c>
      <c r="F1660" s="11" t="inlineStr">
        <is>
          <t>1:07:02</t>
        </is>
      </c>
      <c r="G1660" s="11" t="n">
        <v>1.12</v>
      </c>
      <c r="H1660" s="12" t="inlineStr"/>
      <c r="I1660" s="11" t="inlineStr">
        <is>
          <t>Not started</t>
        </is>
      </c>
      <c r="J1660" s="13" t="n"/>
      <c r="K1660" s="10" t="inlineStr"/>
      <c r="L1660" s="14" t="inlineStr">
        <is>
          <t>▶ watch</t>
        </is>
      </c>
      <c r="M1660" s="10" t="inlineStr">
        <is>
          <t>Peng et al. 2023, arXiv:2305.13048 (RWKV) · Peng et al. 2025, arXiv:2503.14456 (RWKV-7)</t>
        </is>
      </c>
      <c r="N1660" s="14" t="inlineStr">
        <is>
          <t>read ↗</t>
        </is>
      </c>
      <c r="O1660" s="11" t="inlineStr">
        <is>
          <t>section reading (2 of 5)</t>
        </is>
      </c>
      <c r="P1660" s="10" t="inlineStr"/>
    </row>
    <row r="1661">
      <c r="A1661" s="17" t="n">
        <v>1660</v>
      </c>
      <c r="B1661" s="17" t="inlineStr">
        <is>
          <t>Part III - Upstream AI Research</t>
        </is>
      </c>
      <c r="C1661" s="18" t="inlineStr">
        <is>
          <t>D.4.7 RWKV, Hyena, xLSTM - the other attention alternatives</t>
        </is>
      </c>
      <c r="D1661" s="10" t="inlineStr">
        <is>
          <t>HyenaDNA: Long-Range Genomic Sequence Modeling</t>
        </is>
      </c>
      <c r="E1661" s="10" t="inlineStr">
        <is>
          <t>Eric Nguyen (Valence</t>
        </is>
      </c>
      <c r="F1661" s="11" t="inlineStr">
        <is>
          <t>1:20:38</t>
        </is>
      </c>
      <c r="G1661" s="11" t="n">
        <v>1.34</v>
      </c>
      <c r="H1661" s="12" t="inlineStr">
        <is>
          <t>★</t>
        </is>
      </c>
      <c r="I1661" s="11" t="inlineStr">
        <is>
          <t>Not started</t>
        </is>
      </c>
      <c r="J1661" s="13" t="n"/>
      <c r="K1661" s="10" t="inlineStr"/>
      <c r="L1661" s="14" t="inlineStr">
        <is>
          <t>▶ watch</t>
        </is>
      </c>
      <c r="M1661" s="10" t="inlineStr">
        <is>
          <t>Nguyen et al. 2023, NeurIPS, arXiv:2306.15794 (HyenaDNA)</t>
        </is>
      </c>
      <c r="N1661" s="14" t="inlineStr">
        <is>
          <t>read ↗</t>
        </is>
      </c>
      <c r="O1661" s="11" t="inlineStr">
        <is>
          <t>names HYENADNA</t>
        </is>
      </c>
      <c r="P1661" s="10" t="inlineStr"/>
    </row>
    <row r="1662">
      <c r="A1662" s="17" t="n">
        <v>1661</v>
      </c>
      <c r="B1662" s="17" t="inlineStr">
        <is>
          <t>Part III - Upstream AI Research</t>
        </is>
      </c>
      <c r="C1662" s="18" t="inlineStr">
        <is>
          <t>D.4.7 RWKV, Hyena, xLSTM - the other attention alternatives</t>
        </is>
      </c>
      <c r="D1662" s="10" t="inlineStr">
        <is>
          <t>Tri Dao and Michael Poli on the future of LLM architectures</t>
        </is>
      </c>
      <c r="E1662" s="10" t="inlineStr">
        <is>
          <t>Interconnects</t>
        </is>
      </c>
      <c r="F1662" s="11" t="inlineStr">
        <is>
          <t>36:51</t>
        </is>
      </c>
      <c r="G1662" s="11" t="n">
        <v>0.61</v>
      </c>
      <c r="H1662" s="12" t="inlineStr"/>
      <c r="I1662" s="11" t="inlineStr">
        <is>
          <t>Not started</t>
        </is>
      </c>
      <c r="J1662" s="13" t="n"/>
      <c r="K1662" s="10" t="inlineStr"/>
      <c r="L1662" s="14" t="inlineStr">
        <is>
          <t>▶ watch</t>
        </is>
      </c>
      <c r="M1662" s="10" t="inlineStr">
        <is>
          <t>Peng et al. 2023, arXiv:2305.13048 (RWKV) · Peng et al. 2025, arXiv:2503.14456 (RWKV-7)</t>
        </is>
      </c>
      <c r="N1662" s="14" t="inlineStr">
        <is>
          <t>read ↗</t>
        </is>
      </c>
      <c r="O1662" s="11" t="inlineStr">
        <is>
          <t>section reading (2 of 5)</t>
        </is>
      </c>
      <c r="P1662" s="10" t="inlineStr"/>
    </row>
    <row r="1663">
      <c r="A1663" s="17" t="n">
        <v>1662</v>
      </c>
      <c r="B1663" s="17" t="inlineStr">
        <is>
          <t>Part III - Upstream AI Research</t>
        </is>
      </c>
      <c r="C1663" s="18" t="inlineStr">
        <is>
          <t>D.5.1 FlashAttention and IO-aware algorithms</t>
        </is>
      </c>
      <c r="D1663" s="10" t="inlineStr">
        <is>
          <t>Tri Dao (Stanford MLSys #67</t>
        </is>
      </c>
      <c r="E1663" s="10" t="inlineStr">
        <is>
          <t>FlashAttention</t>
        </is>
      </c>
      <c r="F1663" s="11" t="inlineStr">
        <is>
          <t>58:58</t>
        </is>
      </c>
      <c r="G1663" s="11" t="n">
        <v>0.98</v>
      </c>
      <c r="H1663" s="12" t="inlineStr">
        <is>
          <t>★</t>
        </is>
      </c>
      <c r="I1663" s="11" t="inlineStr">
        <is>
          <t>Not started</t>
        </is>
      </c>
      <c r="J1663" s="13" t="n"/>
      <c r="K1663" s="10" t="inlineStr"/>
      <c r="L1663" s="14" t="inlineStr">
        <is>
          <t>▶ watch</t>
        </is>
      </c>
      <c r="M1663" s="10" t="inlineStr">
        <is>
          <t>Dao et al. 2022, NeurIPS, arXiv:2205.14135 (FlashAttention)</t>
        </is>
      </c>
      <c r="N1663" s="14" t="inlineStr">
        <is>
          <t>read ↗</t>
        </is>
      </c>
      <c r="O1663" s="11" t="inlineStr">
        <is>
          <t>names FLASHATTENTION</t>
        </is>
      </c>
      <c r="P1663" s="10" t="inlineStr"/>
    </row>
    <row r="1664">
      <c r="A1664" s="17" t="n">
        <v>1663</v>
      </c>
      <c r="B1664" s="17" t="inlineStr">
        <is>
          <t>Part III - Upstream AI Research</t>
        </is>
      </c>
      <c r="C1664" s="18" t="inlineStr">
        <is>
          <t>D.5.1 FlashAttention and IO-aware algorithms</t>
        </is>
      </c>
      <c r="D1664" s="10" t="inlineStr">
        <is>
          <t>Hardware-aware Algorithms for Language Modeling</t>
        </is>
      </c>
      <c r="E1664" s="10" t="inlineStr">
        <is>
          <t>Tri Dao (ETH SPCL</t>
        </is>
      </c>
      <c r="F1664" s="11" t="inlineStr">
        <is>
          <t>1:05:15</t>
        </is>
      </c>
      <c r="G1664" s="11" t="n">
        <v>1.09</v>
      </c>
      <c r="H1664" s="12" t="inlineStr">
        <is>
          <t>★</t>
        </is>
      </c>
      <c r="I1664" s="11" t="inlineStr">
        <is>
          <t>Not started</t>
        </is>
      </c>
      <c r="J1664" s="13" t="n"/>
      <c r="K1664" s="10" t="inlineStr"/>
      <c r="L1664" s="14" t="inlineStr">
        <is>
          <t>▶ watch</t>
        </is>
      </c>
      <c r="M1664" s="10" t="inlineStr">
        <is>
          <t>Dao et al. 2022, NeurIPS, arXiv:2205.14135 (FlashAttention) · Dao 2023, arXiv:2307.08691 (FA-2)</t>
        </is>
      </c>
      <c r="N1664" s="14" t="inlineStr">
        <is>
          <t>read ↗</t>
        </is>
      </c>
      <c r="O1664" s="11" t="inlineStr">
        <is>
          <t>section reading (2 of 5)</t>
        </is>
      </c>
      <c r="P1664" s="10" t="inlineStr"/>
    </row>
    <row r="1665">
      <c r="A1665" s="17" t="n">
        <v>1664</v>
      </c>
      <c r="B1665" s="17" t="inlineStr">
        <is>
          <t>Part III - Upstream AI Research</t>
        </is>
      </c>
      <c r="C1665" s="18" t="inlineStr">
        <is>
          <t>D.5.1 FlashAttention and IO-aware algorithms</t>
        </is>
      </c>
      <c r="D1665" s="10" t="inlineStr">
        <is>
          <t>Optimizing attention for modern hardware</t>
        </is>
      </c>
      <c r="E1665" s="10" t="inlineStr">
        <is>
          <t>Tri Dao (Princeton/Together</t>
        </is>
      </c>
      <c r="F1665" s="11" t="inlineStr">
        <is>
          <t>35:45</t>
        </is>
      </c>
      <c r="G1665" s="11" t="n">
        <v>0.6</v>
      </c>
      <c r="H1665" s="12" t="inlineStr"/>
      <c r="I1665" s="11" t="inlineStr">
        <is>
          <t>Not started</t>
        </is>
      </c>
      <c r="J1665" s="13" t="n"/>
      <c r="K1665" s="10" t="inlineStr"/>
      <c r="L1665" s="14" t="inlineStr">
        <is>
          <t>▶ watch</t>
        </is>
      </c>
      <c r="M1665" s="10" t="inlineStr">
        <is>
          <t>Dao et al. 2022, NeurIPS, arXiv:2205.14135 (FlashAttention) · Dao 2023, arXiv:2307.08691 (FA-2)</t>
        </is>
      </c>
      <c r="N1665" s="14" t="inlineStr">
        <is>
          <t>read ↗</t>
        </is>
      </c>
      <c r="O1665" s="11" t="inlineStr">
        <is>
          <t>section reading (2 of 5)</t>
        </is>
      </c>
      <c r="P1665" s="10" t="inlineStr"/>
    </row>
    <row r="1666">
      <c r="A1666" s="17" t="n">
        <v>1665</v>
      </c>
      <c r="B1666" s="17" t="inlineStr">
        <is>
          <t>Part III - Upstream AI Research</t>
        </is>
      </c>
      <c r="C1666" s="18" t="inlineStr">
        <is>
          <t>D.5.1 FlashAttention and IO-aware algorithms</t>
        </is>
      </c>
      <c r="D1666" s="10" t="inlineStr">
        <is>
          <t>GPU MODE Lecture 12: Flash Attention</t>
        </is>
      </c>
      <c r="E1666" s="10" t="inlineStr">
        <is>
          <t>GPU MODE</t>
        </is>
      </c>
      <c r="F1666" s="11" t="inlineStr">
        <is>
          <t>1:12:14</t>
        </is>
      </c>
      <c r="G1666" s="11" t="n">
        <v>1.2</v>
      </c>
      <c r="H1666" s="12" t="inlineStr">
        <is>
          <t>★</t>
        </is>
      </c>
      <c r="I1666" s="11" t="inlineStr">
        <is>
          <t>Not started</t>
        </is>
      </c>
      <c r="J1666" s="13" t="n"/>
      <c r="K1666" s="10" t="inlineStr"/>
      <c r="L1666" s="14" t="inlineStr">
        <is>
          <t>▶ watch</t>
        </is>
      </c>
      <c r="M1666" s="10" t="inlineStr">
        <is>
          <t>Dao et al. 2022, NeurIPS, arXiv:2205.14135 (FlashAttention) · Dao 2023, arXiv:2307.08691 (FA-2)</t>
        </is>
      </c>
      <c r="N1666" s="14" t="inlineStr">
        <is>
          <t>read ↗</t>
        </is>
      </c>
      <c r="O1666" s="11" t="inlineStr">
        <is>
          <t>section reading (2 of 5)</t>
        </is>
      </c>
      <c r="P1666" s="10" t="inlineStr">
        <is>
          <t>E.4.3 GPU MODE - 116 lectures, enumerated</t>
        </is>
      </c>
    </row>
    <row r="1667">
      <c r="A1667" s="17" t="n">
        <v>1666</v>
      </c>
      <c r="B1667" s="17" t="inlineStr">
        <is>
          <t>Part III - Upstream AI Research</t>
        </is>
      </c>
      <c r="C1667" s="18" t="inlineStr">
        <is>
          <t>D.5.1 FlashAttention and IO-aware algorithms</t>
        </is>
      </c>
      <c r="D1667" s="10" t="inlineStr">
        <is>
          <t>GPU MODE Lecture 36: CUTLASS and Flash Attention 3</t>
        </is>
      </c>
      <c r="E1667" s="10" t="inlineStr">
        <is>
          <t>Jay Shah (FA-3 co-author</t>
        </is>
      </c>
      <c r="F1667" s="11" t="inlineStr">
        <is>
          <t>1:49:15</t>
        </is>
      </c>
      <c r="G1667" s="11" t="n">
        <v>1.82</v>
      </c>
      <c r="H1667" s="12" t="inlineStr">
        <is>
          <t>★</t>
        </is>
      </c>
      <c r="I1667" s="11" t="inlineStr">
        <is>
          <t>Not started</t>
        </is>
      </c>
      <c r="J1667" s="13" t="n"/>
      <c r="K1667" s="10" t="inlineStr"/>
      <c r="L1667" s="14" t="inlineStr">
        <is>
          <t>▶ watch</t>
        </is>
      </c>
      <c r="M1667" s="10" t="inlineStr">
        <is>
          <t>Dao et al. 2022, NeurIPS, arXiv:2205.14135 (FlashAttention) · Dao 2023, arXiv:2307.08691 (FA-2)</t>
        </is>
      </c>
      <c r="N1667" s="14" t="inlineStr">
        <is>
          <t>read ↗</t>
        </is>
      </c>
      <c r="O1667" s="11" t="inlineStr">
        <is>
          <t>section reading (2 of 5)</t>
        </is>
      </c>
      <c r="P1667" s="10" t="inlineStr">
        <is>
          <t>E.4.3 GPU MODE - 116 lectures, enumerated; E.4.5 CUTLASS and CuTe</t>
        </is>
      </c>
    </row>
    <row r="1668">
      <c r="A1668" s="17" t="n">
        <v>1667</v>
      </c>
      <c r="B1668" s="17" t="inlineStr">
        <is>
          <t>Part III - Upstream AI Research</t>
        </is>
      </c>
      <c r="C1668" s="18" t="inlineStr">
        <is>
          <t>D.5.1 FlashAttention and IO-aware algorithms</t>
        </is>
      </c>
      <c r="D1668" s="10" t="inlineStr">
        <is>
          <t>GPU MODE Lecture 80: How FlashAttention 4 Works</t>
        </is>
      </c>
      <c r="E1668" s="10" t="inlineStr">
        <is>
          <t>Charles Frye</t>
        </is>
      </c>
      <c r="F1668" s="11" t="inlineStr">
        <is>
          <t>1:15:09</t>
        </is>
      </c>
      <c r="G1668" s="11" t="n">
        <v>1.25</v>
      </c>
      <c r="H1668" s="12" t="inlineStr">
        <is>
          <t>★</t>
        </is>
      </c>
      <c r="I1668" s="11" t="inlineStr">
        <is>
          <t>Not started</t>
        </is>
      </c>
      <c r="J1668" s="13" t="n"/>
      <c r="K1668" s="10" t="inlineStr"/>
      <c r="L1668" s="14" t="inlineStr">
        <is>
          <t>▶ watch</t>
        </is>
      </c>
      <c r="M1668" s="10" t="inlineStr">
        <is>
          <t>Dao et al. 2022, NeurIPS, arXiv:2205.14135 (FlashAttention)</t>
        </is>
      </c>
      <c r="N1668" s="14" t="inlineStr">
        <is>
          <t>read ↗</t>
        </is>
      </c>
      <c r="O1668" s="11" t="inlineStr">
        <is>
          <t>names FLASHATTENTION</t>
        </is>
      </c>
      <c r="P1668" s="10" t="inlineStr">
        <is>
          <t>E.4.3 GPU MODE - 116 lectures, enumerated; E.4.5 CUTLASS and CuTe</t>
        </is>
      </c>
    </row>
    <row r="1669">
      <c r="A1669" s="17" t="n">
        <v>1668</v>
      </c>
      <c r="B1669" s="17" t="inlineStr">
        <is>
          <t>Part III - Upstream AI Research</t>
        </is>
      </c>
      <c r="C1669" s="18" t="inlineStr">
        <is>
          <t>D.5.1 FlashAttention and IO-aware algorithms</t>
        </is>
      </c>
      <c r="D1669" s="10" t="inlineStr">
        <is>
          <t>Ted Zadouri (GPU MODE</t>
        </is>
      </c>
      <c r="E1669" s="10" t="inlineStr">
        <is>
          <t>FlashAttention-4</t>
        </is>
      </c>
      <c r="F1669" s="11" t="inlineStr">
        <is>
          <t>46:23</t>
        </is>
      </c>
      <c r="G1669" s="11" t="n">
        <v>0.77</v>
      </c>
      <c r="H1669" s="12" t="inlineStr"/>
      <c r="I1669" s="11" t="inlineStr">
        <is>
          <t>Not started</t>
        </is>
      </c>
      <c r="J1669" s="13" t="n"/>
      <c r="K1669" s="10" t="inlineStr"/>
      <c r="L1669" s="14" t="inlineStr">
        <is>
          <t>▶ watch</t>
        </is>
      </c>
      <c r="M1669" s="10" t="inlineStr">
        <is>
          <t>Dao et al. 2022, NeurIPS, arXiv:2205.14135 (FlashAttention)</t>
        </is>
      </c>
      <c r="N1669" s="14" t="inlineStr">
        <is>
          <t>read ↗</t>
        </is>
      </c>
      <c r="O1669" s="11" t="inlineStr">
        <is>
          <t>names FLASHATTENTION</t>
        </is>
      </c>
      <c r="P1669" s="10" t="inlineStr"/>
    </row>
    <row r="1670">
      <c r="A1670" s="17" t="n">
        <v>1669</v>
      </c>
      <c r="B1670" s="17" t="inlineStr">
        <is>
          <t>Part III - Upstream AI Research</t>
        </is>
      </c>
      <c r="C1670" s="18" t="inlineStr">
        <is>
          <t>D.5.1 FlashAttention and IO-aware algorithms</t>
        </is>
      </c>
      <c r="D1670" s="10" t="inlineStr">
        <is>
          <t>ML Perf Reading Group 2: Flash Attention</t>
        </is>
      </c>
      <c r="E1670" s="10" t="inlineStr">
        <is>
          <t>EleutherAI</t>
        </is>
      </c>
      <c r="F1670" s="11" t="inlineStr">
        <is>
          <t>1:14:21</t>
        </is>
      </c>
      <c r="G1670" s="11" t="n">
        <v>1.24</v>
      </c>
      <c r="H1670" s="12" t="inlineStr"/>
      <c r="I1670" s="11" t="inlineStr">
        <is>
          <t>Not started</t>
        </is>
      </c>
      <c r="J1670" s="13" t="n"/>
      <c r="K1670" s="10" t="inlineStr"/>
      <c r="L1670" s="14" t="inlineStr">
        <is>
          <t>▶ watch</t>
        </is>
      </c>
      <c r="M1670" s="10" t="inlineStr">
        <is>
          <t>Dao et al. 2022, NeurIPS, arXiv:2205.14135 (FlashAttention) · Dao 2023, arXiv:2307.08691 (FA-2)</t>
        </is>
      </c>
      <c r="N1670" s="14" t="inlineStr">
        <is>
          <t>read ↗</t>
        </is>
      </c>
      <c r="O1670" s="11" t="inlineStr">
        <is>
          <t>section reading (2 of 5)</t>
        </is>
      </c>
      <c r="P1670" s="10" t="inlineStr"/>
    </row>
    <row r="1671">
      <c r="A1671" s="17" t="n">
        <v>1670</v>
      </c>
      <c r="B1671" s="17" t="inlineStr">
        <is>
          <t>Part III - Upstream AI Research</t>
        </is>
      </c>
      <c r="C1671" s="18" t="inlineStr">
        <is>
          <t>D.5.1 FlashAttention and IO-aware algorithms</t>
        </is>
      </c>
      <c r="D1671" s="10" t="inlineStr">
        <is>
          <t>ML Perf Reading Group 24: Flash Attention 4</t>
        </is>
      </c>
      <c r="E1671" s="10" t="inlineStr">
        <is>
          <t>EleutherAI</t>
        </is>
      </c>
      <c r="F1671" s="11" t="inlineStr">
        <is>
          <t>1:05:20</t>
        </is>
      </c>
      <c r="G1671" s="11" t="n">
        <v>1.09</v>
      </c>
      <c r="H1671" s="12" t="inlineStr"/>
      <c r="I1671" s="11" t="inlineStr">
        <is>
          <t>Not started</t>
        </is>
      </c>
      <c r="J1671" s="13" t="n"/>
      <c r="K1671" s="10" t="inlineStr"/>
      <c r="L1671" s="14" t="inlineStr">
        <is>
          <t>▶ watch</t>
        </is>
      </c>
      <c r="M1671" s="10" t="inlineStr">
        <is>
          <t>Dao et al. 2022, NeurIPS, arXiv:2205.14135 (FlashAttention) · Dao 2023, arXiv:2307.08691 (FA-2)</t>
        </is>
      </c>
      <c r="N1671" s="14" t="inlineStr">
        <is>
          <t>read ↗</t>
        </is>
      </c>
      <c r="O1671" s="11" t="inlineStr">
        <is>
          <t>section reading (2 of 5)</t>
        </is>
      </c>
      <c r="P1671" s="10" t="inlineStr"/>
    </row>
    <row r="1672">
      <c r="A1672" s="17" t="n">
        <v>1671</v>
      </c>
      <c r="B1672" s="17" t="inlineStr">
        <is>
          <t>Part III - Upstream AI Research</t>
        </is>
      </c>
      <c r="C1672" s="18" t="inlineStr">
        <is>
          <t>D.5.1 FlashAttention and IO-aware algorithms</t>
        </is>
      </c>
      <c r="D1672" s="10" t="inlineStr">
        <is>
          <t>Stanford MLSys / Hazy Research</t>
        </is>
      </c>
      <c r="E1672" s="10" t="inlineStr">
        <is>
          <t>ThunderKittens goes live</t>
        </is>
      </c>
      <c r="F1672" s="11" t="inlineStr">
        <is>
          <t>1:14:55</t>
        </is>
      </c>
      <c r="G1672" s="11" t="n">
        <v>1.25</v>
      </c>
      <c r="H1672" s="12" t="inlineStr"/>
      <c r="I1672" s="11" t="inlineStr">
        <is>
          <t>Not started</t>
        </is>
      </c>
      <c r="J1672" s="13" t="n"/>
      <c r="K1672" s="10" t="inlineStr"/>
      <c r="L1672" s="14" t="inlineStr">
        <is>
          <t>▶ watch</t>
        </is>
      </c>
      <c r="M1672" s="10" t="inlineStr">
        <is>
          <t>Dao et al. 2022, NeurIPS, arXiv:2205.14135 (FlashAttention) · Dao 2023, arXiv:2307.08691 (FA-2)</t>
        </is>
      </c>
      <c r="N1672" s="14" t="inlineStr">
        <is>
          <t>read ↗</t>
        </is>
      </c>
      <c r="O1672" s="11" t="inlineStr">
        <is>
          <t>section reading (2 of 5)</t>
        </is>
      </c>
      <c r="P1672" s="10" t="inlineStr"/>
    </row>
    <row r="1673">
      <c r="A1673" s="17" t="n">
        <v>1672</v>
      </c>
      <c r="B1673" s="17" t="inlineStr">
        <is>
          <t>Part III - Upstream AI Research</t>
        </is>
      </c>
      <c r="C1673" s="18" t="inlineStr">
        <is>
          <t>D.5.1 FlashAttention and IO-aware algorithms</t>
        </is>
      </c>
      <c r="D1673" s="10" t="inlineStr">
        <is>
          <t>Benjamin Spector (Stanford MLSys #88</t>
        </is>
      </c>
      <c r="E1673" s="10" t="inlineStr">
        <is>
          <t>Notes on AI Hardware</t>
        </is>
      </c>
      <c r="F1673" s="11" t="inlineStr">
        <is>
          <t>1:16:48</t>
        </is>
      </c>
      <c r="G1673" s="11" t="n">
        <v>1.28</v>
      </c>
      <c r="H1673" s="12" t="inlineStr">
        <is>
          <t>★</t>
        </is>
      </c>
      <c r="I1673" s="11" t="inlineStr">
        <is>
          <t>Not started</t>
        </is>
      </c>
      <c r="J1673" s="13" t="n"/>
      <c r="K1673" s="10" t="inlineStr"/>
      <c r="L1673" s="14" t="inlineStr">
        <is>
          <t>▶ watch</t>
        </is>
      </c>
      <c r="M1673" s="10" t="inlineStr">
        <is>
          <t>Dao et al. 2022, NeurIPS, arXiv:2205.14135 (FlashAttention) · Dao 2023, arXiv:2307.08691 (FA-2)</t>
        </is>
      </c>
      <c r="N1673" s="14" t="inlineStr">
        <is>
          <t>read ↗</t>
        </is>
      </c>
      <c r="O1673" s="11" t="inlineStr">
        <is>
          <t>section reading (2 of 5)</t>
        </is>
      </c>
      <c r="P1673" s="10" t="inlineStr">
        <is>
          <t>E.4.1 Architecture fundamentals</t>
        </is>
      </c>
    </row>
    <row r="1674">
      <c r="A1674" s="17" t="n">
        <v>1673</v>
      </c>
      <c r="B1674" s="17" t="inlineStr">
        <is>
          <t>Part III - Upstream AI Research</t>
        </is>
      </c>
      <c r="C1674" s="18" t="inlineStr">
        <is>
          <t>D.5.2 Parallelism and distributed training</t>
        </is>
      </c>
      <c r="D1674" s="10" t="inlineStr">
        <is>
          <t>Deepak Narayanan (Stanford MLSys #83</t>
        </is>
      </c>
      <c r="E1674" s="10" t="inlineStr">
        <is>
          <t>Training LLMs at Scale</t>
        </is>
      </c>
      <c r="F1674" s="11" t="inlineStr">
        <is>
          <t>55:59</t>
        </is>
      </c>
      <c r="G1674" s="11" t="n">
        <v>0.93</v>
      </c>
      <c r="H1674" s="12" t="inlineStr">
        <is>
          <t>★</t>
        </is>
      </c>
      <c r="I1674" s="11" t="inlineStr">
        <is>
          <t>Not started</t>
        </is>
      </c>
      <c r="J1674" s="13" t="n"/>
      <c r="K1674" s="10" t="inlineStr"/>
      <c r="L1674" s="14" t="inlineStr">
        <is>
          <t>▶ watch</t>
        </is>
      </c>
      <c r="M1674" s="10" t="inlineStr">
        <is>
          <t>Narayanan et al. 2021, SC'21, arXiv:2104.04473 (Megatron-LM) · Rajbhandari et al. 2020, SC'20, arXiv:1910.02054 (ZeRO)</t>
        </is>
      </c>
      <c r="N1674" s="14" t="inlineStr">
        <is>
          <t>read ↗</t>
        </is>
      </c>
      <c r="O1674" s="11" t="inlineStr">
        <is>
          <t>section reading (2 of 4)</t>
        </is>
      </c>
      <c r="P1674" s="10" t="inlineStr"/>
    </row>
    <row r="1675">
      <c r="A1675" s="17" t="n">
        <v>1674</v>
      </c>
      <c r="B1675" s="17" t="inlineStr">
        <is>
          <t>Part III - Upstream AI Research</t>
        </is>
      </c>
      <c r="C1675" s="18" t="inlineStr">
        <is>
          <t>D.5.2 Parallelism and distributed training</t>
        </is>
      </c>
      <c r="D1675" s="10" t="inlineStr">
        <is>
          <t>Efficient Large-Scale Training with Megatron-LM</t>
        </is>
      </c>
      <c r="E1675" s="10" t="inlineStr">
        <is>
          <t>Jared Casper (NVIDIA</t>
        </is>
      </c>
      <c r="F1675" s="11" t="inlineStr">
        <is>
          <t>24:03</t>
        </is>
      </c>
      <c r="G1675" s="11" t="n">
        <v>0.4</v>
      </c>
      <c r="H1675" s="12" t="inlineStr"/>
      <c r="I1675" s="11" t="inlineStr">
        <is>
          <t>Not started</t>
        </is>
      </c>
      <c r="J1675" s="13" t="n"/>
      <c r="K1675" s="10" t="inlineStr"/>
      <c r="L1675" s="14" t="inlineStr">
        <is>
          <t>▶ watch</t>
        </is>
      </c>
      <c r="M1675" s="10" t="inlineStr">
        <is>
          <t>Narayanan et al. 2021, SC'21, arXiv:2104.04473 (Megatron-LM) · Rajbhandari et al. 2020, SC'20, arXiv:1910.02054 (ZeRO)</t>
        </is>
      </c>
      <c r="N1675" s="14" t="inlineStr">
        <is>
          <t>read ↗</t>
        </is>
      </c>
      <c r="O1675" s="11" t="inlineStr">
        <is>
          <t>section reading (2 of 4)</t>
        </is>
      </c>
      <c r="P1675" s="10" t="inlineStr"/>
    </row>
    <row r="1676">
      <c r="A1676" s="17" t="n">
        <v>1675</v>
      </c>
      <c r="B1676" s="17" t="inlineStr">
        <is>
          <t>Part III - Upstream AI Research</t>
        </is>
      </c>
      <c r="C1676" s="18" t="inlineStr">
        <is>
          <t>D.5.2 Parallelism and distributed training</t>
        </is>
      </c>
      <c r="D1676" s="10" t="inlineStr">
        <is>
          <t>GPU MODE Lecture 48: The Ultra Scale Playbook</t>
        </is>
      </c>
      <c r="E1676" s="10" t="inlineStr">
        <is>
          <t>Nouamane Tazi (Hugging Face</t>
        </is>
      </c>
      <c r="F1676" s="11" t="inlineStr">
        <is>
          <t>3:03:48</t>
        </is>
      </c>
      <c r="G1676" s="11" t="n">
        <v>3.06</v>
      </c>
      <c r="H1676" s="12" t="inlineStr">
        <is>
          <t>★</t>
        </is>
      </c>
      <c r="I1676" s="11" t="inlineStr">
        <is>
          <t>Not started</t>
        </is>
      </c>
      <c r="J1676" s="13" t="n"/>
      <c r="K1676" s="10" t="inlineStr"/>
      <c r="L1676" s="14" t="inlineStr">
        <is>
          <t>▶ watch</t>
        </is>
      </c>
      <c r="M1676" s="10" t="inlineStr">
        <is>
          <t>Narayanan et al. 2021, SC'21, arXiv:2104.04473 (Megatron-LM) · Rajbhandari et al. 2020, SC'20, arXiv:1910.02054 (ZeRO)</t>
        </is>
      </c>
      <c r="N1676" s="14" t="inlineStr">
        <is>
          <t>read ↗</t>
        </is>
      </c>
      <c r="O1676" s="11" t="inlineStr">
        <is>
          <t>section reading (2 of 4)</t>
        </is>
      </c>
      <c r="P1676" s="10" t="inlineStr">
        <is>
          <t>E.4.3 GPU MODE - 116 lectures, enumerated</t>
        </is>
      </c>
    </row>
    <row r="1677">
      <c r="A1677" s="17" t="n">
        <v>1676</v>
      </c>
      <c r="B1677" s="17" t="inlineStr">
        <is>
          <t>Part III - Upstream AI Research</t>
        </is>
      </c>
      <c r="C1677" s="18" t="inlineStr">
        <is>
          <t>D.5.2 Parallelism and distributed training</t>
        </is>
      </c>
      <c r="D1677" s="10" t="inlineStr">
        <is>
          <t>CS25 V6 - The Ultra-Scale Talk</t>
        </is>
      </c>
      <c r="E1677" s="10" t="inlineStr">
        <is>
          <t>Nouamane Tazi (HF</t>
        </is>
      </c>
      <c r="F1677" s="11" t="inlineStr">
        <is>
          <t>1:01:48</t>
        </is>
      </c>
      <c r="G1677" s="11" t="n">
        <v>1.03</v>
      </c>
      <c r="H1677" s="12" t="inlineStr">
        <is>
          <t>★</t>
        </is>
      </c>
      <c r="I1677" s="11" t="inlineStr">
        <is>
          <t>Not started</t>
        </is>
      </c>
      <c r="J1677" s="13" t="n"/>
      <c r="K1677" s="10" t="inlineStr"/>
      <c r="L1677" s="14" t="inlineStr">
        <is>
          <t>▶ watch</t>
        </is>
      </c>
      <c r="M1677" s="10" t="inlineStr">
        <is>
          <t>The Ultra-Scale Playbook (HF)</t>
        </is>
      </c>
      <c r="N1677" s="14" t="inlineStr">
        <is>
          <t>read ↗</t>
        </is>
      </c>
      <c r="O1677" s="11" t="inlineStr">
        <is>
          <t>paired reading</t>
        </is>
      </c>
      <c r="P1677" s="10" t="inlineStr"/>
    </row>
    <row r="1678">
      <c r="A1678" s="17" t="n">
        <v>1677</v>
      </c>
      <c r="B1678" s="17" t="inlineStr">
        <is>
          <t>Part III - Upstream AI Research</t>
        </is>
      </c>
      <c r="C1678" s="18" t="inlineStr">
        <is>
          <t>D.5.2 Parallelism and distributed training</t>
        </is>
      </c>
      <c r="D1678" s="10" t="inlineStr">
        <is>
          <t>The Ultra-Scale Playbook</t>
        </is>
      </c>
      <c r="E1678" s="10" t="inlineStr">
        <is>
          <t>Thom Wolf (HF</t>
        </is>
      </c>
      <c r="F1678" s="11" t="inlineStr">
        <is>
          <t>1:25:56</t>
        </is>
      </c>
      <c r="G1678" s="11" t="n">
        <v>1.43</v>
      </c>
      <c r="H1678" s="12" t="inlineStr"/>
      <c r="I1678" s="11" t="inlineStr">
        <is>
          <t>Not started</t>
        </is>
      </c>
      <c r="J1678" s="13" t="n"/>
      <c r="K1678" s="10" t="inlineStr"/>
      <c r="L1678" s="14" t="inlineStr">
        <is>
          <t>▶ watch</t>
        </is>
      </c>
      <c r="M1678" s="10" t="inlineStr">
        <is>
          <t>Narayanan et al. 2021, SC'21, arXiv:2104.04473 (Megatron-LM) · Rajbhandari et al. 2020, SC'20, arXiv:1910.02054 (ZeRO)</t>
        </is>
      </c>
      <c r="N1678" s="14" t="inlineStr">
        <is>
          <t>read ↗</t>
        </is>
      </c>
      <c r="O1678" s="11" t="inlineStr">
        <is>
          <t>section reading (2 of 4)</t>
        </is>
      </c>
      <c r="P1678" s="10" t="inlineStr"/>
    </row>
    <row r="1679">
      <c r="A1679" s="17" t="n">
        <v>1678</v>
      </c>
      <c r="B1679" s="17" t="inlineStr">
        <is>
          <t>Part III - Upstream AI Research</t>
        </is>
      </c>
      <c r="C1679" s="18" t="inlineStr">
        <is>
          <t>D.5.2 Parallelism and distributed training</t>
        </is>
      </c>
      <c r="D1679" s="10" t="inlineStr">
        <is>
          <t>ML Perf RG 8: Megatron-LM</t>
        </is>
      </c>
      <c r="E1679" s="10" t="inlineStr">
        <is>
          <t>EleutherAI</t>
        </is>
      </c>
      <c r="F1679" s="11" t="inlineStr">
        <is>
          <t>1:09:20</t>
        </is>
      </c>
      <c r="G1679" s="11" t="n">
        <v>1.16</v>
      </c>
      <c r="H1679" s="12" t="inlineStr"/>
      <c r="I1679" s="11" t="inlineStr">
        <is>
          <t>Not started</t>
        </is>
      </c>
      <c r="J1679" s="13" t="n"/>
      <c r="K1679" s="10" t="inlineStr"/>
      <c r="L1679" s="14" t="inlineStr">
        <is>
          <t>▶ watch</t>
        </is>
      </c>
      <c r="M1679" s="10" t="inlineStr">
        <is>
          <t>Narayanan et al. 2021, SC'21, arXiv:2104.04473 (Megatron-LM) · Rajbhandari et al. 2020, SC'20, arXiv:1910.02054 (ZeRO)</t>
        </is>
      </c>
      <c r="N1679" s="14" t="inlineStr">
        <is>
          <t>read ↗</t>
        </is>
      </c>
      <c r="O1679" s="11" t="inlineStr">
        <is>
          <t>section reading (2 of 4)</t>
        </is>
      </c>
      <c r="P1679" s="10" t="inlineStr"/>
    </row>
    <row r="1680">
      <c r="A1680" s="17" t="n">
        <v>1679</v>
      </c>
      <c r="B1680" s="17" t="inlineStr">
        <is>
          <t>Part III - Upstream AI Research</t>
        </is>
      </c>
      <c r="C1680" s="18" t="inlineStr">
        <is>
          <t>D.5.2 Parallelism and distributed training</t>
        </is>
      </c>
      <c r="D1680" s="10" t="inlineStr">
        <is>
          <t>ML Perf RG 6: Zero Bubble Pipeline Parallelism</t>
        </is>
      </c>
      <c r="E1680" s="10" t="inlineStr">
        <is>
          <t>EleutherAI</t>
        </is>
      </c>
      <c r="F1680" s="11" t="inlineStr">
        <is>
          <t>1:17:13</t>
        </is>
      </c>
      <c r="G1680" s="11" t="n">
        <v>1.29</v>
      </c>
      <c r="H1680" s="12" t="inlineStr"/>
      <c r="I1680" s="11" t="inlineStr">
        <is>
          <t>Not started</t>
        </is>
      </c>
      <c r="J1680" s="13" t="n"/>
      <c r="K1680" s="10" t="inlineStr"/>
      <c r="L1680" s="14" t="inlineStr">
        <is>
          <t>▶ watch</t>
        </is>
      </c>
      <c r="M1680" s="10" t="inlineStr">
        <is>
          <t>Narayanan et al. 2021, SC'21, arXiv:2104.04473 (Megatron-LM) · Rajbhandari et al. 2020, SC'20, arXiv:1910.02054 (ZeRO)</t>
        </is>
      </c>
      <c r="N1680" s="14" t="inlineStr">
        <is>
          <t>read ↗</t>
        </is>
      </c>
      <c r="O1680" s="11" t="inlineStr">
        <is>
          <t>section reading (2 of 4)</t>
        </is>
      </c>
      <c r="P1680" s="10" t="inlineStr"/>
    </row>
    <row r="1681">
      <c r="A1681" s="17" t="n">
        <v>1680</v>
      </c>
      <c r="B1681" s="17" t="inlineStr">
        <is>
          <t>Part III - Upstream AI Research</t>
        </is>
      </c>
      <c r="C1681" s="18" t="inlineStr">
        <is>
          <t>D.5.2 Parallelism and distributed training</t>
        </is>
      </c>
      <c r="D1681" s="10" t="inlineStr">
        <is>
          <t>ML Perf RG 11: Async Tensor Parallelism</t>
        </is>
      </c>
      <c r="E1681" s="10" t="inlineStr">
        <is>
          <t>EleutherAI</t>
        </is>
      </c>
      <c r="F1681" s="11" t="inlineStr">
        <is>
          <t>1:07:38</t>
        </is>
      </c>
      <c r="G1681" s="11" t="n">
        <v>1.13</v>
      </c>
      <c r="H1681" s="12" t="inlineStr"/>
      <c r="I1681" s="11" t="inlineStr">
        <is>
          <t>Not started</t>
        </is>
      </c>
      <c r="J1681" s="13" t="n"/>
      <c r="K1681" s="10" t="inlineStr"/>
      <c r="L1681" s="14" t="inlineStr">
        <is>
          <t>▶ watch</t>
        </is>
      </c>
      <c r="M1681" s="10" t="inlineStr">
        <is>
          <t>Narayanan et al. 2021, SC'21, arXiv:2104.04473 (Megatron-LM) · Rajbhandari et al. 2020, SC'20, arXiv:1910.02054 (ZeRO)</t>
        </is>
      </c>
      <c r="N1681" s="14" t="inlineStr">
        <is>
          <t>read ↗</t>
        </is>
      </c>
      <c r="O1681" s="11" t="inlineStr">
        <is>
          <t>section reading (2 of 4)</t>
        </is>
      </c>
      <c r="P1681" s="10" t="inlineStr"/>
    </row>
    <row r="1682">
      <c r="A1682" s="17" t="n">
        <v>1681</v>
      </c>
      <c r="B1682" s="17" t="inlineStr">
        <is>
          <t>Part III - Upstream AI Research</t>
        </is>
      </c>
      <c r="C1682" s="18" t="inlineStr">
        <is>
          <t>D.5.2 Parallelism and distributed training</t>
        </is>
      </c>
      <c r="D1682" s="10" t="inlineStr">
        <is>
          <t>ML Perf RG 13: Unified Sequence Parallelism</t>
        </is>
      </c>
      <c r="E1682" s="10" t="inlineStr">
        <is>
          <t>EleutherAI</t>
        </is>
      </c>
      <c r="F1682" s="11" t="inlineStr">
        <is>
          <t>1:18:41</t>
        </is>
      </c>
      <c r="G1682" s="11" t="n">
        <v>1.31</v>
      </c>
      <c r="H1682" s="12" t="inlineStr"/>
      <c r="I1682" s="11" t="inlineStr">
        <is>
          <t>Not started</t>
        </is>
      </c>
      <c r="J1682" s="13" t="n"/>
      <c r="K1682" s="10" t="inlineStr"/>
      <c r="L1682" s="14" t="inlineStr">
        <is>
          <t>▶ watch</t>
        </is>
      </c>
      <c r="M1682" s="10" t="inlineStr">
        <is>
          <t>Narayanan et al. 2021, SC'21, arXiv:2104.04473 (Megatron-LM) · Rajbhandari et al. 2020, SC'20, arXiv:1910.02054 (ZeRO)</t>
        </is>
      </c>
      <c r="N1682" s="14" t="inlineStr">
        <is>
          <t>read ↗</t>
        </is>
      </c>
      <c r="O1682" s="11" t="inlineStr">
        <is>
          <t>section reading (2 of 4)</t>
        </is>
      </c>
      <c r="P1682" s="10" t="inlineStr"/>
    </row>
    <row r="1683">
      <c r="A1683" s="17" t="n">
        <v>1682</v>
      </c>
      <c r="B1683" s="17" t="inlineStr">
        <is>
          <t>Part III - Upstream AI Research</t>
        </is>
      </c>
      <c r="C1683" s="18" t="inlineStr">
        <is>
          <t>D.5.2 Parallelism and distributed training</t>
        </is>
      </c>
      <c r="D1683" s="10" t="inlineStr">
        <is>
          <t>ML Perf RG 9: Reducing Activation Recomputation</t>
        </is>
      </c>
      <c r="E1683" s="10" t="inlineStr">
        <is>
          <t>EleutherAI</t>
        </is>
      </c>
      <c r="F1683" s="11" t="inlineStr">
        <is>
          <t>1:15:01</t>
        </is>
      </c>
      <c r="G1683" s="11" t="n">
        <v>1.25</v>
      </c>
      <c r="H1683" s="12" t="inlineStr"/>
      <c r="I1683" s="11" t="inlineStr">
        <is>
          <t>Not started</t>
        </is>
      </c>
      <c r="J1683" s="13" t="n"/>
      <c r="K1683" s="10" t="inlineStr"/>
      <c r="L1683" s="14" t="inlineStr">
        <is>
          <t>▶ watch</t>
        </is>
      </c>
      <c r="M1683" s="10" t="inlineStr">
        <is>
          <t>Narayanan et al. 2021, SC'21, arXiv:2104.04473 (Megatron-LM) · Rajbhandari et al. 2020, SC'20, arXiv:1910.02054 (ZeRO)</t>
        </is>
      </c>
      <c r="N1683" s="14" t="inlineStr">
        <is>
          <t>read ↗</t>
        </is>
      </c>
      <c r="O1683" s="11" t="inlineStr">
        <is>
          <t>section reading (2 of 4)</t>
        </is>
      </c>
      <c r="P1683" s="10" t="inlineStr"/>
    </row>
    <row r="1684">
      <c r="A1684" s="17" t="n">
        <v>1683</v>
      </c>
      <c r="B1684" s="17" t="inlineStr">
        <is>
          <t>Part III - Upstream AI Research</t>
        </is>
      </c>
      <c r="C1684" s="18" t="inlineStr">
        <is>
          <t>D.5.2 Parallelism and distributed training</t>
        </is>
      </c>
      <c r="D1684" s="10" t="inlineStr">
        <is>
          <t>ML Perf RG 1: GPU Architecture, CUDA, NCCL</t>
        </is>
      </c>
      <c r="E1684" s="10" t="inlineStr">
        <is>
          <t>EleutherAI</t>
        </is>
      </c>
      <c r="F1684" s="11" t="inlineStr">
        <is>
          <t>47:39</t>
        </is>
      </c>
      <c r="G1684" s="11" t="n">
        <v>0.79</v>
      </c>
      <c r="H1684" s="12" t="inlineStr"/>
      <c r="I1684" s="11" t="inlineStr">
        <is>
          <t>Not started</t>
        </is>
      </c>
      <c r="J1684" s="13" t="n"/>
      <c r="K1684" s="10" t="inlineStr"/>
      <c r="L1684" s="14" t="inlineStr">
        <is>
          <t>▶ watch</t>
        </is>
      </c>
      <c r="M1684" s="10" t="inlineStr">
        <is>
          <t>Narayanan et al. 2021, SC'21, arXiv:2104.04473 (Megatron-LM) · Rajbhandari et al. 2020, SC'20, arXiv:1910.02054 (ZeRO)</t>
        </is>
      </c>
      <c r="N1684" s="14" t="inlineStr">
        <is>
          <t>read ↗</t>
        </is>
      </c>
      <c r="O1684" s="11" t="inlineStr">
        <is>
          <t>section reading (2 of 4)</t>
        </is>
      </c>
      <c r="P1684" s="10" t="inlineStr"/>
    </row>
    <row r="1685">
      <c r="A1685" s="17" t="n">
        <v>1684</v>
      </c>
      <c r="B1685" s="17" t="inlineStr">
        <is>
          <t>Part III - Upstream AI Research</t>
        </is>
      </c>
      <c r="C1685" s="18" t="inlineStr">
        <is>
          <t>D.5.2 Parallelism and distributed training</t>
        </is>
      </c>
      <c r="D1685" s="10" t="inlineStr">
        <is>
          <t>Alpa: Automated Model-Parallel Deep Learning</t>
        </is>
      </c>
      <c r="E1685" s="10" t="inlineStr">
        <is>
          <t>Zhuohan Li (Stanford MLSys #59</t>
        </is>
      </c>
      <c r="F1685" s="11" t="inlineStr">
        <is>
          <t>55:07</t>
        </is>
      </c>
      <c r="G1685" s="11" t="n">
        <v>0.92</v>
      </c>
      <c r="H1685" s="12" t="inlineStr"/>
      <c r="I1685" s="11" t="inlineStr">
        <is>
          <t>Not started</t>
        </is>
      </c>
      <c r="J1685" s="13" t="n"/>
      <c r="K1685" s="10" t="inlineStr"/>
      <c r="L1685" s="14" t="inlineStr">
        <is>
          <t>▶ watch</t>
        </is>
      </c>
      <c r="M1685" s="10" t="inlineStr">
        <is>
          <t>Narayanan et al. 2021, SC'21, arXiv:2104.04473 (Megatron-LM) · Rajbhandari et al. 2020, SC'20, arXiv:1910.02054 (ZeRO)</t>
        </is>
      </c>
      <c r="N1685" s="14" t="inlineStr">
        <is>
          <t>read ↗</t>
        </is>
      </c>
      <c r="O1685" s="11" t="inlineStr">
        <is>
          <t>section reading (2 of 4)</t>
        </is>
      </c>
      <c r="P1685" s="10" t="inlineStr"/>
    </row>
    <row r="1686">
      <c r="A1686" s="17" t="n">
        <v>1685</v>
      </c>
      <c r="B1686" s="17" t="inlineStr">
        <is>
          <t>Part III - Upstream AI Research</t>
        </is>
      </c>
      <c r="C1686" s="18" t="inlineStr">
        <is>
          <t>D.5.2 Parallelism and distributed training</t>
        </is>
      </c>
      <c r="D1686" s="10" t="inlineStr">
        <is>
          <t>ML Perf RG 3: ZeRO</t>
        </is>
      </c>
      <c r="E1686" s="10" t="inlineStr">
        <is>
          <t>EleutherAI</t>
        </is>
      </c>
      <c r="F1686" s="11" t="inlineStr">
        <is>
          <t>1:08:16</t>
        </is>
      </c>
      <c r="G1686" s="11" t="n">
        <v>1.14</v>
      </c>
      <c r="H1686" s="12" t="inlineStr"/>
      <c r="I1686" s="11" t="inlineStr">
        <is>
          <t>Not started</t>
        </is>
      </c>
      <c r="J1686" s="13" t="n"/>
      <c r="K1686" s="10" t="inlineStr"/>
      <c r="L1686" s="14" t="inlineStr">
        <is>
          <t>▶ watch</t>
        </is>
      </c>
      <c r="M1686" s="10" t="inlineStr">
        <is>
          <t>Rajbhandari et al. 2020, SC'20, arXiv:1910.02054 (ZeRO)</t>
        </is>
      </c>
      <c r="N1686" s="14" t="inlineStr">
        <is>
          <t>read ↗</t>
        </is>
      </c>
      <c r="O1686" s="11" t="inlineStr">
        <is>
          <t>names ZERO</t>
        </is>
      </c>
      <c r="P1686" s="10" t="inlineStr"/>
    </row>
    <row r="1687">
      <c r="A1687" s="17" t="n">
        <v>1686</v>
      </c>
      <c r="B1687" s="17" t="inlineStr">
        <is>
          <t>Part III - Upstream AI Research</t>
        </is>
      </c>
      <c r="C1687" s="18" t="inlineStr">
        <is>
          <t>D.5.2 Parallelism and distributed training</t>
        </is>
      </c>
      <c r="D1687" s="10" t="inlineStr">
        <is>
          <t>Large Model Training with DeepSpeed</t>
        </is>
      </c>
      <c r="E1687" s="10" t="inlineStr">
        <is>
          <t>Samyam Rajbhandari (ZeRO author</t>
        </is>
      </c>
      <c r="F1687" s="11" t="inlineStr">
        <is>
          <t>36:23</t>
        </is>
      </c>
      <c r="G1687" s="11" t="n">
        <v>0.61</v>
      </c>
      <c r="H1687" s="12" t="inlineStr"/>
      <c r="I1687" s="11" t="inlineStr">
        <is>
          <t>Not started</t>
        </is>
      </c>
      <c r="J1687" s="13" t="n"/>
      <c r="K1687" s="10" t="inlineStr"/>
      <c r="L1687" s="14" t="inlineStr">
        <is>
          <t>▶ watch</t>
        </is>
      </c>
      <c r="M1687" s="10" t="inlineStr">
        <is>
          <t>Rajbhandari et al. 2020, SC'20, arXiv:1910.02054 (ZeRO)</t>
        </is>
      </c>
      <c r="N1687" s="14" t="inlineStr">
        <is>
          <t>read ↗</t>
        </is>
      </c>
      <c r="O1687" s="11" t="inlineStr">
        <is>
          <t>names ZERO</t>
        </is>
      </c>
      <c r="P1687" s="10" t="inlineStr"/>
    </row>
    <row r="1688">
      <c r="A1688" s="17" t="n">
        <v>1687</v>
      </c>
      <c r="B1688" s="17" t="inlineStr">
        <is>
          <t>Part III - Upstream AI Research</t>
        </is>
      </c>
      <c r="C1688" s="18" t="inlineStr">
        <is>
          <t>D.5.2 Parallelism and distributed training</t>
        </is>
      </c>
      <c r="D1688" s="10" t="inlineStr">
        <is>
          <t>Trillion Parameter Training and Inference with DeepSpeed</t>
        </is>
      </c>
      <c r="E1688" s="10" t="inlineStr">
        <is>
          <t>Rajbhandari &amp; Rasley (REFAI</t>
        </is>
      </c>
      <c r="F1688" s="11" t="inlineStr">
        <is>
          <t>1:06:52</t>
        </is>
      </c>
      <c r="G1688" s="11" t="n">
        <v>1.11</v>
      </c>
      <c r="H1688" s="12" t="inlineStr"/>
      <c r="I1688" s="11" t="inlineStr">
        <is>
          <t>Not started</t>
        </is>
      </c>
      <c r="J1688" s="13" t="n"/>
      <c r="K1688" s="10" t="inlineStr"/>
      <c r="L1688" s="14" t="inlineStr">
        <is>
          <t>▶ watch</t>
        </is>
      </c>
      <c r="M1688" s="10" t="inlineStr">
        <is>
          <t>Narayanan et al. 2021, SC'21, arXiv:2104.04473 (Megatron-LM) · Rajbhandari et al. 2020, SC'20, arXiv:1910.02054 (ZeRO)</t>
        </is>
      </c>
      <c r="N1688" s="14" t="inlineStr">
        <is>
          <t>read ↗</t>
        </is>
      </c>
      <c r="O1688" s="11" t="inlineStr">
        <is>
          <t>section reading (2 of 4)</t>
        </is>
      </c>
      <c r="P1688" s="10" t="inlineStr"/>
    </row>
    <row r="1689">
      <c r="A1689" s="17" t="n">
        <v>1688</v>
      </c>
      <c r="B1689" s="17" t="inlineStr">
        <is>
          <t>Part III - Upstream AI Research</t>
        </is>
      </c>
      <c r="C1689" s="18" t="inlineStr">
        <is>
          <t>D.5.3 Numerics, precision and optimizers</t>
        </is>
      </c>
      <c r="D1689" s="10" t="inlineStr">
        <is>
          <t>FP8 Training From Hopper To Blackwell</t>
        </is>
      </c>
      <c r="E1689" s="10" t="inlineStr">
        <is>
          <t>Luca Wehrstedt (Meta, PyTorch Conf</t>
        </is>
      </c>
      <c r="F1689" s="11" t="inlineStr">
        <is>
          <t>25:24</t>
        </is>
      </c>
      <c r="G1689" s="11" t="n">
        <v>0.42</v>
      </c>
      <c r="H1689" s="12" t="inlineStr"/>
      <c r="I1689" s="11" t="inlineStr">
        <is>
          <t>Not started</t>
        </is>
      </c>
      <c r="J1689" s="13" t="n"/>
      <c r="K1689" s="10" t="inlineStr"/>
      <c r="L1689" s="14" t="inlineStr">
        <is>
          <t>▶ watch</t>
        </is>
      </c>
      <c r="M1689" s="10" t="inlineStr">
        <is>
          <t>Yang et al. 2022, arXiv:2203.03466 (Tensor Programs V, μP) · Bernstein et al. 2024, arXiv:2405.14813 (modular norm)</t>
        </is>
      </c>
      <c r="N1689" s="14" t="inlineStr">
        <is>
          <t>read ↗</t>
        </is>
      </c>
      <c r="O1689" s="11" t="inlineStr">
        <is>
          <t>section reading (2 of 7)</t>
        </is>
      </c>
      <c r="P1689" s="10" t="inlineStr"/>
    </row>
    <row r="1690">
      <c r="A1690" s="17" t="n">
        <v>1689</v>
      </c>
      <c r="B1690" s="17" t="inlineStr">
        <is>
          <t>Part III - Upstream AI Research</t>
        </is>
      </c>
      <c r="C1690" s="18" t="inlineStr">
        <is>
          <t>D.5.3 Numerics, precision and optimizers</t>
        </is>
      </c>
      <c r="D1690" s="10" t="inlineStr">
        <is>
          <t>GPU MODE Lecture 52: Scaling Laws for Low Precision</t>
        </is>
      </c>
      <c r="E1690" s="10" t="inlineStr">
        <is>
          <t>Tanishq Kumar (author</t>
        </is>
      </c>
      <c r="F1690" s="11" t="inlineStr">
        <is>
          <t>53:42</t>
        </is>
      </c>
      <c r="G1690" s="11" t="n">
        <v>0.9</v>
      </c>
      <c r="H1690" s="12" t="inlineStr">
        <is>
          <t>★</t>
        </is>
      </c>
      <c r="I1690" s="11" t="inlineStr">
        <is>
          <t>Not started</t>
        </is>
      </c>
      <c r="J1690" s="13" t="n"/>
      <c r="K1690" s="10" t="inlineStr"/>
      <c r="L1690" s="14" t="inlineStr">
        <is>
          <t>▶ watch</t>
        </is>
      </c>
      <c r="M1690" s="10" t="inlineStr">
        <is>
          <t>Yang et al. 2022, arXiv:2203.03466 (Tensor Programs V, μP) · Bernstein et al. 2024, arXiv:2405.14813 (modular norm)</t>
        </is>
      </c>
      <c r="N1690" s="14" t="inlineStr">
        <is>
          <t>read ↗</t>
        </is>
      </c>
      <c r="O1690" s="11" t="inlineStr">
        <is>
          <t>section reading (2 of 7)</t>
        </is>
      </c>
      <c r="P1690" s="10" t="inlineStr">
        <is>
          <t>E.4.3 GPU MODE - 116 lectures, enumerated</t>
        </is>
      </c>
    </row>
    <row r="1691">
      <c r="A1691" s="17" t="n">
        <v>1690</v>
      </c>
      <c r="B1691" s="17" t="inlineStr">
        <is>
          <t>Part III - Upstream AI Research</t>
        </is>
      </c>
      <c r="C1691" s="18" t="inlineStr">
        <is>
          <t>D.5.3 Numerics, precision and optimizers</t>
        </is>
      </c>
      <c r="D1691" s="10" t="inlineStr">
        <is>
          <t>Trinity: Training a 400B MoE from Scratch</t>
        </is>
      </c>
      <c r="E1691" s="10" t="inlineStr">
        <is>
          <t>Arcee</t>
        </is>
      </c>
      <c r="F1691" s="11" t="inlineStr">
        <is>
          <t>32:59</t>
        </is>
      </c>
      <c r="G1691" s="11" t="n">
        <v>0.55</v>
      </c>
      <c r="H1691" s="12" t="inlineStr"/>
      <c r="I1691" s="11" t="inlineStr">
        <is>
          <t>Not started</t>
        </is>
      </c>
      <c r="J1691" s="13" t="n"/>
      <c r="K1691" s="10" t="inlineStr"/>
      <c r="L1691" s="14" t="inlineStr">
        <is>
          <t>▶ watch</t>
        </is>
      </c>
      <c r="M1691" s="10" t="inlineStr">
        <is>
          <t>Yang et al. 2022, arXiv:2203.03466 (Tensor Programs V, μP) · Bernstein et al. 2024, arXiv:2405.14813 (modular norm)</t>
        </is>
      </c>
      <c r="N1691" s="14" t="inlineStr">
        <is>
          <t>read ↗</t>
        </is>
      </c>
      <c r="O1691" s="11" t="inlineStr">
        <is>
          <t>section reading (2 of 7)</t>
        </is>
      </c>
      <c r="P1691" s="10" t="inlineStr"/>
    </row>
    <row r="1692">
      <c r="A1692" s="17" t="n">
        <v>1691</v>
      </c>
      <c r="B1692" s="17" t="inlineStr">
        <is>
          <t>Part III - Upstream AI Research</t>
        </is>
      </c>
      <c r="C1692" s="18" t="inlineStr">
        <is>
          <t>D.5.3 Numerics, precision and optimizers</t>
        </is>
      </c>
      <c r="D1692" s="10" t="inlineStr">
        <is>
          <t>Tuning Large Neural Networks via Zero-Shot Hyperparameter Transfer</t>
        </is>
      </c>
      <c r="E1692" s="10" t="inlineStr">
        <is>
          <t>Greg Yang (MSR</t>
        </is>
      </c>
      <c r="F1692" s="11" t="inlineStr">
        <is>
          <t>1:12:52</t>
        </is>
      </c>
      <c r="G1692" s="11" t="n">
        <v>1.21</v>
      </c>
      <c r="H1692" s="12" t="inlineStr">
        <is>
          <t>★</t>
        </is>
      </c>
      <c r="I1692" s="11" t="inlineStr">
        <is>
          <t>Not started</t>
        </is>
      </c>
      <c r="J1692" s="13" t="n"/>
      <c r="K1692" s="10" t="inlineStr"/>
      <c r="L1692" s="14" t="inlineStr">
        <is>
          <t>▶ watch</t>
        </is>
      </c>
      <c r="M1692" s="10" t="inlineStr">
        <is>
          <t>Yang et al. 2022, arXiv:2203.03466 (Tensor Programs V, μP) · Bernstein et al. 2024, arXiv:2405.14813 (modular norm)</t>
        </is>
      </c>
      <c r="N1692" s="14" t="inlineStr">
        <is>
          <t>read ↗</t>
        </is>
      </c>
      <c r="O1692" s="11" t="inlineStr">
        <is>
          <t>section reading (2 of 7)</t>
        </is>
      </c>
      <c r="P1692" s="10" t="inlineStr">
        <is>
          <t>3.3 Tensor Programs, muP, and the parametrization that actually matters</t>
        </is>
      </c>
    </row>
    <row r="1693">
      <c r="A1693" s="17" t="n">
        <v>1692</v>
      </c>
      <c r="B1693" s="17" t="inlineStr">
        <is>
          <t>Part III - Upstream AI Research</t>
        </is>
      </c>
      <c r="C1693" s="18" t="inlineStr">
        <is>
          <t>D.5.3 Numerics, precision and optimizers</t>
        </is>
      </c>
      <c r="D1693" s="10" t="inlineStr">
        <is>
          <t>Tuning GPT-3 on a Single GPU via Zero-Shot HP Transfer</t>
        </is>
      </c>
      <c r="E1693" s="10" t="inlineStr">
        <is>
          <t>Greg Yang</t>
        </is>
      </c>
      <c r="F1693" s="11" t="inlineStr">
        <is>
          <t>1:33:53</t>
        </is>
      </c>
      <c r="G1693" s="11" t="n">
        <v>1.56</v>
      </c>
      <c r="H1693" s="12" t="inlineStr"/>
      <c r="I1693" s="11" t="inlineStr">
        <is>
          <t>Not started</t>
        </is>
      </c>
      <c r="J1693" s="13" t="n"/>
      <c r="K1693" s="10" t="inlineStr"/>
      <c r="L1693" s="14" t="inlineStr">
        <is>
          <t>▶ watch</t>
        </is>
      </c>
      <c r="M1693" s="10" t="inlineStr">
        <is>
          <t>arXiv:2203.03466</t>
        </is>
      </c>
      <c r="N1693" s="14" t="inlineStr">
        <is>
          <t>read ↗</t>
        </is>
      </c>
      <c r="O1693" s="11" t="inlineStr">
        <is>
          <t>paired reading</t>
        </is>
      </c>
      <c r="P1693" s="10" t="inlineStr"/>
    </row>
    <row r="1694">
      <c r="A1694" s="17" t="n">
        <v>1693</v>
      </c>
      <c r="B1694" s="17" t="inlineStr">
        <is>
          <t>Part III - Upstream AI Research</t>
        </is>
      </c>
      <c r="C1694" s="18" t="inlineStr">
        <is>
          <t>D.5.3 Numerics, precision and optimizers</t>
        </is>
      </c>
      <c r="D1694" s="10" t="inlineStr">
        <is>
          <t>EI Seminar (the tight version</t>
        </is>
      </c>
      <c r="E1694" s="10" t="inlineStr">
        <is>
          <t>Greg Yang</t>
        </is>
      </c>
      <c r="F1694" s="11" t="inlineStr">
        <is>
          <t>53:52</t>
        </is>
      </c>
      <c r="G1694" s="11" t="n">
        <v>0.9</v>
      </c>
      <c r="H1694" s="12" t="inlineStr"/>
      <c r="I1694" s="11" t="inlineStr">
        <is>
          <t>Not started</t>
        </is>
      </c>
      <c r="J1694" s="13" t="n"/>
      <c r="K1694" s="10" t="inlineStr"/>
      <c r="L1694" s="14" t="inlineStr">
        <is>
          <t>▶ watch</t>
        </is>
      </c>
      <c r="M1694" s="10" t="inlineStr">
        <is>
          <t>Yang et al. 2022, arXiv:2203.03466 (Tensor Programs V, μP) · Bernstein et al. 2024, arXiv:2405.14813 (modular norm)</t>
        </is>
      </c>
      <c r="N1694" s="14" t="inlineStr">
        <is>
          <t>read ↗</t>
        </is>
      </c>
      <c r="O1694" s="11" t="inlineStr">
        <is>
          <t>section reading (2 of 7)</t>
        </is>
      </c>
      <c r="P1694" s="10" t="inlineStr"/>
    </row>
    <row r="1695">
      <c r="A1695" s="17" t="n">
        <v>1694</v>
      </c>
      <c r="B1695" s="17" t="inlineStr">
        <is>
          <t>Part III - Upstream AI Research</t>
        </is>
      </c>
      <c r="C1695" s="18" t="inlineStr">
        <is>
          <t>D.5.3 Numerics, precision and optimizers</t>
        </is>
      </c>
      <c r="D1695" s="10" t="inlineStr">
        <is>
          <t>Large N Limits: Random Matrices &amp; Neural Networks</t>
        </is>
      </c>
      <c r="E1695" s="10" t="inlineStr">
        <is>
          <t>Greg Yang (Cartesian Cafe</t>
        </is>
      </c>
      <c r="F1695" s="11" t="inlineStr">
        <is>
          <t>3:01:28</t>
        </is>
      </c>
      <c r="G1695" s="11" t="n">
        <v>3.02</v>
      </c>
      <c r="H1695" s="12" t="inlineStr"/>
      <c r="I1695" s="11" t="inlineStr">
        <is>
          <t>Not started</t>
        </is>
      </c>
      <c r="J1695" s="13" t="n"/>
      <c r="K1695" s="10" t="inlineStr"/>
      <c r="L1695" s="14" t="inlineStr">
        <is>
          <t>▶ watch</t>
        </is>
      </c>
      <c r="M1695" s="10" t="inlineStr">
        <is>
          <t>Yang et al. 2022, arXiv:2203.03466 (Tensor Programs V, μP) · Bernstein et al. 2024, arXiv:2405.14813 (modular norm)</t>
        </is>
      </c>
      <c r="N1695" s="14" t="inlineStr">
        <is>
          <t>read ↗</t>
        </is>
      </c>
      <c r="O1695" s="11" t="inlineStr">
        <is>
          <t>section reading (2 of 7)</t>
        </is>
      </c>
      <c r="P1695" s="10" t="inlineStr">
        <is>
          <t>3.3 Tensor Programs, muP, and the parametrization that actually matters</t>
        </is>
      </c>
    </row>
    <row r="1696">
      <c r="A1696" s="17" t="n">
        <v>1695</v>
      </c>
      <c r="B1696" s="17" t="inlineStr">
        <is>
          <t>Part III - Upstream AI Research</t>
        </is>
      </c>
      <c r="C1696" s="18" t="inlineStr">
        <is>
          <t>D.5.3 Numerics, precision and optimizers</t>
        </is>
      </c>
      <c r="D1696" s="10" t="inlineStr">
        <is>
          <t>Jeremy Bernstein (MIT, Cohere</t>
        </is>
      </c>
      <c r="E1696" s="10" t="inlineStr">
        <is>
          <t>Metrized Deep Learning</t>
        </is>
      </c>
      <c r="F1696" s="11" t="inlineStr">
        <is>
          <t>1:34:03</t>
        </is>
      </c>
      <c r="G1696" s="11" t="n">
        <v>1.57</v>
      </c>
      <c r="H1696" s="12" t="inlineStr">
        <is>
          <t>★</t>
        </is>
      </c>
      <c r="I1696" s="11" t="inlineStr">
        <is>
          <t>Not started</t>
        </is>
      </c>
      <c r="J1696" s="13" t="n"/>
      <c r="K1696" s="10" t="inlineStr"/>
      <c r="L1696" s="14" t="inlineStr">
        <is>
          <t>▶ watch</t>
        </is>
      </c>
      <c r="M1696" s="10" t="inlineStr">
        <is>
          <t>arXiv:2405.14813; arXiv:2409.20325</t>
        </is>
      </c>
      <c r="N1696" s="14" t="inlineStr">
        <is>
          <t>read ↗</t>
        </is>
      </c>
      <c r="O1696" s="11" t="inlineStr">
        <is>
          <t>paired reading</t>
        </is>
      </c>
      <c r="P1696" s="10" t="inlineStr"/>
    </row>
    <row r="1697">
      <c r="A1697" s="17" t="n">
        <v>1696</v>
      </c>
      <c r="B1697" s="17" t="inlineStr">
        <is>
          <t>Part III - Upstream AI Research</t>
        </is>
      </c>
      <c r="C1697" s="18" t="inlineStr">
        <is>
          <t>D.5.3 Numerics, precision and optimizers</t>
        </is>
      </c>
      <c r="D1697" s="10" t="inlineStr">
        <is>
          <t>Depths of First Order Optimization</t>
        </is>
      </c>
      <c r="E1697" s="10" t="inlineStr">
        <is>
          <t>Jeremy Bernstein (Cohere</t>
        </is>
      </c>
      <c r="F1697" s="11" t="inlineStr">
        <is>
          <t>47:31</t>
        </is>
      </c>
      <c r="G1697" s="11" t="n">
        <v>0.79</v>
      </c>
      <c r="H1697" s="12" t="inlineStr"/>
      <c r="I1697" s="11" t="inlineStr">
        <is>
          <t>Not started</t>
        </is>
      </c>
      <c r="J1697" s="13" t="n"/>
      <c r="K1697" s="10" t="inlineStr"/>
      <c r="L1697" s="14" t="inlineStr">
        <is>
          <t>▶ watch</t>
        </is>
      </c>
      <c r="M1697" s="10" t="inlineStr">
        <is>
          <t>Yang et al. 2022, arXiv:2203.03466 (Tensor Programs V, μP) · Bernstein et al. 2024, arXiv:2405.14813 (modular norm)</t>
        </is>
      </c>
      <c r="N1697" s="14" t="inlineStr">
        <is>
          <t>read ↗</t>
        </is>
      </c>
      <c r="O1697" s="11" t="inlineStr">
        <is>
          <t>section reading (2 of 7)</t>
        </is>
      </c>
      <c r="P1697" s="10" t="inlineStr">
        <is>
          <t>4.4 Why Adam works, and the preconditioned-optimizer wave</t>
        </is>
      </c>
    </row>
    <row r="1698">
      <c r="A1698" s="17" t="n">
        <v>1697</v>
      </c>
      <c r="B1698" s="17" t="inlineStr">
        <is>
          <t>Part III - Upstream AI Research</t>
        </is>
      </c>
      <c r="C1698" s="18" t="inlineStr">
        <is>
          <t>D.5.3 Numerics, precision and optimizers</t>
        </is>
      </c>
      <c r="D1698" s="10" t="inlineStr">
        <is>
          <t>Scalable second order optimization for deep learning</t>
        </is>
      </c>
      <c r="E1698" s="10" t="inlineStr">
        <is>
          <t>Rohan Anil (JAX meetup</t>
        </is>
      </c>
      <c r="F1698" s="11" t="inlineStr">
        <is>
          <t>1:28:15</t>
        </is>
      </c>
      <c r="G1698" s="11" t="n">
        <v>1.47</v>
      </c>
      <c r="H1698" s="12" t="inlineStr"/>
      <c r="I1698" s="11" t="inlineStr">
        <is>
          <t>Not started</t>
        </is>
      </c>
      <c r="J1698" s="13" t="n"/>
      <c r="K1698" s="10" t="inlineStr"/>
      <c r="L1698" s="14" t="inlineStr">
        <is>
          <t>▶ watch</t>
        </is>
      </c>
      <c r="M1698" s="10" t="inlineStr">
        <is>
          <t>Yang et al. 2022, arXiv:2203.03466 (Tensor Programs V, μP) · Bernstein et al. 2024, arXiv:2405.14813 (modular norm)</t>
        </is>
      </c>
      <c r="N1698" s="14" t="inlineStr">
        <is>
          <t>read ↗</t>
        </is>
      </c>
      <c r="O1698" s="11" t="inlineStr">
        <is>
          <t>section reading (2 of 7)</t>
        </is>
      </c>
      <c r="P1698" s="10" t="inlineStr">
        <is>
          <t>4.4 Why Adam works, and the preconditioned-optimizer wave</t>
        </is>
      </c>
    </row>
    <row r="1699">
      <c r="A1699" s="17" t="n">
        <v>1698</v>
      </c>
      <c r="B1699" s="17" t="inlineStr">
        <is>
          <t>Part III - Upstream AI Research</t>
        </is>
      </c>
      <c r="C1699" s="18" t="inlineStr">
        <is>
          <t>D.5.3 Numerics, precision and optimizers</t>
        </is>
      </c>
      <c r="D1699" s="10" t="inlineStr">
        <is>
          <t>From the Broximal Point Method to Efficient LLM Training</t>
        </is>
      </c>
      <c r="E1699" s="10" t="inlineStr">
        <is>
          <t>Peter Richtárik (KAUST, Simons</t>
        </is>
      </c>
      <c r="F1699" s="11" t="inlineStr">
        <is>
          <t>52:25</t>
        </is>
      </c>
      <c r="G1699" s="11" t="n">
        <v>0.87</v>
      </c>
      <c r="H1699" s="12" t="inlineStr"/>
      <c r="I1699" s="11" t="inlineStr">
        <is>
          <t>Not started</t>
        </is>
      </c>
      <c r="J1699" s="13" t="n"/>
      <c r="K1699" s="10" t="inlineStr"/>
      <c r="L1699" s="14" t="inlineStr">
        <is>
          <t>▶ watch</t>
        </is>
      </c>
      <c r="M1699" s="10" t="inlineStr">
        <is>
          <t>Yang et al. 2022, arXiv:2203.03466 (Tensor Programs V, μP) · Bernstein et al. 2024, arXiv:2405.14813 (modular norm)</t>
        </is>
      </c>
      <c r="N1699" s="14" t="inlineStr">
        <is>
          <t>read ↗</t>
        </is>
      </c>
      <c r="O1699" s="11" t="inlineStr">
        <is>
          <t>section reading (2 of 7)</t>
        </is>
      </c>
      <c r="P1699" s="10" t="inlineStr"/>
    </row>
    <row r="1700">
      <c r="A1700" s="17" t="n">
        <v>1699</v>
      </c>
      <c r="B1700" s="17" t="inlineStr">
        <is>
          <t>Part III - Upstream AI Research</t>
        </is>
      </c>
      <c r="C1700" s="18" t="inlineStr">
        <is>
          <t>D.5.3 Numerics, precision and optimizers</t>
        </is>
      </c>
      <c r="D1700" s="10" t="inlineStr">
        <is>
          <t>Latent Space paper club</t>
        </is>
      </c>
      <c r="E1700" s="10" t="inlineStr">
        <is>
          <t>Muon and Kimi K-2</t>
        </is>
      </c>
      <c r="F1700" s="11" t="inlineStr">
        <is>
          <t>1:03:06</t>
        </is>
      </c>
      <c r="G1700" s="11" t="n">
        <v>1.05</v>
      </c>
      <c r="H1700" s="12" t="inlineStr"/>
      <c r="I1700" s="11" t="inlineStr">
        <is>
          <t>Not started</t>
        </is>
      </c>
      <c r="J1700" s="13" t="n"/>
      <c r="K1700" s="10" t="inlineStr"/>
      <c r="L1700" s="14" t="inlineStr">
        <is>
          <t>▶ watch</t>
        </is>
      </c>
      <c r="M1700" s="10" t="inlineStr">
        <is>
          <t>Yang et al. 2022, arXiv:2203.03466 (Tensor Programs V, μP) · Bernstein et al. 2024, arXiv:2405.14813 (modular norm)</t>
        </is>
      </c>
      <c r="N1700" s="14" t="inlineStr">
        <is>
          <t>read ↗</t>
        </is>
      </c>
      <c r="O1700" s="11" t="inlineStr">
        <is>
          <t>section reading (2 of 7)</t>
        </is>
      </c>
      <c r="P1700" s="10" t="inlineStr"/>
    </row>
    <row r="1701">
      <c r="A1701" s="17" t="n">
        <v>1700</v>
      </c>
      <c r="B1701" s="17" t="inlineStr">
        <is>
          <t>Part III - Upstream AI Research</t>
        </is>
      </c>
      <c r="C1701" s="18" t="inlineStr">
        <is>
          <t>D.5.4 Scaling laws</t>
        </is>
      </c>
      <c r="D1701" s="10" t="inlineStr">
        <is>
          <t>Jared Kaplan (JHU/Anthropic, Harvard CMSA</t>
        </is>
      </c>
      <c r="E1701" s="10" t="inlineStr">
        <is>
          <t>Scaling Laws and Their Implications</t>
        </is>
      </c>
      <c r="F1701" s="11" t="inlineStr">
        <is>
          <t>1:10:40</t>
        </is>
      </c>
      <c r="G1701" s="11" t="n">
        <v>1.18</v>
      </c>
      <c r="H1701" s="12" t="inlineStr">
        <is>
          <t>★</t>
        </is>
      </c>
      <c r="I1701" s="11" t="inlineStr">
        <is>
          <t>Not started</t>
        </is>
      </c>
      <c r="J1701" s="13" t="n"/>
      <c r="K1701" s="10" t="inlineStr"/>
      <c r="L1701" s="14" t="inlineStr">
        <is>
          <t>▶ watch</t>
        </is>
      </c>
      <c r="M1701" s="10" t="inlineStr">
        <is>
          <t>Kaplan et al. 2020, arXiv:2001.08361 · Hoffmann et al. 2022, NeurIPS (Chinchilla)</t>
        </is>
      </c>
      <c r="N1701" s="14" t="inlineStr">
        <is>
          <t>read ↗</t>
        </is>
      </c>
      <c r="O1701" s="11" t="inlineStr">
        <is>
          <t>section reading (2 of 5)</t>
        </is>
      </c>
      <c r="P1701" s="10" t="inlineStr"/>
    </row>
    <row r="1702">
      <c r="A1702" s="17" t="n">
        <v>1701</v>
      </c>
      <c r="B1702" s="17" t="inlineStr">
        <is>
          <t>Part III - Upstream AI Research</t>
        </is>
      </c>
      <c r="C1702" s="18" t="inlineStr">
        <is>
          <t>D.5.4 Scaling laws</t>
        </is>
      </c>
      <c r="D1702" s="10" t="inlineStr">
        <is>
          <t>Neural Scaling Laws and GPT-3</t>
        </is>
      </c>
      <c r="E1702" s="10" t="inlineStr">
        <is>
          <t>Jared Kaplan</t>
        </is>
      </c>
      <c r="F1702" s="11" t="inlineStr">
        <is>
          <t>1:15:20</t>
        </is>
      </c>
      <c r="G1702" s="11" t="n">
        <v>1.26</v>
      </c>
      <c r="H1702" s="12" t="inlineStr"/>
      <c r="I1702" s="11" t="inlineStr">
        <is>
          <t>Not started</t>
        </is>
      </c>
      <c r="J1702" s="13" t="n"/>
      <c r="K1702" s="10" t="inlineStr"/>
      <c r="L1702" s="14" t="inlineStr">
        <is>
          <t>▶ watch</t>
        </is>
      </c>
      <c r="M1702" s="10" t="inlineStr">
        <is>
          <t>arXiv:2001.08361 then Hoffmann et al. 2022</t>
        </is>
      </c>
      <c r="N1702" s="14" t="inlineStr">
        <is>
          <t>read ↗</t>
        </is>
      </c>
      <c r="O1702" s="11" t="inlineStr">
        <is>
          <t>paired reading</t>
        </is>
      </c>
      <c r="P1702" s="10" t="inlineStr">
        <is>
          <t>5.1 The empirical result and compute-optimal training</t>
        </is>
      </c>
    </row>
    <row r="1703">
      <c r="A1703" s="17" t="n">
        <v>1702</v>
      </c>
      <c r="B1703" s="17" t="inlineStr">
        <is>
          <t>Part III - Upstream AI Research</t>
        </is>
      </c>
      <c r="C1703" s="18" t="inlineStr">
        <is>
          <t>D.5.4 Scaling laws</t>
        </is>
      </c>
      <c r="D1703" s="10" t="inlineStr">
        <is>
          <t>Neural Scaling Laws and GPT-3 (Physics Meets ML</t>
        </is>
      </c>
      <c r="E1703" s="10" t="inlineStr">
        <is>
          <t>Jared Kaplan</t>
        </is>
      </c>
      <c r="F1703" s="11" t="inlineStr">
        <is>
          <t>1:35:49</t>
        </is>
      </c>
      <c r="G1703" s="11" t="n">
        <v>1.6</v>
      </c>
      <c r="H1703" s="12" t="inlineStr"/>
      <c r="I1703" s="11" t="inlineStr">
        <is>
          <t>Not started</t>
        </is>
      </c>
      <c r="J1703" s="13" t="n"/>
      <c r="K1703" s="10" t="inlineStr"/>
      <c r="L1703" s="14" t="inlineStr">
        <is>
          <t>▶ watch</t>
        </is>
      </c>
      <c r="M1703" s="10" t="inlineStr">
        <is>
          <t>Kaplan et al. 2020, arXiv:2001.08361 · Hoffmann et al. 2022, NeurIPS (Chinchilla)</t>
        </is>
      </c>
      <c r="N1703" s="14" t="inlineStr">
        <is>
          <t>read ↗</t>
        </is>
      </c>
      <c r="O1703" s="11" t="inlineStr">
        <is>
          <t>section reading (2 of 5)</t>
        </is>
      </c>
      <c r="P1703" s="10" t="inlineStr">
        <is>
          <t>5.1 The empirical result and compute-optimal training</t>
        </is>
      </c>
    </row>
    <row r="1704">
      <c r="A1704" s="17" t="n">
        <v>1703</v>
      </c>
      <c r="B1704" s="17" t="inlineStr">
        <is>
          <t>Part III - Upstream AI Research</t>
        </is>
      </c>
      <c r="C1704" s="18" t="inlineStr">
        <is>
          <t>D.5.4 Scaling laws</t>
        </is>
      </c>
      <c r="D1704" s="10" t="inlineStr">
        <is>
          <t>Understanding the Origins and Taxonomy of Neural Scaling Laws</t>
        </is>
      </c>
      <c r="E1704" s="10" t="inlineStr">
        <is>
          <t>Yasaman Bahri (Simons</t>
        </is>
      </c>
      <c r="F1704" s="11" t="inlineStr">
        <is>
          <t>1:05:24</t>
        </is>
      </c>
      <c r="G1704" s="11" t="n">
        <v>1.09</v>
      </c>
      <c r="H1704" s="12" t="inlineStr">
        <is>
          <t>★</t>
        </is>
      </c>
      <c r="I1704" s="11" t="inlineStr">
        <is>
          <t>Not started</t>
        </is>
      </c>
      <c r="J1704" s="13" t="n"/>
      <c r="K1704" s="10" t="inlineStr"/>
      <c r="L1704" s="14" t="inlineStr">
        <is>
          <t>▶ watch</t>
        </is>
      </c>
      <c r="M1704" s="10" t="inlineStr">
        <is>
          <t>Kaplan et al. 2020, arXiv:2001.08361 · Hoffmann et al. 2022, NeurIPS (Chinchilla)</t>
        </is>
      </c>
      <c r="N1704" s="14" t="inlineStr">
        <is>
          <t>read ↗</t>
        </is>
      </c>
      <c r="O1704" s="11" t="inlineStr">
        <is>
          <t>section reading (2 of 5)</t>
        </is>
      </c>
      <c r="P1704" s="10" t="inlineStr">
        <is>
          <t>5.2 Deriving the exponents; 9.4 Simons: Special Year on Large Language Models and Transformers (2023–2024</t>
        </is>
      </c>
    </row>
    <row r="1705">
      <c r="A1705" s="17" t="n">
        <v>1704</v>
      </c>
      <c r="B1705" s="17" t="inlineStr">
        <is>
          <t>Part III - Upstream AI Research</t>
        </is>
      </c>
      <c r="C1705" s="18" t="inlineStr">
        <is>
          <t>D.5.4 Scaling laws</t>
        </is>
      </c>
      <c r="D1705" s="10" t="inlineStr">
        <is>
          <t>Dynamics and scaling laws in deep learning</t>
        </is>
      </c>
      <c r="E1705" s="10" t="inlineStr">
        <is>
          <t>Yasaman Bahri (Yale YINS</t>
        </is>
      </c>
      <c r="F1705" s="11" t="inlineStr">
        <is>
          <t>1:07:08</t>
        </is>
      </c>
      <c r="G1705" s="11" t="n">
        <v>1.12</v>
      </c>
      <c r="H1705" s="12" t="inlineStr"/>
      <c r="I1705" s="11" t="inlineStr">
        <is>
          <t>Not started</t>
        </is>
      </c>
      <c r="J1705" s="13" t="n"/>
      <c r="K1705" s="10" t="inlineStr"/>
      <c r="L1705" s="14" t="inlineStr">
        <is>
          <t>▶ watch</t>
        </is>
      </c>
      <c r="M1705" s="10" t="inlineStr">
        <is>
          <t>Kaplan et al. 2020, arXiv:2001.08361 · Hoffmann et al. 2022, NeurIPS (Chinchilla)</t>
        </is>
      </c>
      <c r="N1705" s="14" t="inlineStr">
        <is>
          <t>read ↗</t>
        </is>
      </c>
      <c r="O1705" s="11" t="inlineStr">
        <is>
          <t>section reading (2 of 5)</t>
        </is>
      </c>
      <c r="P1705" s="10" t="inlineStr">
        <is>
          <t>5.2 Deriving the exponents</t>
        </is>
      </c>
    </row>
    <row r="1706">
      <c r="A1706" s="17" t="n">
        <v>1705</v>
      </c>
      <c r="B1706" s="17" t="inlineStr">
        <is>
          <t>Part III - Upstream AI Research</t>
        </is>
      </c>
      <c r="C1706" s="18" t="inlineStr">
        <is>
          <t>D.5.4 Scaling laws</t>
        </is>
      </c>
      <c r="D1706" s="10" t="inlineStr">
        <is>
          <t>The Large Learning Rate Phase of Deep Learning</t>
        </is>
      </c>
      <c r="E1706" s="10" t="inlineStr">
        <is>
          <t>Yasaman Bahri</t>
        </is>
      </c>
      <c r="F1706" s="11" t="inlineStr">
        <is>
          <t>36:06</t>
        </is>
      </c>
      <c r="G1706" s="11" t="n">
        <v>0.6</v>
      </c>
      <c r="H1706" s="12" t="inlineStr"/>
      <c r="I1706" s="11" t="inlineStr">
        <is>
          <t>Not started</t>
        </is>
      </c>
      <c r="J1706" s="13" t="n"/>
      <c r="K1706" s="10" t="inlineStr"/>
      <c r="L1706" s="14" t="inlineStr">
        <is>
          <t>▶ watch</t>
        </is>
      </c>
      <c r="M1706" s="10" t="inlineStr">
        <is>
          <t>Kaplan et al. 2020, arXiv:2001.08361 · Hoffmann et al. 2022, NeurIPS (Chinchilla)</t>
        </is>
      </c>
      <c r="N1706" s="14" t="inlineStr">
        <is>
          <t>read ↗</t>
        </is>
      </c>
      <c r="O1706" s="11" t="inlineStr">
        <is>
          <t>section reading (2 of 5)</t>
        </is>
      </c>
      <c r="P1706" s="10" t="inlineStr">
        <is>
          <t>4.5 Convergence theory for overparameterized networks</t>
        </is>
      </c>
    </row>
    <row r="1707">
      <c r="A1707" s="17" t="n">
        <v>1706</v>
      </c>
      <c r="B1707" s="17" t="inlineStr">
        <is>
          <t>Part III - Upstream AI Research</t>
        </is>
      </c>
      <c r="C1707" s="18" t="inlineStr">
        <is>
          <t>D.5.4 Scaling laws</t>
        </is>
      </c>
      <c r="D1707" s="10" t="inlineStr">
        <is>
          <t>Mis)Fitting: A Survey of Scaling Laws</t>
        </is>
      </c>
      <c r="E1707" s="10" t="inlineStr">
        <is>
          <t>Sneha Kudugunta (Cohere Labs</t>
        </is>
      </c>
      <c r="F1707" s="11" t="inlineStr">
        <is>
          <t>54:55</t>
        </is>
      </c>
      <c r="G1707" s="11" t="n">
        <v>0.92</v>
      </c>
      <c r="H1707" s="12" t="inlineStr">
        <is>
          <t>★</t>
        </is>
      </c>
      <c r="I1707" s="11" t="inlineStr">
        <is>
          <t>Not started</t>
        </is>
      </c>
      <c r="J1707" s="13" t="n"/>
      <c r="K1707" s="10" t="inlineStr"/>
      <c r="L1707" s="14" t="inlineStr">
        <is>
          <t>▶ watch</t>
        </is>
      </c>
      <c r="M1707" s="10" t="inlineStr">
        <is>
          <t>Kaplan et al. 2020, arXiv:2001.08361 · Hoffmann et al. 2022, NeurIPS (Chinchilla)</t>
        </is>
      </c>
      <c r="N1707" s="14" t="inlineStr">
        <is>
          <t>read ↗</t>
        </is>
      </c>
      <c r="O1707" s="11" t="inlineStr">
        <is>
          <t>section reading (2 of 5)</t>
        </is>
      </c>
      <c r="P1707" s="10" t="inlineStr">
        <is>
          <t>5.1 The empirical result and compute-optimal training</t>
        </is>
      </c>
    </row>
    <row r="1708">
      <c r="A1708" s="17" t="n">
        <v>1707</v>
      </c>
      <c r="B1708" s="17" t="inlineStr">
        <is>
          <t>Part III - Upstream AI Research</t>
        </is>
      </c>
      <c r="C1708" s="18" t="inlineStr">
        <is>
          <t>D.5.4 Scaling laws</t>
        </is>
      </c>
      <c r="D1708" s="10" t="inlineStr">
        <is>
          <t>CS224N Guest Lecture: Scaling Language Models</t>
        </is>
      </c>
      <c r="E1708" s="10" t="inlineStr">
        <is>
          <t>Stanford</t>
        </is>
      </c>
      <c r="F1708" s="11" t="inlineStr">
        <is>
          <t>1:14:49</t>
        </is>
      </c>
      <c r="G1708" s="11" t="n">
        <v>1.25</v>
      </c>
      <c r="H1708" s="12" t="inlineStr"/>
      <c r="I1708" s="11" t="inlineStr">
        <is>
          <t>Not started</t>
        </is>
      </c>
      <c r="J1708" s="13" t="n"/>
      <c r="K1708" s="10" t="inlineStr"/>
      <c r="L1708" s="14" t="inlineStr">
        <is>
          <t>▶ watch</t>
        </is>
      </c>
      <c r="M1708" s="10" t="inlineStr">
        <is>
          <t>Kaplan et al. 2020, arXiv:2001.08361 · Hoffmann et al. 2022, NeurIPS (Chinchilla)</t>
        </is>
      </c>
      <c r="N1708" s="14" t="inlineStr">
        <is>
          <t>read ↗</t>
        </is>
      </c>
      <c r="O1708" s="11" t="inlineStr">
        <is>
          <t>section reading (2 of 5)</t>
        </is>
      </c>
      <c r="P1708" s="10" t="inlineStr">
        <is>
          <t>5.1 The empirical result and compute-optimal training</t>
        </is>
      </c>
    </row>
    <row r="1709">
      <c r="A1709" s="17" t="n">
        <v>1708</v>
      </c>
      <c r="B1709" s="17" t="inlineStr">
        <is>
          <t>Part III - Upstream AI Research</t>
        </is>
      </c>
      <c r="C1709" s="18" t="inlineStr">
        <is>
          <t>D.5.4 Scaling laws</t>
        </is>
      </c>
      <c r="D1709" s="10" t="inlineStr">
        <is>
          <t>Predicting and optimizing the behavior of large ML models</t>
        </is>
      </c>
      <c r="E1709" s="10" t="inlineStr">
        <is>
          <t>Simons Institute</t>
        </is>
      </c>
      <c r="F1709" s="11" t="inlineStr">
        <is>
          <t>1:04:05</t>
        </is>
      </c>
      <c r="G1709" s="11" t="n">
        <v>1.07</v>
      </c>
      <c r="H1709" s="12" t="inlineStr"/>
      <c r="I1709" s="11" t="inlineStr">
        <is>
          <t>Not started</t>
        </is>
      </c>
      <c r="J1709" s="13" t="n"/>
      <c r="K1709" s="10" t="inlineStr"/>
      <c r="L1709" s="14" t="inlineStr">
        <is>
          <t>▶ watch</t>
        </is>
      </c>
      <c r="M1709" s="10" t="inlineStr">
        <is>
          <t>Kaplan et al. 2020, arXiv:2001.08361 · Hoffmann et al. 2022, NeurIPS (Chinchilla)</t>
        </is>
      </c>
      <c r="N1709" s="14" t="inlineStr">
        <is>
          <t>read ↗</t>
        </is>
      </c>
      <c r="O1709" s="11" t="inlineStr">
        <is>
          <t>section reading (2 of 5)</t>
        </is>
      </c>
      <c r="P1709" s="10" t="inlineStr"/>
    </row>
    <row r="1710">
      <c r="A1710" s="17" t="n">
        <v>1709</v>
      </c>
      <c r="B1710" s="17" t="inlineStr">
        <is>
          <t>Part III - Upstream AI Research</t>
        </is>
      </c>
      <c r="C1710" s="18" t="inlineStr">
        <is>
          <t>D.5.5 Data - the chapter that transfers most cleanly</t>
        </is>
      </c>
      <c r="D1710" s="10" t="inlineStr">
        <is>
          <t>DataComp-LM: In Search of the Next Generation of Training Sets</t>
        </is>
      </c>
      <c r="E1710" s="10" t="inlineStr">
        <is>
          <t>Ludwig Schmidt (Stanford</t>
        </is>
      </c>
      <c r="F1710" s="11" t="inlineStr">
        <is>
          <t>48:31</t>
        </is>
      </c>
      <c r="G1710" s="11" t="n">
        <v>0.8100000000000001</v>
      </c>
      <c r="H1710" s="12" t="inlineStr">
        <is>
          <t>★</t>
        </is>
      </c>
      <c r="I1710" s="11" t="inlineStr">
        <is>
          <t>Not started</t>
        </is>
      </c>
      <c r="J1710" s="13" t="n"/>
      <c r="K1710" s="10" t="inlineStr"/>
      <c r="L1710" s="14" t="inlineStr">
        <is>
          <t>▶ watch</t>
        </is>
      </c>
      <c r="M1710" s="10" t="inlineStr">
        <is>
          <t>Li et al. 2024, arXiv:2406.11794 (DataComp-LM)</t>
        </is>
      </c>
      <c r="N1710" s="14" t="inlineStr">
        <is>
          <t>read ↗</t>
        </is>
      </c>
      <c r="O1710" s="11" t="inlineStr">
        <is>
          <t>names DATACOMP</t>
        </is>
      </c>
      <c r="P1710" s="10" t="inlineStr"/>
    </row>
    <row r="1711">
      <c r="A1711" s="17" t="n">
        <v>1710</v>
      </c>
      <c r="B1711" s="17" t="inlineStr">
        <is>
          <t>Part III - Upstream AI Research</t>
        </is>
      </c>
      <c r="C1711" s="18" t="inlineStr">
        <is>
          <t>D.5.5 Data - the chapter that transfers most cleanly</t>
        </is>
      </c>
      <c r="D1711" s="10" t="inlineStr">
        <is>
          <t>A data-centric view on reliable generalization</t>
        </is>
      </c>
      <c r="E1711" s="10" t="inlineStr">
        <is>
          <t>Ludwig Schmidt (MLSys #71</t>
        </is>
      </c>
      <c r="F1711" s="11" t="inlineStr">
        <is>
          <t>58:41</t>
        </is>
      </c>
      <c r="G1711" s="11" t="n">
        <v>0.98</v>
      </c>
      <c r="H1711" s="12" t="inlineStr"/>
      <c r="I1711" s="11" t="inlineStr">
        <is>
          <t>Not started</t>
        </is>
      </c>
      <c r="J1711" s="13" t="n"/>
      <c r="K1711" s="10" t="inlineStr"/>
      <c r="L1711" s="14" t="inlineStr">
        <is>
          <t>▶ watch</t>
        </is>
      </c>
      <c r="M1711" s="10" t="inlineStr">
        <is>
          <t>Li et al. 2024, arXiv:2406.11794 (DataComp-LM) · Penedo et al. 2024, arXiv:2406.17557 (FineWeb)</t>
        </is>
      </c>
      <c r="N1711" s="14" t="inlineStr">
        <is>
          <t>read ↗</t>
        </is>
      </c>
      <c r="O1711" s="11" t="inlineStr">
        <is>
          <t>section reading (2 of 7)</t>
        </is>
      </c>
      <c r="P1711" s="10" t="inlineStr"/>
    </row>
    <row r="1712">
      <c r="A1712" s="17" t="n">
        <v>1711</v>
      </c>
      <c r="B1712" s="17" t="inlineStr">
        <is>
          <t>Part III - Upstream AI Research</t>
        </is>
      </c>
      <c r="C1712" s="18" t="inlineStr">
        <is>
          <t>D.5.5 Data - the chapter that transfers most cleanly</t>
        </is>
      </c>
      <c r="D1712" s="10" t="inlineStr">
        <is>
          <t>Creating a large dataset for pretraining LLMs (FineWeb</t>
        </is>
      </c>
      <c r="E1712" s="10" t="inlineStr">
        <is>
          <t>Guilherme Penedo (HF</t>
        </is>
      </c>
      <c r="F1712" s="11" t="inlineStr">
        <is>
          <t>24:05</t>
        </is>
      </c>
      <c r="G1712" s="11" t="n">
        <v>0.4</v>
      </c>
      <c r="H1712" s="12" t="inlineStr">
        <is>
          <t>★</t>
        </is>
      </c>
      <c r="I1712" s="11" t="inlineStr">
        <is>
          <t>Not started</t>
        </is>
      </c>
      <c r="J1712" s="13" t="n"/>
      <c r="K1712" s="10" t="inlineStr"/>
      <c r="L1712" s="14" t="inlineStr">
        <is>
          <t>▶ watch</t>
        </is>
      </c>
      <c r="M1712" s="10" t="inlineStr">
        <is>
          <t>Penedo et al. 2024, arXiv:2406.17557 (FineWeb)</t>
        </is>
      </c>
      <c r="N1712" s="14" t="inlineStr">
        <is>
          <t>read ↗</t>
        </is>
      </c>
      <c r="O1712" s="11" t="inlineStr">
        <is>
          <t>names FINEWEB</t>
        </is>
      </c>
      <c r="P1712" s="10" t="inlineStr"/>
    </row>
    <row r="1713">
      <c r="A1713" s="17" t="n">
        <v>1712</v>
      </c>
      <c r="B1713" s="17" t="inlineStr">
        <is>
          <t>Part III - Upstream AI Research</t>
        </is>
      </c>
      <c r="C1713" s="18" t="inlineStr">
        <is>
          <t>D.5.5 Data - the chapter that transfers most cleanly</t>
        </is>
      </c>
      <c r="D1713" s="10" t="inlineStr">
        <is>
          <t>Why Data Holds the Key to AI Reasoning Breakthroughs</t>
        </is>
      </c>
      <c r="E1713" s="10" t="inlineStr">
        <is>
          <t>Penedo (GOSIM</t>
        </is>
      </c>
      <c r="F1713" s="11" t="inlineStr">
        <is>
          <t>23:40</t>
        </is>
      </c>
      <c r="G1713" s="11" t="n">
        <v>0.39</v>
      </c>
      <c r="H1713" s="12" t="inlineStr"/>
      <c r="I1713" s="11" t="inlineStr">
        <is>
          <t>Not started</t>
        </is>
      </c>
      <c r="J1713" s="13" t="n"/>
      <c r="K1713" s="10" t="inlineStr"/>
      <c r="L1713" s="14" t="inlineStr">
        <is>
          <t>▶ watch</t>
        </is>
      </c>
      <c r="M1713" s="10" t="inlineStr">
        <is>
          <t>Li et al. 2024, arXiv:2406.11794 (DataComp-LM) · Penedo et al. 2024, arXiv:2406.17557 (FineWeb)</t>
        </is>
      </c>
      <c r="N1713" s="14" t="inlineStr">
        <is>
          <t>read ↗</t>
        </is>
      </c>
      <c r="O1713" s="11" t="inlineStr">
        <is>
          <t>section reading (2 of 7)</t>
        </is>
      </c>
      <c r="P1713" s="10" t="inlineStr"/>
    </row>
    <row r="1714">
      <c r="A1714" s="17" t="n">
        <v>1713</v>
      </c>
      <c r="B1714" s="17" t="inlineStr">
        <is>
          <t>Part III - Upstream AI Research</t>
        </is>
      </c>
      <c r="C1714" s="18" t="inlineStr">
        <is>
          <t>D.5.5 Data - the chapter that transfers most cleanly</t>
        </is>
      </c>
      <c r="D1714" s="10" t="inlineStr">
        <is>
          <t>Ari Morcos (Datology, Latent Space</t>
        </is>
      </c>
      <c r="E1714" s="10" t="inlineStr">
        <is>
          <t>Better Data is All You Need</t>
        </is>
      </c>
      <c r="F1714" s="11" t="inlineStr">
        <is>
          <t>1:18:43</t>
        </is>
      </c>
      <c r="G1714" s="11" t="n">
        <v>1.31</v>
      </c>
      <c r="H1714" s="12" t="inlineStr">
        <is>
          <t>★</t>
        </is>
      </c>
      <c r="I1714" s="11" t="inlineStr">
        <is>
          <t>Not started</t>
        </is>
      </c>
      <c r="J1714" s="13" t="n"/>
      <c r="K1714" s="10" t="inlineStr"/>
      <c r="L1714" s="14" t="inlineStr">
        <is>
          <t>▶ watch</t>
        </is>
      </c>
      <c r="M1714" s="10" t="inlineStr">
        <is>
          <t>Li et al. 2024, arXiv:2406.11794 (DataComp-LM) · Penedo et al. 2024, arXiv:2406.17557 (FineWeb)</t>
        </is>
      </c>
      <c r="N1714" s="14" t="inlineStr">
        <is>
          <t>read ↗</t>
        </is>
      </c>
      <c r="O1714" s="11" t="inlineStr">
        <is>
          <t>section reading (2 of 7)</t>
        </is>
      </c>
      <c r="P1714" s="10" t="inlineStr"/>
    </row>
    <row r="1715">
      <c r="A1715" s="17" t="n">
        <v>1714</v>
      </c>
      <c r="B1715" s="17" t="inlineStr">
        <is>
          <t>Part III - Upstream AI Research</t>
        </is>
      </c>
      <c r="C1715" s="18" t="inlineStr">
        <is>
          <t>D.5.5 Data - the chapter that transfers most cleanly</t>
        </is>
      </c>
      <c r="D1715" s="10" t="inlineStr">
        <is>
          <t>Poisoning Web-Scale Training Datasets</t>
        </is>
      </c>
      <c r="E1715" s="10" t="inlineStr">
        <is>
          <t>Nicholas Carlini (MLSys #75</t>
        </is>
      </c>
      <c r="F1715" s="11" t="inlineStr">
        <is>
          <t>58:06</t>
        </is>
      </c>
      <c r="G1715" s="11" t="n">
        <v>0.97</v>
      </c>
      <c r="H1715" s="12" t="inlineStr">
        <is>
          <t>★</t>
        </is>
      </c>
      <c r="I1715" s="11" t="inlineStr">
        <is>
          <t>Not started</t>
        </is>
      </c>
      <c r="J1715" s="13" t="n"/>
      <c r="K1715" s="10" t="inlineStr"/>
      <c r="L1715" s="14" t="inlineStr">
        <is>
          <t>▶ watch</t>
        </is>
      </c>
      <c r="M1715" s="10" t="inlineStr">
        <is>
          <t>Li et al. 2024, arXiv:2406.11794 (DataComp-LM) · Penedo et al. 2024, arXiv:2406.17557 (FineWeb)</t>
        </is>
      </c>
      <c r="N1715" s="14" t="inlineStr">
        <is>
          <t>read ↗</t>
        </is>
      </c>
      <c r="O1715" s="11" t="inlineStr">
        <is>
          <t>section reading (2 of 7)</t>
        </is>
      </c>
      <c r="P1715" s="10" t="inlineStr"/>
    </row>
    <row r="1716">
      <c r="A1716" s="17" t="n">
        <v>1715</v>
      </c>
      <c r="B1716" s="17" t="inlineStr">
        <is>
          <t>Part III - Upstream AI Research</t>
        </is>
      </c>
      <c r="C1716" s="18" t="inlineStr">
        <is>
          <t>D.5.5 Data - the chapter that transfers most cleanly</t>
        </is>
      </c>
      <c r="D1716" s="10" t="inlineStr">
        <is>
          <t>OLMo leads on the secrets of training language models</t>
        </is>
      </c>
      <c r="E1716" s="10" t="inlineStr">
        <is>
          <t>Groeneveld, Lo, Soldaini (AI2</t>
        </is>
      </c>
      <c r="F1716" s="11" t="inlineStr">
        <is>
          <t>1:12:43</t>
        </is>
      </c>
      <c r="G1716" s="11" t="n">
        <v>1.21</v>
      </c>
      <c r="H1716" s="12" t="inlineStr"/>
      <c r="I1716" s="11" t="inlineStr">
        <is>
          <t>Not started</t>
        </is>
      </c>
      <c r="J1716" s="13" t="n"/>
      <c r="K1716" s="10" t="inlineStr"/>
      <c r="L1716" s="14" t="inlineStr">
        <is>
          <t>▶ watch</t>
        </is>
      </c>
      <c r="M1716" s="10" t="inlineStr">
        <is>
          <t>Li et al. 2024, arXiv:2406.11794 (DataComp-LM) · Penedo et al. 2024, arXiv:2406.17557 (FineWeb)</t>
        </is>
      </c>
      <c r="N1716" s="14" t="inlineStr">
        <is>
          <t>read ↗</t>
        </is>
      </c>
      <c r="O1716" s="11" t="inlineStr">
        <is>
          <t>section reading (2 of 7)</t>
        </is>
      </c>
      <c r="P1716" s="10" t="inlineStr"/>
    </row>
    <row r="1717">
      <c r="A1717" s="17" t="n">
        <v>1716</v>
      </c>
      <c r="B1717" s="17" t="inlineStr">
        <is>
          <t>Part III - Upstream AI Research</t>
        </is>
      </c>
      <c r="C1717" s="18" t="inlineStr">
        <is>
          <t>D.5.5 Data - the chapter that transfers most cleanly</t>
        </is>
      </c>
      <c r="D1717" s="10" t="inlineStr">
        <is>
          <t>Open Model Pretraining Masterclass</t>
        </is>
      </c>
      <c r="E1717" s="10" t="inlineStr">
        <is>
          <t>Elie Bakouch (HF, Latent Space</t>
        </is>
      </c>
      <c r="F1717" s="11" t="inlineStr">
        <is>
          <t>1:03:39</t>
        </is>
      </c>
      <c r="G1717" s="11" t="n">
        <v>1.06</v>
      </c>
      <c r="H1717" s="12" t="inlineStr"/>
      <c r="I1717" s="11" t="inlineStr">
        <is>
          <t>Not started</t>
        </is>
      </c>
      <c r="J1717" s="13" t="n"/>
      <c r="K1717" s="10" t="inlineStr"/>
      <c r="L1717" s="14" t="inlineStr">
        <is>
          <t>▶ watch</t>
        </is>
      </c>
      <c r="M1717" s="10" t="inlineStr">
        <is>
          <t>Li et al. 2024, arXiv:2406.11794 (DataComp-LM) · Penedo et al. 2024, arXiv:2406.17557 (FineWeb)</t>
        </is>
      </c>
      <c r="N1717" s="14" t="inlineStr">
        <is>
          <t>read ↗</t>
        </is>
      </c>
      <c r="O1717" s="11" t="inlineStr">
        <is>
          <t>section reading (2 of 7)</t>
        </is>
      </c>
      <c r="P1717" s="10" t="inlineStr"/>
    </row>
    <row r="1718">
      <c r="A1718" s="17" t="n">
        <v>1717</v>
      </c>
      <c r="B1718" s="17" t="inlineStr">
        <is>
          <t>Part III - Upstream AI Research</t>
        </is>
      </c>
      <c r="C1718" s="18" t="inlineStr">
        <is>
          <t>D.5.5 Data - the chapter that transfers most cleanly</t>
        </is>
      </c>
      <c r="D1718" s="10" t="inlineStr">
        <is>
          <t>Data-distributional Approaches for Generalizable LMs (DoReMi, DSIR</t>
        </is>
      </c>
      <c r="E1718" s="10" t="inlineStr">
        <is>
          <t>Sang Michael Xie (Stanford</t>
        </is>
      </c>
      <c r="F1718" s="11" t="inlineStr">
        <is>
          <t>1:10:57</t>
        </is>
      </c>
      <c r="G1718" s="11" t="n">
        <v>1.18</v>
      </c>
      <c r="H1718" s="12" t="inlineStr">
        <is>
          <t>★</t>
        </is>
      </c>
      <c r="I1718" s="11" t="inlineStr">
        <is>
          <t>Not started</t>
        </is>
      </c>
      <c r="J1718" s="13" t="n"/>
      <c r="K1718" s="10" t="inlineStr"/>
      <c r="L1718" s="14" t="inlineStr">
        <is>
          <t>▶ watch</t>
        </is>
      </c>
      <c r="M1718" s="10" t="inlineStr">
        <is>
          <t>Lee et al. 2022, ACL (deduplicating training data makes LMs better)</t>
        </is>
      </c>
      <c r="N1718" s="14" t="inlineStr">
        <is>
          <t>read ↗</t>
        </is>
      </c>
      <c r="O1718" s="11" t="inlineStr">
        <is>
          <t>names LMS</t>
        </is>
      </c>
      <c r="P1718" s="10" t="inlineStr"/>
    </row>
    <row r="1719">
      <c r="A1719" s="17" t="n">
        <v>1718</v>
      </c>
      <c r="B1719" s="17" t="inlineStr">
        <is>
          <t>Part III - Upstream AI Research</t>
        </is>
      </c>
      <c r="C1719" s="18" t="inlineStr">
        <is>
          <t>D.5.5 Data - the chapter that transfers most cleanly</t>
        </is>
      </c>
      <c r="D1719" s="10" t="inlineStr">
        <is>
          <t>Scaling Data-Constrained Language Models</t>
        </is>
      </c>
      <c r="E1719" s="10" t="inlineStr">
        <is>
          <t>Sasha Rush (Simons</t>
        </is>
      </c>
      <c r="F1719" s="11" t="inlineStr">
        <is>
          <t>1:03:59</t>
        </is>
      </c>
      <c r="G1719" s="11" t="n">
        <v>1.07</v>
      </c>
      <c r="H1719" s="12" t="inlineStr"/>
      <c r="I1719" s="11" t="inlineStr">
        <is>
          <t>Not started</t>
        </is>
      </c>
      <c r="J1719" s="13" t="n"/>
      <c r="K1719" s="10" t="inlineStr"/>
      <c r="L1719" s="14" t="inlineStr">
        <is>
          <t>▶ watch</t>
        </is>
      </c>
      <c r="M1719" s="10" t="inlineStr">
        <is>
          <t>Li et al. 2024, arXiv:2406.11794 (DataComp-LM) · Penedo et al. 2024, arXiv:2406.17557 (FineWeb)</t>
        </is>
      </c>
      <c r="N1719" s="14" t="inlineStr">
        <is>
          <t>read ↗</t>
        </is>
      </c>
      <c r="O1719" s="11" t="inlineStr">
        <is>
          <t>section reading (2 of 7)</t>
        </is>
      </c>
      <c r="P1719" s="10" t="inlineStr"/>
    </row>
    <row r="1720">
      <c r="A1720" s="17" t="n">
        <v>1719</v>
      </c>
      <c r="B1720" s="17" t="inlineStr">
        <is>
          <t>Part III - Upstream AI Research</t>
        </is>
      </c>
      <c r="C1720" s="18" t="inlineStr">
        <is>
          <t>D.5.5 Data - the chapter that transfers most cleanly</t>
        </is>
      </c>
      <c r="D1720" s="10" t="inlineStr">
        <is>
          <t>Scaling Data-Constrained Language Models</t>
        </is>
      </c>
      <c r="E1720" s="10" t="inlineStr">
        <is>
          <t>Niklas Muennighoff (author</t>
        </is>
      </c>
      <c r="F1720" s="11" t="inlineStr">
        <is>
          <t>1:04:05</t>
        </is>
      </c>
      <c r="G1720" s="11" t="n">
        <v>1.07</v>
      </c>
      <c r="H1720" s="12" t="inlineStr"/>
      <c r="I1720" s="11" t="inlineStr">
        <is>
          <t>Not started</t>
        </is>
      </c>
      <c r="J1720" s="13" t="n"/>
      <c r="K1720" s="10" t="inlineStr"/>
      <c r="L1720" s="14" t="inlineStr">
        <is>
          <t>▶ watch</t>
        </is>
      </c>
      <c r="M1720" s="10" t="inlineStr">
        <is>
          <t>Li et al. 2024, arXiv:2406.11794 (DataComp-LM) · Penedo et al. 2024, arXiv:2406.17557 (FineWeb)</t>
        </is>
      </c>
      <c r="N1720" s="14" t="inlineStr">
        <is>
          <t>read ↗</t>
        </is>
      </c>
      <c r="O1720" s="11" t="inlineStr">
        <is>
          <t>section reading (2 of 7)</t>
        </is>
      </c>
      <c r="P1720" s="10" t="inlineStr"/>
    </row>
    <row r="1721">
      <c r="A1721" s="17" t="n">
        <v>1720</v>
      </c>
      <c r="B1721" s="17" t="inlineStr">
        <is>
          <t>Part III - Upstream AI Research</t>
        </is>
      </c>
      <c r="C1721" s="18" t="inlineStr">
        <is>
          <t>D.5.5 Data - the chapter that transfers most cleanly</t>
        </is>
      </c>
      <c r="D1721" s="10" t="inlineStr">
        <is>
          <t>Open Pretrained Transformers (the OPT-175B logbook</t>
        </is>
      </c>
      <c r="E1721" s="10" t="inlineStr">
        <is>
          <t>Susan Zhang (MLSys #77</t>
        </is>
      </c>
      <c r="F1721" s="11" t="inlineStr">
        <is>
          <t>1:00:05</t>
        </is>
      </c>
      <c r="G1721" s="11" t="n">
        <v>1</v>
      </c>
      <c r="H1721" s="12" t="inlineStr">
        <is>
          <t>★</t>
        </is>
      </c>
      <c r="I1721" s="11" t="inlineStr">
        <is>
          <t>Not started</t>
        </is>
      </c>
      <c r="J1721" s="13" t="n"/>
      <c r="K1721" s="10" t="inlineStr"/>
      <c r="L1721" s="14" t="inlineStr">
        <is>
          <t>▶ watch</t>
        </is>
      </c>
      <c r="M1721" s="10" t="inlineStr">
        <is>
          <t>Li et al. 2024, arXiv:2406.11794 (DataComp-LM) · Penedo et al. 2024, arXiv:2406.17557 (FineWeb)</t>
        </is>
      </c>
      <c r="N1721" s="14" t="inlineStr">
        <is>
          <t>read ↗</t>
        </is>
      </c>
      <c r="O1721" s="11" t="inlineStr">
        <is>
          <t>section reading (2 of 7)</t>
        </is>
      </c>
      <c r="P1721" s="10" t="inlineStr"/>
    </row>
    <row r="1722">
      <c r="A1722" s="17" t="n">
        <v>1721</v>
      </c>
      <c r="B1722" s="17" t="inlineStr">
        <is>
          <t>Part III - Upstream AI Research</t>
        </is>
      </c>
      <c r="C1722" s="18" t="inlineStr">
        <is>
          <t>D.5.5 Data - the chapter that transfers most cleanly</t>
        </is>
      </c>
      <c r="D1722" s="10" t="inlineStr">
        <is>
          <t>CS25 V4 - Behind the Scenes of LLM Pre-training: StarCoder</t>
        </is>
      </c>
      <c r="E1722" s="10" t="inlineStr">
        <is>
          <t>Loubna Ben Allal (HF</t>
        </is>
      </c>
      <c r="F1722" s="11" t="inlineStr">
        <is>
          <t>1:01:36</t>
        </is>
      </c>
      <c r="G1722" s="11" t="n">
        <v>1.03</v>
      </c>
      <c r="H1722" s="12" t="inlineStr"/>
      <c r="I1722" s="11" t="inlineStr">
        <is>
          <t>Not started</t>
        </is>
      </c>
      <c r="J1722" s="13" t="n"/>
      <c r="K1722" s="10" t="inlineStr"/>
      <c r="L1722" s="14" t="inlineStr">
        <is>
          <t>▶ watch</t>
        </is>
      </c>
      <c r="M1722" s="10" t="inlineStr">
        <is>
          <t>Li et al. 2024, arXiv:2406.11794 (DataComp-LM) · Penedo et al. 2024, arXiv:2406.17557 (FineWeb)</t>
        </is>
      </c>
      <c r="N1722" s="14" t="inlineStr">
        <is>
          <t>read ↗</t>
        </is>
      </c>
      <c r="O1722" s="11" t="inlineStr">
        <is>
          <t>section reading (2 of 7)</t>
        </is>
      </c>
      <c r="P1722" s="10" t="inlineStr"/>
    </row>
    <row r="1723">
      <c r="A1723" s="17" t="n">
        <v>1722</v>
      </c>
      <c r="B1723" s="17" t="inlineStr">
        <is>
          <t>Part III - Upstream AI Research</t>
        </is>
      </c>
      <c r="C1723" s="18" t="inlineStr">
        <is>
          <t>D.6.1 The mechanics, and the over-optimization result</t>
        </is>
      </c>
      <c r="D1723" s="10" t="inlineStr">
        <is>
          <t>Proxy Objectives in RLHF (ICML 2023 invited talk</t>
        </is>
      </c>
      <c r="E1723" s="10" t="inlineStr">
        <is>
          <t>John Schulman</t>
        </is>
      </c>
      <c r="F1723" s="11" t="inlineStr">
        <is>
          <t>1:01:06</t>
        </is>
      </c>
      <c r="G1723" s="11" t="n">
        <v>1.02</v>
      </c>
      <c r="H1723" s="12" t="inlineStr">
        <is>
          <t>★</t>
        </is>
      </c>
      <c r="I1723" s="11" t="inlineStr">
        <is>
          <t>Not started</t>
        </is>
      </c>
      <c r="J1723" s="13" t="n"/>
      <c r="K1723" s="10" t="inlineStr"/>
      <c r="L1723" s="14" t="inlineStr">
        <is>
          <t>▶ watch</t>
        </is>
      </c>
      <c r="M1723" s="10" t="inlineStr">
        <is>
          <t>Ouyang et al. 2022, NeurIPS, arXiv:2203.02155 (InstructGPT) · Gao, Schulman &amp; Hilton 2023, ICML, arXiv:2210.10760 (Scaling Laws for Reward Model Overoptimization)</t>
        </is>
      </c>
      <c r="N1723" s="14" t="inlineStr">
        <is>
          <t>read ↗</t>
        </is>
      </c>
      <c r="O1723" s="11" t="inlineStr">
        <is>
          <t>section reading (2 of 5)</t>
        </is>
      </c>
      <c r="P1723" s="10" t="inlineStr"/>
    </row>
    <row r="1724">
      <c r="A1724" s="17" t="n">
        <v>1723</v>
      </c>
      <c r="B1724" s="17" t="inlineStr">
        <is>
          <t>Part III - Upstream AI Research</t>
        </is>
      </c>
      <c r="C1724" s="18" t="inlineStr">
        <is>
          <t>D.6.1 The mechanics, and the over-optimization result</t>
        </is>
      </c>
      <c r="D1724" s="10" t="inlineStr">
        <is>
          <t>John Schulman (Berkeley EECS Colloquium</t>
        </is>
      </c>
      <c r="E1724" s="10" t="inlineStr">
        <is>
          <t>RLHF: Progress and Challenges</t>
        </is>
      </c>
      <c r="F1724" s="11" t="inlineStr">
        <is>
          <t>1:03:32</t>
        </is>
      </c>
      <c r="G1724" s="11" t="n">
        <v>1.06</v>
      </c>
      <c r="H1724" s="12" t="inlineStr">
        <is>
          <t>★</t>
        </is>
      </c>
      <c r="I1724" s="11" t="inlineStr">
        <is>
          <t>Not started</t>
        </is>
      </c>
      <c r="J1724" s="13" t="n"/>
      <c r="K1724" s="10" t="inlineStr"/>
      <c r="L1724" s="14" t="inlineStr">
        <is>
          <t>▶ watch</t>
        </is>
      </c>
      <c r="M1724" s="10" t="inlineStr">
        <is>
          <t>Ouyang et al. 2022, NeurIPS, arXiv:2203.02155 (InstructGPT) · Gao, Schulman &amp; Hilton 2023, ICML, arXiv:2210.10760 (Scaling Laws for Reward Model Overoptimization)</t>
        </is>
      </c>
      <c r="N1724" s="14" t="inlineStr">
        <is>
          <t>read ↗</t>
        </is>
      </c>
      <c r="O1724" s="11" t="inlineStr">
        <is>
          <t>section reading (2 of 5)</t>
        </is>
      </c>
      <c r="P1724" s="10" t="inlineStr"/>
    </row>
    <row r="1725">
      <c r="A1725" s="17" t="n">
        <v>1724</v>
      </c>
      <c r="B1725" s="17" t="inlineStr">
        <is>
          <t>Part III - Upstream AI Research</t>
        </is>
      </c>
      <c r="C1725" s="18" t="inlineStr">
        <is>
          <t>D.6.1 The mechanics, and the over-optimization result</t>
        </is>
      </c>
      <c r="D1725" s="10" t="inlineStr">
        <is>
          <t>Reinforcement Learning from Human Feedback</t>
        </is>
      </c>
      <c r="E1725" s="10" t="inlineStr">
        <is>
          <t>Nathan Lambert (UCL DARK</t>
        </is>
      </c>
      <c r="F1725" s="11" t="inlineStr">
        <is>
          <t>47:15</t>
        </is>
      </c>
      <c r="G1725" s="11" t="n">
        <v>0.79</v>
      </c>
      <c r="H1725" s="12" t="inlineStr"/>
      <c r="I1725" s="11" t="inlineStr">
        <is>
          <t>Not started</t>
        </is>
      </c>
      <c r="J1725" s="13" t="n"/>
      <c r="K1725" s="10" t="inlineStr"/>
      <c r="L1725" s="14" t="inlineStr">
        <is>
          <t>▶ watch</t>
        </is>
      </c>
      <c r="M1725" s="10" t="inlineStr">
        <is>
          <t>Ouyang et al. 2022, NeurIPS, arXiv:2203.02155 (InstructGPT) · Gao, Schulman &amp; Hilton 2023, ICML, arXiv:2210.10760 (Scaling Laws for Reward Model Overoptimization)</t>
        </is>
      </c>
      <c r="N1725" s="14" t="inlineStr">
        <is>
          <t>read ↗</t>
        </is>
      </c>
      <c r="O1725" s="11" t="inlineStr">
        <is>
          <t>section reading (2 of 5)</t>
        </is>
      </c>
      <c r="P1725" s="10" t="inlineStr"/>
    </row>
    <row r="1726">
      <c r="A1726" s="17" t="n">
        <v>1725</v>
      </c>
      <c r="B1726" s="17" t="inlineStr">
        <is>
          <t>Part III - Upstream AI Research</t>
        </is>
      </c>
      <c r="C1726" s="18" t="inlineStr">
        <is>
          <t>D.6.1 The mechanics, and the over-optimization result</t>
        </is>
      </c>
      <c r="D1726" s="10" t="inlineStr">
        <is>
          <t>AI Safety, RLHF, and Self-Supervision</t>
        </is>
      </c>
      <c r="E1726" s="10" t="inlineStr">
        <is>
          <t>Jared Kaplan (MLSys #79</t>
        </is>
      </c>
      <c r="F1726" s="11" t="inlineStr">
        <is>
          <t>1:02:37</t>
        </is>
      </c>
      <c r="G1726" s="11" t="n">
        <v>1.04</v>
      </c>
      <c r="H1726" s="12" t="inlineStr"/>
      <c r="I1726" s="11" t="inlineStr">
        <is>
          <t>Not started</t>
        </is>
      </c>
      <c r="J1726" s="13" t="n"/>
      <c r="K1726" s="10" t="inlineStr"/>
      <c r="L1726" s="14" t="inlineStr">
        <is>
          <t>▶ watch</t>
        </is>
      </c>
      <c r="M1726" s="10" t="inlineStr">
        <is>
          <t>Ouyang et al. 2022, NeurIPS, arXiv:2203.02155 (InstructGPT) · Gao, Schulman &amp; Hilton 2023, ICML, arXiv:2210.10760 (Scaling Laws for Reward Model Overoptimization)</t>
        </is>
      </c>
      <c r="N1726" s="14" t="inlineStr">
        <is>
          <t>read ↗</t>
        </is>
      </c>
      <c r="O1726" s="11" t="inlineStr">
        <is>
          <t>section reading (2 of 5)</t>
        </is>
      </c>
      <c r="P1726" s="10" t="inlineStr"/>
    </row>
    <row r="1727">
      <c r="A1727" s="17" t="n">
        <v>1726</v>
      </c>
      <c r="B1727" s="17" t="inlineStr">
        <is>
          <t>Part III - Upstream AI Research</t>
        </is>
      </c>
      <c r="C1727" s="18" t="inlineStr">
        <is>
          <t>D.6.1 The mechanics, and the over-optimization result</t>
        </is>
      </c>
      <c r="D1727" s="10" t="inlineStr">
        <is>
          <t>CS25 V4 - Aligning Open Language Models</t>
        </is>
      </c>
      <c r="E1727" s="10" t="inlineStr">
        <is>
          <t>Nathan Lambert (AI2</t>
        </is>
      </c>
      <c r="F1727" s="11" t="inlineStr">
        <is>
          <t>1:16:21</t>
        </is>
      </c>
      <c r="G1727" s="11" t="n">
        <v>1.27</v>
      </c>
      <c r="H1727" s="12" t="inlineStr"/>
      <c r="I1727" s="11" t="inlineStr">
        <is>
          <t>Not started</t>
        </is>
      </c>
      <c r="J1727" s="13" t="n"/>
      <c r="K1727" s="10" t="inlineStr"/>
      <c r="L1727" s="14" t="inlineStr">
        <is>
          <t>▶ watch</t>
        </is>
      </c>
      <c r="M1727" s="10" t="inlineStr">
        <is>
          <t>Ouyang et al. 2022, NeurIPS, arXiv:2203.02155 (InstructGPT) · Gao, Schulman &amp; Hilton 2023, ICML, arXiv:2210.10760 (Scaling Laws for Reward Model Overoptimization)</t>
        </is>
      </c>
      <c r="N1727" s="14" t="inlineStr">
        <is>
          <t>read ↗</t>
        </is>
      </c>
      <c r="O1727" s="11" t="inlineStr">
        <is>
          <t>section reading (2 of 5)</t>
        </is>
      </c>
      <c r="P1727" s="10" t="inlineStr"/>
    </row>
    <row r="1728">
      <c r="A1728" s="17" t="n">
        <v>1727</v>
      </c>
      <c r="B1728" s="17" t="inlineStr">
        <is>
          <t>Part III - Upstream AI Research</t>
        </is>
      </c>
      <c r="C1728" s="18" t="inlineStr">
        <is>
          <t>D.6.2 The Post-Training Course - Nathan Lambert, AI2, 2026</t>
        </is>
      </c>
      <c r="D1728" s="10" t="inlineStr">
        <is>
          <t>ML Foundations (prerequisites) for Post-Training</t>
        </is>
      </c>
      <c r="E1728" s="10" t="inlineStr"/>
      <c r="F1728" s="11" t="inlineStr">
        <is>
          <t>23:53</t>
        </is>
      </c>
      <c r="G1728" s="11" t="n">
        <v>0.4</v>
      </c>
      <c r="H1728" s="12" t="inlineStr"/>
      <c r="I1728" s="11" t="inlineStr">
        <is>
          <t>Not started</t>
        </is>
      </c>
      <c r="J1728" s="13" t="n"/>
      <c r="K1728" s="10" t="inlineStr"/>
      <c r="L1728" s="14" t="inlineStr">
        <is>
          <t>▶ watch</t>
        </is>
      </c>
      <c r="M1728" s="10" t="inlineStr">
        <is>
          <t>Ouyang et al. 2022, NeurIPS, arXiv:2203.02155 (InstructGPT) · Gao, Schulman &amp; Hilton 2023, ICML, arXiv:2210.10760 (Scaling Laws for Reward Model Overoptimization)</t>
        </is>
      </c>
      <c r="N1728" s="14" t="inlineStr">
        <is>
          <t>read ↗</t>
        </is>
      </c>
      <c r="O1728" s="11" t="inlineStr">
        <is>
          <t>reading for D.6.1 The mechanics, and the over-optimi</t>
        </is>
      </c>
      <c r="P1728" s="10" t="inlineStr"/>
    </row>
    <row r="1729">
      <c r="A1729" s="17" t="n">
        <v>1728</v>
      </c>
      <c r="B1729" s="17" t="inlineStr">
        <is>
          <t>Part III - Upstream AI Research</t>
        </is>
      </c>
      <c r="C1729" s="18" t="inlineStr">
        <is>
          <t>D.6.2 The Post-Training Course - Nathan Lambert, AI2, 2026</t>
        </is>
      </c>
      <c r="D1729" s="10" t="inlineStr">
        <is>
          <t>Post-Training and RLHF Overview</t>
        </is>
      </c>
      <c r="E1729" s="10" t="inlineStr"/>
      <c r="F1729" s="11" t="inlineStr">
        <is>
          <t>46:10</t>
        </is>
      </c>
      <c r="G1729" s="11" t="n">
        <v>0.77</v>
      </c>
      <c r="H1729" s="12" t="inlineStr"/>
      <c r="I1729" s="11" t="inlineStr">
        <is>
          <t>Not started</t>
        </is>
      </c>
      <c r="J1729" s="13" t="n"/>
      <c r="K1729" s="10" t="inlineStr"/>
      <c r="L1729" s="14" t="inlineStr">
        <is>
          <t>▶ watch</t>
        </is>
      </c>
      <c r="M1729" s="10" t="inlineStr">
        <is>
          <t>Ouyang et al. 2022, NeurIPS, arXiv:2203.02155 (InstructGPT) · Gao, Schulman &amp; Hilton 2023, ICML, arXiv:2210.10760 (Scaling Laws for Reward Model Overoptimization)</t>
        </is>
      </c>
      <c r="N1729" s="14" t="inlineStr">
        <is>
          <t>read ↗</t>
        </is>
      </c>
      <c r="O1729" s="11" t="inlineStr">
        <is>
          <t>reading for D.6.1 The mechanics, and the over-optimi</t>
        </is>
      </c>
      <c r="P1729" s="10" t="inlineStr"/>
    </row>
    <row r="1730">
      <c r="A1730" s="17" t="n">
        <v>1729</v>
      </c>
      <c r="B1730" s="17" t="inlineStr">
        <is>
          <t>Part III - Upstream AI Research</t>
        </is>
      </c>
      <c r="C1730" s="18" t="inlineStr">
        <is>
          <t>D.6.2 The Post-Training Course - Nathan Lambert, AI2, 2026</t>
        </is>
      </c>
      <c r="D1730" s="10" t="inlineStr">
        <is>
          <t>RLHF Foundations, IFT, Reward Modeling, Rejection Sampling</t>
        </is>
      </c>
      <c r="E1730" s="10" t="inlineStr"/>
      <c r="F1730" s="11" t="inlineStr">
        <is>
          <t>49:49</t>
        </is>
      </c>
      <c r="G1730" s="11" t="n">
        <v>0.83</v>
      </c>
      <c r="H1730" s="12" t="inlineStr"/>
      <c r="I1730" s="11" t="inlineStr">
        <is>
          <t>Not started</t>
        </is>
      </c>
      <c r="J1730" s="13" t="n"/>
      <c r="K1730" s="10" t="inlineStr"/>
      <c r="L1730" s="14" t="inlineStr">
        <is>
          <t>▶ watch</t>
        </is>
      </c>
      <c r="M1730" s="10" t="inlineStr">
        <is>
          <t>Ouyang et al. 2022, NeurIPS, arXiv:2203.02155 (InstructGPT) · Gao, Schulman &amp; Hilton 2023, ICML, arXiv:2210.10760 (Scaling Laws for Reward Model Overoptimization)</t>
        </is>
      </c>
      <c r="N1730" s="14" t="inlineStr">
        <is>
          <t>read ↗</t>
        </is>
      </c>
      <c r="O1730" s="11" t="inlineStr">
        <is>
          <t>reading for D.6.1 The mechanics, and the over-optimi</t>
        </is>
      </c>
      <c r="P1730" s="10" t="inlineStr"/>
    </row>
    <row r="1731">
      <c r="A1731" s="17" t="n">
        <v>1730</v>
      </c>
      <c r="B1731" s="17" t="inlineStr">
        <is>
          <t>Part III - Upstream AI Research</t>
        </is>
      </c>
      <c r="C1731" s="18" t="inlineStr">
        <is>
          <t>D.6.2 The Post-Training Course - Nathan Lambert, AI2, 2026</t>
        </is>
      </c>
      <c r="D1731" s="10" t="inlineStr">
        <is>
          <t>Understanding Policy Gradient Algorithms for RL on LLMs</t>
        </is>
      </c>
      <c r="E1731" s="10" t="inlineStr"/>
      <c r="F1731" s="11" t="inlineStr">
        <is>
          <t>57:35</t>
        </is>
      </c>
      <c r="G1731" s="11" t="n">
        <v>0.96</v>
      </c>
      <c r="H1731" s="12" t="inlineStr">
        <is>
          <t>★</t>
        </is>
      </c>
      <c r="I1731" s="11" t="inlineStr">
        <is>
          <t>Not started</t>
        </is>
      </c>
      <c r="J1731" s="13" t="n"/>
      <c r="K1731" s="10" t="inlineStr"/>
      <c r="L1731" s="14" t="inlineStr">
        <is>
          <t>▶ watch</t>
        </is>
      </c>
      <c r="M1731" s="10" t="inlineStr">
        <is>
          <t>Ouyang et al. 2022, NeurIPS, arXiv:2203.02155 (InstructGPT) · Gao, Schulman &amp; Hilton 2023, ICML, arXiv:2210.10760 (Scaling Laws for Reward Model Overoptimization)</t>
        </is>
      </c>
      <c r="N1731" s="14" t="inlineStr">
        <is>
          <t>read ↗</t>
        </is>
      </c>
      <c r="O1731" s="11" t="inlineStr">
        <is>
          <t>reading for D.6.1 The mechanics, and the over-optimi</t>
        </is>
      </c>
      <c r="P1731" s="10" t="inlineStr"/>
    </row>
    <row r="1732">
      <c r="A1732" s="17" t="n">
        <v>1731</v>
      </c>
      <c r="B1732" s="17" t="inlineStr">
        <is>
          <t>Part III - Upstream AI Research</t>
        </is>
      </c>
      <c r="C1732" s="18" t="inlineStr">
        <is>
          <t>D.6.2 The Post-Training Course - Nathan Lambert, AI2, 2026</t>
        </is>
      </c>
      <c r="D1732" s="10" t="inlineStr">
        <is>
          <t>Implementing RL Algorithms for LLMs</t>
        </is>
      </c>
      <c r="E1732" s="10" t="inlineStr"/>
      <c r="F1732" s="11" t="inlineStr">
        <is>
          <t>53:36</t>
        </is>
      </c>
      <c r="G1732" s="11" t="n">
        <v>0.89</v>
      </c>
      <c r="H1732" s="12" t="inlineStr"/>
      <c r="I1732" s="11" t="inlineStr">
        <is>
          <t>Not started</t>
        </is>
      </c>
      <c r="J1732" s="13" t="n"/>
      <c r="K1732" s="10" t="inlineStr"/>
      <c r="L1732" s="14" t="inlineStr">
        <is>
          <t>▶ watch</t>
        </is>
      </c>
      <c r="M1732" s="10" t="inlineStr">
        <is>
          <t>Ouyang et al. 2022, NeurIPS, arXiv:2203.02155 (InstructGPT) · Gao, Schulman &amp; Hilton 2023, ICML, arXiv:2210.10760 (Scaling Laws for Reward Model Overoptimization)</t>
        </is>
      </c>
      <c r="N1732" s="14" t="inlineStr">
        <is>
          <t>read ↗</t>
        </is>
      </c>
      <c r="O1732" s="11" t="inlineStr">
        <is>
          <t>reading for D.6.1 The mechanics, and the over-optimi</t>
        </is>
      </c>
      <c r="P1732" s="10" t="inlineStr"/>
    </row>
    <row r="1733">
      <c r="A1733" s="17" t="n">
        <v>1732</v>
      </c>
      <c r="B1733" s="17" t="inlineStr">
        <is>
          <t>Part III - Upstream AI Research</t>
        </is>
      </c>
      <c r="C1733" s="18" t="inlineStr">
        <is>
          <t>D.6.2 The Post-Training Course - Nathan Lambert, AI2, 2026</t>
        </is>
      </c>
      <c r="D1733" s="10" t="inlineStr">
        <is>
          <t>The Rise of Reasoning Models</t>
        </is>
      </c>
      <c r="E1733" s="10" t="inlineStr"/>
      <c r="F1733" s="11" t="inlineStr">
        <is>
          <t>45:20</t>
        </is>
      </c>
      <c r="G1733" s="11" t="n">
        <v>0.76</v>
      </c>
      <c r="H1733" s="12" t="inlineStr"/>
      <c r="I1733" s="11" t="inlineStr">
        <is>
          <t>Not started</t>
        </is>
      </c>
      <c r="J1733" s="13" t="n"/>
      <c r="K1733" s="10" t="inlineStr"/>
      <c r="L1733" s="14" t="inlineStr">
        <is>
          <t>▶ watch</t>
        </is>
      </c>
      <c r="M1733" s="10" t="inlineStr">
        <is>
          <t>Ouyang et al. 2022, NeurIPS, arXiv:2203.02155 (InstructGPT) · Gao, Schulman &amp; Hilton 2023, ICML, arXiv:2210.10760 (Scaling Laws for Reward Model Overoptimization)</t>
        </is>
      </c>
      <c r="N1733" s="14" t="inlineStr">
        <is>
          <t>read ↗</t>
        </is>
      </c>
      <c r="O1733" s="11" t="inlineStr">
        <is>
          <t>reading for D.6.1 The mechanics, and the over-optimi</t>
        </is>
      </c>
      <c r="P1733" s="10" t="inlineStr"/>
    </row>
    <row r="1734">
      <c r="A1734" s="17" t="n">
        <v>1733</v>
      </c>
      <c r="B1734" s="17" t="inlineStr">
        <is>
          <t>Part III - Upstream AI Research</t>
        </is>
      </c>
      <c r="C1734" s="18" t="inlineStr">
        <is>
          <t>D.6.2 The Post-Training Course - Nathan Lambert, AI2, 2026</t>
        </is>
      </c>
      <c r="D1734" s="10" t="inlineStr">
        <is>
          <t>Direct Preference Optimization (DPO) and Friends</t>
        </is>
      </c>
      <c r="E1734" s="10" t="inlineStr"/>
      <c r="F1734" s="11" t="inlineStr">
        <is>
          <t>42:44</t>
        </is>
      </c>
      <c r="G1734" s="11" t="n">
        <v>0.71</v>
      </c>
      <c r="H1734" s="12" t="inlineStr">
        <is>
          <t>★</t>
        </is>
      </c>
      <c r="I1734" s="11" t="inlineStr">
        <is>
          <t>Not started</t>
        </is>
      </c>
      <c r="J1734" s="13" t="n"/>
      <c r="K1734" s="10" t="inlineStr"/>
      <c r="L1734" s="14" t="inlineStr">
        <is>
          <t>▶ watch</t>
        </is>
      </c>
      <c r="M1734" s="10" t="inlineStr">
        <is>
          <t>Ouyang et al. 2022, NeurIPS, arXiv:2203.02155 (InstructGPT) · Gao, Schulman &amp; Hilton 2023, ICML, arXiv:2210.10760 (Scaling Laws for Reward Model Overoptimization)</t>
        </is>
      </c>
      <c r="N1734" s="14" t="inlineStr">
        <is>
          <t>read ↗</t>
        </is>
      </c>
      <c r="O1734" s="11" t="inlineStr">
        <is>
          <t>reading for D.6.1 The mechanics, and the over-optimi</t>
        </is>
      </c>
      <c r="P1734" s="10" t="inlineStr"/>
    </row>
    <row r="1735">
      <c r="A1735" s="17" t="n">
        <v>1734</v>
      </c>
      <c r="B1735" s="17" t="inlineStr">
        <is>
          <t>Part III - Upstream AI Research</t>
        </is>
      </c>
      <c r="C1735" s="18" t="inlineStr">
        <is>
          <t>D.6.2 The Post-Training Course - Nathan Lambert, AI2, 2026</t>
        </is>
      </c>
      <c r="D1735" s="10" t="inlineStr">
        <is>
          <t>On-Policy Distillation &amp; Synthetic Data in Post-Training</t>
        </is>
      </c>
      <c r="E1735" s="10" t="inlineStr"/>
      <c r="F1735" s="11" t="inlineStr">
        <is>
          <t>49:40</t>
        </is>
      </c>
      <c r="G1735" s="11" t="n">
        <v>0.83</v>
      </c>
      <c r="H1735" s="12" t="inlineStr"/>
      <c r="I1735" s="11" t="inlineStr">
        <is>
          <t>Not started</t>
        </is>
      </c>
      <c r="J1735" s="13" t="n"/>
      <c r="K1735" s="10" t="inlineStr"/>
      <c r="L1735" s="14" t="inlineStr">
        <is>
          <t>▶ watch</t>
        </is>
      </c>
      <c r="M1735" s="10" t="inlineStr">
        <is>
          <t>Ouyang et al. 2022, NeurIPS, arXiv:2203.02155 (InstructGPT) · Gao, Schulman &amp; Hilton 2023, ICML, arXiv:2210.10760 (Scaling Laws for Reward Model Overoptimization)</t>
        </is>
      </c>
      <c r="N1735" s="14" t="inlineStr">
        <is>
          <t>read ↗</t>
        </is>
      </c>
      <c r="O1735" s="11" t="inlineStr">
        <is>
          <t>reading for D.6.1 The mechanics, and the over-optimi</t>
        </is>
      </c>
      <c r="P1735" s="10" t="inlineStr"/>
    </row>
    <row r="1736">
      <c r="A1736" s="17" t="n">
        <v>1735</v>
      </c>
      <c r="B1736" s="17" t="inlineStr">
        <is>
          <t>Part III - Upstream AI Research</t>
        </is>
      </c>
      <c r="C1736" s="18" t="inlineStr">
        <is>
          <t>D.6.2 The Post-Training Course - Nathan Lambert, AI2, 2026</t>
        </is>
      </c>
      <c r="D1736" s="10" t="inlineStr">
        <is>
          <t>Preference Data: The Most Opaque Part of Post-Training</t>
        </is>
      </c>
      <c r="E1736" s="10" t="inlineStr"/>
      <c r="F1736" s="11" t="inlineStr">
        <is>
          <t>35:53</t>
        </is>
      </c>
      <c r="G1736" s="11" t="n">
        <v>0.6</v>
      </c>
      <c r="H1736" s="12" t="inlineStr">
        <is>
          <t>★</t>
        </is>
      </c>
      <c r="I1736" s="11" t="inlineStr">
        <is>
          <t>Not started</t>
        </is>
      </c>
      <c r="J1736" s="13" t="n"/>
      <c r="K1736" s="10" t="inlineStr"/>
      <c r="L1736" s="14" t="inlineStr">
        <is>
          <t>▶ watch</t>
        </is>
      </c>
      <c r="M1736" s="10" t="inlineStr">
        <is>
          <t>Ouyang et al. 2022, NeurIPS, arXiv:2203.02155 (InstructGPT) · Gao, Schulman &amp; Hilton 2023, ICML, arXiv:2210.10760 (Scaling Laws for Reward Model Overoptimization)</t>
        </is>
      </c>
      <c r="N1736" s="14" t="inlineStr">
        <is>
          <t>read ↗</t>
        </is>
      </c>
      <c r="O1736" s="11" t="inlineStr">
        <is>
          <t>reading for D.6.1 The mechanics, and the over-optimi</t>
        </is>
      </c>
      <c r="P1736" s="10" t="inlineStr"/>
    </row>
    <row r="1737">
      <c r="A1737" s="17" t="n">
        <v>1736</v>
      </c>
      <c r="B1737" s="17" t="inlineStr">
        <is>
          <t>Part III - Upstream AI Research</t>
        </is>
      </c>
      <c r="C1737" s="18" t="inlineStr">
        <is>
          <t>D.6.2 The Post-Training Course - Nathan Lambert, AI2, 2026</t>
        </is>
      </c>
      <c r="D1737" s="10" t="inlineStr">
        <is>
          <t>Over-Optimization and RLHF's Bad Reputation</t>
        </is>
      </c>
      <c r="E1737" s="10" t="inlineStr"/>
      <c r="F1737" s="11" t="inlineStr">
        <is>
          <t>23:34</t>
        </is>
      </c>
      <c r="G1737" s="11" t="n">
        <v>0.39</v>
      </c>
      <c r="H1737" s="12" t="inlineStr">
        <is>
          <t>★</t>
        </is>
      </c>
      <c r="I1737" s="11" t="inlineStr">
        <is>
          <t>Not started</t>
        </is>
      </c>
      <c r="J1737" s="13" t="n"/>
      <c r="K1737" s="10" t="inlineStr"/>
      <c r="L1737" s="14" t="inlineStr">
        <is>
          <t>▶ watch</t>
        </is>
      </c>
      <c r="M1737" s="10" t="inlineStr">
        <is>
          <t>Ouyang et al. 2022, NeurIPS, arXiv:2203.02155 (InstructGPT) · Gao, Schulman &amp; Hilton 2023, ICML, arXiv:2210.10760 (Scaling Laws for Reward Model Overoptimization)</t>
        </is>
      </c>
      <c r="N1737" s="14" t="inlineStr">
        <is>
          <t>read ↗</t>
        </is>
      </c>
      <c r="O1737" s="11" t="inlineStr">
        <is>
          <t>reading for D.6.1 The mechanics, and the over-optimi</t>
        </is>
      </c>
      <c r="P1737" s="10" t="inlineStr"/>
    </row>
    <row r="1738">
      <c r="A1738" s="17" t="n">
        <v>1737</v>
      </c>
      <c r="B1738" s="17" t="inlineStr">
        <is>
          <t>Part III - Upstream AI Research</t>
        </is>
      </c>
      <c r="C1738" s="18" t="inlineStr">
        <is>
          <t>D.6.2 The Post-Training Course - Nathan Lambert, AI2, 2026</t>
        </is>
      </c>
      <c r="D1738" s="10" t="inlineStr">
        <is>
          <t>Regularization in RL, Why RL Generalizes, and Why SFT Forgets</t>
        </is>
      </c>
      <c r="E1738" s="10" t="inlineStr"/>
      <c r="F1738" s="11" t="inlineStr">
        <is>
          <t>31:33</t>
        </is>
      </c>
      <c r="G1738" s="11" t="n">
        <v>0.53</v>
      </c>
      <c r="H1738" s="12" t="inlineStr">
        <is>
          <t>★</t>
        </is>
      </c>
      <c r="I1738" s="11" t="inlineStr">
        <is>
          <t>Not started</t>
        </is>
      </c>
      <c r="J1738" s="13" t="n"/>
      <c r="K1738" s="10" t="inlineStr"/>
      <c r="L1738" s="14" t="inlineStr">
        <is>
          <t>▶ watch</t>
        </is>
      </c>
      <c r="M1738" s="10" t="inlineStr">
        <is>
          <t>Ouyang et al. 2022, NeurIPS, arXiv:2203.02155 (InstructGPT) · Gao, Schulman &amp; Hilton 2023, ICML, arXiv:2210.10760 (Scaling Laws for Reward Model Overoptimization)</t>
        </is>
      </c>
      <c r="N1738" s="14" t="inlineStr">
        <is>
          <t>read ↗</t>
        </is>
      </c>
      <c r="O1738" s="11" t="inlineStr">
        <is>
          <t>reading for D.6.1 The mechanics, and the over-optimi</t>
        </is>
      </c>
      <c r="P1738" s="10" t="inlineStr"/>
    </row>
    <row r="1739">
      <c r="A1739" s="17" t="n">
        <v>1738</v>
      </c>
      <c r="B1739" s="17" t="inlineStr">
        <is>
          <t>Part III - Upstream AI Research</t>
        </is>
      </c>
      <c r="C1739" s="18" t="inlineStr">
        <is>
          <t>D.6.2 The Post-Training Course - Nathan Lambert, AI2, 2026</t>
        </is>
      </c>
      <c r="D1739" s="10" t="inlineStr">
        <is>
          <t>How Language Models Use Tools and the Path to Agents</t>
        </is>
      </c>
      <c r="E1739" s="10" t="inlineStr"/>
      <c r="F1739" s="11" t="inlineStr">
        <is>
          <t>37:47</t>
        </is>
      </c>
      <c r="G1739" s="11" t="n">
        <v>0.63</v>
      </c>
      <c r="H1739" s="12" t="inlineStr"/>
      <c r="I1739" s="11" t="inlineStr">
        <is>
          <t>Not started</t>
        </is>
      </c>
      <c r="J1739" s="13" t="n"/>
      <c r="K1739" s="10" t="inlineStr"/>
      <c r="L1739" s="14" t="inlineStr">
        <is>
          <t>▶ watch</t>
        </is>
      </c>
      <c r="M1739" s="10" t="inlineStr">
        <is>
          <t>Ouyang et al. 2022, NeurIPS, arXiv:2203.02155 (InstructGPT) · Gao, Schulman &amp; Hilton 2023, ICML, arXiv:2210.10760 (Scaling Laws for Reward Model Overoptimization)</t>
        </is>
      </c>
      <c r="N1739" s="14" t="inlineStr">
        <is>
          <t>read ↗</t>
        </is>
      </c>
      <c r="O1739" s="11" t="inlineStr">
        <is>
          <t>reading for D.6.1 The mechanics, and the over-optimi</t>
        </is>
      </c>
      <c r="P1739" s="10" t="inlineStr"/>
    </row>
    <row r="1740">
      <c r="A1740" s="17" t="n">
        <v>1739</v>
      </c>
      <c r="B1740" s="17" t="inlineStr">
        <is>
          <t>Part III - Upstream AI Research</t>
        </is>
      </c>
      <c r="C1740" s="18" t="inlineStr">
        <is>
          <t>D.6.2 The Post-Training Course - Nathan Lambert, AI2, 2026</t>
        </is>
      </c>
      <c r="D1740" s="10" t="inlineStr">
        <is>
          <t>How Evaluation Has Evolved with Frontier Model Progress</t>
        </is>
      </c>
      <c r="E1740" s="10" t="inlineStr"/>
      <c r="F1740" s="11" t="inlineStr">
        <is>
          <t>32:11</t>
        </is>
      </c>
      <c r="G1740" s="11" t="n">
        <v>0.54</v>
      </c>
      <c r="H1740" s="12" t="inlineStr"/>
      <c r="I1740" s="11" t="inlineStr">
        <is>
          <t>Not started</t>
        </is>
      </c>
      <c r="J1740" s="13" t="n"/>
      <c r="K1740" s="10" t="inlineStr"/>
      <c r="L1740" s="14" t="inlineStr">
        <is>
          <t>▶ watch</t>
        </is>
      </c>
      <c r="M1740" s="10" t="inlineStr">
        <is>
          <t>Ouyang et al. 2022, NeurIPS, arXiv:2203.02155 (InstructGPT) · Gao, Schulman &amp; Hilton 2023, ICML, arXiv:2210.10760 (Scaling Laws for Reward Model Overoptimization)</t>
        </is>
      </c>
      <c r="N1740" s="14" t="inlineStr">
        <is>
          <t>read ↗</t>
        </is>
      </c>
      <c r="O1740" s="11" t="inlineStr">
        <is>
          <t>reading for D.6.1 The mechanics, and the over-optimi</t>
        </is>
      </c>
      <c r="P1740" s="10" t="inlineStr"/>
    </row>
    <row r="1741">
      <c r="A1741" s="17" t="n">
        <v>1740</v>
      </c>
      <c r="B1741" s="17" t="inlineStr">
        <is>
          <t>Part III - Upstream AI Research</t>
        </is>
      </c>
      <c r="C1741" s="18" t="inlineStr">
        <is>
          <t>D.6.2 The Post-Training Course - Nathan Lambert, AI2, 2026</t>
        </is>
      </c>
      <c r="D1741" s="10" t="inlineStr">
        <is>
          <t>An Introduction to Character Training</t>
        </is>
      </c>
      <c r="E1741" s="10" t="inlineStr"/>
      <c r="F1741" s="11" t="inlineStr">
        <is>
          <t>32:56</t>
        </is>
      </c>
      <c r="G1741" s="11" t="n">
        <v>0.55</v>
      </c>
      <c r="H1741" s="12" t="inlineStr"/>
      <c r="I1741" s="11" t="inlineStr">
        <is>
          <t>Not started</t>
        </is>
      </c>
      <c r="J1741" s="13" t="n"/>
      <c r="K1741" s="10" t="inlineStr"/>
      <c r="L1741" s="14" t="inlineStr">
        <is>
          <t>▶ watch</t>
        </is>
      </c>
      <c r="M1741" s="10" t="inlineStr">
        <is>
          <t>Ouyang et al. 2022, NeurIPS, arXiv:2203.02155 (InstructGPT) · Gao, Schulman &amp; Hilton 2023, ICML, arXiv:2210.10760 (Scaling Laws for Reward Model Overoptimization)</t>
        </is>
      </c>
      <c r="N1741" s="14" t="inlineStr">
        <is>
          <t>read ↗</t>
        </is>
      </c>
      <c r="O1741" s="11" t="inlineStr">
        <is>
          <t>reading for D.6.1 The mechanics, and the over-optimi</t>
        </is>
      </c>
      <c r="P1741" s="10" t="inlineStr"/>
    </row>
    <row r="1742">
      <c r="A1742" s="17" t="n">
        <v>1741</v>
      </c>
      <c r="B1742" s="17" t="inlineStr">
        <is>
          <t>Part III - Upstream AI Research</t>
        </is>
      </c>
      <c r="C1742" s="18" t="inlineStr">
        <is>
          <t>D.6.2 The Post-Training Course - Nathan Lambert, AI2, 2026</t>
        </is>
      </c>
      <c r="D1742" s="10" t="inlineStr">
        <is>
          <t>From Academic Research to a Frontier LLM: A Case Study in DPO</t>
        </is>
      </c>
      <c r="E1742" s="10" t="inlineStr"/>
      <c r="F1742" s="11" t="inlineStr">
        <is>
          <t>1:06:30</t>
        </is>
      </c>
      <c r="G1742" s="11" t="n">
        <v>1.11</v>
      </c>
      <c r="H1742" s="12" t="inlineStr"/>
      <c r="I1742" s="11" t="inlineStr">
        <is>
          <t>Not started</t>
        </is>
      </c>
      <c r="J1742" s="13" t="n"/>
      <c r="K1742" s="10" t="inlineStr"/>
      <c r="L1742" s="14" t="inlineStr">
        <is>
          <t>▶ watch</t>
        </is>
      </c>
      <c r="M1742" s="10" t="inlineStr">
        <is>
          <t>Ouyang et al. 2022, NeurIPS, arXiv:2203.02155 (InstructGPT) · Gao, Schulman &amp; Hilton 2023, ICML, arXiv:2210.10760 (Scaling Laws for Reward Model Overoptimization)</t>
        </is>
      </c>
      <c r="N1742" s="14" t="inlineStr">
        <is>
          <t>read ↗</t>
        </is>
      </c>
      <c r="O1742" s="11" t="inlineStr">
        <is>
          <t>reading for D.6.1 The mechanics, and the over-optimi</t>
        </is>
      </c>
      <c r="P1742" s="10" t="inlineStr"/>
    </row>
    <row r="1743">
      <c r="A1743" s="17" t="n">
        <v>1742</v>
      </c>
      <c r="B1743" s="17" t="inlineStr">
        <is>
          <t>Part III - Upstream AI Research</t>
        </is>
      </c>
      <c r="C1743" s="18" t="inlineStr">
        <is>
          <t>D.6.3 DPO, PPO and the algorithmic debate</t>
        </is>
      </c>
      <c r="D1743" s="10" t="inlineStr">
        <is>
          <t>CS234 Guest Lecture on DPO - all three co-authors</t>
        </is>
      </c>
      <c r="E1743" s="10" t="inlineStr">
        <is>
          <t>Rafailov, Sharma &amp; Mitchell (Stanford</t>
        </is>
      </c>
      <c r="F1743" s="11" t="inlineStr">
        <is>
          <t>1:18:44</t>
        </is>
      </c>
      <c r="G1743" s="11" t="n">
        <v>1.31</v>
      </c>
      <c r="H1743" s="12" t="inlineStr">
        <is>
          <t>★</t>
        </is>
      </c>
      <c r="I1743" s="11" t="inlineStr">
        <is>
          <t>Not started</t>
        </is>
      </c>
      <c r="J1743" s="13" t="n"/>
      <c r="K1743" s="10" t="inlineStr"/>
      <c r="L1743" s="14" t="inlineStr">
        <is>
          <t>▶ watch</t>
        </is>
      </c>
      <c r="M1743" s="10" t="inlineStr">
        <is>
          <t>Rafailov et al. 2023, NeurIPS, arXiv:2305.18290 (DPO)</t>
        </is>
      </c>
      <c r="N1743" s="14" t="inlineStr">
        <is>
          <t>read ↗</t>
        </is>
      </c>
      <c r="O1743" s="11" t="inlineStr">
        <is>
          <t>names DPO</t>
        </is>
      </c>
      <c r="P1743" s="10" t="inlineStr"/>
    </row>
    <row r="1744">
      <c r="A1744" s="17" t="n">
        <v>1743</v>
      </c>
      <c r="B1744" s="17" t="inlineStr">
        <is>
          <t>Part III - Upstream AI Research</t>
        </is>
      </c>
      <c r="C1744" s="18" t="inlineStr">
        <is>
          <t>D.6.3 DPO, PPO and the algorithmic debate</t>
        </is>
      </c>
      <c r="D1744" s="10" t="inlineStr">
        <is>
          <t>CS224N Lecture 10 - Post-training</t>
        </is>
      </c>
      <c r="E1744" s="10" t="inlineStr">
        <is>
          <t>Archit Sharma (Stanford</t>
        </is>
      </c>
      <c r="F1744" s="11" t="inlineStr">
        <is>
          <t>1:19:42</t>
        </is>
      </c>
      <c r="G1744" s="11" t="n">
        <v>1.33</v>
      </c>
      <c r="H1744" s="12" t="inlineStr"/>
      <c r="I1744" s="11" t="inlineStr">
        <is>
          <t>Not started</t>
        </is>
      </c>
      <c r="J1744" s="13" t="n"/>
      <c r="K1744" s="10" t="inlineStr"/>
      <c r="L1744" s="14" t="inlineStr">
        <is>
          <t>▶ watch</t>
        </is>
      </c>
      <c r="M1744" s="10" t="inlineStr">
        <is>
          <t>Rafailov et al. 2023, NeurIPS, arXiv:2305.18290 (DPO) · Schulman et al. 2017, arXiv:1707.06347 (PPO)</t>
        </is>
      </c>
      <c r="N1744" s="14" t="inlineStr">
        <is>
          <t>read ↗</t>
        </is>
      </c>
      <c r="O1744" s="11" t="inlineStr">
        <is>
          <t>section reading (2 of 5)</t>
        </is>
      </c>
      <c r="P1744" s="10" t="inlineStr"/>
    </row>
    <row r="1745">
      <c r="A1745" s="17" t="n">
        <v>1744</v>
      </c>
      <c r="B1745" s="17" t="inlineStr">
        <is>
          <t>Part III - Upstream AI Research</t>
        </is>
      </c>
      <c r="C1745" s="18" t="inlineStr">
        <is>
          <t>D.6.3 DPO, PPO and the algorithmic debate</t>
        </is>
      </c>
      <c r="D1745" s="10" t="inlineStr">
        <is>
          <t>DPO has given us alignment without the overhead</t>
        </is>
      </c>
      <c r="E1745" s="10" t="inlineStr">
        <is>
          <t>Sharma &amp; Rafailov</t>
        </is>
      </c>
      <c r="F1745" s="11" t="inlineStr">
        <is>
          <t>20:19</t>
        </is>
      </c>
      <c r="G1745" s="11" t="n">
        <v>0.34</v>
      </c>
      <c r="H1745" s="12" t="inlineStr"/>
      <c r="I1745" s="11" t="inlineStr">
        <is>
          <t>Not started</t>
        </is>
      </c>
      <c r="J1745" s="13" t="n"/>
      <c r="K1745" s="10" t="inlineStr"/>
      <c r="L1745" s="14" t="inlineStr">
        <is>
          <t>▶ watch</t>
        </is>
      </c>
      <c r="M1745" s="10" t="inlineStr">
        <is>
          <t>Rafailov et al. 2023, NeurIPS, arXiv:2305.18290 (DPO)</t>
        </is>
      </c>
      <c r="N1745" s="14" t="inlineStr">
        <is>
          <t>read ↗</t>
        </is>
      </c>
      <c r="O1745" s="11" t="inlineStr">
        <is>
          <t>names DPO</t>
        </is>
      </c>
      <c r="P1745" s="10" t="inlineStr"/>
    </row>
    <row r="1746">
      <c r="A1746" s="17" t="n">
        <v>1745</v>
      </c>
      <c r="B1746" s="17" t="inlineStr">
        <is>
          <t>Part III - Upstream AI Research</t>
        </is>
      </c>
      <c r="C1746" s="18" t="inlineStr">
        <is>
          <t>D.6.3 DPO, PPO and the algorithmic debate</t>
        </is>
      </c>
      <c r="D1746" s="10" t="inlineStr">
        <is>
          <t>An update on DPO vs PPO for LLM alignment</t>
        </is>
      </c>
      <c r="E1746" s="10" t="inlineStr">
        <is>
          <t>Nathan Lambert</t>
        </is>
      </c>
      <c r="F1746" s="11" t="inlineStr">
        <is>
          <t>13:23</t>
        </is>
      </c>
      <c r="G1746" s="11" t="n">
        <v>0.22</v>
      </c>
      <c r="H1746" s="12" t="inlineStr"/>
      <c r="I1746" s="11" t="inlineStr">
        <is>
          <t>Not started</t>
        </is>
      </c>
      <c r="J1746" s="13" t="n"/>
      <c r="K1746" s="10" t="inlineStr"/>
      <c r="L1746" s="14" t="inlineStr">
        <is>
          <t>▶ watch</t>
        </is>
      </c>
      <c r="M1746" s="10" t="inlineStr">
        <is>
          <t>Rafailov et al. 2023, NeurIPS, arXiv:2305.18290 (DPO)</t>
        </is>
      </c>
      <c r="N1746" s="14" t="inlineStr">
        <is>
          <t>read ↗</t>
        </is>
      </c>
      <c r="O1746" s="11" t="inlineStr">
        <is>
          <t>names DPO</t>
        </is>
      </c>
      <c r="P1746" s="10" t="inlineStr"/>
    </row>
    <row r="1747">
      <c r="A1747" s="17" t="n">
        <v>1746</v>
      </c>
      <c r="B1747" s="17" t="inlineStr">
        <is>
          <t>Part III - Upstream AI Research</t>
        </is>
      </c>
      <c r="C1747" s="18" t="inlineStr">
        <is>
          <t>D.6.3 DPO, PPO and the algorithmic debate</t>
        </is>
      </c>
      <c r="D1747" s="10" t="inlineStr">
        <is>
          <t>DPO Debate: Is RL needed for RLHF?</t>
        </is>
      </c>
      <c r="E1747" s="10" t="inlineStr">
        <is>
          <t>Nathan Lambert</t>
        </is>
      </c>
      <c r="F1747" s="11" t="inlineStr">
        <is>
          <t>26:55</t>
        </is>
      </c>
      <c r="G1747" s="11" t="n">
        <v>0.45</v>
      </c>
      <c r="H1747" s="12" t="inlineStr"/>
      <c r="I1747" s="11" t="inlineStr">
        <is>
          <t>Not started</t>
        </is>
      </c>
      <c r="J1747" s="13" t="n"/>
      <c r="K1747" s="10" t="inlineStr"/>
      <c r="L1747" s="14" t="inlineStr">
        <is>
          <t>▶ watch</t>
        </is>
      </c>
      <c r="M1747" s="10" t="inlineStr">
        <is>
          <t>Rafailov et al. 2023, NeurIPS, arXiv:2305.18290 (DPO)</t>
        </is>
      </c>
      <c r="N1747" s="14" t="inlineStr">
        <is>
          <t>read ↗</t>
        </is>
      </c>
      <c r="O1747" s="11" t="inlineStr">
        <is>
          <t>names DPO</t>
        </is>
      </c>
      <c r="P1747" s="10" t="inlineStr"/>
    </row>
    <row r="1748">
      <c r="A1748" s="17" t="n">
        <v>1747</v>
      </c>
      <c r="B1748" s="17" t="inlineStr">
        <is>
          <t>Part III - Upstream AI Research</t>
        </is>
      </c>
      <c r="C1748" s="18" t="inlineStr">
        <is>
          <t>D.6.3 DPO, PPO and the algorithmic debate</t>
        </is>
      </c>
      <c r="D1748" s="10" t="inlineStr">
        <is>
          <t>Asynchronous RLHF: Faster Off-Policy RL for LMs</t>
        </is>
      </c>
      <c r="E1748" s="10" t="inlineStr">
        <is>
          <t>Michael Noukhovitch (Mila, Cohere</t>
        </is>
      </c>
      <c r="F1748" s="11" t="inlineStr">
        <is>
          <t>51:11</t>
        </is>
      </c>
      <c r="G1748" s="11" t="n">
        <v>0.85</v>
      </c>
      <c r="H1748" s="12" t="inlineStr"/>
      <c r="I1748" s="11" t="inlineStr">
        <is>
          <t>Not started</t>
        </is>
      </c>
      <c r="J1748" s="13" t="n"/>
      <c r="K1748" s="10" t="inlineStr"/>
      <c r="L1748" s="14" t="inlineStr">
        <is>
          <t>▶ watch</t>
        </is>
      </c>
      <c r="M1748" s="10" t="inlineStr">
        <is>
          <t>Rafailov et al. 2023, NeurIPS, arXiv:2305.18290 (DPO) · Schulman et al. 2017, arXiv:1707.06347 (PPO)</t>
        </is>
      </c>
      <c r="N1748" s="14" t="inlineStr">
        <is>
          <t>read ↗</t>
        </is>
      </c>
      <c r="O1748" s="11" t="inlineStr">
        <is>
          <t>section reading (2 of 5)</t>
        </is>
      </c>
      <c r="P1748" s="10" t="inlineStr"/>
    </row>
    <row r="1749">
      <c r="A1749" s="17" t="n">
        <v>1748</v>
      </c>
      <c r="B1749" s="17" t="inlineStr">
        <is>
          <t>Part III - Upstream AI Research</t>
        </is>
      </c>
      <c r="C1749" s="18" t="inlineStr">
        <is>
          <t>D.6.3 DPO, PPO and the algorithmic debate</t>
        </is>
      </c>
      <c r="D1749" s="10" t="inlineStr">
        <is>
          <t>Efficient Policy Optimization Techniques for LLMs</t>
        </is>
      </c>
      <c r="E1749" s="10" t="inlineStr">
        <is>
          <t>Kianté Brantley (Harvard, Simons</t>
        </is>
      </c>
      <c r="F1749" s="11" t="inlineStr">
        <is>
          <t>45:35</t>
        </is>
      </c>
      <c r="G1749" s="11" t="n">
        <v>0.76</v>
      </c>
      <c r="H1749" s="12" t="inlineStr"/>
      <c r="I1749" s="11" t="inlineStr">
        <is>
          <t>Not started</t>
        </is>
      </c>
      <c r="J1749" s="13" t="n"/>
      <c r="K1749" s="10" t="inlineStr"/>
      <c r="L1749" s="14" t="inlineStr">
        <is>
          <t>▶ watch</t>
        </is>
      </c>
      <c r="M1749" s="10" t="inlineStr">
        <is>
          <t>Rafailov et al. 2023, NeurIPS, arXiv:2305.18290 (DPO) · Schulman et al. 2017, arXiv:1707.06347 (PPO)</t>
        </is>
      </c>
      <c r="N1749" s="14" t="inlineStr">
        <is>
          <t>read ↗</t>
        </is>
      </c>
      <c r="O1749" s="11" t="inlineStr">
        <is>
          <t>section reading (2 of 5)</t>
        </is>
      </c>
      <c r="P1749" s="10" t="inlineStr"/>
    </row>
    <row r="1750">
      <c r="A1750" s="17" t="n">
        <v>1749</v>
      </c>
      <c r="B1750" s="17" t="inlineStr">
        <is>
          <t>Part III - Upstream AI Research</t>
        </is>
      </c>
      <c r="C1750" s="18" t="inlineStr">
        <is>
          <t>D.6.3 DPO, PPO and the algorithmic debate</t>
        </is>
      </c>
      <c r="D1750" s="10" t="inlineStr">
        <is>
          <t>Coherence in RLHF Preference Data</t>
        </is>
      </c>
      <c r="E1750" s="10" t="inlineStr">
        <is>
          <t>Shuo Li Liu (Cohere Labs</t>
        </is>
      </c>
      <c r="F1750" s="11" t="inlineStr">
        <is>
          <t>48:39</t>
        </is>
      </c>
      <c r="G1750" s="11" t="n">
        <v>0.8100000000000001</v>
      </c>
      <c r="H1750" s="12" t="inlineStr">
        <is>
          <t>★</t>
        </is>
      </c>
      <c r="I1750" s="11" t="inlineStr">
        <is>
          <t>Not started</t>
        </is>
      </c>
      <c r="J1750" s="13" t="n"/>
      <c r="K1750" s="10" t="inlineStr"/>
      <c r="L1750" s="14" t="inlineStr">
        <is>
          <t>▶ watch</t>
        </is>
      </c>
      <c r="M1750" s="10" t="inlineStr">
        <is>
          <t>The paper</t>
        </is>
      </c>
      <c r="N1750" s="14" t="inlineStr">
        <is>
          <t>read ↗</t>
        </is>
      </c>
      <c r="O1750" s="11" t="inlineStr">
        <is>
          <t>paired reading</t>
        </is>
      </c>
      <c r="P1750" s="10" t="inlineStr"/>
    </row>
    <row r="1751">
      <c r="A1751" s="17" t="n">
        <v>1750</v>
      </c>
      <c r="B1751" s="17" t="inlineStr">
        <is>
          <t>Part III - Upstream AI Research</t>
        </is>
      </c>
      <c r="C1751" s="18" t="inlineStr">
        <is>
          <t>D.6.4 RLVR - reinforcement learning with verifiable rewards</t>
        </is>
      </c>
      <c r="D1751" s="10" t="inlineStr">
        <is>
          <t>Tulu 3: Frontiers in Open Language Model Post-Training</t>
        </is>
      </c>
      <c r="E1751" s="10" t="inlineStr">
        <is>
          <t>Nathan Lambert (AI2</t>
        </is>
      </c>
      <c r="F1751" s="11" t="inlineStr">
        <is>
          <t>1:01:45</t>
        </is>
      </c>
      <c r="G1751" s="11" t="n">
        <v>1.03</v>
      </c>
      <c r="H1751" s="12" t="inlineStr"/>
      <c r="I1751" s="11" t="inlineStr">
        <is>
          <t>Not started</t>
        </is>
      </c>
      <c r="J1751" s="13" t="n"/>
      <c r="K1751" s="10" t="inlineStr"/>
      <c r="L1751" s="14" t="inlineStr">
        <is>
          <t>▶ watch</t>
        </is>
      </c>
      <c r="M1751" s="10" t="inlineStr">
        <is>
          <t>Lambert et al. 2024, arXiv:2411.15124 (Tulu 3) · Shao et al. 2024 (GRPO / DeepSeekMath)</t>
        </is>
      </c>
      <c r="N1751" s="14" t="inlineStr">
        <is>
          <t>read ↗</t>
        </is>
      </c>
      <c r="O1751" s="11" t="inlineStr">
        <is>
          <t>section reading (2 of 3)</t>
        </is>
      </c>
      <c r="P1751" s="10" t="inlineStr"/>
    </row>
    <row r="1752">
      <c r="A1752" s="17" t="n">
        <v>1751</v>
      </c>
      <c r="B1752" s="17" t="inlineStr">
        <is>
          <t>Part III - Upstream AI Research</t>
        </is>
      </c>
      <c r="C1752" s="18" t="inlineStr">
        <is>
          <t>D.6.4 RLVR - reinforcement learning with verifiable rewards</t>
        </is>
      </c>
      <c r="D1752" s="10" t="inlineStr">
        <is>
          <t>Hanna Hajishirzi (UW/AI2, Berkeley MOOC</t>
        </is>
      </c>
      <c r="E1752" s="10" t="inlineStr">
        <is>
          <t>Open Training Recipes: LLM Reasoning</t>
        </is>
      </c>
      <c r="F1752" s="11" t="inlineStr">
        <is>
          <t>1:20:53</t>
        </is>
      </c>
      <c r="G1752" s="11" t="n">
        <v>1.35</v>
      </c>
      <c r="H1752" s="12" t="inlineStr"/>
      <c r="I1752" s="11" t="inlineStr">
        <is>
          <t>Not started</t>
        </is>
      </c>
      <c r="J1752" s="13" t="n"/>
      <c r="K1752" s="10" t="inlineStr"/>
      <c r="L1752" s="14" t="inlineStr">
        <is>
          <t>▶ watch</t>
        </is>
      </c>
      <c r="M1752" s="10" t="inlineStr">
        <is>
          <t>Lambert et al. 2024, arXiv:2411.15124 (Tulu 3) · Shao et al. 2024 (GRPO / DeepSeekMath)</t>
        </is>
      </c>
      <c r="N1752" s="14" t="inlineStr">
        <is>
          <t>read ↗</t>
        </is>
      </c>
      <c r="O1752" s="11" t="inlineStr">
        <is>
          <t>section reading (2 of 3)</t>
        </is>
      </c>
      <c r="P1752" s="10" t="inlineStr"/>
    </row>
    <row r="1753">
      <c r="A1753" s="17" t="n">
        <v>1752</v>
      </c>
      <c r="B1753" s="17" t="inlineStr">
        <is>
          <t>Part III - Upstream AI Research</t>
        </is>
      </c>
      <c r="C1753" s="18" t="inlineStr">
        <is>
          <t>D.6.4 RLVR - reinforcement learning with verifiable rewards</t>
        </is>
      </c>
      <c r="D1753" s="10" t="inlineStr">
        <is>
          <t>Open Training Recipes for Reasoning</t>
        </is>
      </c>
      <c r="E1753" s="10" t="inlineStr">
        <is>
          <t>Hajishirzi</t>
        </is>
      </c>
      <c r="F1753" s="11" t="inlineStr">
        <is>
          <t>46:35</t>
        </is>
      </c>
      <c r="G1753" s="11" t="n">
        <v>0.78</v>
      </c>
      <c r="H1753" s="12" t="inlineStr"/>
      <c r="I1753" s="11" t="inlineStr">
        <is>
          <t>Not started</t>
        </is>
      </c>
      <c r="J1753" s="13" t="n"/>
      <c r="K1753" s="10" t="inlineStr"/>
      <c r="L1753" s="14" t="inlineStr">
        <is>
          <t>▶ watch</t>
        </is>
      </c>
      <c r="M1753" s="10" t="inlineStr">
        <is>
          <t>Lambert et al. 2024, arXiv:2411.15124 (Tulu 3) · Shao et al. 2024 (GRPO / DeepSeekMath)</t>
        </is>
      </c>
      <c r="N1753" s="14" t="inlineStr">
        <is>
          <t>read ↗</t>
        </is>
      </c>
      <c r="O1753" s="11" t="inlineStr">
        <is>
          <t>section reading (2 of 3)</t>
        </is>
      </c>
      <c r="P1753" s="10" t="inlineStr"/>
    </row>
    <row r="1754">
      <c r="A1754" s="17" t="n">
        <v>1753</v>
      </c>
      <c r="B1754" s="17" t="inlineStr">
        <is>
          <t>Part III - Upstream AI Research</t>
        </is>
      </c>
      <c r="C1754" s="18" t="inlineStr">
        <is>
          <t>D.6.4 RLVR - reinforcement learning with verifiable rewards</t>
        </is>
      </c>
      <c r="D1754" s="10" t="inlineStr">
        <is>
          <t>Experimenting with RLVR</t>
        </is>
      </c>
      <c r="E1754" s="10" t="inlineStr">
        <is>
          <t>Nathan Lambert (USC ISI</t>
        </is>
      </c>
      <c r="F1754" s="11" t="inlineStr">
        <is>
          <t>47:13</t>
        </is>
      </c>
      <c r="G1754" s="11" t="n">
        <v>0.79</v>
      </c>
      <c r="H1754" s="12" t="inlineStr"/>
      <c r="I1754" s="11" t="inlineStr">
        <is>
          <t>Not started</t>
        </is>
      </c>
      <c r="J1754" s="13" t="n"/>
      <c r="K1754" s="10" t="inlineStr"/>
      <c r="L1754" s="14" t="inlineStr">
        <is>
          <t>▶ watch</t>
        </is>
      </c>
      <c r="M1754" s="10" t="inlineStr">
        <is>
          <t>Shao et al. 2024 (GRPO)</t>
        </is>
      </c>
      <c r="N1754" s="14" t="inlineStr">
        <is>
          <t>read ↗</t>
        </is>
      </c>
      <c r="O1754" s="11" t="inlineStr">
        <is>
          <t>paired reading</t>
        </is>
      </c>
      <c r="P1754" s="10" t="inlineStr"/>
    </row>
    <row r="1755">
      <c r="A1755" s="17" t="n">
        <v>1754</v>
      </c>
      <c r="B1755" s="17" t="inlineStr">
        <is>
          <t>Part III - Upstream AI Research</t>
        </is>
      </c>
      <c r="C1755" s="18" t="inlineStr">
        <is>
          <t>D.6.4 RLVR - reinforcement learning with verifiable rewards</t>
        </is>
      </c>
      <c r="D1755" s="10" t="inlineStr">
        <is>
          <t>Spurious Rewards: Rethinking Training Signals in RLVR</t>
        </is>
      </c>
      <c r="E1755" s="10" t="inlineStr">
        <is>
          <t>Stella Li (Cohere Labs</t>
        </is>
      </c>
      <c r="F1755" s="11" t="inlineStr">
        <is>
          <t>1:02:11</t>
        </is>
      </c>
      <c r="G1755" s="11" t="n">
        <v>1.04</v>
      </c>
      <c r="H1755" s="12" t="inlineStr">
        <is>
          <t>★</t>
        </is>
      </c>
      <c r="I1755" s="11" t="inlineStr">
        <is>
          <t>Not started</t>
        </is>
      </c>
      <c r="J1755" s="13" t="n"/>
      <c r="K1755" s="10" t="inlineStr"/>
      <c r="L1755" s="14" t="inlineStr">
        <is>
          <t>▶ watch</t>
        </is>
      </c>
      <c r="M1755" s="10" t="inlineStr">
        <is>
          <t>Lambert et al. 2024, arXiv:2411.15124 (Tulu 3) · Shao et al. 2024 (GRPO / DeepSeekMath)</t>
        </is>
      </c>
      <c r="N1755" s="14" t="inlineStr">
        <is>
          <t>read ↗</t>
        </is>
      </c>
      <c r="O1755" s="11" t="inlineStr">
        <is>
          <t>section reading (2 of 3)</t>
        </is>
      </c>
      <c r="P1755" s="10" t="inlineStr"/>
    </row>
    <row r="1756">
      <c r="A1756" s="17" t="n">
        <v>1755</v>
      </c>
      <c r="B1756" s="17" t="inlineStr">
        <is>
          <t>Part III - Upstream AI Research</t>
        </is>
      </c>
      <c r="C1756" s="18" t="inlineStr">
        <is>
          <t>D.6.4 RLVR - reinforcement learning with verifiable rewards</t>
        </is>
      </c>
      <c r="D1756" s="10" t="inlineStr">
        <is>
          <t>Early stages of the RL era of language models</t>
        </is>
      </c>
      <c r="E1756" s="10" t="inlineStr">
        <is>
          <t>Nathan Lambert (UCSC</t>
        </is>
      </c>
      <c r="F1756" s="11" t="inlineStr">
        <is>
          <t>59:31</t>
        </is>
      </c>
      <c r="G1756" s="11" t="n">
        <v>0.99</v>
      </c>
      <c r="H1756" s="12" t="inlineStr"/>
      <c r="I1756" s="11" t="inlineStr">
        <is>
          <t>Not started</t>
        </is>
      </c>
      <c r="J1756" s="13" t="n"/>
      <c r="K1756" s="10" t="inlineStr"/>
      <c r="L1756" s="14" t="inlineStr">
        <is>
          <t>▶ watch</t>
        </is>
      </c>
      <c r="M1756" s="10" t="inlineStr">
        <is>
          <t>Lambert et al. 2024, arXiv:2411.15124 (Tulu 3) · Shao et al. 2024 (GRPO / DeepSeekMath)</t>
        </is>
      </c>
      <c r="N1756" s="14" t="inlineStr">
        <is>
          <t>read ↗</t>
        </is>
      </c>
      <c r="O1756" s="11" t="inlineStr">
        <is>
          <t>section reading (2 of 3)</t>
        </is>
      </c>
      <c r="P1756" s="10" t="inlineStr"/>
    </row>
    <row r="1757">
      <c r="A1757" s="17" t="n">
        <v>1756</v>
      </c>
      <c r="B1757" s="17" t="inlineStr">
        <is>
          <t>Part III - Upstream AI Research</t>
        </is>
      </c>
      <c r="C1757" s="18" t="inlineStr">
        <is>
          <t>D.6.4 RLVR - reinforcement learning with verifiable rewards</t>
        </is>
      </c>
      <c r="D1757" s="10" t="inlineStr">
        <is>
          <t>GRPO's new variants and implementation secrets</t>
        </is>
      </c>
      <c r="E1757" s="10" t="inlineStr">
        <is>
          <t>Nathan Lambert</t>
        </is>
      </c>
      <c r="F1757" s="11" t="inlineStr">
        <is>
          <t>22:23</t>
        </is>
      </c>
      <c r="G1757" s="11" t="n">
        <v>0.37</v>
      </c>
      <c r="H1757" s="12" t="inlineStr"/>
      <c r="I1757" s="11" t="inlineStr">
        <is>
          <t>Not started</t>
        </is>
      </c>
      <c r="J1757" s="13" t="n"/>
      <c r="K1757" s="10" t="inlineStr"/>
      <c r="L1757" s="14" t="inlineStr">
        <is>
          <t>▶ watch</t>
        </is>
      </c>
      <c r="M1757" s="10" t="inlineStr">
        <is>
          <t>Shao et al. 2024 (GRPO / DeepSeekMath)</t>
        </is>
      </c>
      <c r="N1757" s="14" t="inlineStr">
        <is>
          <t>read ↗</t>
        </is>
      </c>
      <c r="O1757" s="11" t="inlineStr">
        <is>
          <t>names GRPO</t>
        </is>
      </c>
      <c r="P1757" s="10" t="inlineStr"/>
    </row>
    <row r="1758">
      <c r="A1758" s="17" t="n">
        <v>1757</v>
      </c>
      <c r="B1758" s="17" t="inlineStr">
        <is>
          <t>Part III - Upstream AI Research</t>
        </is>
      </c>
      <c r="C1758" s="18" t="inlineStr">
        <is>
          <t>D.6.4 RLVR - reinforcement learning with verifiable rewards</t>
        </is>
      </c>
      <c r="D1758" s="10" t="inlineStr">
        <is>
          <t>Random Sparse Subnetworks suffice for RLVR</t>
        </is>
      </c>
      <c r="E1758" s="10" t="inlineStr">
        <is>
          <t>EleutherAI PRA Reading Group</t>
        </is>
      </c>
      <c r="F1758" s="11" t="inlineStr">
        <is>
          <t>41:24</t>
        </is>
      </c>
      <c r="G1758" s="11" t="n">
        <v>0.6899999999999999</v>
      </c>
      <c r="H1758" s="12" t="inlineStr"/>
      <c r="I1758" s="11" t="inlineStr">
        <is>
          <t>Not started</t>
        </is>
      </c>
      <c r="J1758" s="13" t="n"/>
      <c r="K1758" s="10" t="inlineStr"/>
      <c r="L1758" s="14" t="inlineStr">
        <is>
          <t>▶ watch</t>
        </is>
      </c>
      <c r="M1758" s="10" t="inlineStr">
        <is>
          <t>Lambert et al. 2024, arXiv:2411.15124 (Tulu 3) · Shao et al. 2024 (GRPO / DeepSeekMath)</t>
        </is>
      </c>
      <c r="N1758" s="14" t="inlineStr">
        <is>
          <t>read ↗</t>
        </is>
      </c>
      <c r="O1758" s="11" t="inlineStr">
        <is>
          <t>section reading (2 of 3)</t>
        </is>
      </c>
      <c r="P1758" s="10" t="inlineStr"/>
    </row>
    <row r="1759">
      <c r="A1759" s="17" t="n">
        <v>1758</v>
      </c>
      <c r="B1759" s="17" t="inlineStr">
        <is>
          <t>Part III - Upstream AI Research</t>
        </is>
      </c>
      <c r="C1759" s="18" t="inlineStr">
        <is>
          <t>D.6.5 Reward modeling, reward hacking and supervision</t>
        </is>
      </c>
      <c r="D1759" s="10" t="inlineStr">
        <is>
          <t>Introducing RewardBench</t>
        </is>
      </c>
      <c r="E1759" s="10" t="inlineStr">
        <is>
          <t>Nathan Lambert (AI2</t>
        </is>
      </c>
      <c r="F1759" s="11" t="inlineStr">
        <is>
          <t>16:50</t>
        </is>
      </c>
      <c r="G1759" s="11" t="n">
        <v>0.28</v>
      </c>
      <c r="H1759" s="12" t="inlineStr"/>
      <c r="I1759" s="11" t="inlineStr">
        <is>
          <t>Not started</t>
        </is>
      </c>
      <c r="J1759" s="13" t="n"/>
      <c r="K1759" s="10" t="inlineStr"/>
      <c r="L1759" s="14" t="inlineStr">
        <is>
          <t>▶ watch</t>
        </is>
      </c>
      <c r="M1759" s="10" t="inlineStr">
        <is>
          <t>Lambert et al. 2024, arXiv:2403.13787 (RewardBench)</t>
        </is>
      </c>
      <c r="N1759" s="14" t="inlineStr">
        <is>
          <t>read ↗</t>
        </is>
      </c>
      <c r="O1759" s="11" t="inlineStr">
        <is>
          <t>names REWARDBENCH</t>
        </is>
      </c>
      <c r="P1759" s="10" t="inlineStr"/>
    </row>
    <row r="1760">
      <c r="A1760" s="17" t="n">
        <v>1759</v>
      </c>
      <c r="B1760" s="17" t="inlineStr">
        <is>
          <t>Part III - Upstream AI Research</t>
        </is>
      </c>
      <c r="C1760" s="18" t="inlineStr">
        <is>
          <t>D.6.5 Reward modeling, reward hacking and supervision</t>
        </is>
      </c>
      <c r="D1760" s="10" t="inlineStr">
        <is>
          <t>Supervising AI on hard tasks</t>
        </is>
      </c>
      <c r="E1760" s="10" t="inlineStr">
        <is>
          <t>Jan Leike (Anthropic</t>
        </is>
      </c>
      <c r="F1760" s="11" t="inlineStr">
        <is>
          <t>33:34</t>
        </is>
      </c>
      <c r="G1760" s="11" t="n">
        <v>0.5600000000000001</v>
      </c>
      <c r="H1760" s="12" t="inlineStr">
        <is>
          <t>★</t>
        </is>
      </c>
      <c r="I1760" s="11" t="inlineStr">
        <is>
          <t>Not started</t>
        </is>
      </c>
      <c r="J1760" s="13" t="n"/>
      <c r="K1760" s="10" t="inlineStr"/>
      <c r="L1760" s="14" t="inlineStr">
        <is>
          <t>▶ watch</t>
        </is>
      </c>
      <c r="M1760" s="10" t="inlineStr">
        <is>
          <t>Burns et al. 2023, arXiv:2312.09390</t>
        </is>
      </c>
      <c r="N1760" s="14" t="inlineStr">
        <is>
          <t>read ↗</t>
        </is>
      </c>
      <c r="O1760" s="11" t="inlineStr">
        <is>
          <t>paired reading</t>
        </is>
      </c>
      <c r="P1760" s="10" t="inlineStr"/>
    </row>
    <row r="1761">
      <c r="A1761" s="17" t="n">
        <v>1760</v>
      </c>
      <c r="B1761" s="17" t="inlineStr">
        <is>
          <t>Part III - Upstream AI Research</t>
        </is>
      </c>
      <c r="C1761" s="18" t="inlineStr">
        <is>
          <t>D.6.5 Reward modeling, reward hacking and supervision</t>
        </is>
      </c>
      <c r="D1761" s="10" t="inlineStr">
        <is>
          <t>Forecasting and Aligning AI</t>
        </is>
      </c>
      <c r="E1761" s="10" t="inlineStr">
        <is>
          <t>Jacob Steinhardt (Berkeley</t>
        </is>
      </c>
      <c r="F1761" s="11" t="inlineStr">
        <is>
          <t>54:35</t>
        </is>
      </c>
      <c r="G1761" s="11" t="n">
        <v>0.91</v>
      </c>
      <c r="H1761" s="12" t="inlineStr"/>
      <c r="I1761" s="11" t="inlineStr">
        <is>
          <t>Not started</t>
        </is>
      </c>
      <c r="J1761" s="13" t="n"/>
      <c r="K1761" s="10" t="inlineStr"/>
      <c r="L1761" s="14" t="inlineStr">
        <is>
          <t>▶ watch</t>
        </is>
      </c>
      <c r="M1761" s="10" t="inlineStr">
        <is>
          <t>Pan et al. 2022, arXiv:2201.03544</t>
        </is>
      </c>
      <c r="N1761" s="14" t="inlineStr">
        <is>
          <t>read ↗</t>
        </is>
      </c>
      <c r="O1761" s="11" t="inlineStr">
        <is>
          <t>paired reading</t>
        </is>
      </c>
      <c r="P1761" s="10" t="inlineStr"/>
    </row>
    <row r="1762">
      <c r="A1762" s="17" t="n">
        <v>1761</v>
      </c>
      <c r="B1762" s="17" t="inlineStr">
        <is>
          <t>Part III - Upstream AI Research</t>
        </is>
      </c>
      <c r="C1762" s="18" t="inlineStr">
        <is>
          <t>D.6.5 Reward modeling, reward hacking and supervision</t>
        </is>
      </c>
      <c r="D1762" s="10" t="inlineStr">
        <is>
          <t>Understanding and Steering Generative AI Systems</t>
        </is>
      </c>
      <c r="E1762" s="10" t="inlineStr">
        <is>
          <t>Jacob Steinhardt (Simons</t>
        </is>
      </c>
      <c r="F1762" s="11" t="inlineStr">
        <is>
          <t>1:03:30</t>
        </is>
      </c>
      <c r="G1762" s="11" t="n">
        <v>1.06</v>
      </c>
      <c r="H1762" s="12" t="inlineStr"/>
      <c r="I1762" s="11" t="inlineStr">
        <is>
          <t>Not started</t>
        </is>
      </c>
      <c r="J1762" s="13" t="n"/>
      <c r="K1762" s="10" t="inlineStr"/>
      <c r="L1762" s="14" t="inlineStr">
        <is>
          <t>▶ watch</t>
        </is>
      </c>
      <c r="M1762" s="10" t="inlineStr">
        <is>
          <t>Lambert et al. 2024, arXiv:2403.13787 (RewardBench) · Burns et al. 2023, arXiv:2312.09390 (weak-to-strong generalization)</t>
        </is>
      </c>
      <c r="N1762" s="14" t="inlineStr">
        <is>
          <t>read ↗</t>
        </is>
      </c>
      <c r="O1762" s="11" t="inlineStr">
        <is>
          <t>section reading (2 of 4)</t>
        </is>
      </c>
      <c r="P1762" s="10" t="inlineStr"/>
    </row>
    <row r="1763">
      <c r="A1763" s="17" t="n">
        <v>1762</v>
      </c>
      <c r="B1763" s="17" t="inlineStr">
        <is>
          <t>Part III - Upstream AI Research</t>
        </is>
      </c>
      <c r="C1763" s="18" t="inlineStr">
        <is>
          <t>D.6.5 Reward modeling, reward hacking and supervision</t>
        </is>
      </c>
      <c r="D1763" s="10" t="inlineStr">
        <is>
          <t>Oversight of Foundation Models</t>
        </is>
      </c>
      <c r="E1763" s="10" t="inlineStr">
        <is>
          <t>Jacob Steinhardt (IPAM/UCLA</t>
        </is>
      </c>
      <c r="F1763" s="11" t="inlineStr">
        <is>
          <t>56:33</t>
        </is>
      </c>
      <c r="G1763" s="11" t="n">
        <v>0.9399999999999999</v>
      </c>
      <c r="H1763" s="12" t="inlineStr"/>
      <c r="I1763" s="11" t="inlineStr">
        <is>
          <t>Not started</t>
        </is>
      </c>
      <c r="J1763" s="13" t="n"/>
      <c r="K1763" s="10" t="inlineStr"/>
      <c r="L1763" s="14" t="inlineStr">
        <is>
          <t>▶ watch</t>
        </is>
      </c>
      <c r="M1763" s="10" t="inlineStr">
        <is>
          <t>Lambert et al. 2024, arXiv:2403.13787 (RewardBench) · Burns et al. 2023, arXiv:2312.09390 (weak-to-strong generalization)</t>
        </is>
      </c>
      <c r="N1763" s="14" t="inlineStr">
        <is>
          <t>read ↗</t>
        </is>
      </c>
      <c r="O1763" s="11" t="inlineStr">
        <is>
          <t>section reading (2 of 4)</t>
        </is>
      </c>
      <c r="P1763" s="10" t="inlineStr"/>
    </row>
    <row r="1764">
      <c r="A1764" s="17" t="n">
        <v>1763</v>
      </c>
      <c r="B1764" s="17" t="inlineStr">
        <is>
          <t>Part III - Upstream AI Research</t>
        </is>
      </c>
      <c r="C1764" s="18" t="inlineStr">
        <is>
          <t>D.6.5 Reward modeling, reward hacking and supervision</t>
        </is>
      </c>
      <c r="D1764" s="10" t="inlineStr">
        <is>
          <t>Prover-Verifier Games Improve Legibility of LLM Outputs</t>
        </is>
      </c>
      <c r="E1764" s="10" t="inlineStr">
        <is>
          <t>Yining Chen (OpenAI, Simons</t>
        </is>
      </c>
      <c r="F1764" s="11" t="inlineStr">
        <is>
          <t>40:49</t>
        </is>
      </c>
      <c r="G1764" s="11" t="n">
        <v>0.68</v>
      </c>
      <c r="H1764" s="12" t="inlineStr">
        <is>
          <t>★</t>
        </is>
      </c>
      <c r="I1764" s="11" t="inlineStr">
        <is>
          <t>Not started</t>
        </is>
      </c>
      <c r="J1764" s="13" t="n"/>
      <c r="K1764" s="10" t="inlineStr"/>
      <c r="L1764" s="14" t="inlineStr">
        <is>
          <t>▶ watch</t>
        </is>
      </c>
      <c r="M1764" s="10" t="inlineStr">
        <is>
          <t>Lambert et al. 2024, arXiv:2403.13787 (RewardBench) · Burns et al. 2023, arXiv:2312.09390 (weak-to-strong generalization)</t>
        </is>
      </c>
      <c r="N1764" s="14" t="inlineStr">
        <is>
          <t>read ↗</t>
        </is>
      </c>
      <c r="O1764" s="11" t="inlineStr">
        <is>
          <t>section reading (2 of 4)</t>
        </is>
      </c>
      <c r="P1764" s="10" t="inlineStr"/>
    </row>
    <row r="1765">
      <c r="A1765" s="17" t="n">
        <v>1764</v>
      </c>
      <c r="B1765" s="17" t="inlineStr">
        <is>
          <t>Part III - Upstream AI Research</t>
        </is>
      </c>
      <c r="C1765" s="18" t="inlineStr">
        <is>
          <t>D.6.5 Reward modeling, reward hacking and supervision</t>
        </is>
      </c>
      <c r="D1765" s="10" t="inlineStr">
        <is>
          <t>Interactive Proofs, Debate, and AI Safety</t>
        </is>
      </c>
      <c r="E1765" s="10" t="inlineStr">
        <is>
          <t>Jonah Brown-Cohen (DeepMind, Simons</t>
        </is>
      </c>
      <c r="F1765" s="11" t="inlineStr">
        <is>
          <t>53:35</t>
        </is>
      </c>
      <c r="G1765" s="11" t="n">
        <v>0.89</v>
      </c>
      <c r="H1765" s="12" t="inlineStr"/>
      <c r="I1765" s="11" t="inlineStr">
        <is>
          <t>Not started</t>
        </is>
      </c>
      <c r="J1765" s="13" t="n"/>
      <c r="K1765" s="10" t="inlineStr"/>
      <c r="L1765" s="14" t="inlineStr">
        <is>
          <t>▶ watch</t>
        </is>
      </c>
      <c r="M1765" s="10" t="inlineStr">
        <is>
          <t>Lambert et al. 2024, arXiv:2403.13787 (RewardBench) · Burns et al. 2023, arXiv:2312.09390 (weak-to-strong generalization)</t>
        </is>
      </c>
      <c r="N1765" s="14" t="inlineStr">
        <is>
          <t>read ↗</t>
        </is>
      </c>
      <c r="O1765" s="11" t="inlineStr">
        <is>
          <t>section reading (2 of 4)</t>
        </is>
      </c>
      <c r="P1765" s="10" t="inlineStr"/>
    </row>
    <row r="1766">
      <c r="A1766" s="17" t="n">
        <v>1765</v>
      </c>
      <c r="B1766" s="17" t="inlineStr">
        <is>
          <t>Part III - Upstream AI Research</t>
        </is>
      </c>
      <c r="C1766" s="18" t="inlineStr">
        <is>
          <t>D.6.6 Distillation and synthetic data</t>
        </is>
      </c>
      <c r="D1766" s="10" t="inlineStr">
        <is>
          <t>Distilling the Knowledge in a Neural Network</t>
        </is>
      </c>
      <c r="E1766" s="10" t="inlineStr">
        <is>
          <t>Geoffrey Hinton</t>
        </is>
      </c>
      <c r="F1766" s="11" t="inlineStr">
        <is>
          <t>54:41</t>
        </is>
      </c>
      <c r="G1766" s="11" t="n">
        <v>0.91</v>
      </c>
      <c r="H1766" s="12" t="inlineStr"/>
      <c r="I1766" s="11" t="inlineStr">
        <is>
          <t>Not started</t>
        </is>
      </c>
      <c r="J1766" s="13" t="n"/>
      <c r="K1766" s="10" t="inlineStr"/>
      <c r="L1766" s="14" t="inlineStr">
        <is>
          <t>▶ watch</t>
        </is>
      </c>
      <c r="M1766" s="10" t="inlineStr">
        <is>
          <t>Hinton et al. 2015, arXiv:1503.02531 · Wang et al. 2023, ACL, arXiv:2212.10560 (Self-Instruct)</t>
        </is>
      </c>
      <c r="N1766" s="14" t="inlineStr">
        <is>
          <t>read ↗</t>
        </is>
      </c>
      <c r="O1766" s="11" t="inlineStr">
        <is>
          <t>section reading (2 of 5)</t>
        </is>
      </c>
      <c r="P1766" s="10" t="inlineStr"/>
    </row>
    <row r="1767">
      <c r="A1767" s="17" t="n">
        <v>1766</v>
      </c>
      <c r="B1767" s="17" t="inlineStr">
        <is>
          <t>Part III - Upstream AI Research</t>
        </is>
      </c>
      <c r="C1767" s="18" t="inlineStr">
        <is>
          <t>D.6.6 Distillation and synthetic data</t>
        </is>
      </c>
      <c r="D1767" s="10" t="inlineStr">
        <is>
          <t>Charlie Snell (Berkeley, Cohere</t>
        </is>
      </c>
      <c r="E1767" s="10" t="inlineStr">
        <is>
          <t>Learning by Distilling Context</t>
        </is>
      </c>
      <c r="F1767" s="11" t="inlineStr">
        <is>
          <t>53:16</t>
        </is>
      </c>
      <c r="G1767" s="11" t="n">
        <v>0.89</v>
      </c>
      <c r="H1767" s="12" t="inlineStr"/>
      <c r="I1767" s="11" t="inlineStr">
        <is>
          <t>Not started</t>
        </is>
      </c>
      <c r="J1767" s="13" t="n"/>
      <c r="K1767" s="10" t="inlineStr"/>
      <c r="L1767" s="14" t="inlineStr">
        <is>
          <t>▶ watch</t>
        </is>
      </c>
      <c r="M1767" s="10" t="inlineStr">
        <is>
          <t>Hinton et al. 2015, arXiv:1503.02531 · Wang et al. 2023, ACL, arXiv:2212.10560 (Self-Instruct)</t>
        </is>
      </c>
      <c r="N1767" s="14" t="inlineStr">
        <is>
          <t>read ↗</t>
        </is>
      </c>
      <c r="O1767" s="11" t="inlineStr">
        <is>
          <t>section reading (2 of 5)</t>
        </is>
      </c>
      <c r="P1767" s="10" t="inlineStr"/>
    </row>
    <row r="1768">
      <c r="A1768" s="17" t="n">
        <v>1767</v>
      </c>
      <c r="B1768" s="17" t="inlineStr">
        <is>
          <t>Part III - Upstream AI Research</t>
        </is>
      </c>
      <c r="C1768" s="18" t="inlineStr">
        <is>
          <t>D.6.6 Distillation and synthetic data</t>
        </is>
      </c>
      <c r="D1768" s="10" t="inlineStr">
        <is>
          <t>CMU Advanced NLP (11): Distillation, Quantization, Pruning</t>
        </is>
      </c>
      <c r="E1768" s="10" t="inlineStr">
        <is>
          <t>Graham Neubig</t>
        </is>
      </c>
      <c r="F1768" s="11" t="inlineStr">
        <is>
          <t>1:04:21</t>
        </is>
      </c>
      <c r="G1768" s="11" t="n">
        <v>1.07</v>
      </c>
      <c r="H1768" s="12" t="inlineStr"/>
      <c r="I1768" s="11" t="inlineStr">
        <is>
          <t>Not started</t>
        </is>
      </c>
      <c r="J1768" s="13" t="n"/>
      <c r="K1768" s="10" t="inlineStr"/>
      <c r="L1768" s="14" t="inlineStr">
        <is>
          <t>▶ watch</t>
        </is>
      </c>
      <c r="M1768" s="10" t="inlineStr">
        <is>
          <t>Hinton et al. 2015, arXiv:1503.02531 · Wang et al. 2023, ACL, arXiv:2212.10560 (Self-Instruct)</t>
        </is>
      </c>
      <c r="N1768" s="14" t="inlineStr">
        <is>
          <t>read ↗</t>
        </is>
      </c>
      <c r="O1768" s="11" t="inlineStr">
        <is>
          <t>section reading (2 of 5)</t>
        </is>
      </c>
      <c r="P1768" s="10" t="inlineStr"/>
    </row>
    <row r="1769">
      <c r="A1769" s="17" t="n">
        <v>1768</v>
      </c>
      <c r="B1769" s="17" t="inlineStr">
        <is>
          <t>Part III - Upstream AI Research</t>
        </is>
      </c>
      <c r="C1769" s="18" t="inlineStr">
        <is>
          <t>D.6.6 Distillation and synthetic data</t>
        </is>
      </c>
      <c r="D1769" s="10" t="inlineStr">
        <is>
          <t>Instruction Tuning of LLMs (Self-Instruct</t>
        </is>
      </c>
      <c r="E1769" s="10" t="inlineStr">
        <is>
          <t>Yizhong Wang (UW, JHU CLSP</t>
        </is>
      </c>
      <c r="F1769" s="11" t="inlineStr">
        <is>
          <t>48:22</t>
        </is>
      </c>
      <c r="G1769" s="11" t="n">
        <v>0.8100000000000001</v>
      </c>
      <c r="H1769" s="12" t="inlineStr">
        <is>
          <t>★</t>
        </is>
      </c>
      <c r="I1769" s="11" t="inlineStr">
        <is>
          <t>Not started</t>
        </is>
      </c>
      <c r="J1769" s="13" t="n"/>
      <c r="K1769" s="10" t="inlineStr"/>
      <c r="L1769" s="14" t="inlineStr">
        <is>
          <t>▶ watch</t>
        </is>
      </c>
      <c r="M1769" s="10" t="inlineStr">
        <is>
          <t>Hinton et al. 2015, arXiv:1503.02531 · Wang et al. 2023, ACL, arXiv:2212.10560 (Self-Instruct)</t>
        </is>
      </c>
      <c r="N1769" s="14" t="inlineStr">
        <is>
          <t>read ↗</t>
        </is>
      </c>
      <c r="O1769" s="11" t="inlineStr">
        <is>
          <t>section reading (2 of 5)</t>
        </is>
      </c>
      <c r="P1769" s="10" t="inlineStr"/>
    </row>
    <row r="1770">
      <c r="A1770" s="17" t="n">
        <v>1769</v>
      </c>
      <c r="B1770" s="17" t="inlineStr">
        <is>
          <t>Part III - Upstream AI Research</t>
        </is>
      </c>
      <c r="C1770" s="18" t="inlineStr">
        <is>
          <t>D.6.6 Distillation and synthetic data</t>
        </is>
      </c>
      <c r="D1770" s="10" t="inlineStr">
        <is>
          <t>Lessons from the Alpaca Project</t>
        </is>
      </c>
      <c r="E1770" s="10" t="inlineStr">
        <is>
          <t>Tatsu Hashimoto (Stanford</t>
        </is>
      </c>
      <c r="F1770" s="11" t="inlineStr">
        <is>
          <t>23:36</t>
        </is>
      </c>
      <c r="G1770" s="11" t="n">
        <v>0.39</v>
      </c>
      <c r="H1770" s="12" t="inlineStr"/>
      <c r="I1770" s="11" t="inlineStr">
        <is>
          <t>Not started</t>
        </is>
      </c>
      <c r="J1770" s="13" t="n"/>
      <c r="K1770" s="10" t="inlineStr"/>
      <c r="L1770" s="14" t="inlineStr">
        <is>
          <t>▶ watch</t>
        </is>
      </c>
      <c r="M1770" s="10" t="inlineStr">
        <is>
          <t>Hinton et al. 2015, arXiv:1503.02531 · Wang et al. 2023, ACL, arXiv:2212.10560 (Self-Instruct)</t>
        </is>
      </c>
      <c r="N1770" s="14" t="inlineStr">
        <is>
          <t>read ↗</t>
        </is>
      </c>
      <c r="O1770" s="11" t="inlineStr">
        <is>
          <t>section reading (2 of 5)</t>
        </is>
      </c>
      <c r="P1770" s="10" t="inlineStr"/>
    </row>
    <row r="1771">
      <c r="A1771" s="17" t="n">
        <v>1770</v>
      </c>
      <c r="B1771" s="17" t="inlineStr">
        <is>
          <t>Part III - Upstream AI Research</t>
        </is>
      </c>
      <c r="C1771" s="18" t="inlineStr">
        <is>
          <t>D.6.6 Distillation and synthetic data</t>
        </is>
      </c>
      <c r="D1771" s="10" t="inlineStr">
        <is>
          <t>Textbooks Are All You Need</t>
        </is>
      </c>
      <c r="E1771" s="10" t="inlineStr">
        <is>
          <t>Sébastien Bubeck</t>
        </is>
      </c>
      <c r="F1771" s="11" t="inlineStr">
        <is>
          <t>37:15</t>
        </is>
      </c>
      <c r="G1771" s="11" t="n">
        <v>0.62</v>
      </c>
      <c r="H1771" s="12" t="inlineStr"/>
      <c r="I1771" s="11" t="inlineStr">
        <is>
          <t>Not started</t>
        </is>
      </c>
      <c r="J1771" s="13" t="n"/>
      <c r="K1771" s="10" t="inlineStr"/>
      <c r="L1771" s="14" t="inlineStr">
        <is>
          <t>▶ watch</t>
        </is>
      </c>
      <c r="M1771" s="10" t="inlineStr">
        <is>
          <t>Hinton et al. 2015, arXiv:1503.02531 · Wang et al. 2023, ACL, arXiv:2212.10560 (Self-Instruct)</t>
        </is>
      </c>
      <c r="N1771" s="14" t="inlineStr">
        <is>
          <t>read ↗</t>
        </is>
      </c>
      <c r="O1771" s="11" t="inlineStr">
        <is>
          <t>section reading (2 of 5)</t>
        </is>
      </c>
      <c r="P1771" s="10" t="inlineStr"/>
    </row>
    <row r="1772">
      <c r="A1772" s="17" t="n">
        <v>1771</v>
      </c>
      <c r="B1772" s="17" t="inlineStr">
        <is>
          <t>Part III - Upstream AI Research</t>
        </is>
      </c>
      <c r="C1772" s="18" t="inlineStr">
        <is>
          <t>D.6.6 Distillation and synthetic data</t>
        </is>
      </c>
      <c r="D1772" s="10" t="inlineStr">
        <is>
          <t>Small Language Models</t>
        </is>
      </c>
      <c r="E1772" s="10" t="inlineStr">
        <is>
          <t>Sébastien Bubeck</t>
        </is>
      </c>
      <c r="F1772" s="11" t="inlineStr">
        <is>
          <t>1:04:03</t>
        </is>
      </c>
      <c r="G1772" s="11" t="n">
        <v>1.07</v>
      </c>
      <c r="H1772" s="12" t="inlineStr"/>
      <c r="I1772" s="11" t="inlineStr">
        <is>
          <t>Not started</t>
        </is>
      </c>
      <c r="J1772" s="13" t="n"/>
      <c r="K1772" s="10" t="inlineStr"/>
      <c r="L1772" s="14" t="inlineStr">
        <is>
          <t>▶ watch</t>
        </is>
      </c>
      <c r="M1772" s="10" t="inlineStr">
        <is>
          <t>Hinton et al. 2015, arXiv:1503.02531 · Wang et al. 2023, ACL, arXiv:2212.10560 (Self-Instruct)</t>
        </is>
      </c>
      <c r="N1772" s="14" t="inlineStr">
        <is>
          <t>read ↗</t>
        </is>
      </c>
      <c r="O1772" s="11" t="inlineStr">
        <is>
          <t>section reading (2 of 5)</t>
        </is>
      </c>
      <c r="P1772" s="10" t="inlineStr"/>
    </row>
    <row r="1773">
      <c r="A1773" s="17" t="n">
        <v>1772</v>
      </c>
      <c r="B1773" s="17" t="inlineStr">
        <is>
          <t>Part III - Upstream AI Research</t>
        </is>
      </c>
      <c r="C1773" s="18" t="inlineStr">
        <is>
          <t>D.6.6 Distillation and synthetic data</t>
        </is>
      </c>
      <c r="D1773" s="10" t="inlineStr">
        <is>
          <t>Synthetic Data / Smol Models</t>
        </is>
      </c>
      <c r="E1773" s="10" t="inlineStr">
        <is>
          <t>Loubna Ben Allal (HF</t>
        </is>
      </c>
      <c r="F1773" s="11" t="inlineStr">
        <is>
          <t>28:07</t>
        </is>
      </c>
      <c r="G1773" s="11" t="n">
        <v>0.47</v>
      </c>
      <c r="H1773" s="12" t="inlineStr"/>
      <c r="I1773" s="11" t="inlineStr">
        <is>
          <t>Not started</t>
        </is>
      </c>
      <c r="J1773" s="13" t="n"/>
      <c r="K1773" s="10" t="inlineStr"/>
      <c r="L1773" s="14" t="inlineStr">
        <is>
          <t>▶ watch</t>
        </is>
      </c>
      <c r="M1773" s="10" t="inlineStr">
        <is>
          <t>Hinton et al. 2015, arXiv:1503.02531 · Wang et al. 2023, ACL, arXiv:2212.10560 (Self-Instruct)</t>
        </is>
      </c>
      <c r="N1773" s="14" t="inlineStr">
        <is>
          <t>read ↗</t>
        </is>
      </c>
      <c r="O1773" s="11" t="inlineStr">
        <is>
          <t>section reading (2 of 5)</t>
        </is>
      </c>
      <c r="P1773" s="10" t="inlineStr"/>
    </row>
    <row r="1774">
      <c r="A1774" s="17" t="n">
        <v>1773</v>
      </c>
      <c r="B1774" s="17" t="inlineStr">
        <is>
          <t>Part III - Upstream AI Research</t>
        </is>
      </c>
      <c r="C1774" s="18" t="inlineStr">
        <is>
          <t>D.6.6 Distillation and synthetic data</t>
        </is>
      </c>
      <c r="D1774" s="10" t="inlineStr">
        <is>
          <t>Zixiang Chen (UCLA, first author</t>
        </is>
      </c>
      <c r="E1774" s="10" t="inlineStr">
        <is>
          <t>Self-Play Fine-Tuning (SPIN</t>
        </is>
      </c>
      <c r="F1774" s="11" t="inlineStr">
        <is>
          <t>1:02:31</t>
        </is>
      </c>
      <c r="G1774" s="11" t="n">
        <v>1.04</v>
      </c>
      <c r="H1774" s="12" t="inlineStr"/>
      <c r="I1774" s="11" t="inlineStr">
        <is>
          <t>Not started</t>
        </is>
      </c>
      <c r="J1774" s="13" t="n"/>
      <c r="K1774" s="10" t="inlineStr"/>
      <c r="L1774" s="14" t="inlineStr">
        <is>
          <t>▶ watch</t>
        </is>
      </c>
      <c r="M1774" s="10" t="inlineStr">
        <is>
          <t>Chen et al. 2024, arXiv:2401.01335 (SPIN)</t>
        </is>
      </c>
      <c r="N1774" s="14" t="inlineStr">
        <is>
          <t>read ↗</t>
        </is>
      </c>
      <c r="O1774" s="11" t="inlineStr">
        <is>
          <t>names SPIN</t>
        </is>
      </c>
      <c r="P1774" s="10" t="inlineStr"/>
    </row>
    <row r="1775">
      <c r="A1775" s="17" t="n">
        <v>1774</v>
      </c>
      <c r="B1775" s="17" t="inlineStr">
        <is>
          <t>Part III - Upstream AI Research</t>
        </is>
      </c>
      <c r="C1775" s="18" t="inlineStr">
        <is>
          <t>D.6.6 Distillation and synthetic data</t>
        </is>
      </c>
      <c r="D1775" s="10" t="inlineStr">
        <is>
          <t>Self-Play for LMs on Programming Puzzles</t>
        </is>
      </c>
      <c r="E1775" s="10" t="inlineStr">
        <is>
          <t>Adam Tauman Kalai (MSR, Simons</t>
        </is>
      </c>
      <c r="F1775" s="11" t="inlineStr">
        <is>
          <t>1:03:54</t>
        </is>
      </c>
      <c r="G1775" s="11" t="n">
        <v>1.06</v>
      </c>
      <c r="H1775" s="12" t="inlineStr"/>
      <c r="I1775" s="11" t="inlineStr">
        <is>
          <t>Not started</t>
        </is>
      </c>
      <c r="J1775" s="13" t="n"/>
      <c r="K1775" s="10" t="inlineStr"/>
      <c r="L1775" s="14" t="inlineStr">
        <is>
          <t>▶ watch</t>
        </is>
      </c>
      <c r="M1775" s="10" t="inlineStr">
        <is>
          <t>Hinton et al. 2015, arXiv:1503.02531 · Wang et al. 2023, ACL, arXiv:2212.10560 (Self-Instruct)</t>
        </is>
      </c>
      <c r="N1775" s="14" t="inlineStr">
        <is>
          <t>read ↗</t>
        </is>
      </c>
      <c r="O1775" s="11" t="inlineStr">
        <is>
          <t>section reading (2 of 5)</t>
        </is>
      </c>
      <c r="P1775" s="10" t="inlineStr"/>
    </row>
    <row r="1776">
      <c r="A1776" s="17" t="n">
        <v>1775</v>
      </c>
      <c r="B1776" s="17" t="inlineStr">
        <is>
          <t>Part III - Upstream AI Research</t>
        </is>
      </c>
      <c r="C1776" s="18" t="inlineStr">
        <is>
          <t>D.7.1 Chain-of-thought and the theory behind it</t>
        </is>
      </c>
      <c r="D1776" s="10" t="inlineStr">
        <is>
          <t>CS25 V5 - Large Language Model Reasoning</t>
        </is>
      </c>
      <c r="E1776" s="10" t="inlineStr">
        <is>
          <t>Denny Zhou (DeepMind</t>
        </is>
      </c>
      <c r="F1776" s="11" t="inlineStr">
        <is>
          <t>1:06:07</t>
        </is>
      </c>
      <c r="G1776" s="11" t="n">
        <v>1.1</v>
      </c>
      <c r="H1776" s="12" t="inlineStr">
        <is>
          <t>★</t>
        </is>
      </c>
      <c r="I1776" s="11" t="inlineStr">
        <is>
          <t>Not started</t>
        </is>
      </c>
      <c r="J1776" s="13" t="n"/>
      <c r="K1776" s="10" t="inlineStr"/>
      <c r="L1776" s="14" t="inlineStr">
        <is>
          <t>▶ watch</t>
        </is>
      </c>
      <c r="M1776" s="10" t="inlineStr">
        <is>
          <t>Wei et al. 2022, NeurIPS (chain-of-thought prompting) · Wang et al. 2023, ICLR (self-consistency)</t>
        </is>
      </c>
      <c r="N1776" s="14" t="inlineStr">
        <is>
          <t>read ↗</t>
        </is>
      </c>
      <c r="O1776" s="11" t="inlineStr">
        <is>
          <t>section reading (2 of 6)</t>
        </is>
      </c>
      <c r="P1776" s="10" t="inlineStr"/>
    </row>
    <row r="1777">
      <c r="A1777" s="17" t="n">
        <v>1776</v>
      </c>
      <c r="B1777" s="17" t="inlineStr">
        <is>
          <t>Part III - Upstream AI Research</t>
        </is>
      </c>
      <c r="C1777" s="18" t="inlineStr">
        <is>
          <t>D.7.1 Chain-of-thought and the theory behind it</t>
        </is>
      </c>
      <c r="D1777" s="10" t="inlineStr">
        <is>
          <t>LLM Reasoning (earlier version</t>
        </is>
      </c>
      <c r="E1777" s="10" t="inlineStr">
        <is>
          <t>Denny Zhou (Berkeley MOOC</t>
        </is>
      </c>
      <c r="F1777" s="11" t="inlineStr">
        <is>
          <t>1:04:02</t>
        </is>
      </c>
      <c r="G1777" s="11" t="n">
        <v>1.07</v>
      </c>
      <c r="H1777" s="12" t="inlineStr"/>
      <c r="I1777" s="11" t="inlineStr">
        <is>
          <t>Not started</t>
        </is>
      </c>
      <c r="J1777" s="13" t="n"/>
      <c r="K1777" s="10" t="inlineStr"/>
      <c r="L1777" s="14" t="inlineStr">
        <is>
          <t>▶ watch</t>
        </is>
      </c>
      <c r="M1777" s="10" t="inlineStr">
        <is>
          <t>Wei et al. 2022, NeurIPS (chain-of-thought prompting) · Wang et al. 2023, ICLR (self-consistency)</t>
        </is>
      </c>
      <c r="N1777" s="14" t="inlineStr">
        <is>
          <t>read ↗</t>
        </is>
      </c>
      <c r="O1777" s="11" t="inlineStr">
        <is>
          <t>section reading (2 of 6)</t>
        </is>
      </c>
      <c r="P1777" s="10" t="inlineStr"/>
    </row>
    <row r="1778">
      <c r="A1778" s="17" t="n">
        <v>1777</v>
      </c>
      <c r="B1778" s="17" t="inlineStr">
        <is>
          <t>Part III - Upstream AI Research</t>
        </is>
      </c>
      <c r="C1778" s="18" t="inlineStr">
        <is>
          <t>D.7.1 Chain-of-thought and the theory behind it</t>
        </is>
      </c>
      <c r="D1778" s="10" t="inlineStr">
        <is>
          <t>Chain of Thought Empowers Transformers to Solve Inherently Serial Problems</t>
        </is>
      </c>
      <c r="E1778" s="10" t="inlineStr">
        <is>
          <t>Zhiyuan Li (first author</t>
        </is>
      </c>
      <c r="F1778" s="11" t="inlineStr">
        <is>
          <t>55:19</t>
        </is>
      </c>
      <c r="G1778" s="11" t="n">
        <v>0.92</v>
      </c>
      <c r="H1778" s="12" t="inlineStr">
        <is>
          <t>★</t>
        </is>
      </c>
      <c r="I1778" s="11" t="inlineStr">
        <is>
          <t>Not started</t>
        </is>
      </c>
      <c r="J1778" s="13" t="n"/>
      <c r="K1778" s="10" t="inlineStr"/>
      <c r="L1778" s="14" t="inlineStr">
        <is>
          <t>▶ watch</t>
        </is>
      </c>
      <c r="M1778" s="10" t="inlineStr">
        <is>
          <t>Wei et al. 2022, NeurIPS (chain-of-thought prompting) · Wang et al. 2023, ICLR (self-consistency)</t>
        </is>
      </c>
      <c r="N1778" s="14" t="inlineStr">
        <is>
          <t>read ↗</t>
        </is>
      </c>
      <c r="O1778" s="11" t="inlineStr">
        <is>
          <t>section reading (2 of 6)</t>
        </is>
      </c>
      <c r="P1778" s="10" t="inlineStr">
        <is>
          <t>7.3 What transformers can and cannot compute</t>
        </is>
      </c>
    </row>
    <row r="1779">
      <c r="A1779" s="17" t="n">
        <v>1778</v>
      </c>
      <c r="B1779" s="17" t="inlineStr">
        <is>
          <t>Part III - Upstream AI Research</t>
        </is>
      </c>
      <c r="C1779" s="18" t="inlineStr">
        <is>
          <t>D.7.1 Chain-of-thought and the theory behind it</t>
        </is>
      </c>
      <c r="D1779" s="10" t="inlineStr">
        <is>
          <t>Iterated Models: Expressive Power, Learning, and Chain of Thought</t>
        </is>
      </c>
      <c r="E1779" s="10" t="inlineStr">
        <is>
          <t>Nati Srebro (TTIC, Simons</t>
        </is>
      </c>
      <c r="F1779" s="11" t="inlineStr">
        <is>
          <t>54:08</t>
        </is>
      </c>
      <c r="G1779" s="11" t="n">
        <v>0.9</v>
      </c>
      <c r="H1779" s="12" t="inlineStr">
        <is>
          <t>★</t>
        </is>
      </c>
      <c r="I1779" s="11" t="inlineStr">
        <is>
          <t>Not started</t>
        </is>
      </c>
      <c r="J1779" s="13" t="n"/>
      <c r="K1779" s="10" t="inlineStr"/>
      <c r="L1779" s="14" t="inlineStr">
        <is>
          <t>▶ watch</t>
        </is>
      </c>
      <c r="M1779" s="10" t="inlineStr">
        <is>
          <t>Wei et al. 2022, NeurIPS (chain-of-thought prompting) · Wang et al. 2023, ICLR (self-consistency)</t>
        </is>
      </c>
      <c r="N1779" s="14" t="inlineStr">
        <is>
          <t>read ↗</t>
        </is>
      </c>
      <c r="O1779" s="11" t="inlineStr">
        <is>
          <t>section reading (2 of 6)</t>
        </is>
      </c>
      <c r="P1779" s="10" t="inlineStr">
        <is>
          <t>7.3 What transformers can and cannot compute; 9.4 Simons: Special Year on Large Language Models and Transformers (2023–2024</t>
        </is>
      </c>
    </row>
    <row r="1780">
      <c r="A1780" s="17" t="n">
        <v>1779</v>
      </c>
      <c r="B1780" s="17" t="inlineStr">
        <is>
          <t>Part III - Upstream AI Research</t>
        </is>
      </c>
      <c r="C1780" s="18" t="inlineStr">
        <is>
          <t>D.7.1 Chain-of-thought and the theory behind it</t>
        </is>
      </c>
      <c r="D1780" s="10" t="inlineStr">
        <is>
          <t>Towards Revealing the Mystery behind Chain of Thought</t>
        </is>
      </c>
      <c r="E1780" s="10" t="inlineStr"/>
      <c r="F1780" s="11" t="inlineStr">
        <is>
          <t>47:38</t>
        </is>
      </c>
      <c r="G1780" s="11" t="n">
        <v>0.79</v>
      </c>
      <c r="H1780" s="12" t="inlineStr"/>
      <c r="I1780" s="11" t="inlineStr">
        <is>
          <t>Not started</t>
        </is>
      </c>
      <c r="J1780" s="13" t="n"/>
      <c r="K1780" s="10" t="inlineStr"/>
      <c r="L1780" s="14" t="inlineStr">
        <is>
          <t>▶ watch</t>
        </is>
      </c>
      <c r="M1780" s="10" t="inlineStr">
        <is>
          <t>Wei et al. 2022, NeurIPS (chain-of-thought prompting) · Wang et al. 2023, ICLR (self-consistency)</t>
        </is>
      </c>
      <c r="N1780" s="14" t="inlineStr">
        <is>
          <t>read ↗</t>
        </is>
      </c>
      <c r="O1780" s="11" t="inlineStr">
        <is>
          <t>section reading (2 of 6)</t>
        </is>
      </c>
      <c r="P1780" s="10" t="inlineStr"/>
    </row>
    <row r="1781">
      <c r="A1781" s="17" t="n">
        <v>1780</v>
      </c>
      <c r="B1781" s="17" t="inlineStr">
        <is>
          <t>Part III - Upstream AI Research</t>
        </is>
      </c>
      <c r="C1781" s="18" t="inlineStr">
        <is>
          <t>D.7.1 Chain-of-thought and the theory behind it</t>
        </is>
      </c>
      <c r="D1781" s="10" t="inlineStr">
        <is>
          <t>Implicit Chain-of-Thought: Internalizing Reasoning</t>
        </is>
      </c>
      <c r="E1781" s="10" t="inlineStr">
        <is>
          <t>Yuntian Deng (Cohere Labs</t>
        </is>
      </c>
      <c r="F1781" s="11" t="inlineStr">
        <is>
          <t>1:21:38</t>
        </is>
      </c>
      <c r="G1781" s="11" t="n">
        <v>1.36</v>
      </c>
      <c r="H1781" s="12" t="inlineStr">
        <is>
          <t>★</t>
        </is>
      </c>
      <c r="I1781" s="11" t="inlineStr">
        <is>
          <t>Not started</t>
        </is>
      </c>
      <c r="J1781" s="13" t="n"/>
      <c r="K1781" s="10" t="inlineStr"/>
      <c r="L1781" s="14" t="inlineStr">
        <is>
          <t>▶ watch</t>
        </is>
      </c>
      <c r="M1781" s="10" t="inlineStr">
        <is>
          <t>Wei et al. 2022, NeurIPS (chain-of-thought prompting) · Wang et al. 2023, ICLR (self-consistency)</t>
        </is>
      </c>
      <c r="N1781" s="14" t="inlineStr">
        <is>
          <t>read ↗</t>
        </is>
      </c>
      <c r="O1781" s="11" t="inlineStr">
        <is>
          <t>section reading (2 of 6)</t>
        </is>
      </c>
      <c r="P1781" s="10" t="inlineStr"/>
    </row>
    <row r="1782">
      <c r="A1782" s="17" t="n">
        <v>1781</v>
      </c>
      <c r="B1782" s="17" t="inlineStr">
        <is>
          <t>Part III - Upstream AI Research</t>
        </is>
      </c>
      <c r="C1782" s="18" t="inlineStr">
        <is>
          <t>D.7.1 Chain-of-thought and the theory behind it</t>
        </is>
      </c>
      <c r="D1782" s="10" t="inlineStr">
        <is>
          <t>Do Large Language Models Perform Latent Reasoning?</t>
        </is>
      </c>
      <c r="E1782" s="10" t="inlineStr">
        <is>
          <t>Mor Geva (Tel Aviv, Simons</t>
        </is>
      </c>
      <c r="F1782" s="11" t="inlineStr">
        <is>
          <t>32:15</t>
        </is>
      </c>
      <c r="G1782" s="11" t="n">
        <v>0.54</v>
      </c>
      <c r="H1782" s="12" t="inlineStr"/>
      <c r="I1782" s="11" t="inlineStr">
        <is>
          <t>Not started</t>
        </is>
      </c>
      <c r="J1782" s="13" t="n"/>
      <c r="K1782" s="10" t="inlineStr"/>
      <c r="L1782" s="14" t="inlineStr">
        <is>
          <t>▶ watch</t>
        </is>
      </c>
      <c r="M1782" s="10" t="inlineStr">
        <is>
          <t>Wei et al. 2022, NeurIPS (chain-of-thought prompting) · Wang et al. 2023, ICLR (self-consistency)</t>
        </is>
      </c>
      <c r="N1782" s="14" t="inlineStr">
        <is>
          <t>read ↗</t>
        </is>
      </c>
      <c r="O1782" s="11" t="inlineStr">
        <is>
          <t>section reading (2 of 6)</t>
        </is>
      </c>
      <c r="P1782" s="10" t="inlineStr"/>
    </row>
    <row r="1783">
      <c r="A1783" s="17" t="n">
        <v>1782</v>
      </c>
      <c r="B1783" s="17" t="inlineStr">
        <is>
          <t>Part III - Upstream AI Research</t>
        </is>
      </c>
      <c r="C1783" s="18" t="inlineStr">
        <is>
          <t>D.7.1 Chain-of-thought and the theory behind it</t>
        </is>
      </c>
      <c r="D1783" s="10" t="inlineStr">
        <is>
          <t>LLMs Cannot Self-Correct Reasoning Yet</t>
        </is>
      </c>
      <c r="E1783" s="10" t="inlineStr">
        <is>
          <t>Jie Huang (UIUC, Cohere</t>
        </is>
      </c>
      <c r="F1783" s="11" t="inlineStr">
        <is>
          <t>49:01</t>
        </is>
      </c>
      <c r="G1783" s="11" t="n">
        <v>0.82</v>
      </c>
      <c r="H1783" s="12" t="inlineStr">
        <is>
          <t>★</t>
        </is>
      </c>
      <c r="I1783" s="11" t="inlineStr">
        <is>
          <t>Not started</t>
        </is>
      </c>
      <c r="J1783" s="13" t="n"/>
      <c r="K1783" s="10" t="inlineStr"/>
      <c r="L1783" s="14" t="inlineStr">
        <is>
          <t>▶ watch</t>
        </is>
      </c>
      <c r="M1783" s="10" t="inlineStr">
        <is>
          <t>Wei et al. 2022, NeurIPS (chain-of-thought prompting) · Wang et al. 2023, ICLR (self-consistency)</t>
        </is>
      </c>
      <c r="N1783" s="14" t="inlineStr">
        <is>
          <t>read ↗</t>
        </is>
      </c>
      <c r="O1783" s="11" t="inlineStr">
        <is>
          <t>section reading (2 of 6)</t>
        </is>
      </c>
      <c r="P1783" s="10" t="inlineStr"/>
    </row>
    <row r="1784">
      <c r="A1784" s="17" t="n">
        <v>1783</v>
      </c>
      <c r="B1784" s="17" t="inlineStr">
        <is>
          <t>Part III - Upstream AI Research</t>
        </is>
      </c>
      <c r="C1784" s="18" t="inlineStr">
        <is>
          <t>D.7.1 Chain-of-thought and the theory behind it</t>
        </is>
      </c>
      <c r="D1784" s="10" t="inlineStr">
        <is>
          <t>Transformers can learn compositional functions</t>
        </is>
      </c>
      <c r="E1784" s="10" t="inlineStr">
        <is>
          <t>Simons Institute</t>
        </is>
      </c>
      <c r="F1784" s="11" t="inlineStr">
        <is>
          <t>1:03:56</t>
        </is>
      </c>
      <c r="G1784" s="11" t="n">
        <v>1.07</v>
      </c>
      <c r="H1784" s="12" t="inlineStr"/>
      <c r="I1784" s="11" t="inlineStr">
        <is>
          <t>Not started</t>
        </is>
      </c>
      <c r="J1784" s="13" t="n"/>
      <c r="K1784" s="10" t="inlineStr"/>
      <c r="L1784" s="14" t="inlineStr">
        <is>
          <t>▶ watch</t>
        </is>
      </c>
      <c r="M1784" s="10" t="inlineStr">
        <is>
          <t>Wei et al. 2022, NeurIPS (chain-of-thought prompting) · Wang et al. 2023, ICLR (self-consistency)</t>
        </is>
      </c>
      <c r="N1784" s="14" t="inlineStr">
        <is>
          <t>read ↗</t>
        </is>
      </c>
      <c r="O1784" s="11" t="inlineStr">
        <is>
          <t>section reading (2 of 6)</t>
        </is>
      </c>
      <c r="P1784" s="10" t="inlineStr"/>
    </row>
    <row r="1785">
      <c r="A1785" s="17" t="n">
        <v>1784</v>
      </c>
      <c r="B1785" s="17" t="inlineStr">
        <is>
          <t>Part III - Upstream AI Research</t>
        </is>
      </c>
      <c r="C1785" s="18" t="inlineStr">
        <is>
          <t>D.7.2 Test-time scaling</t>
        </is>
      </c>
      <c r="D1785" s="10" t="inlineStr">
        <is>
          <t>Charlie Snell (first author, Berkeley</t>
        </is>
      </c>
      <c r="E1785" s="10" t="inlineStr">
        <is>
          <t>Scaling LLM Test-Time Compute</t>
        </is>
      </c>
      <c r="F1785" s="11" t="inlineStr">
        <is>
          <t>53:31</t>
        </is>
      </c>
      <c r="G1785" s="11" t="n">
        <v>0.89</v>
      </c>
      <c r="H1785" s="12" t="inlineStr">
        <is>
          <t>★</t>
        </is>
      </c>
      <c r="I1785" s="11" t="inlineStr">
        <is>
          <t>Not started</t>
        </is>
      </c>
      <c r="J1785" s="13" t="n"/>
      <c r="K1785" s="10" t="inlineStr"/>
      <c r="L1785" s="14" t="inlineStr">
        <is>
          <t>▶ watch</t>
        </is>
      </c>
      <c r="M1785" s="10" t="inlineStr">
        <is>
          <t>Snell et al. 2024, arXiv:2408.03314 · Welleck et al. 2024, arXiv:2406.16838 (the survey)</t>
        </is>
      </c>
      <c r="N1785" s="14" t="inlineStr">
        <is>
          <t>read ↗</t>
        </is>
      </c>
      <c r="O1785" s="11" t="inlineStr">
        <is>
          <t>section reading (2 of 4)</t>
        </is>
      </c>
      <c r="P1785" s="10" t="inlineStr">
        <is>
          <t>5.1 The empirical result and compute-optimal training</t>
        </is>
      </c>
    </row>
    <row r="1786">
      <c r="A1786" s="17" t="n">
        <v>1785</v>
      </c>
      <c r="B1786" s="17" t="inlineStr">
        <is>
          <t>Part III - Upstream AI Research</t>
        </is>
      </c>
      <c r="C1786" s="18" t="inlineStr">
        <is>
          <t>D.7.2 Test-time scaling</t>
        </is>
      </c>
      <c r="D1786" s="10" t="inlineStr">
        <is>
          <t>Optimally Scaling Test-Time Compute &amp; Predicting Emergence</t>
        </is>
      </c>
      <c r="E1786" s="10" t="inlineStr">
        <is>
          <t>Charlie Snell</t>
        </is>
      </c>
      <c r="F1786" s="11" t="inlineStr">
        <is>
          <t>36:45</t>
        </is>
      </c>
      <c r="G1786" s="11" t="n">
        <v>0.61</v>
      </c>
      <c r="H1786" s="12" t="inlineStr"/>
      <c r="I1786" s="11" t="inlineStr">
        <is>
          <t>Not started</t>
        </is>
      </c>
      <c r="J1786" s="13" t="n"/>
      <c r="K1786" s="10" t="inlineStr"/>
      <c r="L1786" s="14" t="inlineStr">
        <is>
          <t>▶ watch</t>
        </is>
      </c>
      <c r="M1786" s="10" t="inlineStr">
        <is>
          <t>Snell et al. 2024, arXiv:2408.03314 · Welleck et al. 2024, arXiv:2406.16838 (the survey)</t>
        </is>
      </c>
      <c r="N1786" s="14" t="inlineStr">
        <is>
          <t>read ↗</t>
        </is>
      </c>
      <c r="O1786" s="11" t="inlineStr">
        <is>
          <t>section reading (2 of 4)</t>
        </is>
      </c>
      <c r="P1786" s="10" t="inlineStr"/>
    </row>
    <row r="1787">
      <c r="A1787" s="17" t="n">
        <v>1786</v>
      </c>
      <c r="B1787" s="17" t="inlineStr">
        <is>
          <t>Part III - Upstream AI Research</t>
        </is>
      </c>
      <c r="C1787" s="18" t="inlineStr">
        <is>
          <t>D.7.2 Test-time scaling</t>
        </is>
      </c>
      <c r="D1787" s="10" t="inlineStr">
        <is>
          <t>From Decoding to Meta-Generation: Inference Time Algorithms</t>
        </is>
      </c>
      <c r="E1787" s="10" t="inlineStr">
        <is>
          <t>Sean Welleck (CMU</t>
        </is>
      </c>
      <c r="F1787" s="11" t="inlineStr">
        <is>
          <t>1:14:44</t>
        </is>
      </c>
      <c r="G1787" s="11" t="n">
        <v>1.25</v>
      </c>
      <c r="H1787" s="12" t="inlineStr">
        <is>
          <t>★</t>
        </is>
      </c>
      <c r="I1787" s="11" t="inlineStr">
        <is>
          <t>Not started</t>
        </is>
      </c>
      <c r="J1787" s="13" t="n"/>
      <c r="K1787" s="10" t="inlineStr"/>
      <c r="L1787" s="14" t="inlineStr">
        <is>
          <t>▶ watch</t>
        </is>
      </c>
      <c r="M1787" s="10" t="inlineStr">
        <is>
          <t>Snell et al. 2024, arXiv:2408.03314 · Welleck et al. 2024, arXiv:2406.16838 (the survey)</t>
        </is>
      </c>
      <c r="N1787" s="14" t="inlineStr">
        <is>
          <t>read ↗</t>
        </is>
      </c>
      <c r="O1787" s="11" t="inlineStr">
        <is>
          <t>section reading (2 of 4)</t>
        </is>
      </c>
      <c r="P1787" s="10" t="inlineStr"/>
    </row>
    <row r="1788">
      <c r="A1788" s="17" t="n">
        <v>1787</v>
      </c>
      <c r="B1788" s="17" t="inlineStr">
        <is>
          <t>Part III - Upstream AI Research</t>
        </is>
      </c>
      <c r="C1788" s="18" t="inlineStr">
        <is>
          <t>D.7.2 Test-time scaling</t>
        </is>
      </c>
      <c r="D1788" s="10" t="inlineStr">
        <is>
          <t>Beyond Decoding: Meta-Generation Algorithms</t>
        </is>
      </c>
      <c r="E1788" s="10" t="inlineStr">
        <is>
          <t>Sean Welleck (Simons</t>
        </is>
      </c>
      <c r="F1788" s="11" t="inlineStr">
        <is>
          <t>1:21:55</t>
        </is>
      </c>
      <c r="G1788" s="11" t="n">
        <v>1.37</v>
      </c>
      <c r="H1788" s="12" t="inlineStr"/>
      <c r="I1788" s="11" t="inlineStr">
        <is>
          <t>Not started</t>
        </is>
      </c>
      <c r="J1788" s="13" t="n"/>
      <c r="K1788" s="10" t="inlineStr"/>
      <c r="L1788" s="14" t="inlineStr">
        <is>
          <t>▶ watch</t>
        </is>
      </c>
      <c r="M1788" s="10" t="inlineStr">
        <is>
          <t>Snell et al. 2024, arXiv:2408.03314 · Welleck et al. 2024, arXiv:2406.16838 (the survey)</t>
        </is>
      </c>
      <c r="N1788" s="14" t="inlineStr">
        <is>
          <t>read ↗</t>
        </is>
      </c>
      <c r="O1788" s="11" t="inlineStr">
        <is>
          <t>section reading (2 of 4)</t>
        </is>
      </c>
      <c r="P1788" s="10" t="inlineStr"/>
    </row>
    <row r="1789">
      <c r="A1789" s="17" t="n">
        <v>1788</v>
      </c>
      <c r="B1789" s="17" t="inlineStr">
        <is>
          <t>Part III - Upstream AI Research</t>
        </is>
      </c>
      <c r="C1789" s="18" t="inlineStr">
        <is>
          <t>D.7.2 Test-time scaling</t>
        </is>
      </c>
      <c r="D1789" s="10" t="inlineStr">
        <is>
          <t>The Key Ingredients of Optimizing Test-Time Compute</t>
        </is>
      </c>
      <c r="E1789" s="10" t="inlineStr">
        <is>
          <t>Aviral Kumar (CMU, Simons</t>
        </is>
      </c>
      <c r="F1789" s="11" t="inlineStr">
        <is>
          <t>1:02:15</t>
        </is>
      </c>
      <c r="G1789" s="11" t="n">
        <v>1.04</v>
      </c>
      <c r="H1789" s="12" t="inlineStr"/>
      <c r="I1789" s="11" t="inlineStr">
        <is>
          <t>Not started</t>
        </is>
      </c>
      <c r="J1789" s="13" t="n"/>
      <c r="K1789" s="10" t="inlineStr"/>
      <c r="L1789" s="14" t="inlineStr">
        <is>
          <t>▶ watch</t>
        </is>
      </c>
      <c r="M1789" s="10" t="inlineStr">
        <is>
          <t>Snell et al. 2024, arXiv:2408.03314 · Welleck et al. 2024, arXiv:2406.16838 (the survey)</t>
        </is>
      </c>
      <c r="N1789" s="14" t="inlineStr">
        <is>
          <t>read ↗</t>
        </is>
      </c>
      <c r="O1789" s="11" t="inlineStr">
        <is>
          <t>section reading (2 of 4)</t>
        </is>
      </c>
      <c r="P1789" s="10" t="inlineStr"/>
    </row>
    <row r="1790">
      <c r="A1790" s="17" t="n">
        <v>1789</v>
      </c>
      <c r="B1790" s="17" t="inlineStr">
        <is>
          <t>Part III - Upstream AI Research</t>
        </is>
      </c>
      <c r="C1790" s="18" t="inlineStr">
        <is>
          <t>D.7.2 Test-time scaling</t>
        </is>
      </c>
      <c r="D1790" s="10" t="inlineStr">
        <is>
          <t>Inference Scaling: A New Frontier for AI Capability</t>
        </is>
      </c>
      <c r="E1790" s="10" t="inlineStr">
        <is>
          <t>Azalia Mirhoseini (Stanford, Simons</t>
        </is>
      </c>
      <c r="F1790" s="11" t="inlineStr">
        <is>
          <t>1:07:45</t>
        </is>
      </c>
      <c r="G1790" s="11" t="n">
        <v>1.13</v>
      </c>
      <c r="H1790" s="12" t="inlineStr"/>
      <c r="I1790" s="11" t="inlineStr">
        <is>
          <t>Not started</t>
        </is>
      </c>
      <c r="J1790" s="13" t="n"/>
      <c r="K1790" s="10" t="inlineStr"/>
      <c r="L1790" s="14" t="inlineStr">
        <is>
          <t>▶ watch</t>
        </is>
      </c>
      <c r="M1790" s="10" t="inlineStr">
        <is>
          <t>Snell et al. 2024, arXiv:2408.03314 · Welleck et al. 2024, arXiv:2406.16838 (the survey)</t>
        </is>
      </c>
      <c r="N1790" s="14" t="inlineStr">
        <is>
          <t>read ↗</t>
        </is>
      </c>
      <c r="O1790" s="11" t="inlineStr">
        <is>
          <t>section reading (2 of 4)</t>
        </is>
      </c>
      <c r="P1790" s="10" t="inlineStr"/>
    </row>
    <row r="1791">
      <c r="A1791" s="17" t="n">
        <v>1790</v>
      </c>
      <c r="B1791" s="17" t="inlineStr">
        <is>
          <t>Part III - Upstream AI Research</t>
        </is>
      </c>
      <c r="C1791" s="18" t="inlineStr">
        <is>
          <t>D.7.2 Test-time scaling</t>
        </is>
      </c>
      <c r="D1791" s="10" t="inlineStr">
        <is>
          <t>Inference-Time Techniques for LLM Reasoning</t>
        </is>
      </c>
      <c r="E1791" s="10" t="inlineStr">
        <is>
          <t>Xinyun Chen (DeepMind, Berkeley</t>
        </is>
      </c>
      <c r="F1791" s="11" t="inlineStr">
        <is>
          <t>1:21:32</t>
        </is>
      </c>
      <c r="G1791" s="11" t="n">
        <v>1.36</v>
      </c>
      <c r="H1791" s="12" t="inlineStr"/>
      <c r="I1791" s="11" t="inlineStr">
        <is>
          <t>Not started</t>
        </is>
      </c>
      <c r="J1791" s="13" t="n"/>
      <c r="K1791" s="10" t="inlineStr"/>
      <c r="L1791" s="14" t="inlineStr">
        <is>
          <t>▶ watch</t>
        </is>
      </c>
      <c r="M1791" s="10" t="inlineStr">
        <is>
          <t>Snell et al. 2024, arXiv:2408.03314 · Welleck et al. 2024, arXiv:2406.16838 (the survey)</t>
        </is>
      </c>
      <c r="N1791" s="14" t="inlineStr">
        <is>
          <t>read ↗</t>
        </is>
      </c>
      <c r="O1791" s="11" t="inlineStr">
        <is>
          <t>section reading (2 of 4)</t>
        </is>
      </c>
      <c r="P1791" s="10" t="inlineStr"/>
    </row>
    <row r="1792">
      <c r="A1792" s="17" t="n">
        <v>1791</v>
      </c>
      <c r="B1792" s="17" t="inlineStr">
        <is>
          <t>Part III - Upstream AI Research</t>
        </is>
      </c>
      <c r="C1792" s="18" t="inlineStr">
        <is>
          <t>D.7.2 Test-time scaling</t>
        </is>
      </c>
      <c r="D1792" s="10" t="inlineStr">
        <is>
          <t>Test Time Scaling Small LMs to o1 level</t>
        </is>
      </c>
      <c r="E1792" s="10" t="inlineStr">
        <is>
          <t>Isha Puri (Cohere Labs</t>
        </is>
      </c>
      <c r="F1792" s="11" t="inlineStr">
        <is>
          <t>53:55</t>
        </is>
      </c>
      <c r="G1792" s="11" t="n">
        <v>0.9</v>
      </c>
      <c r="H1792" s="12" t="inlineStr"/>
      <c r="I1792" s="11" t="inlineStr">
        <is>
          <t>Not started</t>
        </is>
      </c>
      <c r="J1792" s="13" t="n"/>
      <c r="K1792" s="10" t="inlineStr"/>
      <c r="L1792" s="14" t="inlineStr">
        <is>
          <t>▶ watch</t>
        </is>
      </c>
      <c r="M1792" s="10" t="inlineStr">
        <is>
          <t>Snell et al. 2024, arXiv:2408.03314 · Welleck et al. 2024, arXiv:2406.16838 (the survey)</t>
        </is>
      </c>
      <c r="N1792" s="14" t="inlineStr">
        <is>
          <t>read ↗</t>
        </is>
      </c>
      <c r="O1792" s="11" t="inlineStr">
        <is>
          <t>section reading (2 of 4)</t>
        </is>
      </c>
      <c r="P1792" s="10" t="inlineStr"/>
    </row>
    <row r="1793">
      <c r="A1793" s="17" t="n">
        <v>1792</v>
      </c>
      <c r="B1793" s="17" t="inlineStr">
        <is>
          <t>Part III - Upstream AI Research</t>
        </is>
      </c>
      <c r="C1793" s="18" t="inlineStr">
        <is>
          <t>D.7.2 Test-time scaling</t>
        </is>
      </c>
      <c r="D1793" s="10" t="inlineStr">
        <is>
          <t>Inverse Scaling in Test-Time Compute</t>
        </is>
      </c>
      <c r="E1793" s="10" t="inlineStr">
        <is>
          <t>EleutherAI PRA Reading Group</t>
        </is>
      </c>
      <c r="F1793" s="11" t="inlineStr">
        <is>
          <t>51:06</t>
        </is>
      </c>
      <c r="G1793" s="11" t="n">
        <v>0.85</v>
      </c>
      <c r="H1793" s="12" t="inlineStr">
        <is>
          <t>★</t>
        </is>
      </c>
      <c r="I1793" s="11" t="inlineStr">
        <is>
          <t>Not started</t>
        </is>
      </c>
      <c r="J1793" s="13" t="n"/>
      <c r="K1793" s="10" t="inlineStr"/>
      <c r="L1793" s="14" t="inlineStr">
        <is>
          <t>▶ watch</t>
        </is>
      </c>
      <c r="M1793" s="10" t="inlineStr">
        <is>
          <t>Snell et al. 2024, arXiv:2408.03314 · Welleck et al. 2024, arXiv:2406.16838 (the survey)</t>
        </is>
      </c>
      <c r="N1793" s="14" t="inlineStr">
        <is>
          <t>read ↗</t>
        </is>
      </c>
      <c r="O1793" s="11" t="inlineStr">
        <is>
          <t>section reading (2 of 4)</t>
        </is>
      </c>
      <c r="P1793" s="10" t="inlineStr"/>
    </row>
    <row r="1794">
      <c r="A1794" s="17" t="n">
        <v>1793</v>
      </c>
      <c r="B1794" s="17" t="inlineStr">
        <is>
          <t>Part III - Upstream AI Research</t>
        </is>
      </c>
      <c r="C1794" s="18" t="inlineStr">
        <is>
          <t>D.7.3 The o1/R1 line</t>
        </is>
      </c>
      <c r="D1794" s="10" t="inlineStr">
        <is>
          <t>Learning to Reason with LLMs</t>
        </is>
      </c>
      <c r="E1794" s="10" t="inlineStr">
        <is>
          <t>Noam Brown (OpenAI, Simons</t>
        </is>
      </c>
      <c r="F1794" s="11" t="inlineStr">
        <is>
          <t>52:03</t>
        </is>
      </c>
      <c r="G1794" s="11" t="n">
        <v>0.87</v>
      </c>
      <c r="H1794" s="12" t="inlineStr">
        <is>
          <t>★</t>
        </is>
      </c>
      <c r="I1794" s="11" t="inlineStr">
        <is>
          <t>Not started</t>
        </is>
      </c>
      <c r="J1794" s="13" t="n"/>
      <c r="K1794" s="10" t="inlineStr"/>
      <c r="L1794" s="14" t="inlineStr">
        <is>
          <t>▶ watch</t>
        </is>
      </c>
      <c r="M1794" s="10" t="inlineStr">
        <is>
          <t>OpenAI o1 system card</t>
        </is>
      </c>
      <c r="N1794" s="14" t="inlineStr">
        <is>
          <t>read ↗</t>
        </is>
      </c>
      <c r="O1794" s="11" t="inlineStr">
        <is>
          <t>names OPENAI</t>
        </is>
      </c>
      <c r="P1794" s="10" t="inlineStr"/>
    </row>
    <row r="1795">
      <c r="A1795" s="17" t="n">
        <v>1794</v>
      </c>
      <c r="B1795" s="17" t="inlineStr">
        <is>
          <t>Part III - Upstream AI Research</t>
        </is>
      </c>
      <c r="C1795" s="18" t="inlineStr">
        <is>
          <t>D.7.3 The o1/R1 line</t>
        </is>
      </c>
      <c r="D1795" s="10" t="inlineStr">
        <is>
          <t>Jason Weston (Meta, Berkeley MOOC</t>
        </is>
      </c>
      <c r="E1795" s="10" t="inlineStr">
        <is>
          <t>Learning to Reason with LLMs</t>
        </is>
      </c>
      <c r="F1795" s="11" t="inlineStr">
        <is>
          <t>1:16:47</t>
        </is>
      </c>
      <c r="G1795" s="11" t="n">
        <v>1.28</v>
      </c>
      <c r="H1795" s="12" t="inlineStr"/>
      <c r="I1795" s="11" t="inlineStr">
        <is>
          <t>Not started</t>
        </is>
      </c>
      <c r="J1795" s="13" t="n"/>
      <c r="K1795" s="10" t="inlineStr"/>
      <c r="L1795" s="14" t="inlineStr">
        <is>
          <t>▶ watch</t>
        </is>
      </c>
      <c r="M1795" s="10" t="inlineStr">
        <is>
          <t>DeepSeek-AI 2025, arXiv:2501.12948 (R1) · Muennighoff et al. 2025, arXiv:2501.19393 (s1)</t>
        </is>
      </c>
      <c r="N1795" s="14" t="inlineStr">
        <is>
          <t>read ↗</t>
        </is>
      </c>
      <c r="O1795" s="11" t="inlineStr">
        <is>
          <t>section reading (2 of 3)</t>
        </is>
      </c>
      <c r="P1795" s="10" t="inlineStr"/>
    </row>
    <row r="1796">
      <c r="A1796" s="17" t="n">
        <v>1795</v>
      </c>
      <c r="B1796" s="17" t="inlineStr">
        <is>
          <t>Part III - Upstream AI Research</t>
        </is>
      </c>
      <c r="C1796" s="18" t="inlineStr">
        <is>
          <t>D.7.3 The o1/R1 line</t>
        </is>
      </c>
      <c r="D1796" s="10" t="inlineStr">
        <is>
          <t>Speculations on Test-Time Scaling (o1</t>
        </is>
      </c>
      <c r="E1796" s="10" t="inlineStr">
        <is>
          <t>Sasha Rush (Cornell</t>
        </is>
      </c>
      <c r="F1796" s="11" t="inlineStr">
        <is>
          <t>47:55</t>
        </is>
      </c>
      <c r="G1796" s="11" t="n">
        <v>0.8</v>
      </c>
      <c r="H1796" s="12" t="inlineStr">
        <is>
          <t>★</t>
        </is>
      </c>
      <c r="I1796" s="11" t="inlineStr">
        <is>
          <t>Not started</t>
        </is>
      </c>
      <c r="J1796" s="13" t="n"/>
      <c r="K1796" s="10" t="inlineStr"/>
      <c r="L1796" s="14" t="inlineStr">
        <is>
          <t>▶ watch</t>
        </is>
      </c>
      <c r="M1796" s="10" t="inlineStr">
        <is>
          <t>DeepSeek-AI 2025, arXiv:2501.12948 (R1) · Muennighoff et al. 2025, arXiv:2501.19393 (s1)</t>
        </is>
      </c>
      <c r="N1796" s="14" t="inlineStr">
        <is>
          <t>read ↗</t>
        </is>
      </c>
      <c r="O1796" s="11" t="inlineStr">
        <is>
          <t>section reading (2 of 3)</t>
        </is>
      </c>
      <c r="P1796" s="10" t="inlineStr"/>
    </row>
    <row r="1797">
      <c r="A1797" s="17" t="n">
        <v>1796</v>
      </c>
      <c r="B1797" s="17" t="inlineStr">
        <is>
          <t>Part III - Upstream AI Research</t>
        </is>
      </c>
      <c r="C1797" s="18" t="inlineStr">
        <is>
          <t>D.7.3 The o1/R1 line</t>
        </is>
      </c>
      <c r="D1797" s="10" t="inlineStr">
        <is>
          <t>How DeepSeek changes the LLM story</t>
        </is>
      </c>
      <c r="E1797" s="10" t="inlineStr">
        <is>
          <t>Sasha Rush (Simons</t>
        </is>
      </c>
      <c r="F1797" s="11" t="inlineStr">
        <is>
          <t>1:11:09</t>
        </is>
      </c>
      <c r="G1797" s="11" t="n">
        <v>1.19</v>
      </c>
      <c r="H1797" s="12" t="inlineStr"/>
      <c r="I1797" s="11" t="inlineStr">
        <is>
          <t>Not started</t>
        </is>
      </c>
      <c r="J1797" s="13" t="n"/>
      <c r="K1797" s="10" t="inlineStr"/>
      <c r="L1797" s="14" t="inlineStr">
        <is>
          <t>▶ watch</t>
        </is>
      </c>
      <c r="M1797" s="10" t="inlineStr">
        <is>
          <t>DeepSeek-AI 2025, arXiv:2501.12948 (R1)</t>
        </is>
      </c>
      <c r="N1797" s="14" t="inlineStr">
        <is>
          <t>read ↗</t>
        </is>
      </c>
      <c r="O1797" s="11" t="inlineStr">
        <is>
          <t>names DEEPSEEK</t>
        </is>
      </c>
      <c r="P1797" s="10" t="inlineStr"/>
    </row>
    <row r="1798">
      <c r="A1798" s="17" t="n">
        <v>1797</v>
      </c>
      <c r="B1798" s="17" t="inlineStr">
        <is>
          <t>Part III - Upstream AI Research</t>
        </is>
      </c>
      <c r="C1798" s="18" t="inlineStr">
        <is>
          <t>D.7.3 The o1/R1 line</t>
        </is>
      </c>
      <c r="D1798" s="10" t="inlineStr">
        <is>
          <t>Siva Reddy (Mila/McGill, Simons</t>
        </is>
      </c>
      <c r="E1798" s="10" t="inlineStr">
        <is>
          <t>DeepSeek-R1 Thoughtology</t>
        </is>
      </c>
      <c r="F1798" s="11" t="inlineStr">
        <is>
          <t>59:41</t>
        </is>
      </c>
      <c r="G1798" s="11" t="n">
        <v>0.99</v>
      </c>
      <c r="H1798" s="12" t="inlineStr"/>
      <c r="I1798" s="11" t="inlineStr">
        <is>
          <t>Not started</t>
        </is>
      </c>
      <c r="J1798" s="13" t="n"/>
      <c r="K1798" s="10" t="inlineStr"/>
      <c r="L1798" s="14" t="inlineStr">
        <is>
          <t>▶ watch</t>
        </is>
      </c>
      <c r="M1798" s="10" t="inlineStr">
        <is>
          <t>DeepSeek-AI 2025, arXiv:2501.12948 (R1)</t>
        </is>
      </c>
      <c r="N1798" s="14" t="inlineStr">
        <is>
          <t>read ↗</t>
        </is>
      </c>
      <c r="O1798" s="11" t="inlineStr">
        <is>
          <t>names DEEPSEEK</t>
        </is>
      </c>
      <c r="P1798" s="10" t="inlineStr"/>
    </row>
    <row r="1799">
      <c r="A1799" s="17" t="n">
        <v>1798</v>
      </c>
      <c r="B1799" s="17" t="inlineStr">
        <is>
          <t>Part III - Upstream AI Research</t>
        </is>
      </c>
      <c r="C1799" s="18" t="inlineStr">
        <is>
          <t>D.7.3 The o1/R1 line</t>
        </is>
      </c>
      <c r="D1799" s="10" t="inlineStr">
        <is>
          <t>Niklas Muennighoff (first author</t>
        </is>
      </c>
      <c r="E1799" s="10" t="inlineStr">
        <is>
          <t>s1: Simple test-time scaling</t>
        </is>
      </c>
      <c r="F1799" s="11" t="inlineStr">
        <is>
          <t>50:59</t>
        </is>
      </c>
      <c r="G1799" s="11" t="n">
        <v>0.85</v>
      </c>
      <c r="H1799" s="12" t="inlineStr">
        <is>
          <t>★</t>
        </is>
      </c>
      <c r="I1799" s="11" t="inlineStr">
        <is>
          <t>Not started</t>
        </is>
      </c>
      <c r="J1799" s="13" t="n"/>
      <c r="K1799" s="10" t="inlineStr"/>
      <c r="L1799" s="14" t="inlineStr">
        <is>
          <t>▶ watch</t>
        </is>
      </c>
      <c r="M1799" s="10" t="inlineStr">
        <is>
          <t>DeepSeek-AI 2025, arXiv:2501.12948 (R1) · Muennighoff et al. 2025, arXiv:2501.19393 (s1)</t>
        </is>
      </c>
      <c r="N1799" s="14" t="inlineStr">
        <is>
          <t>read ↗</t>
        </is>
      </c>
      <c r="O1799" s="11" t="inlineStr">
        <is>
          <t>section reading (2 of 3)</t>
        </is>
      </c>
      <c r="P1799" s="10" t="inlineStr"/>
    </row>
    <row r="1800">
      <c r="A1800" s="17" t="n">
        <v>1799</v>
      </c>
      <c r="B1800" s="17" t="inlineStr">
        <is>
          <t>Part III - Upstream AI Research</t>
        </is>
      </c>
      <c r="C1800" s="18" t="inlineStr">
        <is>
          <t>D.7.3 The o1/R1 line</t>
        </is>
      </c>
      <c r="D1800" s="10" t="inlineStr">
        <is>
          <t>s1 (TWIML interview</t>
        </is>
      </c>
      <c r="E1800" s="10" t="inlineStr">
        <is>
          <t>Muennighoff</t>
        </is>
      </c>
      <c r="F1800" s="11" t="inlineStr">
        <is>
          <t>48:59</t>
        </is>
      </c>
      <c r="G1800" s="11" t="n">
        <v>0.82</v>
      </c>
      <c r="H1800" s="12" t="inlineStr"/>
      <c r="I1800" s="11" t="inlineStr">
        <is>
          <t>Not started</t>
        </is>
      </c>
      <c r="J1800" s="13" t="n"/>
      <c r="K1800" s="10" t="inlineStr"/>
      <c r="L1800" s="14" t="inlineStr">
        <is>
          <t>▶ watch</t>
        </is>
      </c>
      <c r="M1800" s="10" t="inlineStr">
        <is>
          <t>DeepSeek-AI 2025, arXiv:2501.12948 (R1) · Muennighoff et al. 2025, arXiv:2501.19393 (s1)</t>
        </is>
      </c>
      <c r="N1800" s="14" t="inlineStr">
        <is>
          <t>read ↗</t>
        </is>
      </c>
      <c r="O1800" s="11" t="inlineStr">
        <is>
          <t>section reading (2 of 3)</t>
        </is>
      </c>
      <c r="P1800" s="10" t="inlineStr"/>
    </row>
    <row r="1801">
      <c r="A1801" s="17" t="n">
        <v>1800</v>
      </c>
      <c r="B1801" s="17" t="inlineStr">
        <is>
          <t>Part III - Upstream AI Research</t>
        </is>
      </c>
      <c r="C1801" s="18" t="inlineStr">
        <is>
          <t>D.7.3 The o1/R1 line</t>
        </is>
      </c>
      <c r="D1801" s="10" t="inlineStr">
        <is>
          <t>Scaling Test Time Compute to Multi-Agent Civilizations</t>
        </is>
      </c>
      <c r="E1801" s="10" t="inlineStr">
        <is>
          <t>Noam Brown (Latent Space</t>
        </is>
      </c>
      <c r="F1801" s="11" t="inlineStr">
        <is>
          <t>1:17:47</t>
        </is>
      </c>
      <c r="G1801" s="11" t="n">
        <v>1.3</v>
      </c>
      <c r="H1801" s="12" t="inlineStr"/>
      <c r="I1801" s="11" t="inlineStr">
        <is>
          <t>Not started</t>
        </is>
      </c>
      <c r="J1801" s="13" t="n"/>
      <c r="K1801" s="10" t="inlineStr"/>
      <c r="L1801" s="14" t="inlineStr">
        <is>
          <t>▶ watch</t>
        </is>
      </c>
      <c r="M1801" s="10" t="inlineStr">
        <is>
          <t>DeepSeek-AI 2025, arXiv:2501.12948 (R1) · Muennighoff et al. 2025, arXiv:2501.19393 (s1)</t>
        </is>
      </c>
      <c r="N1801" s="14" t="inlineStr">
        <is>
          <t>read ↗</t>
        </is>
      </c>
      <c r="O1801" s="11" t="inlineStr">
        <is>
          <t>section reading (2 of 3)</t>
        </is>
      </c>
      <c r="P1801" s="10" t="inlineStr"/>
    </row>
    <row r="1802">
      <c r="A1802" s="17" t="n">
        <v>1801</v>
      </c>
      <c r="B1802" s="17" t="inlineStr">
        <is>
          <t>Part III - Upstream AI Research</t>
        </is>
      </c>
      <c r="C1802" s="18" t="inlineStr">
        <is>
          <t>D.7.3 The o1/R1 line</t>
        </is>
      </c>
      <c r="D1802" s="10" t="inlineStr">
        <is>
          <t>ML Perf Reading Group 7: DeepSeek V3</t>
        </is>
      </c>
      <c r="E1802" s="10" t="inlineStr">
        <is>
          <t>EleutherAI</t>
        </is>
      </c>
      <c r="F1802" s="11" t="inlineStr">
        <is>
          <t>53:54</t>
        </is>
      </c>
      <c r="G1802" s="11" t="n">
        <v>0.9</v>
      </c>
      <c r="H1802" s="12" t="inlineStr"/>
      <c r="I1802" s="11" t="inlineStr">
        <is>
          <t>Not started</t>
        </is>
      </c>
      <c r="J1802" s="13" t="n"/>
      <c r="K1802" s="10" t="inlineStr"/>
      <c r="L1802" s="14" t="inlineStr">
        <is>
          <t>▶ watch</t>
        </is>
      </c>
      <c r="M1802" s="10" t="inlineStr">
        <is>
          <t>DeepSeek-AI 2025, arXiv:2501.12948 (R1)</t>
        </is>
      </c>
      <c r="N1802" s="14" t="inlineStr">
        <is>
          <t>read ↗</t>
        </is>
      </c>
      <c r="O1802" s="11" t="inlineStr">
        <is>
          <t>names DEEPSEEK</t>
        </is>
      </c>
      <c r="P1802" s="10" t="inlineStr"/>
    </row>
    <row r="1803">
      <c r="A1803" s="17" t="n">
        <v>1802</v>
      </c>
      <c r="B1803" s="17" t="inlineStr">
        <is>
          <t>Part III - Upstream AI Research</t>
        </is>
      </c>
      <c r="C1803" s="18" t="inlineStr">
        <is>
          <t>D.7.4 Process versus outcome supervision</t>
        </is>
      </c>
      <c r="D1803" s="10" t="inlineStr">
        <is>
          <t>Mathematical Reasoning in Language Models</t>
        </is>
      </c>
      <c r="E1803" s="10" t="inlineStr">
        <is>
          <t>Karl Cobbe (OpenAI</t>
        </is>
      </c>
      <c r="F1803" s="11" t="inlineStr">
        <is>
          <t>51:17</t>
        </is>
      </c>
      <c r="G1803" s="11" t="n">
        <v>0.85</v>
      </c>
      <c r="H1803" s="12" t="inlineStr">
        <is>
          <t>★</t>
        </is>
      </c>
      <c r="I1803" s="11" t="inlineStr">
        <is>
          <t>Not started</t>
        </is>
      </c>
      <c r="J1803" s="13" t="n"/>
      <c r="K1803" s="10" t="inlineStr"/>
      <c r="L1803" s="14" t="inlineStr">
        <is>
          <t>▶ watch</t>
        </is>
      </c>
      <c r="M1803" s="10" t="inlineStr">
        <is>
          <t>Cobbe et al. 2021, arXiv:2110.14168 (GSM8K and verifiers) · Lightman et al. 2024, ICLR, arXiv:2305.20050 (Let's Verify Step by Step)</t>
        </is>
      </c>
      <c r="N1803" s="14" t="inlineStr">
        <is>
          <t>read ↗</t>
        </is>
      </c>
      <c r="O1803" s="11" t="inlineStr">
        <is>
          <t>section reading</t>
        </is>
      </c>
      <c r="P1803" s="10" t="inlineStr"/>
    </row>
    <row r="1804">
      <c r="A1804" s="17" t="n">
        <v>1803</v>
      </c>
      <c r="B1804" s="17" t="inlineStr">
        <is>
          <t>Part III - Upstream AI Research</t>
        </is>
      </c>
      <c r="C1804" s="18" t="inlineStr">
        <is>
          <t>D.7.4 Process versus outcome supervision</t>
        </is>
      </c>
      <c r="D1804" s="10" t="inlineStr">
        <is>
          <t>Noam Brown, Ilge Akkaya and Hunter Lightman on o1</t>
        </is>
      </c>
      <c r="E1804" s="10" t="inlineStr">
        <is>
          <t>Sequoia Training Data</t>
        </is>
      </c>
      <c r="F1804" s="11" t="inlineStr">
        <is>
          <t>45:22</t>
        </is>
      </c>
      <c r="G1804" s="11" t="n">
        <v>0.76</v>
      </c>
      <c r="H1804" s="12" t="inlineStr"/>
      <c r="I1804" s="11" t="inlineStr">
        <is>
          <t>Not started</t>
        </is>
      </c>
      <c r="J1804" s="13" t="n"/>
      <c r="K1804" s="10" t="inlineStr"/>
      <c r="L1804" s="14" t="inlineStr">
        <is>
          <t>▶ watch</t>
        </is>
      </c>
      <c r="M1804" s="10" t="inlineStr">
        <is>
          <t>Cobbe et al. 2021, arXiv:2110.14168 (GSM8K and verifiers) · Lightman et al. 2024, ICLR, arXiv:2305.20050 (Let's Verify Step by Step)</t>
        </is>
      </c>
      <c r="N1804" s="14" t="inlineStr">
        <is>
          <t>read ↗</t>
        </is>
      </c>
      <c r="O1804" s="11" t="inlineStr">
        <is>
          <t>section reading</t>
        </is>
      </c>
      <c r="P1804" s="10" t="inlineStr"/>
    </row>
    <row r="1805">
      <c r="A1805" s="17" t="n">
        <v>1804</v>
      </c>
      <c r="B1805" s="17" t="inlineStr">
        <is>
          <t>Part III - Upstream AI Research</t>
        </is>
      </c>
      <c r="C1805" s="18" t="inlineStr">
        <is>
          <t>D.7.5 In-context learning and induction heads</t>
        </is>
      </c>
      <c r="D1805" s="10" t="inlineStr">
        <is>
          <t>Induction Heads (BlackboxNLP keynote</t>
        </is>
      </c>
      <c r="E1805" s="10" t="inlineStr">
        <is>
          <t>Catherine Olsson (Anthropic</t>
        </is>
      </c>
      <c r="F1805" s="11" t="inlineStr">
        <is>
          <t>37:57</t>
        </is>
      </c>
      <c r="G1805" s="11" t="n">
        <v>0.63</v>
      </c>
      <c r="H1805" s="12" t="inlineStr">
        <is>
          <t>★</t>
        </is>
      </c>
      <c r="I1805" s="11" t="inlineStr">
        <is>
          <t>Not started</t>
        </is>
      </c>
      <c r="J1805" s="13" t="n"/>
      <c r="K1805" s="10" t="inlineStr"/>
      <c r="L1805" s="14" t="inlineStr">
        <is>
          <t>▶ watch</t>
        </is>
      </c>
      <c r="M1805" s="10" t="inlineStr">
        <is>
          <t>Olsson et al. 2022, Transformer Circuits (induction heads) · Akyürek et al. 2023, ICLR, arXiv:2211.15661 (ICL implements gradient descent)</t>
        </is>
      </c>
      <c r="N1805" s="14" t="inlineStr">
        <is>
          <t>read ↗</t>
        </is>
      </c>
      <c r="O1805" s="11" t="inlineStr">
        <is>
          <t>section reading (2 of 5)</t>
        </is>
      </c>
      <c r="P1805" s="10" t="inlineStr"/>
    </row>
    <row r="1806">
      <c r="A1806" s="17" t="n">
        <v>1805</v>
      </c>
      <c r="B1806" s="17" t="inlineStr">
        <is>
          <t>Part III - Upstream AI Research</t>
        </is>
      </c>
      <c r="C1806" s="18" t="inlineStr">
        <is>
          <t>D.7.5 In-context learning and induction heads</t>
        </is>
      </c>
      <c r="D1806" s="10" t="inlineStr">
        <is>
          <t>CS25 V1 - Transformer Circuits, Induction Heads, ICL</t>
        </is>
      </c>
      <c r="E1806" s="10" t="inlineStr">
        <is>
          <t>Anthropic</t>
        </is>
      </c>
      <c r="F1806" s="11" t="inlineStr">
        <is>
          <t>59:34</t>
        </is>
      </c>
      <c r="G1806" s="11" t="n">
        <v>0.99</v>
      </c>
      <c r="H1806" s="12" t="inlineStr">
        <is>
          <t>★</t>
        </is>
      </c>
      <c r="I1806" s="11" t="inlineStr">
        <is>
          <t>Not started</t>
        </is>
      </c>
      <c r="J1806" s="13" t="n"/>
      <c r="K1806" s="10" t="inlineStr"/>
      <c r="L1806" s="14" t="inlineStr">
        <is>
          <t>▶ watch</t>
        </is>
      </c>
      <c r="M1806" s="10" t="inlineStr">
        <is>
          <t>Akyürek et al. 2023, ICLR, arXiv:2211.15661 (ICL implements gradient descent)</t>
        </is>
      </c>
      <c r="N1806" s="14" t="inlineStr">
        <is>
          <t>read ↗</t>
        </is>
      </c>
      <c r="O1806" s="11" t="inlineStr">
        <is>
          <t>names ICL</t>
        </is>
      </c>
      <c r="P1806" s="10" t="inlineStr">
        <is>
          <t>1. Mechanistic interpretability; 6.2 Induction heads and in-context learning theory</t>
        </is>
      </c>
    </row>
    <row r="1807">
      <c r="A1807" s="17" t="n">
        <v>1806</v>
      </c>
      <c r="B1807" s="17" t="inlineStr">
        <is>
          <t>Part III - Upstream AI Research</t>
        </is>
      </c>
      <c r="C1807" s="18" t="inlineStr">
        <is>
          <t>D.7.5 In-context learning and induction heads</t>
        </is>
      </c>
      <c r="D1807" s="10" t="inlineStr">
        <is>
          <t>A Walkthrough of In-Context Learning and Induction Heads</t>
        </is>
      </c>
      <c r="E1807" s="10" t="inlineStr">
        <is>
          <t>Neel Nanda w/ Charles Frye</t>
        </is>
      </c>
      <c r="F1807" s="11" t="inlineStr">
        <is>
          <t>1:03:51</t>
        </is>
      </c>
      <c r="G1807" s="11" t="n">
        <v>1.06</v>
      </c>
      <c r="H1807" s="12" t="inlineStr">
        <is>
          <t>★</t>
        </is>
      </c>
      <c r="I1807" s="11" t="inlineStr">
        <is>
          <t>Not started</t>
        </is>
      </c>
      <c r="J1807" s="13" t="n"/>
      <c r="K1807" s="10" t="inlineStr"/>
      <c r="L1807" s="14" t="inlineStr">
        <is>
          <t>▶ watch</t>
        </is>
      </c>
      <c r="M1807" s="10" t="inlineStr">
        <is>
          <t>Olsson et al. 2022, Transformer Circuits (induction heads) · Akyürek et al. 2023, ICLR, arXiv:2211.15661 (ICL implements gradient descent)</t>
        </is>
      </c>
      <c r="N1807" s="14" t="inlineStr">
        <is>
          <t>read ↗</t>
        </is>
      </c>
      <c r="O1807" s="11" t="inlineStr">
        <is>
          <t>section reading (2 of 5)</t>
        </is>
      </c>
      <c r="P1807" s="10" t="inlineStr">
        <is>
          <t>1. Mechanistic interpretability; 6.2 Induction heads and in-context learning theory</t>
        </is>
      </c>
    </row>
    <row r="1808">
      <c r="A1808" s="17" t="n">
        <v>1807</v>
      </c>
      <c r="B1808" s="17" t="inlineStr">
        <is>
          <t>Part III - Upstream AI Research</t>
        </is>
      </c>
      <c r="C1808" s="18" t="inlineStr">
        <is>
          <t>D.7.5 In-context learning and induction heads</t>
        </is>
      </c>
      <c r="D1808" s="10" t="inlineStr">
        <is>
          <t>Induction Heads and Phase Transitions</t>
        </is>
      </c>
      <c r="E1808" s="10" t="inlineStr">
        <is>
          <t>Rohan Hitchcock (SLT Summit</t>
        </is>
      </c>
      <c r="F1808" s="11" t="inlineStr">
        <is>
          <t>58:06</t>
        </is>
      </c>
      <c r="G1808" s="11" t="n">
        <v>0.97</v>
      </c>
      <c r="H1808" s="12" t="inlineStr"/>
      <c r="I1808" s="11" t="inlineStr">
        <is>
          <t>Not started</t>
        </is>
      </c>
      <c r="J1808" s="13" t="n"/>
      <c r="K1808" s="10" t="inlineStr"/>
      <c r="L1808" s="14" t="inlineStr">
        <is>
          <t>▶ watch</t>
        </is>
      </c>
      <c r="M1808" s="10" t="inlineStr">
        <is>
          <t>Olsson et al. 2022, Transformer Circuits (induction heads) · Akyürek et al. 2023, ICLR, arXiv:2211.15661 (ICL implements gradient descent)</t>
        </is>
      </c>
      <c r="N1808" s="14" t="inlineStr">
        <is>
          <t>read ↗</t>
        </is>
      </c>
      <c r="O1808" s="11" t="inlineStr">
        <is>
          <t>section reading (2 of 5)</t>
        </is>
      </c>
      <c r="P1808" s="10" t="inlineStr"/>
    </row>
    <row r="1809">
      <c r="A1809" s="17" t="n">
        <v>1808</v>
      </c>
      <c r="B1809" s="17" t="inlineStr">
        <is>
          <t>Part III - Upstream AI Research</t>
        </is>
      </c>
      <c r="C1809" s="18" t="inlineStr">
        <is>
          <t>D.7.5 In-context learning and induction heads</t>
        </is>
      </c>
      <c r="D1809" s="10" t="inlineStr">
        <is>
          <t>In-context Language Learning and N-gram Heads</t>
        </is>
      </c>
      <c r="E1809" s="10" t="inlineStr">
        <is>
          <t>Ekin Akyürek (MIT</t>
        </is>
      </c>
      <c r="F1809" s="11" t="inlineStr">
        <is>
          <t>53:47</t>
        </is>
      </c>
      <c r="G1809" s="11" t="n">
        <v>0.9</v>
      </c>
      <c r="H1809" s="12" t="inlineStr"/>
      <c r="I1809" s="11" t="inlineStr">
        <is>
          <t>Not started</t>
        </is>
      </c>
      <c r="J1809" s="13" t="n"/>
      <c r="K1809" s="10" t="inlineStr"/>
      <c r="L1809" s="14" t="inlineStr">
        <is>
          <t>▶ watch</t>
        </is>
      </c>
      <c r="M1809" s="10" t="inlineStr">
        <is>
          <t>Olsson et al. 2022, Transformer Circuits (induction heads) · Akyürek et al. 2023, ICLR, arXiv:2211.15661 (ICL implements gradient descent)</t>
        </is>
      </c>
      <c r="N1809" s="14" t="inlineStr">
        <is>
          <t>read ↗</t>
        </is>
      </c>
      <c r="O1809" s="11" t="inlineStr">
        <is>
          <t>section reading (2 of 5)</t>
        </is>
      </c>
      <c r="P1809" s="10" t="inlineStr"/>
    </row>
    <row r="1810">
      <c r="A1810" s="17" t="n">
        <v>1809</v>
      </c>
      <c r="B1810" s="17" t="inlineStr">
        <is>
          <t>Part III - Upstream AI Research</t>
        </is>
      </c>
      <c r="C1810" s="18" t="inlineStr">
        <is>
          <t>D.7.5 In-context learning and induction heads</t>
        </is>
      </c>
      <c r="D1810" s="10" t="inlineStr">
        <is>
          <t>What Learning Algorithm is In-Context Learning?</t>
        </is>
      </c>
      <c r="E1810" s="10" t="inlineStr">
        <is>
          <t>Jacob Andreas (MIT, Harvard CMSA</t>
        </is>
      </c>
      <c r="F1810" s="11" t="inlineStr">
        <is>
          <t>50:16</t>
        </is>
      </c>
      <c r="G1810" s="11" t="n">
        <v>0.84</v>
      </c>
      <c r="H1810" s="12" t="inlineStr">
        <is>
          <t>★</t>
        </is>
      </c>
      <c r="I1810" s="11" t="inlineStr">
        <is>
          <t>Not started</t>
        </is>
      </c>
      <c r="J1810" s="13" t="n"/>
      <c r="K1810" s="10" t="inlineStr"/>
      <c r="L1810" s="14" t="inlineStr">
        <is>
          <t>▶ watch</t>
        </is>
      </c>
      <c r="M1810" s="10" t="inlineStr">
        <is>
          <t>Olsson et al. 2022, Transformer Circuits (induction heads) · Akyürek et al. 2023, ICLR, arXiv:2211.15661 (ICL implements gradient descent)</t>
        </is>
      </c>
      <c r="N1810" s="14" t="inlineStr">
        <is>
          <t>read ↗</t>
        </is>
      </c>
      <c r="O1810" s="11" t="inlineStr">
        <is>
          <t>section reading (2 of 5)</t>
        </is>
      </c>
      <c r="P1810" s="10" t="inlineStr">
        <is>
          <t>6.2 Induction heads and in-context learning theory</t>
        </is>
      </c>
    </row>
    <row r="1811">
      <c r="A1811" s="17" t="n">
        <v>1810</v>
      </c>
      <c r="B1811" s="17" t="inlineStr">
        <is>
          <t>Part III - Upstream AI Research</t>
        </is>
      </c>
      <c r="C1811" s="18" t="inlineStr">
        <is>
          <t>D.7.5 In-context learning and induction heads</t>
        </is>
      </c>
      <c r="D1811" s="10" t="inlineStr">
        <is>
          <t>Toward Understanding In-context Learning</t>
        </is>
      </c>
      <c r="E1811" s="10" t="inlineStr">
        <is>
          <t>Tengyu Ma (Stanford, Simons</t>
        </is>
      </c>
      <c r="F1811" s="11" t="inlineStr">
        <is>
          <t>1:29:35</t>
        </is>
      </c>
      <c r="G1811" s="11" t="n">
        <v>1.49</v>
      </c>
      <c r="H1811" s="12" t="inlineStr">
        <is>
          <t>★</t>
        </is>
      </c>
      <c r="I1811" s="11" t="inlineStr">
        <is>
          <t>Not started</t>
        </is>
      </c>
      <c r="J1811" s="13" t="n"/>
      <c r="K1811" s="10" t="inlineStr"/>
      <c r="L1811" s="14" t="inlineStr">
        <is>
          <t>▶ watch</t>
        </is>
      </c>
      <c r="M1811" s="10" t="inlineStr">
        <is>
          <t>Olsson et al. 2022, Transformer Circuits (induction heads) · Akyürek et al. 2023, ICLR, arXiv:2211.15661 (ICL implements gradient descent)</t>
        </is>
      </c>
      <c r="N1811" s="14" t="inlineStr">
        <is>
          <t>read ↗</t>
        </is>
      </c>
      <c r="O1811" s="11" t="inlineStr">
        <is>
          <t>section reading (2 of 5)</t>
        </is>
      </c>
      <c r="P1811" s="10" t="inlineStr">
        <is>
          <t>6.2 Induction heads and in-context learning theory; 9.4 Simons: Special Year on Large Language Models and Transformers (2023–2024</t>
        </is>
      </c>
    </row>
    <row r="1812">
      <c r="A1812" s="17" t="n">
        <v>1811</v>
      </c>
      <c r="B1812" s="17" t="inlineStr">
        <is>
          <t>Part III - Upstream AI Research</t>
        </is>
      </c>
      <c r="C1812" s="18" t="inlineStr">
        <is>
          <t>D.7.5 In-context learning and induction heads</t>
        </is>
      </c>
      <c r="D1812" s="10" t="inlineStr">
        <is>
          <t>In-Context Learning: Simple Function Classes</t>
        </is>
      </c>
      <c r="E1812" s="10" t="inlineStr">
        <is>
          <t>Gregory Valiant (Stanford, Simons</t>
        </is>
      </c>
      <c r="F1812" s="11" t="inlineStr">
        <is>
          <t>1:03:40</t>
        </is>
      </c>
      <c r="G1812" s="11" t="n">
        <v>1.06</v>
      </c>
      <c r="H1812" s="12" t="inlineStr">
        <is>
          <t>★</t>
        </is>
      </c>
      <c r="I1812" s="11" t="inlineStr">
        <is>
          <t>Not started</t>
        </is>
      </c>
      <c r="J1812" s="13" t="n"/>
      <c r="K1812" s="10" t="inlineStr"/>
      <c r="L1812" s="14" t="inlineStr">
        <is>
          <t>▶ watch</t>
        </is>
      </c>
      <c r="M1812" s="10" t="inlineStr">
        <is>
          <t>Olsson et al. 2022, Transformer Circuits (induction heads) · Akyürek et al. 2023, ICLR, arXiv:2211.15661 (ICL implements gradient descent)</t>
        </is>
      </c>
      <c r="N1812" s="14" t="inlineStr">
        <is>
          <t>read ↗</t>
        </is>
      </c>
      <c r="O1812" s="11" t="inlineStr">
        <is>
          <t>section reading (2 of 5)</t>
        </is>
      </c>
      <c r="P1812" s="10" t="inlineStr">
        <is>
          <t>6.2 Induction heads and in-context learning theory; 9.4 Simons: Special Year on Large Language Models and Transformers (2023–2024</t>
        </is>
      </c>
    </row>
    <row r="1813">
      <c r="A1813" s="17" t="n">
        <v>1812</v>
      </c>
      <c r="B1813" s="17" t="inlineStr">
        <is>
          <t>Part III - Upstream AI Research</t>
        </is>
      </c>
      <c r="C1813" s="18" t="inlineStr">
        <is>
          <t>D.7.5 In-context learning and induction heads</t>
        </is>
      </c>
      <c r="D1813" s="10" t="inlineStr">
        <is>
          <t>Pretraining Task Diversity and Non-Bayesian ICL</t>
        </is>
      </c>
      <c r="E1813" s="10" t="inlineStr">
        <is>
          <t>Surya Ganguli (Stanford, Simons</t>
        </is>
      </c>
      <c r="F1813" s="11" t="inlineStr">
        <is>
          <t>1:05:52</t>
        </is>
      </c>
      <c r="G1813" s="11" t="n">
        <v>1.1</v>
      </c>
      <c r="H1813" s="12" t="inlineStr">
        <is>
          <t>★</t>
        </is>
      </c>
      <c r="I1813" s="11" t="inlineStr">
        <is>
          <t>Not started</t>
        </is>
      </c>
      <c r="J1813" s="13" t="n"/>
      <c r="K1813" s="10" t="inlineStr"/>
      <c r="L1813" s="14" t="inlineStr">
        <is>
          <t>▶ watch</t>
        </is>
      </c>
      <c r="M1813" s="10" t="inlineStr">
        <is>
          <t>Akyürek et al. 2023, ICLR, arXiv:2211.15661 (ICL implements gradient descent)</t>
        </is>
      </c>
      <c r="N1813" s="14" t="inlineStr">
        <is>
          <t>read ↗</t>
        </is>
      </c>
      <c r="O1813" s="11" t="inlineStr">
        <is>
          <t>names ICL</t>
        </is>
      </c>
      <c r="P1813" s="10" t="inlineStr"/>
    </row>
    <row r="1814">
      <c r="A1814" s="17" t="n">
        <v>1813</v>
      </c>
      <c r="B1814" s="17" t="inlineStr">
        <is>
          <t>Part III - Upstream AI Research</t>
        </is>
      </c>
      <c r="C1814" s="18" t="inlineStr">
        <is>
          <t>D.7.5 In-context learning and induction heads</t>
        </is>
      </c>
      <c r="D1814" s="10" t="inlineStr">
        <is>
          <t>Uncovering Mesa-Optimization Algorithms in Transformers</t>
        </is>
      </c>
      <c r="E1814" s="10" t="inlineStr">
        <is>
          <t>Nino Scherrer (IVADO</t>
        </is>
      </c>
      <c r="F1814" s="11" t="inlineStr">
        <is>
          <t>37:33</t>
        </is>
      </c>
      <c r="G1814" s="11" t="n">
        <v>0.63</v>
      </c>
      <c r="H1814" s="12" t="inlineStr"/>
      <c r="I1814" s="11" t="inlineStr">
        <is>
          <t>Not started</t>
        </is>
      </c>
      <c r="J1814" s="13" t="n"/>
      <c r="K1814" s="10" t="inlineStr"/>
      <c r="L1814" s="14" t="inlineStr">
        <is>
          <t>▶ watch</t>
        </is>
      </c>
      <c r="M1814" s="10" t="inlineStr">
        <is>
          <t>Olsson et al. 2022, Transformer Circuits (induction heads) · Akyürek et al. 2023, ICLR, arXiv:2211.15661 (ICL implements gradient descent)</t>
        </is>
      </c>
      <c r="N1814" s="14" t="inlineStr">
        <is>
          <t>read ↗</t>
        </is>
      </c>
      <c r="O1814" s="11" t="inlineStr">
        <is>
          <t>section reading (2 of 5)</t>
        </is>
      </c>
      <c r="P1814" s="10" t="inlineStr"/>
    </row>
    <row r="1815">
      <c r="A1815" s="17" t="n">
        <v>1814</v>
      </c>
      <c r="B1815" s="17" t="inlineStr">
        <is>
          <t>Part III - Upstream AI Research</t>
        </is>
      </c>
      <c r="C1815" s="18" t="inlineStr">
        <is>
          <t>D.7.5 In-context learning and induction heads</t>
        </is>
      </c>
      <c r="D1815" s="10" t="inlineStr">
        <is>
          <t>Associative memories as a building block in Transformers</t>
        </is>
      </c>
      <c r="E1815" s="10" t="inlineStr">
        <is>
          <t>Alberto Bietti (Flatiron, Simons</t>
        </is>
      </c>
      <c r="F1815" s="11" t="inlineStr">
        <is>
          <t>38:37</t>
        </is>
      </c>
      <c r="G1815" s="11" t="n">
        <v>0.64</v>
      </c>
      <c r="H1815" s="12" t="inlineStr"/>
      <c r="I1815" s="11" t="inlineStr">
        <is>
          <t>Not started</t>
        </is>
      </c>
      <c r="J1815" s="13" t="n"/>
      <c r="K1815" s="10" t="inlineStr"/>
      <c r="L1815" s="14" t="inlineStr">
        <is>
          <t>▶ watch</t>
        </is>
      </c>
      <c r="M1815" s="10" t="inlineStr">
        <is>
          <t>Olsson et al. 2022, Transformer Circuits (induction heads) · Akyürek et al. 2023, ICLR, arXiv:2211.15661 (ICL implements gradient descent)</t>
        </is>
      </c>
      <c r="N1815" s="14" t="inlineStr">
        <is>
          <t>read ↗</t>
        </is>
      </c>
      <c r="O1815" s="11" t="inlineStr">
        <is>
          <t>section reading (2 of 5)</t>
        </is>
      </c>
      <c r="P1815" s="10" t="inlineStr">
        <is>
          <t>6.2 Induction heads and in-context learning theory; 9.4 Simons: Special Year on Large Language Models and Transformers (2023–2024</t>
        </is>
      </c>
    </row>
    <row r="1816">
      <c r="A1816" s="17" t="n">
        <v>1815</v>
      </c>
      <c r="B1816" s="17" t="inlineStr">
        <is>
          <t>Part III - Upstream AI Research</t>
        </is>
      </c>
      <c r="C1816" s="18" t="inlineStr">
        <is>
          <t>D.7.5 In-context learning and induction heads</t>
        </is>
      </c>
      <c r="D1816" s="10" t="inlineStr">
        <is>
          <t>Using Algorithms to Understand Transformers</t>
        </is>
      </c>
      <c r="E1816" s="10" t="inlineStr">
        <is>
          <t>Vatsal Sharan (USC, Simons</t>
        </is>
      </c>
      <c r="F1816" s="11" t="inlineStr">
        <is>
          <t>48:04</t>
        </is>
      </c>
      <c r="G1816" s="11" t="n">
        <v>0.8</v>
      </c>
      <c r="H1816" s="12" t="inlineStr"/>
      <c r="I1816" s="11" t="inlineStr">
        <is>
          <t>Not started</t>
        </is>
      </c>
      <c r="J1816" s="13" t="n"/>
      <c r="K1816" s="10" t="inlineStr"/>
      <c r="L1816" s="14" t="inlineStr">
        <is>
          <t>▶ watch</t>
        </is>
      </c>
      <c r="M1816" s="10" t="inlineStr">
        <is>
          <t>Olsson et al. 2022, Transformer Circuits (induction heads) · Akyürek et al. 2023, ICLR, arXiv:2211.15661 (ICL implements gradient descent)</t>
        </is>
      </c>
      <c r="N1816" s="14" t="inlineStr">
        <is>
          <t>read ↗</t>
        </is>
      </c>
      <c r="O1816" s="11" t="inlineStr">
        <is>
          <t>section reading (2 of 5)</t>
        </is>
      </c>
      <c r="P1816" s="10" t="inlineStr"/>
    </row>
    <row r="1817">
      <c r="A1817" s="17" t="n">
        <v>1816</v>
      </c>
      <c r="B1817" s="17" t="inlineStr">
        <is>
          <t>Part III - Upstream AI Research</t>
        </is>
      </c>
      <c r="C1817" s="18" t="inlineStr">
        <is>
          <t>D.7.6 Emergence - and the argument about it</t>
        </is>
      </c>
      <c r="D1817" s="10" t="inlineStr">
        <is>
          <t>CS25 V2 - Emergent Abilities and Scaling in LLMs</t>
        </is>
      </c>
      <c r="E1817" s="10" t="inlineStr">
        <is>
          <t>Jason Wei (author</t>
        </is>
      </c>
      <c r="F1817" s="11" t="inlineStr">
        <is>
          <t>1:07:48</t>
        </is>
      </c>
      <c r="G1817" s="11" t="n">
        <v>1.13</v>
      </c>
      <c r="H1817" s="12" t="inlineStr">
        <is>
          <t>★</t>
        </is>
      </c>
      <c r="I1817" s="11" t="inlineStr">
        <is>
          <t>Not started</t>
        </is>
      </c>
      <c r="J1817" s="13" t="n"/>
      <c r="K1817" s="10" t="inlineStr"/>
      <c r="L1817" s="14" t="inlineStr">
        <is>
          <t>▶ watch</t>
        </is>
      </c>
      <c r="M1817" s="10" t="inlineStr">
        <is>
          <t>Wei et al. 2022, TMLR (emergent abilities) · Schaeffer et al. 2023, NeurIPS, arXiv:2304.15004 (Are Emergent Abilities a Mirage?)</t>
        </is>
      </c>
      <c r="N1817" s="14" t="inlineStr">
        <is>
          <t>read ↗</t>
        </is>
      </c>
      <c r="O1817" s="11" t="inlineStr">
        <is>
          <t>section reading (2 of 4)</t>
        </is>
      </c>
      <c r="P1817" s="10" t="inlineStr"/>
    </row>
    <row r="1818">
      <c r="A1818" s="17" t="n">
        <v>1817</v>
      </c>
      <c r="B1818" s="17" t="inlineStr">
        <is>
          <t>Part III - Upstream AI Research</t>
        </is>
      </c>
      <c r="C1818" s="18" t="inlineStr">
        <is>
          <t>D.7.6 Emergence - and the argument about it</t>
        </is>
      </c>
      <c r="D1818" s="10" t="inlineStr">
        <is>
          <t>Emergence and reasoning in large language models</t>
        </is>
      </c>
      <c r="E1818" s="10" t="inlineStr">
        <is>
          <t>Jason Wei (JHU CLSP</t>
        </is>
      </c>
      <c r="F1818" s="11" t="inlineStr">
        <is>
          <t>52:04</t>
        </is>
      </c>
      <c r="G1818" s="11" t="n">
        <v>0.87</v>
      </c>
      <c r="H1818" s="12" t="inlineStr"/>
      <c r="I1818" s="11" t="inlineStr">
        <is>
          <t>Not started</t>
        </is>
      </c>
      <c r="J1818" s="13" t="n"/>
      <c r="K1818" s="10" t="inlineStr"/>
      <c r="L1818" s="14" t="inlineStr">
        <is>
          <t>▶ watch</t>
        </is>
      </c>
      <c r="M1818" s="10" t="inlineStr">
        <is>
          <t>Wei et al. 2022, TMLR (emergent abilities) · Schaeffer et al. 2023, NeurIPS, arXiv:2304.15004 (Are Emergent Abilities a Mirage?)</t>
        </is>
      </c>
      <c r="N1818" s="14" t="inlineStr">
        <is>
          <t>read ↗</t>
        </is>
      </c>
      <c r="O1818" s="11" t="inlineStr">
        <is>
          <t>section reading (2 of 4)</t>
        </is>
      </c>
      <c r="P1818" s="10" t="inlineStr"/>
    </row>
    <row r="1819">
      <c r="A1819" s="17" t="n">
        <v>1818</v>
      </c>
      <c r="B1819" s="17" t="inlineStr">
        <is>
          <t>Part III - Upstream AI Research</t>
        </is>
      </c>
      <c r="C1819" s="18" t="inlineStr">
        <is>
          <t>D.7.6 Emergence - and the argument about it</t>
        </is>
      </c>
      <c r="D1819" s="10" t="inlineStr">
        <is>
          <t>Investigating emergent abilities and challenging dominant research ideas</t>
        </is>
      </c>
      <c r="E1819" s="10" t="inlineStr">
        <is>
          <t>Rylan Schaeffer (Imbue</t>
        </is>
      </c>
      <c r="F1819" s="11" t="inlineStr">
        <is>
          <t>1:03:16</t>
        </is>
      </c>
      <c r="G1819" s="11" t="n">
        <v>1.05</v>
      </c>
      <c r="H1819" s="12" t="inlineStr">
        <is>
          <t>★</t>
        </is>
      </c>
      <c r="I1819" s="11" t="inlineStr">
        <is>
          <t>Not started</t>
        </is>
      </c>
      <c r="J1819" s="13" t="n"/>
      <c r="K1819" s="10" t="inlineStr"/>
      <c r="L1819" s="14" t="inlineStr">
        <is>
          <t>▶ watch</t>
        </is>
      </c>
      <c r="M1819" s="10" t="inlineStr">
        <is>
          <t>Wei et al. 2022, TMLR (emergent abilities) · Schaeffer et al. 2023, NeurIPS, arXiv:2304.15004 (Are Emergent Abilities a Mirage?)</t>
        </is>
      </c>
      <c r="N1819" s="14" t="inlineStr">
        <is>
          <t>read ↗</t>
        </is>
      </c>
      <c r="O1819" s="11" t="inlineStr">
        <is>
          <t>section reading (2 of 4)</t>
        </is>
      </c>
      <c r="P1819" s="10" t="inlineStr">
        <is>
          <t>5.3 Emergence - and whether it is real</t>
        </is>
      </c>
    </row>
    <row r="1820">
      <c r="A1820" s="17" t="n">
        <v>1819</v>
      </c>
      <c r="B1820" s="17" t="inlineStr">
        <is>
          <t>Part III - Upstream AI Research</t>
        </is>
      </c>
      <c r="C1820" s="18" t="inlineStr">
        <is>
          <t>D.7.6 Emergence - and the argument about it</t>
        </is>
      </c>
      <c r="D1820" s="10" t="inlineStr">
        <is>
          <t>A Theory for Emergence of Complex Skills in Language Models</t>
        </is>
      </c>
      <c r="E1820" s="10" t="inlineStr">
        <is>
          <t>Sanjeev Arora (Princeton, Simons</t>
        </is>
      </c>
      <c r="F1820" s="11" t="inlineStr">
        <is>
          <t>1:04:45</t>
        </is>
      </c>
      <c r="G1820" s="11" t="n">
        <v>1.08</v>
      </c>
      <c r="H1820" s="12" t="inlineStr"/>
      <c r="I1820" s="11" t="inlineStr">
        <is>
          <t>Not started</t>
        </is>
      </c>
      <c r="J1820" s="13" t="n"/>
      <c r="K1820" s="10" t="inlineStr"/>
      <c r="L1820" s="14" t="inlineStr">
        <is>
          <t>▶ watch</t>
        </is>
      </c>
      <c r="M1820" s="10" t="inlineStr">
        <is>
          <t>Wei et al. 2022, TMLR (emergent abilities) · Schaeffer et al. 2023, NeurIPS, arXiv:2304.15004 (Are Emergent Abilities a Mirage?)</t>
        </is>
      </c>
      <c r="N1820" s="14" t="inlineStr">
        <is>
          <t>read ↗</t>
        </is>
      </c>
      <c r="O1820" s="11" t="inlineStr">
        <is>
          <t>section reading (2 of 4)</t>
        </is>
      </c>
      <c r="P1820" s="10" t="inlineStr"/>
    </row>
    <row r="1821">
      <c r="A1821" s="17" t="n">
        <v>1820</v>
      </c>
      <c r="B1821" s="17" t="inlineStr">
        <is>
          <t>Part III - Upstream AI Research</t>
        </is>
      </c>
      <c r="C1821" s="18" t="inlineStr">
        <is>
          <t>D.7.6 Emergence - and the argument about it</t>
        </is>
      </c>
      <c r="D1821" s="10" t="inlineStr">
        <is>
          <t>Emergence of Complex Skills in LLMs</t>
        </is>
      </c>
      <c r="E1821" s="10" t="inlineStr">
        <is>
          <t>Sanjeev Arora (FAR.AI</t>
        </is>
      </c>
      <c r="F1821" s="11" t="inlineStr">
        <is>
          <t>6:05</t>
        </is>
      </c>
      <c r="G1821" s="11" t="n">
        <v>0.1</v>
      </c>
      <c r="H1821" s="12" t="inlineStr"/>
      <c r="I1821" s="11" t="inlineStr">
        <is>
          <t>Not started</t>
        </is>
      </c>
      <c r="J1821" s="13" t="n"/>
      <c r="K1821" s="10" t="inlineStr"/>
      <c r="L1821" s="14" t="inlineStr">
        <is>
          <t>▶ watch</t>
        </is>
      </c>
      <c r="M1821" s="10" t="inlineStr">
        <is>
          <t>Wei et al. 2022, TMLR (emergent abilities) · Schaeffer et al. 2023, NeurIPS, arXiv:2304.15004 (Are Emergent Abilities a Mirage?)</t>
        </is>
      </c>
      <c r="N1821" s="14" t="inlineStr">
        <is>
          <t>read ↗</t>
        </is>
      </c>
      <c r="O1821" s="11" t="inlineStr">
        <is>
          <t>section reading (2 of 4)</t>
        </is>
      </c>
      <c r="P1821" s="10" t="inlineStr"/>
    </row>
    <row r="1822">
      <c r="A1822" s="17" t="n">
        <v>1821</v>
      </c>
      <c r="B1822" s="17" t="inlineStr">
        <is>
          <t>Part III - Upstream AI Research</t>
        </is>
      </c>
      <c r="C1822" s="18" t="inlineStr">
        <is>
          <t>D.7.6 Emergence - and the argument about it</t>
        </is>
      </c>
      <c r="D1822" s="10" t="inlineStr">
        <is>
          <t>Progress Measures for Grokking via Mechanistic Interpretability</t>
        </is>
      </c>
      <c r="E1822" s="10" t="inlineStr">
        <is>
          <t>Neel Nanda w/ Lawrence Chan</t>
        </is>
      </c>
      <c r="F1822" s="11" t="inlineStr">
        <is>
          <t>43:10</t>
        </is>
      </c>
      <c r="G1822" s="11" t="n">
        <v>0.72</v>
      </c>
      <c r="H1822" s="12" t="inlineStr">
        <is>
          <t>★</t>
        </is>
      </c>
      <c r="I1822" s="11" t="inlineStr">
        <is>
          <t>Not started</t>
        </is>
      </c>
      <c r="J1822" s="13" t="n"/>
      <c r="K1822" s="10" t="inlineStr"/>
      <c r="L1822" s="14" t="inlineStr">
        <is>
          <t>▶ watch</t>
        </is>
      </c>
      <c r="M1822" s="10" t="inlineStr">
        <is>
          <t>Wei et al. 2022, TMLR (emergent abilities) · Schaeffer et al. 2023, NeurIPS, arXiv:2304.15004 (Are Emergent Abilities a Mirage?)</t>
        </is>
      </c>
      <c r="N1822" s="14" t="inlineStr">
        <is>
          <t>read ↗</t>
        </is>
      </c>
      <c r="O1822" s="11" t="inlineStr">
        <is>
          <t>section reading (2 of 4)</t>
        </is>
      </c>
      <c r="P1822" s="10" t="inlineStr">
        <is>
          <t>1. Mechanistic interpretability; 6.1 Grokking and phase transitions in training</t>
        </is>
      </c>
    </row>
    <row r="1823">
      <c r="A1823" s="17" t="n">
        <v>1822</v>
      </c>
      <c r="B1823" s="17" t="inlineStr">
        <is>
          <t>Part III - Upstream AI Research</t>
        </is>
      </c>
      <c r="C1823" s="18" t="inlineStr">
        <is>
          <t>D.7.6 Emergence - and the argument about it</t>
        </is>
      </c>
      <c r="D1823" s="10" t="inlineStr">
        <is>
          <t>CS25 V6 - Distinct Modes of Generalization from Parameters and Context</t>
        </is>
      </c>
      <c r="E1823" s="10" t="inlineStr">
        <is>
          <t>Andrew Lampinen (Anthropic</t>
        </is>
      </c>
      <c r="F1823" s="11" t="inlineStr">
        <is>
          <t>1:12:30</t>
        </is>
      </c>
      <c r="G1823" s="11" t="n">
        <v>1.21</v>
      </c>
      <c r="H1823" s="12" t="inlineStr">
        <is>
          <t>★</t>
        </is>
      </c>
      <c r="I1823" s="11" t="inlineStr">
        <is>
          <t>Not started</t>
        </is>
      </c>
      <c r="J1823" s="13" t="n"/>
      <c r="K1823" s="10" t="inlineStr"/>
      <c r="L1823" s="14" t="inlineStr">
        <is>
          <t>▶ watch</t>
        </is>
      </c>
      <c r="M1823" s="10" t="inlineStr">
        <is>
          <t>Wei et al. 2022, TMLR (emergent abilities) · Schaeffer et al. 2023, NeurIPS, arXiv:2304.15004 (Are Emergent Abilities a Mirage?)</t>
        </is>
      </c>
      <c r="N1823" s="14" t="inlineStr">
        <is>
          <t>read ↗</t>
        </is>
      </c>
      <c r="O1823" s="11" t="inlineStr">
        <is>
          <t>section reading (2 of 4)</t>
        </is>
      </c>
      <c r="P1823" s="10" t="inlineStr"/>
    </row>
    <row r="1824">
      <c r="A1824" s="17" t="n">
        <v>1823</v>
      </c>
      <c r="B1824" s="17" t="inlineStr">
        <is>
          <t>Part III - Upstream AI Research</t>
        </is>
      </c>
      <c r="C1824" s="18" t="inlineStr">
        <is>
          <t>D.7.6 Emergence - and the argument about it</t>
        </is>
      </c>
      <c r="D1824" s="10" t="inlineStr">
        <is>
          <t>You Know It Or You Don't: Compositionality and Phase Transitions</t>
        </is>
      </c>
      <c r="E1824" s="10" t="inlineStr">
        <is>
          <t>Simons Institute</t>
        </is>
      </c>
      <c r="F1824" s="11" t="inlineStr">
        <is>
          <t>57:00</t>
        </is>
      </c>
      <c r="G1824" s="11" t="n">
        <v>0.95</v>
      </c>
      <c r="H1824" s="12" t="inlineStr"/>
      <c r="I1824" s="11" t="inlineStr">
        <is>
          <t>Not started</t>
        </is>
      </c>
      <c r="J1824" s="13" t="n"/>
      <c r="K1824" s="10" t="inlineStr"/>
      <c r="L1824" s="14" t="inlineStr">
        <is>
          <t>▶ watch</t>
        </is>
      </c>
      <c r="M1824" s="10" t="inlineStr">
        <is>
          <t>Wei et al. 2022, TMLR (emergent abilities) · Schaeffer et al. 2023, NeurIPS, arXiv:2304.15004 (Are Emergent Abilities a Mirage?)</t>
        </is>
      </c>
      <c r="N1824" s="14" t="inlineStr">
        <is>
          <t>read ↗</t>
        </is>
      </c>
      <c r="O1824" s="11" t="inlineStr">
        <is>
          <t>section reading (2 of 4)</t>
        </is>
      </c>
      <c r="P1824" s="10" t="inlineStr">
        <is>
          <t>6.1 Grokking and phase transitions in training</t>
        </is>
      </c>
    </row>
    <row r="1825">
      <c r="A1825" s="17" t="n">
        <v>1824</v>
      </c>
      <c r="B1825" s="17" t="inlineStr">
        <is>
          <t>Part III - Upstream AI Research</t>
        </is>
      </c>
      <c r="C1825" s="18" t="inlineStr">
        <is>
          <t>D.7.6 Emergence - and the argument about it</t>
        </is>
      </c>
      <c r="D1825" s="10" t="inlineStr">
        <is>
          <t>ICML 2024 Tutorial: Physics of Language Models</t>
        </is>
      </c>
      <c r="E1825" s="10" t="inlineStr">
        <is>
          <t>Zeyuan Allen-Zhu</t>
        </is>
      </c>
      <c r="F1825" s="11" t="inlineStr">
        <is>
          <t>1:53:43</t>
        </is>
      </c>
      <c r="G1825" s="11" t="n">
        <v>1.9</v>
      </c>
      <c r="H1825" s="12" t="inlineStr">
        <is>
          <t>★</t>
        </is>
      </c>
      <c r="I1825" s="11" t="inlineStr">
        <is>
          <t>Not started</t>
        </is>
      </c>
      <c r="J1825" s="13" t="n"/>
      <c r="K1825" s="10" t="inlineStr"/>
      <c r="L1825" s="14" t="inlineStr">
        <is>
          <t>▶ watch</t>
        </is>
      </c>
      <c r="M1825" s="10" t="inlineStr">
        <is>
          <t>Wei et al. 2022, TMLR (emergent abilities) · Schaeffer et al. 2023, NeurIPS, arXiv:2304.15004 (Are Emergent Abilities a Mirage?)</t>
        </is>
      </c>
      <c r="N1825" s="14" t="inlineStr">
        <is>
          <t>read ↗</t>
        </is>
      </c>
      <c r="O1825" s="11" t="inlineStr">
        <is>
          <t>section reading (2 of 4)</t>
        </is>
      </c>
      <c r="P1825" s="10" t="inlineStr"/>
    </row>
    <row r="1826">
      <c r="A1826" s="17" t="n">
        <v>1825</v>
      </c>
      <c r="B1826" s="17" t="inlineStr">
        <is>
          <t>Part III - Upstream AI Research</t>
        </is>
      </c>
      <c r="C1826" s="18" t="inlineStr">
        <is>
          <t>D.7.7 Is reasoning real? - the standing debate</t>
        </is>
      </c>
      <c r="D1826" s="10" t="inlineStr">
        <is>
          <t>Bubeck, McCoy, Izmailov, Moitra (Simons</t>
        </is>
      </c>
      <c r="E1826" s="10" t="inlineStr">
        <is>
          <t>Debate: Sparks versus Embers</t>
        </is>
      </c>
      <c r="F1826" s="11" t="inlineStr">
        <is>
          <t>1:22:10</t>
        </is>
      </c>
      <c r="G1826" s="11" t="n">
        <v>1.37</v>
      </c>
      <c r="H1826" s="12" t="inlineStr">
        <is>
          <t>★</t>
        </is>
      </c>
      <c r="I1826" s="11" t="inlineStr">
        <is>
          <t>Not started</t>
        </is>
      </c>
      <c r="J1826" s="13" t="n"/>
      <c r="K1826" s="10" t="inlineStr"/>
      <c r="L1826" s="14" t="inlineStr">
        <is>
          <t>▶ watch</t>
        </is>
      </c>
      <c r="M1826" s="10" t="inlineStr">
        <is>
          <t>McCoy et al. 2024, PNAS 121:e2322420121 (Embers of Autoregression)</t>
        </is>
      </c>
      <c r="N1826" s="14" t="inlineStr">
        <is>
          <t>read ↗</t>
        </is>
      </c>
      <c r="O1826" s="11" t="inlineStr">
        <is>
          <t>names MCCOY</t>
        </is>
      </c>
      <c r="P1826" s="10" t="inlineStr"/>
    </row>
    <row r="1827">
      <c r="A1827" s="17" t="n">
        <v>1826</v>
      </c>
      <c r="B1827" s="17" t="inlineStr">
        <is>
          <t>Part III - Upstream AI Research</t>
        </is>
      </c>
      <c r="C1827" s="18" t="inlineStr">
        <is>
          <t>D.7.7 Is reasoning real? - the standing debate</t>
        </is>
      </c>
      <c r="D1827" s="10" t="inlineStr">
        <is>
          <t>LLMs can't plan (..but they can help you in planning</t>
        </is>
      </c>
      <c r="E1827" s="10" t="inlineStr">
        <is>
          <t>Subbarao Kambhampati (ICAPS keynote</t>
        </is>
      </c>
      <c r="F1827" s="11" t="inlineStr">
        <is>
          <t>1:12:44</t>
        </is>
      </c>
      <c r="G1827" s="11" t="n">
        <v>1.21</v>
      </c>
      <c r="H1827" s="12" t="inlineStr">
        <is>
          <t>★</t>
        </is>
      </c>
      <c r="I1827" s="11" t="inlineStr">
        <is>
          <t>Not started</t>
        </is>
      </c>
      <c r="J1827" s="13" t="n"/>
      <c r="K1827" s="10" t="inlineStr"/>
      <c r="L1827" s="14" t="inlineStr">
        <is>
          <t>▶ watch</t>
        </is>
      </c>
      <c r="M1827" s="10" t="inlineStr">
        <is>
          <t>McCoy et al. 2024, PNAS 121:e2322420121 (Embers of Autoregression) · Bubeck et al. 2023, arXiv:2303.12712 (Sparks of AGI)</t>
        </is>
      </c>
      <c r="N1827" s="14" t="inlineStr">
        <is>
          <t>read ↗</t>
        </is>
      </c>
      <c r="O1827" s="11" t="inlineStr">
        <is>
          <t>section reading (2 of 5)</t>
        </is>
      </c>
      <c r="P1827" s="10" t="inlineStr"/>
    </row>
    <row r="1828">
      <c r="A1828" s="17" t="n">
        <v>1827</v>
      </c>
      <c r="B1828" s="17" t="inlineStr">
        <is>
          <t>Part III - Upstream AI Research</t>
        </is>
      </c>
      <c r="C1828" s="18" t="inlineStr">
        <is>
          <t>D.7.7 Is reasoning real? - the standing debate</t>
        </is>
      </c>
      <c r="D1828" s="10" t="inlineStr">
        <is>
          <t>Kambhampati (ICRA workshop</t>
        </is>
      </c>
      <c r="E1828" s="10" t="inlineStr">
        <is>
          <t>LLM-Modulo Frameworks</t>
        </is>
      </c>
      <c r="F1828" s="11" t="inlineStr">
        <is>
          <t>30:51</t>
        </is>
      </c>
      <c r="G1828" s="11" t="n">
        <v>0.51</v>
      </c>
      <c r="H1828" s="12" t="inlineStr"/>
      <c r="I1828" s="11" t="inlineStr">
        <is>
          <t>Not started</t>
        </is>
      </c>
      <c r="J1828" s="13" t="n"/>
      <c r="K1828" s="10" t="inlineStr"/>
      <c r="L1828" s="14" t="inlineStr">
        <is>
          <t>▶ watch</t>
        </is>
      </c>
      <c r="M1828" s="10" t="inlineStr">
        <is>
          <t>Kambhampati et al. 2024, arXiv:2402.01817 (LLM-Modulo)</t>
        </is>
      </c>
      <c r="N1828" s="14" t="inlineStr">
        <is>
          <t>read ↗</t>
        </is>
      </c>
      <c r="O1828" s="11" t="inlineStr">
        <is>
          <t>names LLM</t>
        </is>
      </c>
      <c r="P1828" s="10" t="inlineStr"/>
    </row>
    <row r="1829">
      <c r="A1829" s="17" t="n">
        <v>1828</v>
      </c>
      <c r="B1829" s="17" t="inlineStr">
        <is>
          <t>Part III - Upstream AI Research</t>
        </is>
      </c>
      <c r="C1829" s="18" t="inlineStr">
        <is>
          <t>D.7.7 Is reasoning real? - the standing debate</t>
        </is>
      </c>
      <c r="D1829" s="10" t="inlineStr">
        <is>
          <t>Do you think that ChatGPT can reason?</t>
        </is>
      </c>
      <c r="E1829" s="10" t="inlineStr">
        <is>
          <t>Kambhampati (MLST</t>
        </is>
      </c>
      <c r="F1829" s="11" t="inlineStr">
        <is>
          <t>1:42:28</t>
        </is>
      </c>
      <c r="G1829" s="11" t="n">
        <v>1.71</v>
      </c>
      <c r="H1829" s="12" t="inlineStr"/>
      <c r="I1829" s="11" t="inlineStr">
        <is>
          <t>Not started</t>
        </is>
      </c>
      <c r="J1829" s="13" t="n"/>
      <c r="K1829" s="10" t="inlineStr"/>
      <c r="L1829" s="14" t="inlineStr">
        <is>
          <t>▶ watch</t>
        </is>
      </c>
      <c r="M1829" s="10" t="inlineStr">
        <is>
          <t>McCoy et al. 2024, PNAS 121:e2322420121 (Embers of Autoregression) · Bubeck et al. 2023, arXiv:2303.12712 (Sparks of AGI)</t>
        </is>
      </c>
      <c r="N1829" s="14" t="inlineStr">
        <is>
          <t>read ↗</t>
        </is>
      </c>
      <c r="O1829" s="11" t="inlineStr">
        <is>
          <t>section reading (2 of 5)</t>
        </is>
      </c>
      <c r="P1829" s="10" t="inlineStr"/>
    </row>
    <row r="1830">
      <c r="A1830" s="17" t="n">
        <v>1829</v>
      </c>
      <c r="B1830" s="17" t="inlineStr">
        <is>
          <t>Part III - Upstream AI Research</t>
        </is>
      </c>
      <c r="C1830" s="18" t="inlineStr">
        <is>
          <t>D.7.7 Is reasoning real? - the standing debate</t>
        </is>
      </c>
      <c r="D1830" s="10" t="inlineStr">
        <is>
          <t>Pattern Recognition vs True Intelligence</t>
        </is>
      </c>
      <c r="E1830" s="10" t="inlineStr">
        <is>
          <t>François Chollet (MLST</t>
        </is>
      </c>
      <c r="F1830" s="11" t="inlineStr">
        <is>
          <t>2:42:55</t>
        </is>
      </c>
      <c r="G1830" s="11" t="n">
        <v>2.72</v>
      </c>
      <c r="H1830" s="12" t="inlineStr">
        <is>
          <t>★</t>
        </is>
      </c>
      <c r="I1830" s="11" t="inlineStr">
        <is>
          <t>Not started</t>
        </is>
      </c>
      <c r="J1830" s="13" t="n"/>
      <c r="K1830" s="10" t="inlineStr"/>
      <c r="L1830" s="14" t="inlineStr">
        <is>
          <t>▶ watch</t>
        </is>
      </c>
      <c r="M1830" s="10" t="inlineStr">
        <is>
          <t>McCoy et al. 2024, PNAS 121:e2322420121 (Embers of Autoregression) · Bubeck et al. 2023, arXiv:2303.12712 (Sparks of AGI)</t>
        </is>
      </c>
      <c r="N1830" s="14" t="inlineStr">
        <is>
          <t>read ↗</t>
        </is>
      </c>
      <c r="O1830" s="11" t="inlineStr">
        <is>
          <t>section reading (2 of 5)</t>
        </is>
      </c>
      <c r="P1830" s="10" t="inlineStr"/>
    </row>
    <row r="1831">
      <c r="A1831" s="17" t="n">
        <v>1830</v>
      </c>
      <c r="B1831" s="17" t="inlineStr">
        <is>
          <t>Part III - Upstream AI Research</t>
        </is>
      </c>
      <c r="C1831" s="18" t="inlineStr">
        <is>
          <t>D.7.7 Is reasoning real? - the standing debate</t>
        </is>
      </c>
      <c r="D1831" s="10" t="inlineStr">
        <is>
          <t>Chollet on OpenAI o-models and ARC</t>
        </is>
      </c>
      <c r="E1831" s="10" t="inlineStr">
        <is>
          <t>François Chollet (MLST</t>
        </is>
      </c>
      <c r="F1831" s="11" t="inlineStr">
        <is>
          <t>1:26:47</t>
        </is>
      </c>
      <c r="G1831" s="11" t="n">
        <v>1.45</v>
      </c>
      <c r="H1831" s="12" t="inlineStr">
        <is>
          <t>★</t>
        </is>
      </c>
      <c r="I1831" s="11" t="inlineStr">
        <is>
          <t>Not started</t>
        </is>
      </c>
      <c r="J1831" s="13" t="n"/>
      <c r="K1831" s="10" t="inlineStr"/>
      <c r="L1831" s="14" t="inlineStr">
        <is>
          <t>▶ watch</t>
        </is>
      </c>
      <c r="M1831" s="10" t="inlineStr">
        <is>
          <t>Chollet 2019, arXiv:1911.01547 (ARC)</t>
        </is>
      </c>
      <c r="N1831" s="14" t="inlineStr">
        <is>
          <t>read ↗</t>
        </is>
      </c>
      <c r="O1831" s="11" t="inlineStr">
        <is>
          <t>names ARC</t>
        </is>
      </c>
      <c r="P1831" s="10" t="inlineStr"/>
    </row>
    <row r="1832">
      <c r="A1832" s="17" t="n">
        <v>1831</v>
      </c>
      <c r="B1832" s="17" t="inlineStr">
        <is>
          <t>Part III - Upstream AI Research</t>
        </is>
      </c>
      <c r="C1832" s="18" t="inlineStr">
        <is>
          <t>D.7.7 Is reasoning real? - the standing debate</t>
        </is>
      </c>
      <c r="D1832" s="10" t="inlineStr">
        <is>
          <t>Investigating Abstract Reasoning in Humans and Machines</t>
        </is>
      </c>
      <c r="E1832" s="10" t="inlineStr">
        <is>
          <t>Melanie Mitchell (SFI</t>
        </is>
      </c>
      <c r="F1832" s="11" t="inlineStr">
        <is>
          <t>56:59</t>
        </is>
      </c>
      <c r="G1832" s="11" t="n">
        <v>0.95</v>
      </c>
      <c r="H1832" s="12" t="inlineStr"/>
      <c r="I1832" s="11" t="inlineStr">
        <is>
          <t>Not started</t>
        </is>
      </c>
      <c r="J1832" s="13" t="n"/>
      <c r="K1832" s="10" t="inlineStr"/>
      <c r="L1832" s="14" t="inlineStr">
        <is>
          <t>▶ watch</t>
        </is>
      </c>
      <c r="M1832" s="10" t="inlineStr">
        <is>
          <t>McCoy et al. 2024, PNAS 121:e2322420121 (Embers of Autoregression) · Bubeck et al. 2023, arXiv:2303.12712 (Sparks of AGI)</t>
        </is>
      </c>
      <c r="N1832" s="14" t="inlineStr">
        <is>
          <t>read ↗</t>
        </is>
      </c>
      <c r="O1832" s="11" t="inlineStr">
        <is>
          <t>section reading (2 of 5)</t>
        </is>
      </c>
      <c r="P1832" s="10" t="inlineStr"/>
    </row>
    <row r="1833">
      <c r="A1833" s="17" t="n">
        <v>1832</v>
      </c>
      <c r="B1833" s="17" t="inlineStr">
        <is>
          <t>Part III - Upstream AI Research</t>
        </is>
      </c>
      <c r="C1833" s="18" t="inlineStr">
        <is>
          <t>D.7.7 Is reasoning real? - the standing debate</t>
        </is>
      </c>
      <c r="D1833" s="10" t="inlineStr">
        <is>
          <t>Failures in Reasoning Models</t>
        </is>
      </c>
      <c r="E1833" s="10" t="inlineStr">
        <is>
          <t>EleutherAI PRA Reading Group</t>
        </is>
      </c>
      <c r="F1833" s="11" t="inlineStr">
        <is>
          <t>1:03:03</t>
        </is>
      </c>
      <c r="G1833" s="11" t="n">
        <v>1.05</v>
      </c>
      <c r="H1833" s="12" t="inlineStr"/>
      <c r="I1833" s="11" t="inlineStr">
        <is>
          <t>Not started</t>
        </is>
      </c>
      <c r="J1833" s="13" t="n"/>
      <c r="K1833" s="10" t="inlineStr"/>
      <c r="L1833" s="14" t="inlineStr">
        <is>
          <t>▶ watch</t>
        </is>
      </c>
      <c r="M1833" s="10" t="inlineStr">
        <is>
          <t>McCoy et al. 2024, PNAS 121:e2322420121 (Embers of Autoregression) · Bubeck et al. 2023, arXiv:2303.12712 (Sparks of AGI)</t>
        </is>
      </c>
      <c r="N1833" s="14" t="inlineStr">
        <is>
          <t>read ↗</t>
        </is>
      </c>
      <c r="O1833" s="11" t="inlineStr">
        <is>
          <t>section reading (2 of 5)</t>
        </is>
      </c>
      <c r="P1833" s="10" t="inlineStr"/>
    </row>
    <row r="1834">
      <c r="A1834" s="17" t="n">
        <v>1833</v>
      </c>
      <c r="B1834" s="17" t="inlineStr">
        <is>
          <t>Part III - Upstream AI Research</t>
        </is>
      </c>
      <c r="C1834" s="18" t="inlineStr">
        <is>
          <t>1.1 The canonical lecture series</t>
        </is>
      </c>
      <c r="D1834" s="10" t="inlineStr">
        <is>
          <t>Peter Bartlett (UC Berkeley) + Sasha Rakhlin (MIT)</t>
        </is>
      </c>
      <c r="E1834" s="10" t="inlineStr">
        <is>
          <t>Generalization I</t>
        </is>
      </c>
      <c r="F1834" s="11" t="inlineStr">
        <is>
          <t>1:16:56</t>
        </is>
      </c>
      <c r="G1834" s="11" t="n">
        <v>1.28</v>
      </c>
      <c r="H1834" s="12" t="inlineStr"/>
      <c r="I1834" s="11" t="inlineStr">
        <is>
          <t>Not started</t>
        </is>
      </c>
      <c r="J1834" s="13" t="n"/>
      <c r="K1834" s="10" t="inlineStr"/>
      <c r="L1834" s="14" t="inlineStr">
        <is>
          <t>▶ watch</t>
        </is>
      </c>
      <c r="M1834" s="10" t="inlineStr">
        <is>
          <t>Bartlett, Harvey, Liaw, Mehrabian, "Nearly-tight VC-dimension bounds for piecewise linear neural networks" (arXiv:1703.02930)</t>
        </is>
      </c>
      <c r="N1834" s="14" t="inlineStr">
        <is>
          <t>read ↗</t>
        </is>
      </c>
      <c r="O1834" s="11" t="inlineStr">
        <is>
          <t>stated with the talk</t>
        </is>
      </c>
      <c r="P1834" s="10" t="inlineStr">
        <is>
          <t>9.1 Simons: Foundations of Deep Learning (Summer 2019</t>
        </is>
      </c>
    </row>
    <row r="1835">
      <c r="A1835" s="17" t="n">
        <v>1834</v>
      </c>
      <c r="B1835" s="17" t="inlineStr">
        <is>
          <t>Part III - Upstream AI Research</t>
        </is>
      </c>
      <c r="C1835" s="18" t="inlineStr">
        <is>
          <t>1.1 The canonical lecture series</t>
        </is>
      </c>
      <c r="D1835" s="10" t="inlineStr">
        <is>
          <t>Peter Bartlett + Sasha Rakhlin</t>
        </is>
      </c>
      <c r="E1835" s="10" t="inlineStr">
        <is>
          <t>Generalization II</t>
        </is>
      </c>
      <c r="F1835" s="11" t="inlineStr">
        <is>
          <t>1:23:06</t>
        </is>
      </c>
      <c r="G1835" s="11" t="n">
        <v>1.39</v>
      </c>
      <c r="H1835" s="12" t="inlineStr"/>
      <c r="I1835" s="11" t="inlineStr">
        <is>
          <t>Not started</t>
        </is>
      </c>
      <c r="J1835" s="13" t="n"/>
      <c r="K1835" s="10" t="inlineStr"/>
      <c r="L1835" s="14" t="inlineStr">
        <is>
          <t>▶ watch</t>
        </is>
      </c>
      <c r="M1835" s="10" t="inlineStr">
        <is>
          <t>Bartlett, Foster, Telgarsky, "Spectrally-normalized margin bounds for neural networks" (arXiv:1706.08498)</t>
        </is>
      </c>
      <c r="N1835" s="14" t="inlineStr">
        <is>
          <t>read ↗</t>
        </is>
      </c>
      <c r="O1835" s="11" t="inlineStr">
        <is>
          <t>stated with the talk</t>
        </is>
      </c>
      <c r="P1835" s="10" t="inlineStr">
        <is>
          <t>9.1 Simons: Foundations of Deep Learning (Summer 2019</t>
        </is>
      </c>
    </row>
    <row r="1836">
      <c r="A1836" s="17" t="n">
        <v>1835</v>
      </c>
      <c r="B1836" s="17" t="inlineStr">
        <is>
          <t>Part III - Upstream AI Research</t>
        </is>
      </c>
      <c r="C1836" s="18" t="inlineStr">
        <is>
          <t>1.1 The canonical lecture series</t>
        </is>
      </c>
      <c r="D1836" s="10" t="inlineStr">
        <is>
          <t>Peter Bartlett + Sasha Rakhlin</t>
        </is>
      </c>
      <c r="E1836" s="10" t="inlineStr">
        <is>
          <t>Bartlett &amp; Rakhlin</t>
        </is>
      </c>
      <c r="F1836" s="11" t="inlineStr">
        <is>
          <t>1:18:23</t>
        </is>
      </c>
      <c r="G1836" s="11" t="n">
        <v>1.31</v>
      </c>
      <c r="H1836" s="12" t="inlineStr"/>
      <c r="I1836" s="11" t="inlineStr">
        <is>
          <t>Not started</t>
        </is>
      </c>
      <c r="J1836" s="13" t="n"/>
      <c r="K1836" s="10" t="inlineStr"/>
      <c r="L1836" s="14" t="inlineStr">
        <is>
          <t>▶ watch</t>
        </is>
      </c>
      <c r="M1836" s="10" t="inlineStr">
        <is>
          <t>same as above (arXiv:1706.08498)</t>
        </is>
      </c>
      <c r="N1836" s="14" t="inlineStr">
        <is>
          <t>read ↗</t>
        </is>
      </c>
      <c r="O1836" s="11" t="inlineStr">
        <is>
          <t>stated with the talk</t>
        </is>
      </c>
      <c r="P1836" s="10" t="inlineStr">
        <is>
          <t>9.1 Simons: Foundations of Deep Learning (Summer 2019</t>
        </is>
      </c>
    </row>
    <row r="1837">
      <c r="A1837" s="17" t="n">
        <v>1836</v>
      </c>
      <c r="B1837" s="17" t="inlineStr">
        <is>
          <t>Part III - Upstream AI Research</t>
        </is>
      </c>
      <c r="C1837" s="18" t="inlineStr">
        <is>
          <t>1.1 The canonical lecture series</t>
        </is>
      </c>
      <c r="D1837" s="10" t="inlineStr">
        <is>
          <t>Peter Bartlett + Sasha Rakhlin</t>
        </is>
      </c>
      <c r="E1837" s="10" t="inlineStr">
        <is>
          <t>Generalization IV</t>
        </is>
      </c>
      <c r="F1837" s="11" t="inlineStr">
        <is>
          <t>1:22:14</t>
        </is>
      </c>
      <c r="G1837" s="11" t="n">
        <v>1.37</v>
      </c>
      <c r="H1837" s="12" t="inlineStr"/>
      <c r="I1837" s="11" t="inlineStr">
        <is>
          <t>Not started</t>
        </is>
      </c>
      <c r="J1837" s="13" t="n"/>
      <c r="K1837" s="10" t="inlineStr"/>
      <c r="L1837" s="14" t="inlineStr">
        <is>
          <t>▶ watch</t>
        </is>
      </c>
      <c r="M1837" s="10" t="inlineStr">
        <is>
          <t>Bartlett, Montanari, Rakhlin, "Deep learning: a statistical viewpoint" (arXiv:2103.09177)</t>
        </is>
      </c>
      <c r="N1837" s="14" t="inlineStr">
        <is>
          <t>read ↗</t>
        </is>
      </c>
      <c r="O1837" s="11" t="inlineStr">
        <is>
          <t>stated with the talk</t>
        </is>
      </c>
      <c r="P1837" s="10" t="inlineStr">
        <is>
          <t>9.1 Simons: Foundations of Deep Learning (Summer 2019</t>
        </is>
      </c>
    </row>
    <row r="1838">
      <c r="A1838" s="17" t="n">
        <v>1837</v>
      </c>
      <c r="B1838" s="17" t="inlineStr">
        <is>
          <t>Part III - Upstream AI Research</t>
        </is>
      </c>
      <c r="C1838" s="18" t="inlineStr">
        <is>
          <t>1.2 Implicit regularization and the implicit bias of gradient descent</t>
        </is>
      </c>
      <c r="D1838" s="10" t="inlineStr">
        <is>
          <t>Nati Srebro (TTIC)</t>
        </is>
      </c>
      <c r="E1838" s="10" t="inlineStr">
        <is>
          <t>Nati Srebro (TTIC</t>
        </is>
      </c>
      <c r="F1838" s="11" t="inlineStr">
        <is>
          <t>1:16:51</t>
        </is>
      </c>
      <c r="G1838" s="11" t="n">
        <v>1.28</v>
      </c>
      <c r="H1838" s="12" t="inlineStr"/>
      <c r="I1838" s="11" t="inlineStr">
        <is>
          <t>Not started</t>
        </is>
      </c>
      <c r="J1838" s="13" t="n"/>
      <c r="K1838" s="10" t="inlineStr"/>
      <c r="L1838" s="14" t="inlineStr">
        <is>
          <t>▶ watch</t>
        </is>
      </c>
      <c r="M1838" s="10" t="inlineStr">
        <is>
          <t>Neyshabur, Tomioka, Srebro, "In search of the real inductive bias" (arXiv:1412.6614)</t>
        </is>
      </c>
      <c r="N1838" s="14" t="inlineStr">
        <is>
          <t>read ↗</t>
        </is>
      </c>
      <c r="O1838" s="11" t="inlineStr">
        <is>
          <t>stated with the talk</t>
        </is>
      </c>
      <c r="P1838" s="10" t="inlineStr">
        <is>
          <t>9.1 Simons: Foundations of Deep Learning (Summer 2019</t>
        </is>
      </c>
    </row>
    <row r="1839">
      <c r="A1839" s="17" t="n">
        <v>1838</v>
      </c>
      <c r="B1839" s="17" t="inlineStr">
        <is>
          <t>Part III - Upstream AI Research</t>
        </is>
      </c>
      <c r="C1839" s="18" t="inlineStr">
        <is>
          <t>1.2 Implicit regularization and the implicit bias of gradient descent</t>
        </is>
      </c>
      <c r="D1839" s="10" t="inlineStr">
        <is>
          <t>Nati Srebro (TTIC)</t>
        </is>
      </c>
      <c r="E1839" s="10" t="inlineStr">
        <is>
          <t>Nati Srebro (TTIC</t>
        </is>
      </c>
      <c r="F1839" s="11" t="inlineStr">
        <is>
          <t>1:22:54</t>
        </is>
      </c>
      <c r="G1839" s="11" t="n">
        <v>1.38</v>
      </c>
      <c r="H1839" s="12" t="inlineStr"/>
      <c r="I1839" s="11" t="inlineStr">
        <is>
          <t>Not started</t>
        </is>
      </c>
      <c r="J1839" s="13" t="n"/>
      <c r="K1839" s="10" t="inlineStr"/>
      <c r="L1839" s="14" t="inlineStr">
        <is>
          <t>▶ watch</t>
        </is>
      </c>
      <c r="M1839" s="10" t="inlineStr">
        <is>
          <t>Gunasekar, Lee, Soudry, Srebro, "Implicit bias of gradient descent on linear convolutional networks" (arXiv:1806.00468)</t>
        </is>
      </c>
      <c r="N1839" s="14" t="inlineStr">
        <is>
          <t>read ↗</t>
        </is>
      </c>
      <c r="O1839" s="11" t="inlineStr">
        <is>
          <t>stated with the talk</t>
        </is>
      </c>
      <c r="P1839" s="10" t="inlineStr">
        <is>
          <t>9.1 Simons: Foundations of Deep Learning (Summer 2019</t>
        </is>
      </c>
    </row>
    <row r="1840">
      <c r="A1840" s="17" t="n">
        <v>1839</v>
      </c>
      <c r="B1840" s="17" t="inlineStr">
        <is>
          <t>Part III - Upstream AI Research</t>
        </is>
      </c>
      <c r="C1840" s="18" t="inlineStr">
        <is>
          <t>1.2 Implicit regularization and the implicit bias of gradient descent</t>
        </is>
      </c>
      <c r="D1840" s="10" t="inlineStr">
        <is>
          <t>Nati Srebro (TTIC), Simons Deep Learning Theory Workshop &amp; Summer School</t>
        </is>
      </c>
      <c r="E1840" s="10" t="inlineStr"/>
      <c r="F1840" s="11" t="inlineStr">
        <is>
          <t>1:20:40</t>
        </is>
      </c>
      <c r="G1840" s="11" t="n">
        <v>1.34</v>
      </c>
      <c r="H1840" s="12" t="inlineStr">
        <is>
          <t>★</t>
        </is>
      </c>
      <c r="I1840" s="11" t="inlineStr">
        <is>
          <t>Not started</t>
        </is>
      </c>
      <c r="J1840" s="13" t="n"/>
      <c r="K1840" s="10" t="inlineStr"/>
      <c r="L1840" s="14" t="inlineStr">
        <is>
          <t>▶ watch</t>
        </is>
      </c>
      <c r="M1840" s="10" t="inlineStr">
        <is>
          <t>Gunasekar et al., "Characterizing implicit bias in terms of optimization geometry" (arXiv:1802.08246)</t>
        </is>
      </c>
      <c r="N1840" s="14" t="inlineStr">
        <is>
          <t>read ↗</t>
        </is>
      </c>
      <c r="O1840" s="11" t="inlineStr">
        <is>
          <t>stated with the talk</t>
        </is>
      </c>
      <c r="P1840" s="10" t="inlineStr">
        <is>
          <t>9.2 Simons: Deep Learning Theory Workshop and Summer School (August 1–5, 2022</t>
        </is>
      </c>
    </row>
    <row r="1841">
      <c r="A1841" s="17" t="n">
        <v>1840</v>
      </c>
      <c r="B1841" s="17" t="inlineStr">
        <is>
          <t>Part III - Upstream AI Research</t>
        </is>
      </c>
      <c r="C1841" s="18" t="inlineStr">
        <is>
          <t>1.2 Implicit regularization and the implicit bias of gradient descent</t>
        </is>
      </c>
      <c r="D1841" s="10" t="inlineStr">
        <is>
          <t>Nati Srebro (TTIC)</t>
        </is>
      </c>
      <c r="E1841" s="10" t="inlineStr"/>
      <c r="F1841" s="11" t="inlineStr">
        <is>
          <t>1:36:30</t>
        </is>
      </c>
      <c r="G1841" s="11" t="n">
        <v>1.61</v>
      </c>
      <c r="H1841" s="12" t="inlineStr">
        <is>
          <t>★</t>
        </is>
      </c>
      <c r="I1841" s="11" t="inlineStr">
        <is>
          <t>Not started</t>
        </is>
      </c>
      <c r="J1841" s="13" t="n"/>
      <c r="K1841" s="10" t="inlineStr"/>
      <c r="L1841" s="14" t="inlineStr">
        <is>
          <t>▶ watch</t>
        </is>
      </c>
      <c r="M1841" s="10" t="inlineStr">
        <is>
          <t>Lyu &amp; Li, "Gradient descent maximizes the margin of homogeneous neural networks" (arXiv:1906.05890)</t>
        </is>
      </c>
      <c r="N1841" s="14" t="inlineStr">
        <is>
          <t>read ↗</t>
        </is>
      </c>
      <c r="O1841" s="11" t="inlineStr">
        <is>
          <t>stated with the talk</t>
        </is>
      </c>
      <c r="P1841" s="10" t="inlineStr">
        <is>
          <t>9.2 Simons: Deep Learning Theory Workshop and Summer School (August 1–5, 2022</t>
        </is>
      </c>
    </row>
    <row r="1842">
      <c r="A1842" s="17" t="n">
        <v>1841</v>
      </c>
      <c r="B1842" s="17" t="inlineStr">
        <is>
          <t>Part III - Upstream AI Research</t>
        </is>
      </c>
      <c r="C1842" s="18" t="inlineStr">
        <is>
          <t>1.2 Implicit regularization and the implicit bias of gradient descent</t>
        </is>
      </c>
      <c r="D1842" s="10" t="inlineStr">
        <is>
          <t>Nati Srebro (TTIC), Simons</t>
        </is>
      </c>
      <c r="E1842" s="10" t="inlineStr"/>
      <c r="F1842" s="11" t="inlineStr">
        <is>
          <t>1:01:19</t>
        </is>
      </c>
      <c r="G1842" s="11" t="n">
        <v>1.02</v>
      </c>
      <c r="H1842" s="12" t="inlineStr"/>
      <c r="I1842" s="11" t="inlineStr">
        <is>
          <t>Not started</t>
        </is>
      </c>
      <c r="J1842" s="13" t="n"/>
      <c r="K1842" s="10" t="inlineStr"/>
      <c r="L1842" s="14" t="inlineStr">
        <is>
          <t>▶ watch</t>
        </is>
      </c>
      <c r="M1842" s="10" t="inlineStr">
        <is>
          <t>Neyshabur, Tomioka, Srebro, "Norm-based capacity control in neural networks" (arXiv:1503.00036)</t>
        </is>
      </c>
      <c r="N1842" s="14" t="inlineStr">
        <is>
          <t>read ↗</t>
        </is>
      </c>
      <c r="O1842" s="11" t="inlineStr">
        <is>
          <t>stated with the talk</t>
        </is>
      </c>
      <c r="P1842" s="10" t="inlineStr"/>
    </row>
    <row r="1843">
      <c r="A1843" s="17" t="n">
        <v>1842</v>
      </c>
      <c r="B1843" s="17" t="inlineStr">
        <is>
          <t>Part III - Upstream AI Research</t>
        </is>
      </c>
      <c r="C1843" s="18" t="inlineStr">
        <is>
          <t>1.2 Implicit regularization and the implicit bias of gradient descent</t>
        </is>
      </c>
      <c r="D1843" s="10" t="inlineStr">
        <is>
          <t>Gal Vardi (Weizmann/TTIC), One World Theoretical ML Seminar</t>
        </is>
      </c>
      <c r="E1843" s="10" t="inlineStr"/>
      <c r="F1843" s="11" t="inlineStr">
        <is>
          <t>58:28</t>
        </is>
      </c>
      <c r="G1843" s="11" t="n">
        <v>0.97</v>
      </c>
      <c r="H1843" s="12" t="inlineStr"/>
      <c r="I1843" s="11" t="inlineStr">
        <is>
          <t>Not started</t>
        </is>
      </c>
      <c r="J1843" s="13" t="n"/>
      <c r="K1843" s="10" t="inlineStr"/>
      <c r="L1843" s="14" t="inlineStr">
        <is>
          <t>▶ watch</t>
        </is>
      </c>
      <c r="M1843" s="10" t="inlineStr">
        <is>
          <t>Vardi, "On the implicit bias in deep-learning algorithms" (arXiv:2208.12591)</t>
        </is>
      </c>
      <c r="N1843" s="14" t="inlineStr">
        <is>
          <t>read ↗</t>
        </is>
      </c>
      <c r="O1843" s="11" t="inlineStr">
        <is>
          <t>stated with the talk</t>
        </is>
      </c>
      <c r="P1843" s="10" t="inlineStr"/>
    </row>
    <row r="1844">
      <c r="A1844" s="17" t="n">
        <v>1843</v>
      </c>
      <c r="B1844" s="17" t="inlineStr">
        <is>
          <t>Part III - Upstream AI Research</t>
        </is>
      </c>
      <c r="C1844" s="18" t="inlineStr">
        <is>
          <t>1.3 Uniform convergence and its limits</t>
        </is>
      </c>
      <c r="D1844" s="10" t="inlineStr">
        <is>
          <t>Vaishnavh Nagarajan &amp; Zico Kolter (CMU)</t>
        </is>
      </c>
      <c r="E1844" s="10" t="inlineStr"/>
      <c r="F1844" s="11" t="inlineStr">
        <is>
          <t>2:52</t>
        </is>
      </c>
      <c r="G1844" s="11" t="n">
        <v>0.05</v>
      </c>
      <c r="H1844" s="12" t="inlineStr"/>
      <c r="I1844" s="11" t="inlineStr">
        <is>
          <t>Not started</t>
        </is>
      </c>
      <c r="J1844" s="13" t="n"/>
      <c r="K1844" s="10" t="inlineStr"/>
      <c r="L1844" s="14" t="inlineStr">
        <is>
          <t>▶ watch</t>
        </is>
      </c>
      <c r="M1844" s="10" t="inlineStr">
        <is>
          <t>Nagarajan &amp; Kolter (arXiv:1902.04742)</t>
        </is>
      </c>
      <c r="N1844" s="14" t="inlineStr">
        <is>
          <t>read ↗</t>
        </is>
      </c>
      <c r="O1844" s="11" t="inlineStr">
        <is>
          <t>stated with the talk</t>
        </is>
      </c>
      <c r="P1844" s="10" t="inlineStr"/>
    </row>
    <row r="1845">
      <c r="A1845" s="17" t="n">
        <v>1844</v>
      </c>
      <c r="B1845" s="17" t="inlineStr">
        <is>
          <t>Part III - Upstream AI Research</t>
        </is>
      </c>
      <c r="C1845" s="18" t="inlineStr">
        <is>
          <t>1.3 Uniform convergence and its limits</t>
        </is>
      </c>
      <c r="D1845" s="10" t="inlineStr">
        <is>
          <t>Daniel M. Roy (Toronto), IAS</t>
        </is>
      </c>
      <c r="E1845" s="10" t="inlineStr"/>
      <c r="F1845" s="11" t="inlineStr">
        <is>
          <t>1:21:46</t>
        </is>
      </c>
      <c r="G1845" s="11" t="n">
        <v>1.36</v>
      </c>
      <c r="H1845" s="12" t="inlineStr">
        <is>
          <t>★</t>
        </is>
      </c>
      <c r="I1845" s="11" t="inlineStr">
        <is>
          <t>Not started</t>
        </is>
      </c>
      <c r="J1845" s="13" t="n"/>
      <c r="K1845" s="10" t="inlineStr"/>
      <c r="L1845" s="14" t="inlineStr">
        <is>
          <t>▶ watch</t>
        </is>
      </c>
      <c r="M1845" s="10" t="inlineStr">
        <is>
          <t>Negrea, Dziugaite, Roy, "In defense of uniform convergence" (arXiv:1912.04265)</t>
        </is>
      </c>
      <c r="N1845" s="14" t="inlineStr">
        <is>
          <t>read ↗</t>
        </is>
      </c>
      <c r="O1845" s="11" t="inlineStr">
        <is>
          <t>stated with the talk</t>
        </is>
      </c>
      <c r="P1845" s="10" t="inlineStr">
        <is>
          <t>9.7 IAS: Special Year on Optimization, Statistics, and Theoretical Machine Learning (2019–2020</t>
        </is>
      </c>
    </row>
    <row r="1846">
      <c r="A1846" s="17" t="n">
        <v>1845</v>
      </c>
      <c r="B1846" s="17" t="inlineStr">
        <is>
          <t>Part III - Upstream AI Research</t>
        </is>
      </c>
      <c r="C1846" s="18" t="inlineStr">
        <is>
          <t>1.4 Margin theory</t>
        </is>
      </c>
      <c r="D1846" s="10" t="inlineStr">
        <is>
          <t>Matus Telgarsky (UIUC / Courant), IAS Theoretical ML Seminar</t>
        </is>
      </c>
      <c r="E1846" s="10" t="inlineStr"/>
      <c r="F1846" s="11" t="inlineStr">
        <is>
          <t>1:22:27</t>
        </is>
      </c>
      <c r="G1846" s="11" t="n">
        <v>1.37</v>
      </c>
      <c r="H1846" s="12" t="inlineStr">
        <is>
          <t>★</t>
        </is>
      </c>
      <c r="I1846" s="11" t="inlineStr">
        <is>
          <t>Not started</t>
        </is>
      </c>
      <c r="J1846" s="13" t="n"/>
      <c r="K1846" s="10" t="inlineStr"/>
      <c r="L1846" s="14" t="inlineStr">
        <is>
          <t>▶ watch</t>
        </is>
      </c>
      <c r="M1846" s="10" t="inlineStr">
        <is>
          <t>Bartlett, Foster, Telgarsky (arXiv:1706.08498); Ji &amp; Telgarsky, "Gradient descent aligns the layers of deep linear networks" (arXiv:1810.02032)</t>
        </is>
      </c>
      <c r="N1846" s="14" t="inlineStr">
        <is>
          <t>read ↗</t>
        </is>
      </c>
      <c r="O1846" s="11" t="inlineStr">
        <is>
          <t>stated with the talk</t>
        </is>
      </c>
      <c r="P1846" s="10" t="inlineStr">
        <is>
          <t>9.7 IAS: Special Year on Optimization, Statistics, and Theoretical Machine Learning (2019–2020</t>
        </is>
      </c>
    </row>
    <row r="1847">
      <c r="A1847" s="17" t="n">
        <v>1846</v>
      </c>
      <c r="B1847" s="17" t="inlineStr">
        <is>
          <t>Part III - Upstream AI Research</t>
        </is>
      </c>
      <c r="C1847" s="18" t="inlineStr">
        <is>
          <t>1.4 Margin theory</t>
        </is>
      </c>
      <c r="D1847" s="10" t="inlineStr">
        <is>
          <t>Matus Telgarsky (NYU), Simons "Frontiers of Deep Learning"</t>
        </is>
      </c>
      <c r="E1847" s="10" t="inlineStr"/>
      <c r="F1847" s="11" t="inlineStr">
        <is>
          <t>41:42</t>
        </is>
      </c>
      <c r="G1847" s="11" t="n">
        <v>0.6899999999999999</v>
      </c>
      <c r="H1847" s="12" t="inlineStr">
        <is>
          <t>★</t>
        </is>
      </c>
      <c r="I1847" s="11" t="inlineStr">
        <is>
          <t>Not started</t>
        </is>
      </c>
      <c r="J1847" s="13" t="n"/>
      <c r="K1847" s="10" t="inlineStr"/>
      <c r="L1847" s="14" t="inlineStr">
        <is>
          <t>▶ watch</t>
        </is>
      </c>
      <c r="M1847" s="10" t="inlineStr">
        <is>
          <t>Ji, Telgarsky, "Directional convergence and alignment in deep learning" (arXiv:2006.06657)</t>
        </is>
      </c>
      <c r="N1847" s="14" t="inlineStr">
        <is>
          <t>read ↗</t>
        </is>
      </c>
      <c r="O1847" s="11" t="inlineStr">
        <is>
          <t>stated with the talk</t>
        </is>
      </c>
      <c r="P1847" s="10" t="inlineStr">
        <is>
          <t>9.1 Simons: Foundations of Deep Learning (Summer 2019</t>
        </is>
      </c>
    </row>
    <row r="1848">
      <c r="A1848" s="17" t="n">
        <v>1847</v>
      </c>
      <c r="B1848" s="17" t="inlineStr">
        <is>
          <t>Part III - Upstream AI Research</t>
        </is>
      </c>
      <c r="C1848" s="18" t="inlineStr">
        <is>
          <t>1.4 Margin theory</t>
        </is>
      </c>
      <c r="D1848" s="10" t="inlineStr">
        <is>
          <t>Matus Telgarsky (UIUC), SMILES Summer School</t>
        </is>
      </c>
      <c r="E1848" s="10" t="inlineStr"/>
      <c r="F1848" s="11" t="inlineStr">
        <is>
          <t>1:17:16</t>
        </is>
      </c>
      <c r="G1848" s="11" t="n">
        <v>1.29</v>
      </c>
      <c r="H1848" s="12" t="inlineStr"/>
      <c r="I1848" s="11" t="inlineStr">
        <is>
          <t>Not started</t>
        </is>
      </c>
      <c r="J1848" s="13" t="n"/>
      <c r="K1848" s="10" t="inlineStr"/>
      <c r="L1848" s="14" t="inlineStr">
        <is>
          <t>▶ watch</t>
        </is>
      </c>
      <c r="M1848" s="10" t="inlineStr">
        <is>
          <t>Soudry et al., "The implicit bias of gradient descent on separable data" (arXiv:1710.10345)</t>
        </is>
      </c>
      <c r="N1848" s="14" t="inlineStr">
        <is>
          <t>read ↗</t>
        </is>
      </c>
      <c r="O1848" s="11" t="inlineStr">
        <is>
          <t>stated with the talk</t>
        </is>
      </c>
      <c r="P1848" s="10" t="inlineStr">
        <is>
          <t>8.4 Neural Network Theory (APS 2025 Summer School</t>
        </is>
      </c>
    </row>
    <row r="1849">
      <c r="A1849" s="17" t="n">
        <v>1848</v>
      </c>
      <c r="B1849" s="17" t="inlineStr">
        <is>
          <t>Part III - Upstream AI Research</t>
        </is>
      </c>
      <c r="C1849" s="18" t="inlineStr">
        <is>
          <t>1.4 Margin theory</t>
        </is>
      </c>
      <c r="D1849" s="10" t="inlineStr">
        <is>
          <t>Matus Telgarsky (Courant/NYU), IPAM</t>
        </is>
      </c>
      <c r="E1849" s="10" t="inlineStr"/>
      <c r="F1849" s="11" t="inlineStr">
        <is>
          <t>50:45</t>
        </is>
      </c>
      <c r="G1849" s="11" t="n">
        <v>0.85</v>
      </c>
      <c r="H1849" s="12" t="inlineStr"/>
      <c r="I1849" s="11" t="inlineStr">
        <is>
          <t>Not started</t>
        </is>
      </c>
      <c r="J1849" s="13" t="n"/>
      <c r="K1849" s="10" t="inlineStr"/>
      <c r="L1849" s="14" t="inlineStr">
        <is>
          <t>▶ watch</t>
        </is>
      </c>
      <c r="M1849" s="10" t="inlineStr">
        <is>
          <t>Telgarsky, "Feature selection and low test error in shallow low-rotation ReLU networks" (arXiv:2208.02789)</t>
        </is>
      </c>
      <c r="N1849" s="14" t="inlineStr">
        <is>
          <t>read ↗</t>
        </is>
      </c>
      <c r="O1849" s="11" t="inlineStr">
        <is>
          <t>stated with the talk</t>
        </is>
      </c>
      <c r="P1849" s="10" t="inlineStr"/>
    </row>
    <row r="1850">
      <c r="A1850" s="17" t="n">
        <v>1849</v>
      </c>
      <c r="B1850" s="17" t="inlineStr">
        <is>
          <t>Part III - Upstream AI Research</t>
        </is>
      </c>
      <c r="C1850" s="18" t="inlineStr">
        <is>
          <t>1.4 Margin theory</t>
        </is>
      </c>
      <c r="D1850" s="10" t="inlineStr">
        <is>
          <t>Matus Telgarsky (NYU), Simons Deep Learning Theory Summer School</t>
        </is>
      </c>
      <c r="E1850" s="10" t="inlineStr"/>
      <c r="F1850" s="11" t="inlineStr">
        <is>
          <t>57:45</t>
        </is>
      </c>
      <c r="G1850" s="11" t="n">
        <v>0.96</v>
      </c>
      <c r="H1850" s="12" t="inlineStr">
        <is>
          <t>★</t>
        </is>
      </c>
      <c r="I1850" s="11" t="inlineStr">
        <is>
          <t>Not started</t>
        </is>
      </c>
      <c r="J1850" s="13" t="n"/>
      <c r="K1850" s="10" t="inlineStr"/>
      <c r="L1850" s="14" t="inlineStr">
        <is>
          <t>▶ watch</t>
        </is>
      </c>
      <c r="M1850" s="10" t="inlineStr">
        <is>
          <t>arXiv:2208.02789</t>
        </is>
      </c>
      <c r="N1850" s="14" t="inlineStr">
        <is>
          <t>read ↗</t>
        </is>
      </c>
      <c r="O1850" s="11" t="inlineStr">
        <is>
          <t>stated with the talk</t>
        </is>
      </c>
      <c r="P1850" s="10" t="inlineStr">
        <is>
          <t>9.2 Simons: Deep Learning Theory Workshop and Summer School (August 1–5, 2022</t>
        </is>
      </c>
    </row>
    <row r="1851">
      <c r="A1851" s="17" t="n">
        <v>1850</v>
      </c>
      <c r="B1851" s="17" t="inlineStr">
        <is>
          <t>Part III - Upstream AI Research</t>
        </is>
      </c>
      <c r="C1851" s="18" t="inlineStr">
        <is>
          <t>1.5 PAC-Bayes for neural networks</t>
        </is>
      </c>
      <c r="D1851" s="10" t="inlineStr">
        <is>
          <t>Gintare Karolina Dziugaite (Element AI), Simons "Frontiers of Deep Learning"</t>
        </is>
      </c>
      <c r="E1851" s="10" t="inlineStr"/>
      <c r="F1851" s="11" t="inlineStr">
        <is>
          <t>44:39</t>
        </is>
      </c>
      <c r="G1851" s="11" t="n">
        <v>0.74</v>
      </c>
      <c r="H1851" s="12" t="inlineStr">
        <is>
          <t>★</t>
        </is>
      </c>
      <c r="I1851" s="11" t="inlineStr">
        <is>
          <t>Not started</t>
        </is>
      </c>
      <c r="J1851" s="13" t="n"/>
      <c r="K1851" s="10" t="inlineStr"/>
      <c r="L1851" s="14" t="inlineStr">
        <is>
          <t>▶ watch</t>
        </is>
      </c>
      <c r="M1851" s="10" t="inlineStr">
        <is>
          <t>Dziugaite &amp; Roy, "Computing nonvacuous generalization bounds for deep (stochastic) neural networks with many more parameters than training data" (arXiv:1703.11008)</t>
        </is>
      </c>
      <c r="N1851" s="14" t="inlineStr">
        <is>
          <t>read ↗</t>
        </is>
      </c>
      <c r="O1851" s="11" t="inlineStr">
        <is>
          <t>stated with the talk</t>
        </is>
      </c>
      <c r="P1851" s="10" t="inlineStr">
        <is>
          <t>9.1 Simons: Foundations of Deep Learning (Summer 2019</t>
        </is>
      </c>
    </row>
    <row r="1852">
      <c r="A1852" s="17" t="n">
        <v>1851</v>
      </c>
      <c r="B1852" s="17" t="inlineStr">
        <is>
          <t>Part III - Upstream AI Research</t>
        </is>
      </c>
      <c r="C1852" s="18" t="inlineStr">
        <is>
          <t>1.5 PAC-Bayes for neural networks</t>
        </is>
      </c>
      <c r="D1852" s="10" t="inlineStr">
        <is>
          <t>Gintare Karolina Dziugaite, Borealis AI</t>
        </is>
      </c>
      <c r="E1852" s="10" t="inlineStr"/>
      <c r="F1852" s="11" t="inlineStr">
        <is>
          <t>26:02</t>
        </is>
      </c>
      <c r="G1852" s="11" t="n">
        <v>0.43</v>
      </c>
      <c r="H1852" s="12" t="inlineStr"/>
      <c r="I1852" s="11" t="inlineStr">
        <is>
          <t>Not started</t>
        </is>
      </c>
      <c r="J1852" s="13" t="n"/>
      <c r="K1852" s="10" t="inlineStr"/>
      <c r="L1852" s="14" t="inlineStr">
        <is>
          <t>▶ watch</t>
        </is>
      </c>
      <c r="M1852" s="10" t="inlineStr">
        <is>
          <t>arXiv:1703.11008</t>
        </is>
      </c>
      <c r="N1852" s="14" t="inlineStr">
        <is>
          <t>read ↗</t>
        </is>
      </c>
      <c r="O1852" s="11" t="inlineStr">
        <is>
          <t>stated with the talk</t>
        </is>
      </c>
      <c r="P1852" s="10" t="inlineStr"/>
    </row>
    <row r="1853">
      <c r="A1853" s="17" t="n">
        <v>1852</v>
      </c>
      <c r="B1853" s="17" t="inlineStr">
        <is>
          <t>Part III - Upstream AI Research</t>
        </is>
      </c>
      <c r="C1853" s="18" t="inlineStr">
        <is>
          <t>1.5 PAC-Bayes for neural networks</t>
        </is>
      </c>
      <c r="D1853" s="10" t="inlineStr">
        <is>
          <t>Gintare Karolina Dziugaite, IAS</t>
        </is>
      </c>
      <c r="E1853" s="10" t="inlineStr"/>
      <c r="F1853" s="11" t="inlineStr">
        <is>
          <t>31:34</t>
        </is>
      </c>
      <c r="G1853" s="11" t="n">
        <v>0.53</v>
      </c>
      <c r="H1853" s="12" t="inlineStr">
        <is>
          <t>★</t>
        </is>
      </c>
      <c r="I1853" s="11" t="inlineStr">
        <is>
          <t>Not started</t>
        </is>
      </c>
      <c r="J1853" s="13" t="n"/>
      <c r="K1853" s="10" t="inlineStr"/>
      <c r="L1853" s="14" t="inlineStr">
        <is>
          <t>▶ watch</t>
        </is>
      </c>
      <c r="M1853" s="10" t="inlineStr">
        <is>
          <t>arXiv:1703.11008</t>
        </is>
      </c>
      <c r="N1853" s="14" t="inlineStr">
        <is>
          <t>read ↗</t>
        </is>
      </c>
      <c r="O1853" s="11" t="inlineStr">
        <is>
          <t>stated with the talk</t>
        </is>
      </c>
      <c r="P1853" s="10" t="inlineStr">
        <is>
          <t>9.7 IAS: Special Year on Optimization, Statistics, and Theoretical Machine Learning (2019–2020</t>
        </is>
      </c>
    </row>
    <row r="1854">
      <c r="A1854" s="17" t="n">
        <v>1853</v>
      </c>
      <c r="B1854" s="17" t="inlineStr">
        <is>
          <t>Part III - Upstream AI Research</t>
        </is>
      </c>
      <c r="C1854" s="18" t="inlineStr">
        <is>
          <t>1.5 PAC-Bayes for neural networks</t>
        </is>
      </c>
      <c r="D1854" s="10" t="inlineStr">
        <is>
          <t>Gintare Karolina Dziugaite, MTL MLOpt Seminar</t>
        </is>
      </c>
      <c r="E1854" s="10" t="inlineStr"/>
      <c r="F1854" s="11" t="inlineStr">
        <is>
          <t>1:05:17</t>
        </is>
      </c>
      <c r="G1854" s="11" t="n">
        <v>1.09</v>
      </c>
      <c r="H1854" s="12" t="inlineStr"/>
      <c r="I1854" s="11" t="inlineStr">
        <is>
          <t>Not started</t>
        </is>
      </c>
      <c r="J1854" s="13" t="n"/>
      <c r="K1854" s="10" t="inlineStr"/>
      <c r="L1854" s="14" t="inlineStr">
        <is>
          <t>▶ watch</t>
        </is>
      </c>
      <c r="M1854" s="10" t="inlineStr">
        <is>
          <t>Negrea, Haghifam, Dziugaite, Khisti, Roy (arXiv:1911.02151)</t>
        </is>
      </c>
      <c r="N1854" s="14" t="inlineStr">
        <is>
          <t>read ↗</t>
        </is>
      </c>
      <c r="O1854" s="11" t="inlineStr">
        <is>
          <t>stated with the talk</t>
        </is>
      </c>
      <c r="P1854" s="10" t="inlineStr"/>
    </row>
    <row r="1855">
      <c r="A1855" s="17" t="n">
        <v>1854</v>
      </c>
      <c r="B1855" s="17" t="inlineStr">
        <is>
          <t>Part III - Upstream AI Research</t>
        </is>
      </c>
      <c r="C1855" s="18" t="inlineStr">
        <is>
          <t>1.5 PAC-Bayes for neural networks</t>
        </is>
      </c>
      <c r="D1855" s="10" t="inlineStr">
        <is>
          <t>Dan Roy (Toronto), IPAM</t>
        </is>
      </c>
      <c r="E1855" s="10" t="inlineStr"/>
      <c r="F1855" s="11" t="inlineStr">
        <is>
          <t>56:32</t>
        </is>
      </c>
      <c r="G1855" s="11" t="n">
        <v>0.9399999999999999</v>
      </c>
      <c r="H1855" s="12" t="inlineStr"/>
      <c r="I1855" s="11" t="inlineStr">
        <is>
          <t>Not started</t>
        </is>
      </c>
      <c r="J1855" s="13" t="n"/>
      <c r="K1855" s="10" t="inlineStr"/>
      <c r="L1855" s="14" t="inlineStr">
        <is>
          <t>▶ watch</t>
        </is>
      </c>
      <c r="M1855" s="10" t="inlineStr">
        <is>
          <t>Roy et al., NeurIPS 2024</t>
        </is>
      </c>
      <c r="N1855" s="14" t="inlineStr">
        <is>
          <t>read ↗</t>
        </is>
      </c>
      <c r="O1855" s="11" t="inlineStr">
        <is>
          <t>stated with the talk</t>
        </is>
      </c>
      <c r="P1855" s="10" t="inlineStr"/>
    </row>
    <row r="1856">
      <c r="A1856" s="17" t="n">
        <v>1855</v>
      </c>
      <c r="B1856" s="17" t="inlineStr">
        <is>
          <t>Part III - Upstream AI Research</t>
        </is>
      </c>
      <c r="C1856" s="18" t="inlineStr">
        <is>
          <t>1.6 Overparameterization, compression, and reality checks</t>
        </is>
      </c>
      <c r="D1856" s="10" t="inlineStr">
        <is>
          <t>Sanjeev Arora (Princeton/IAS)</t>
        </is>
      </c>
      <c r="E1856" s="10" t="inlineStr"/>
      <c r="F1856" s="11" t="inlineStr">
        <is>
          <t>2:13:56</t>
        </is>
      </c>
      <c r="G1856" s="11" t="n">
        <v>2.23</v>
      </c>
      <c r="H1856" s="12" t="inlineStr"/>
      <c r="I1856" s="11" t="inlineStr">
        <is>
          <t>Not started</t>
        </is>
      </c>
      <c r="J1856" s="13" t="n"/>
      <c r="K1856" s="10" t="inlineStr"/>
      <c r="L1856" s="14" t="inlineStr">
        <is>
          <t>▶ watch</t>
        </is>
      </c>
      <c r="M1856" s="10" t="inlineStr">
        <is>
          <t>Zhang, Bengio, Hardt, Recht, Vinyals, "Understanding deep learning requires rethinking generalization" (arXiv:1611.03530)</t>
        </is>
      </c>
      <c r="N1856" s="14" t="inlineStr">
        <is>
          <t>read ↗</t>
        </is>
      </c>
      <c r="O1856" s="11" t="inlineStr">
        <is>
          <t>stated with the talk</t>
        </is>
      </c>
      <c r="P1856" s="10" t="inlineStr"/>
    </row>
    <row r="1857">
      <c r="A1857" s="17" t="n">
        <v>1856</v>
      </c>
      <c r="B1857" s="17" t="inlineStr">
        <is>
          <t>Part III - Upstream AI Research</t>
        </is>
      </c>
      <c r="C1857" s="18" t="inlineStr">
        <is>
          <t>1.6 Overparameterization, compression, and reality checks</t>
        </is>
      </c>
      <c r="D1857" s="10" t="inlineStr">
        <is>
          <t>Sanjeev Arora (Princeton/IAS), DeepMath</t>
        </is>
      </c>
      <c r="E1857" s="10" t="inlineStr"/>
      <c r="F1857" s="11" t="inlineStr">
        <is>
          <t>56:16</t>
        </is>
      </c>
      <c r="G1857" s="11" t="n">
        <v>0.9399999999999999</v>
      </c>
      <c r="H1857" s="12" t="inlineStr"/>
      <c r="I1857" s="11" t="inlineStr">
        <is>
          <t>Not started</t>
        </is>
      </c>
      <c r="J1857" s="13" t="n"/>
      <c r="K1857" s="10" t="inlineStr"/>
      <c r="L1857" s="14" t="inlineStr">
        <is>
          <t>▶ watch</t>
        </is>
      </c>
      <c r="M1857" s="10" t="inlineStr">
        <is>
          <t>Arora, Ge, Neyshabur, Zhang, "Stronger generalization bounds for deep nets via a compression approach" (arXiv:1802.05296)</t>
        </is>
      </c>
      <c r="N1857" s="14" t="inlineStr">
        <is>
          <t>read ↗</t>
        </is>
      </c>
      <c r="O1857" s="11" t="inlineStr">
        <is>
          <t>stated with the talk</t>
        </is>
      </c>
      <c r="P1857" s="10" t="inlineStr"/>
    </row>
    <row r="1858">
      <c r="A1858" s="17" t="n">
        <v>1857</v>
      </c>
      <c r="B1858" s="17" t="inlineStr">
        <is>
          <t>Part III - Upstream AI Research</t>
        </is>
      </c>
      <c r="C1858" s="18" t="inlineStr">
        <is>
          <t>1.6 Overparameterization, compression, and reality checks</t>
        </is>
      </c>
      <c r="D1858" s="10" t="inlineStr">
        <is>
          <t>Sanjeev Arora (Princeton), DeepMath</t>
        </is>
      </c>
      <c r="E1858" s="10" t="inlineStr"/>
      <c r="F1858" s="11" t="inlineStr">
        <is>
          <t>1:03:01</t>
        </is>
      </c>
      <c r="G1858" s="11" t="n">
        <v>1.05</v>
      </c>
      <c r="H1858" s="12" t="inlineStr"/>
      <c r="I1858" s="11" t="inlineStr">
        <is>
          <t>Not started</t>
        </is>
      </c>
      <c r="J1858" s="13" t="n"/>
      <c r="K1858" s="10" t="inlineStr"/>
      <c r="L1858" s="14" t="inlineStr">
        <is>
          <t>▶ watch</t>
        </is>
      </c>
      <c r="M1858" s="10" t="inlineStr">
        <is>
          <t>Arora, Cohen, Hazan, "On the optimization of deep networks: implicit acceleration by overparameterization" (arXiv:1802.06509)</t>
        </is>
      </c>
      <c r="N1858" s="14" t="inlineStr">
        <is>
          <t>read ↗</t>
        </is>
      </c>
      <c r="O1858" s="11" t="inlineStr">
        <is>
          <t>stated with the talk</t>
        </is>
      </c>
      <c r="P1858" s="10" t="inlineStr"/>
    </row>
    <row r="1859">
      <c r="A1859" s="17" t="n">
        <v>1858</v>
      </c>
      <c r="B1859" s="17" t="inlineStr">
        <is>
          <t>Part III - Upstream AI Research</t>
        </is>
      </c>
      <c r="C1859" s="18" t="inlineStr">
        <is>
          <t>1.6 Overparameterization, compression, and reality checks</t>
        </is>
      </c>
      <c r="D1859" s="10" t="inlineStr">
        <is>
          <t>Sanjeev Arora (Princeton), Harvard CMSA</t>
        </is>
      </c>
      <c r="E1859" s="10" t="inlineStr"/>
      <c r="F1859" s="11" t="inlineStr">
        <is>
          <t>57:58</t>
        </is>
      </c>
      <c r="G1859" s="11" t="n">
        <v>0.97</v>
      </c>
      <c r="H1859" s="12" t="inlineStr"/>
      <c r="I1859" s="11" t="inlineStr">
        <is>
          <t>Not started</t>
        </is>
      </c>
      <c r="J1859" s="13" t="n"/>
      <c r="K1859" s="10" t="inlineStr"/>
      <c r="L1859" s="14" t="inlineStr">
        <is>
          <t>▶ watch</t>
        </is>
      </c>
      <c r="M1859" s="10" t="inlineStr">
        <is>
          <t>McCoy et al. 2024, PNAS 121:e2322420121 (Embers of Autoregression) · Bubeck et al. 2023, arXiv:2303.12712 (Sparks of AGI)</t>
        </is>
      </c>
      <c r="N1859" s="14" t="inlineStr">
        <is>
          <t>read ↗</t>
        </is>
      </c>
      <c r="O1859" s="11" t="inlineStr">
        <is>
          <t xml:space="preserve">reading for D.7.7 Is reasoning real? - the standing </t>
        </is>
      </c>
      <c r="P1859" s="10" t="inlineStr"/>
    </row>
    <row r="1860">
      <c r="A1860" s="17" t="n">
        <v>1859</v>
      </c>
      <c r="B1860" s="17" t="inlineStr">
        <is>
          <t>Part III - Upstream AI Research</t>
        </is>
      </c>
      <c r="C1860" s="18" t="inlineStr">
        <is>
          <t>1.6 Overparameterization, compression, and reality checks</t>
        </is>
      </c>
      <c r="D1860" s="10" t="inlineStr">
        <is>
          <t>Behnam Neyshabur (Google), IAS</t>
        </is>
      </c>
      <c r="E1860" s="10" t="inlineStr"/>
      <c r="F1860" s="11" t="inlineStr">
        <is>
          <t>33:17</t>
        </is>
      </c>
      <c r="G1860" s="11" t="n">
        <v>0.55</v>
      </c>
      <c r="H1860" s="12" t="inlineStr">
        <is>
          <t>★</t>
        </is>
      </c>
      <c r="I1860" s="11" t="inlineStr">
        <is>
          <t>Not started</t>
        </is>
      </c>
      <c r="J1860" s="13" t="n"/>
      <c r="K1860" s="10" t="inlineStr"/>
      <c r="L1860" s="14" t="inlineStr">
        <is>
          <t>▶ watch</t>
        </is>
      </c>
      <c r="M1860" s="10" t="inlineStr">
        <is>
          <t>Jiang, Neyshabur, Mobahi, Krishnan, Bengio, "Fantastic generalization measures and where to find them" (arXiv:1912.02178)</t>
        </is>
      </c>
      <c r="N1860" s="14" t="inlineStr">
        <is>
          <t>read ↗</t>
        </is>
      </c>
      <c r="O1860" s="11" t="inlineStr">
        <is>
          <t>stated with the talk</t>
        </is>
      </c>
      <c r="P1860" s="10" t="inlineStr">
        <is>
          <t>9.7 IAS: Special Year on Optimization, Statistics, and Theoretical Machine Learning (2019–2020</t>
        </is>
      </c>
    </row>
    <row r="1861">
      <c r="A1861" s="17" t="n">
        <v>1860</v>
      </c>
      <c r="B1861" s="17" t="inlineStr">
        <is>
          <t>Part III - Upstream AI Research</t>
        </is>
      </c>
      <c r="C1861" s="18" t="inlineStr">
        <is>
          <t>1.6 Overparameterization, compression, and reality checks</t>
        </is>
      </c>
      <c r="D1861" s="10" t="inlineStr">
        <is>
          <t>Behnam Neyshabur, IAS</t>
        </is>
      </c>
      <c r="E1861" s="10" t="inlineStr"/>
      <c r="F1861" s="11" t="inlineStr">
        <is>
          <t>17:33</t>
        </is>
      </c>
      <c r="G1861" s="11" t="n">
        <v>0.29</v>
      </c>
      <c r="H1861" s="12" t="inlineStr">
        <is>
          <t>★</t>
        </is>
      </c>
      <c r="I1861" s="11" t="inlineStr">
        <is>
          <t>Not started</t>
        </is>
      </c>
      <c r="J1861" s="13" t="n"/>
      <c r="K1861" s="10" t="inlineStr"/>
      <c r="L1861" s="14" t="inlineStr">
        <is>
          <t>▶ watch</t>
        </is>
      </c>
      <c r="M1861" s="10" t="inlineStr">
        <is>
          <t>Neyshabur et al., "Towards understanding the role of over-parametrization in generalization" (arXiv:1805.12076)</t>
        </is>
      </c>
      <c r="N1861" s="14" t="inlineStr">
        <is>
          <t>read ↗</t>
        </is>
      </c>
      <c r="O1861" s="11" t="inlineStr">
        <is>
          <t>stated with the talk</t>
        </is>
      </c>
      <c r="P1861" s="10" t="inlineStr">
        <is>
          <t>9.7 IAS: Special Year on Optimization, Statistics, and Theoretical Machine Learning (2019–2020</t>
        </is>
      </c>
    </row>
    <row r="1862">
      <c r="A1862" s="17" t="n">
        <v>1861</v>
      </c>
      <c r="B1862" s="17" t="inlineStr">
        <is>
          <t>Part III - Upstream AI Research</t>
        </is>
      </c>
      <c r="C1862" s="18" t="inlineStr">
        <is>
          <t>1.6 Overparameterization, compression, and reality checks</t>
        </is>
      </c>
      <c r="D1862" s="10" t="inlineStr">
        <is>
          <t>Yuanzhi Li (Stanford), Simons</t>
        </is>
      </c>
      <c r="E1862" s="10" t="inlineStr"/>
      <c r="F1862" s="11" t="inlineStr">
        <is>
          <t>49:42</t>
        </is>
      </c>
      <c r="G1862" s="11" t="n">
        <v>0.83</v>
      </c>
      <c r="H1862" s="12" t="inlineStr">
        <is>
          <t>★</t>
        </is>
      </c>
      <c r="I1862" s="11" t="inlineStr">
        <is>
          <t>Not started</t>
        </is>
      </c>
      <c r="J1862" s="13" t="n"/>
      <c r="K1862" s="10" t="inlineStr"/>
      <c r="L1862" s="14" t="inlineStr">
        <is>
          <t>▶ watch</t>
        </is>
      </c>
      <c r="M1862" s="10" t="inlineStr">
        <is>
          <t>Allen-Zhu, Li, Liang, "Learning and generalization in overparameterized neural networks, going beyond two layers" (arXiv:1811.04918)</t>
        </is>
      </c>
      <c r="N1862" s="14" t="inlineStr">
        <is>
          <t>read ↗</t>
        </is>
      </c>
      <c r="O1862" s="11" t="inlineStr">
        <is>
          <t>stated with the talk</t>
        </is>
      </c>
      <c r="P1862" s="10" t="inlineStr">
        <is>
          <t>9.1 Simons: Foundations of Deep Learning (Summer 2019</t>
        </is>
      </c>
    </row>
    <row r="1863">
      <c r="A1863" s="17" t="n">
        <v>1862</v>
      </c>
      <c r="B1863" s="17" t="inlineStr">
        <is>
          <t>Part III - Upstream AI Research</t>
        </is>
      </c>
      <c r="C1863" s="18" t="inlineStr">
        <is>
          <t>1.6 Overparameterization, compression, and reality checks</t>
        </is>
      </c>
      <c r="D1863" s="10" t="inlineStr">
        <is>
          <t>Hanie Sedghi (Google Brain), Simons</t>
        </is>
      </c>
      <c r="E1863" s="10" t="inlineStr"/>
      <c r="F1863" s="11" t="inlineStr">
        <is>
          <t>34:34</t>
        </is>
      </c>
      <c r="G1863" s="11" t="n">
        <v>0.58</v>
      </c>
      <c r="H1863" s="12" t="inlineStr">
        <is>
          <t>★</t>
        </is>
      </c>
      <c r="I1863" s="11" t="inlineStr">
        <is>
          <t>Not started</t>
        </is>
      </c>
      <c r="J1863" s="13" t="n"/>
      <c r="K1863" s="10" t="inlineStr"/>
      <c r="L1863" s="14" t="inlineStr">
        <is>
          <t>▶ watch</t>
        </is>
      </c>
      <c r="M1863" s="10" t="inlineStr">
        <is>
          <t>Long &amp; Sedghi, "Generalization bounds for deep convolutional neural networks" (arXiv:1905.12600)</t>
        </is>
      </c>
      <c r="N1863" s="14" t="inlineStr">
        <is>
          <t>read ↗</t>
        </is>
      </c>
      <c r="O1863" s="11" t="inlineStr">
        <is>
          <t>stated with the talk</t>
        </is>
      </c>
      <c r="P1863" s="10" t="inlineStr">
        <is>
          <t>9.1 Simons: Foundations of Deep Learning (Summer 2019</t>
        </is>
      </c>
    </row>
    <row r="1864">
      <c r="A1864" s="17" t="n">
        <v>1863</v>
      </c>
      <c r="B1864" s="17" t="inlineStr">
        <is>
          <t>Part III - Upstream AI Research</t>
        </is>
      </c>
      <c r="C1864" s="18" t="inlineStr">
        <is>
          <t>1.6 Overparameterization, compression, and reality checks</t>
        </is>
      </c>
      <c r="D1864" s="10" t="inlineStr">
        <is>
          <t>Tengyu Ma (Stanford), Simons Modern Paradigms in Generalization Boot Camp</t>
        </is>
      </c>
      <c r="E1864" s="10" t="inlineStr"/>
      <c r="F1864" s="11" t="inlineStr">
        <is>
          <t>1:17:51</t>
        </is>
      </c>
      <c r="G1864" s="11" t="n">
        <v>1.3</v>
      </c>
      <c r="H1864" s="12" t="inlineStr">
        <is>
          <t>★</t>
        </is>
      </c>
      <c r="I1864" s="11" t="inlineStr">
        <is>
          <t>Not started</t>
        </is>
      </c>
      <c r="J1864" s="13" t="n"/>
      <c r="K1864" s="10" t="inlineStr"/>
      <c r="L1864" s="14" t="inlineStr">
        <is>
          <t>▶ watch</t>
        </is>
      </c>
      <c r="M1864" s="10" t="inlineStr">
        <is>
          <t>McCoy et al. 2024, PNAS 121:e2322420121 (Embers of Autoregression) · Bubeck et al. 2023, arXiv:2303.12712 (Sparks of AGI)</t>
        </is>
      </c>
      <c r="N1864" s="14" t="inlineStr">
        <is>
          <t>read ↗</t>
        </is>
      </c>
      <c r="O1864" s="11" t="inlineStr">
        <is>
          <t xml:space="preserve">reading for D.7.7 Is reasoning real? - the standing </t>
        </is>
      </c>
      <c r="P1864" s="10" t="inlineStr">
        <is>
          <t>9.3 Simons: Modern Paradigms in Generalization (Fall 2024</t>
        </is>
      </c>
    </row>
    <row r="1865">
      <c r="A1865" s="17" t="n">
        <v>1864</v>
      </c>
      <c r="B1865" s="17" t="inlineStr">
        <is>
          <t>Part III - Upstream AI Research</t>
        </is>
      </c>
      <c r="C1865" s="18" t="inlineStr">
        <is>
          <t>1.6 Overparameterization, compression, and reality checks</t>
        </is>
      </c>
      <c r="D1865" s="10" t="inlineStr">
        <is>
          <t>Benjamin Recht (UC Berkeley), Simons</t>
        </is>
      </c>
      <c r="E1865" s="10" t="inlineStr"/>
      <c r="F1865" s="11" t="inlineStr">
        <is>
          <t>49:37</t>
        </is>
      </c>
      <c r="G1865" s="11" t="n">
        <v>0.83</v>
      </c>
      <c r="H1865" s="12" t="inlineStr"/>
      <c r="I1865" s="11" t="inlineStr">
        <is>
          <t>Not started</t>
        </is>
      </c>
      <c r="J1865" s="13" t="n"/>
      <c r="K1865" s="10" t="inlineStr"/>
      <c r="L1865" s="14" t="inlineStr">
        <is>
          <t>▶ watch</t>
        </is>
      </c>
      <c r="M1865" s="10" t="inlineStr">
        <is>
          <t>Recht, Roelofs, Schmidt, Shankar, "Do ImageNet classifiers generalize to ImageNet?" (arXiv:1902.10811)</t>
        </is>
      </c>
      <c r="N1865" s="14" t="inlineStr">
        <is>
          <t>read ↗</t>
        </is>
      </c>
      <c r="O1865" s="11" t="inlineStr">
        <is>
          <t>stated with the talk</t>
        </is>
      </c>
      <c r="P1865" s="10" t="inlineStr">
        <is>
          <t>9.1 Simons: Foundations of Deep Learning (Summer 2019</t>
        </is>
      </c>
    </row>
    <row r="1866">
      <c r="A1866" s="17" t="n">
        <v>1865</v>
      </c>
      <c r="B1866" s="17" t="inlineStr">
        <is>
          <t>Part III - Upstream AI Research</t>
        </is>
      </c>
      <c r="C1866" s="18" t="inlineStr">
        <is>
          <t>1.6 Overparameterization, compression, and reality checks</t>
        </is>
      </c>
      <c r="D1866" s="10" t="inlineStr">
        <is>
          <t>Ilya Sutskever (OpenAI), Simons</t>
        </is>
      </c>
      <c r="E1866" s="10" t="inlineStr"/>
      <c r="F1866" s="11" t="inlineStr">
        <is>
          <t>57:21</t>
        </is>
      </c>
      <c r="G1866" s="11" t="n">
        <v>0.96</v>
      </c>
      <c r="H1866" s="12" t="inlineStr">
        <is>
          <t>★</t>
        </is>
      </c>
      <c r="I1866" s="11" t="inlineStr">
        <is>
          <t>Not started</t>
        </is>
      </c>
      <c r="J1866" s="13" t="n"/>
      <c r="K1866" s="10" t="inlineStr"/>
      <c r="L1866" s="14" t="inlineStr">
        <is>
          <t>▶ watch</t>
        </is>
      </c>
      <c r="M1866" s="10" t="inlineStr">
        <is>
          <t>McCoy et al. 2024, PNAS 121:e2322420121 (Embers of Autoregression) · Bubeck et al. 2023, arXiv:2303.12712 (Sparks of AGI)</t>
        </is>
      </c>
      <c r="N1866" s="14" t="inlineStr">
        <is>
          <t>read ↗</t>
        </is>
      </c>
      <c r="O1866" s="11" t="inlineStr">
        <is>
          <t xml:space="preserve">reading for D.7.7 Is reasoning real? - the standing </t>
        </is>
      </c>
      <c r="P1866" s="10" t="inlineStr">
        <is>
          <t>7. Technical AI safety research; 9.4 Simons: Special Year on Large Language Models and Transformers (2023–2024</t>
        </is>
      </c>
    </row>
    <row r="1867">
      <c r="A1867" s="17" t="n">
        <v>1866</v>
      </c>
      <c r="B1867" s="17" t="inlineStr">
        <is>
          <t>Part III - Upstream AI Research</t>
        </is>
      </c>
      <c r="C1867" s="18" t="inlineStr">
        <is>
          <t>DLT-2 Double descent, benign overfitting, interpolation</t>
        </is>
      </c>
      <c r="D1867" s="10" t="inlineStr">
        <is>
          <t>Misha Belkin (UC San Diego), Simons "Frontiers of Deep Learning"</t>
        </is>
      </c>
      <c r="E1867" s="10" t="inlineStr"/>
      <c r="F1867" s="11" t="inlineStr">
        <is>
          <t>49:47</t>
        </is>
      </c>
      <c r="G1867" s="11" t="n">
        <v>0.83</v>
      </c>
      <c r="H1867" s="12" t="inlineStr">
        <is>
          <t>★</t>
        </is>
      </c>
      <c r="I1867" s="11" t="inlineStr">
        <is>
          <t>Not started</t>
        </is>
      </c>
      <c r="J1867" s="13" t="n"/>
      <c r="K1867" s="10" t="inlineStr"/>
      <c r="L1867" s="14" t="inlineStr">
        <is>
          <t>▶ watch</t>
        </is>
      </c>
      <c r="M1867" s="10" t="inlineStr">
        <is>
          <t>Belkin, Hsu, Ma, Mandal, "Reconciling modern machine learning practice and the bias-variance trade-off" (arXiv:1812.11118)</t>
        </is>
      </c>
      <c r="N1867" s="14" t="inlineStr">
        <is>
          <t>read ↗</t>
        </is>
      </c>
      <c r="O1867" s="11" t="inlineStr">
        <is>
          <t>stated with the talk</t>
        </is>
      </c>
      <c r="P1867" s="10" t="inlineStr">
        <is>
          <t>9.1 Simons: Foundations of Deep Learning (Summer 2019</t>
        </is>
      </c>
    </row>
    <row r="1868">
      <c r="A1868" s="17" t="n">
        <v>1867</v>
      </c>
      <c r="B1868" s="17" t="inlineStr">
        <is>
          <t>Part III - Upstream AI Research</t>
        </is>
      </c>
      <c r="C1868" s="18" t="inlineStr">
        <is>
          <t>DLT-2 Double descent, benign overfitting, interpolation</t>
        </is>
      </c>
      <c r="D1868" s="10" t="inlineStr">
        <is>
          <t>Mikhail Belkin, IAS</t>
        </is>
      </c>
      <c r="E1868" s="10" t="inlineStr"/>
      <c r="F1868" s="11" t="inlineStr">
        <is>
          <t>37:29</t>
        </is>
      </c>
      <c r="G1868" s="11" t="n">
        <v>0.62</v>
      </c>
      <c r="H1868" s="12" t="inlineStr">
        <is>
          <t>★</t>
        </is>
      </c>
      <c r="I1868" s="11" t="inlineStr">
        <is>
          <t>Not started</t>
        </is>
      </c>
      <c r="J1868" s="13" t="n"/>
      <c r="K1868" s="10" t="inlineStr"/>
      <c r="L1868" s="14" t="inlineStr">
        <is>
          <t>▶ watch</t>
        </is>
      </c>
      <c r="M1868" s="10" t="inlineStr">
        <is>
          <t>McCoy et al. 2024, PNAS 121:e2322420121 (Embers of Autoregression) · Bubeck et al. 2023, arXiv:2303.12712 (Sparks of AGI)</t>
        </is>
      </c>
      <c r="N1868" s="14" t="inlineStr">
        <is>
          <t>read ↗</t>
        </is>
      </c>
      <c r="O1868" s="11" t="inlineStr">
        <is>
          <t xml:space="preserve">reading for D.7.7 Is reasoning real? - the standing </t>
        </is>
      </c>
      <c r="P1868" s="10" t="inlineStr">
        <is>
          <t>9.7 IAS: Special Year on Optimization, Statistics, and Theoretical Machine Learning (2019–2020</t>
        </is>
      </c>
    </row>
    <row r="1869">
      <c r="A1869" s="17" t="n">
        <v>1868</v>
      </c>
      <c r="B1869" s="17" t="inlineStr">
        <is>
          <t>Part III - Upstream AI Research</t>
        </is>
      </c>
      <c r="C1869" s="18" t="inlineStr">
        <is>
          <t>DLT-2 Double descent, benign overfitting, interpolation</t>
        </is>
      </c>
      <c r="D1869" s="10" t="inlineStr">
        <is>
          <t>Mikhail Belkin (UCSD), Oxford ML and Physics Seminars</t>
        </is>
      </c>
      <c r="E1869" s="10" t="inlineStr"/>
      <c r="F1869" s="11" t="inlineStr">
        <is>
          <t>58:00</t>
        </is>
      </c>
      <c r="G1869" s="11" t="n">
        <v>0.97</v>
      </c>
      <c r="H1869" s="12" t="inlineStr"/>
      <c r="I1869" s="11" t="inlineStr">
        <is>
          <t>Not started</t>
        </is>
      </c>
      <c r="J1869" s="13" t="n"/>
      <c r="K1869" s="10" t="inlineStr"/>
      <c r="L1869" s="14" t="inlineStr">
        <is>
          <t>▶ watch</t>
        </is>
      </c>
      <c r="M1869" s="10" t="inlineStr">
        <is>
          <t>Belkin, "Fit without fear: remarkable mathematical phenomena of deep learning through the prism of interpolation" (arXiv:2105.14368)</t>
        </is>
      </c>
      <c r="N1869" s="14" t="inlineStr">
        <is>
          <t>read ↗</t>
        </is>
      </c>
      <c r="O1869" s="11" t="inlineStr">
        <is>
          <t>stated with the talk</t>
        </is>
      </c>
      <c r="P1869" s="10" t="inlineStr"/>
    </row>
    <row r="1870">
      <c r="A1870" s="17" t="n">
        <v>1869</v>
      </c>
      <c r="B1870" s="17" t="inlineStr">
        <is>
          <t>Part III - Upstream AI Research</t>
        </is>
      </c>
      <c r="C1870" s="18" t="inlineStr">
        <is>
          <t>DLT-2 Double descent, benign overfitting, interpolation</t>
        </is>
      </c>
      <c r="D1870" s="10" t="inlineStr">
        <is>
          <t>Misha Belkin (UCSD), Simons Modern Paradigms in Generalization Boot Camp</t>
        </is>
      </c>
      <c r="E1870" s="10" t="inlineStr"/>
      <c r="F1870" s="11" t="inlineStr">
        <is>
          <t>1:19:56</t>
        </is>
      </c>
      <c r="G1870" s="11" t="n">
        <v>1.33</v>
      </c>
      <c r="H1870" s="12" t="inlineStr">
        <is>
          <t>★</t>
        </is>
      </c>
      <c r="I1870" s="11" t="inlineStr">
        <is>
          <t>Not started</t>
        </is>
      </c>
      <c r="J1870" s="13" t="n"/>
      <c r="K1870" s="10" t="inlineStr"/>
      <c r="L1870" s="14" t="inlineStr">
        <is>
          <t>▶ watch</t>
        </is>
      </c>
      <c r="M1870" s="10" t="inlineStr">
        <is>
          <t>arXiv:1812.11118</t>
        </is>
      </c>
      <c r="N1870" s="14" t="inlineStr">
        <is>
          <t>read ↗</t>
        </is>
      </c>
      <c r="O1870" s="11" t="inlineStr">
        <is>
          <t>stated with the talk</t>
        </is>
      </c>
      <c r="P1870" s="10" t="inlineStr">
        <is>
          <t>9.3 Simons: Modern Paradigms in Generalization (Fall 2024</t>
        </is>
      </c>
    </row>
    <row r="1871">
      <c r="A1871" s="17" t="n">
        <v>1870</v>
      </c>
      <c r="B1871" s="17" t="inlineStr">
        <is>
          <t>Part III - Upstream AI Research</t>
        </is>
      </c>
      <c r="C1871" s="18" t="inlineStr">
        <is>
          <t>DLT-2 Double descent, benign overfitting, interpolation</t>
        </is>
      </c>
      <c r="D1871" s="10" t="inlineStr">
        <is>
          <t>Peter Bartlett (UC Berkeley), Simons</t>
        </is>
      </c>
      <c r="E1871" s="10" t="inlineStr"/>
      <c r="F1871" s="11" t="inlineStr">
        <is>
          <t>47:40</t>
        </is>
      </c>
      <c r="G1871" s="11" t="n">
        <v>0.79</v>
      </c>
      <c r="H1871" s="12" t="inlineStr">
        <is>
          <t>★</t>
        </is>
      </c>
      <c r="I1871" s="11" t="inlineStr">
        <is>
          <t>Not started</t>
        </is>
      </c>
      <c r="J1871" s="13" t="n"/>
      <c r="K1871" s="10" t="inlineStr"/>
      <c r="L1871" s="14" t="inlineStr">
        <is>
          <t>▶ watch</t>
        </is>
      </c>
      <c r="M1871" s="10" t="inlineStr">
        <is>
          <t>Bartlett, Long, Lugosi, Tsigler, "Benign overfitting in linear regression" (arXiv:1906.11300)</t>
        </is>
      </c>
      <c r="N1871" s="14" t="inlineStr">
        <is>
          <t>read ↗</t>
        </is>
      </c>
      <c r="O1871" s="11" t="inlineStr">
        <is>
          <t>stated with the talk</t>
        </is>
      </c>
      <c r="P1871" s="10" t="inlineStr">
        <is>
          <t>9.1 Simons: Foundations of Deep Learning (Summer 2019</t>
        </is>
      </c>
    </row>
    <row r="1872">
      <c r="A1872" s="17" t="n">
        <v>1871</v>
      </c>
      <c r="B1872" s="17" t="inlineStr">
        <is>
          <t>Part III - Upstream AI Research</t>
        </is>
      </c>
      <c r="C1872" s="18" t="inlineStr">
        <is>
          <t>DLT-2 Double descent, benign overfitting, interpolation</t>
        </is>
      </c>
      <c r="D1872" s="10" t="inlineStr">
        <is>
          <t>Peter Bartlett (UC Berkeley), TOPML Workshop</t>
        </is>
      </c>
      <c r="E1872" s="10" t="inlineStr"/>
      <c r="F1872" s="11" t="inlineStr">
        <is>
          <t>1:01:04</t>
        </is>
      </c>
      <c r="G1872" s="11" t="n">
        <v>1.02</v>
      </c>
      <c r="H1872" s="12" t="inlineStr"/>
      <c r="I1872" s="11" t="inlineStr">
        <is>
          <t>Not started</t>
        </is>
      </c>
      <c r="J1872" s="13" t="n"/>
      <c r="K1872" s="10" t="inlineStr"/>
      <c r="L1872" s="14" t="inlineStr">
        <is>
          <t>▶ watch</t>
        </is>
      </c>
      <c r="M1872" s="10" t="inlineStr">
        <is>
          <t>arXiv:1906.11300</t>
        </is>
      </c>
      <c r="N1872" s="14" t="inlineStr">
        <is>
          <t>read ↗</t>
        </is>
      </c>
      <c r="O1872" s="11" t="inlineStr">
        <is>
          <t>stated with the talk</t>
        </is>
      </c>
      <c r="P1872" s="10" t="inlineStr"/>
    </row>
    <row r="1873">
      <c r="A1873" s="17" t="n">
        <v>1872</v>
      </c>
      <c r="B1873" s="17" t="inlineStr">
        <is>
          <t>Part III - Upstream AI Research</t>
        </is>
      </c>
      <c r="C1873" s="18" t="inlineStr">
        <is>
          <t>DLT-2 Double descent, benign overfitting, interpolation</t>
        </is>
      </c>
      <c r="D1873" s="10" t="inlineStr">
        <is>
          <t>Peter Bartlett (UC Berkeley)</t>
        </is>
      </c>
      <c r="E1873" s="10" t="inlineStr"/>
      <c r="F1873" s="11" t="inlineStr">
        <is>
          <t>1:30:04</t>
        </is>
      </c>
      <c r="G1873" s="11" t="n">
        <v>1.5</v>
      </c>
      <c r="H1873" s="12" t="inlineStr"/>
      <c r="I1873" s="11" t="inlineStr">
        <is>
          <t>Not started</t>
        </is>
      </c>
      <c r="J1873" s="13" t="n"/>
      <c r="K1873" s="10" t="inlineStr"/>
      <c r="L1873" s="14" t="inlineStr">
        <is>
          <t>▶ watch</t>
        </is>
      </c>
      <c r="M1873" s="10" t="inlineStr">
        <is>
          <t>Bartlett, Montanari, Rakhlin, "Deep learning: a statistical viewpoint" (arXiv:2103.09177)</t>
        </is>
      </c>
      <c r="N1873" s="14" t="inlineStr">
        <is>
          <t>read ↗</t>
        </is>
      </c>
      <c r="O1873" s="11" t="inlineStr">
        <is>
          <t>stated with the talk</t>
        </is>
      </c>
      <c r="P1873" s="10" t="inlineStr"/>
    </row>
    <row r="1874">
      <c r="A1874" s="17" t="n">
        <v>1873</v>
      </c>
      <c r="B1874" s="17" t="inlineStr">
        <is>
          <t>Part III - Upstream AI Research</t>
        </is>
      </c>
      <c r="C1874" s="18" t="inlineStr">
        <is>
          <t>DLT-2 Double descent, benign overfitting, interpolation</t>
        </is>
      </c>
      <c r="D1874" s="10" t="inlineStr">
        <is>
          <t>Peter Bartlett (UC Berkeley), CIRM</t>
        </is>
      </c>
      <c r="E1874" s="10" t="inlineStr"/>
      <c r="F1874" s="11" t="inlineStr">
        <is>
          <t>1:08:15</t>
        </is>
      </c>
      <c r="G1874" s="11" t="n">
        <v>1.14</v>
      </c>
      <c r="H1874" s="12" t="inlineStr"/>
      <c r="I1874" s="11" t="inlineStr">
        <is>
          <t>Not started</t>
        </is>
      </c>
      <c r="J1874" s="13" t="n"/>
      <c r="K1874" s="10" t="inlineStr"/>
      <c r="L1874" s="14" t="inlineStr">
        <is>
          <t>▶ watch</t>
        </is>
      </c>
      <c r="M1874" s="10" t="inlineStr">
        <is>
          <t>McCoy et al. 2024, PNAS 121:e2322420121 (Embers of Autoregression) · Bubeck et al. 2023, arXiv:2303.12712 (Sparks of AGI)</t>
        </is>
      </c>
      <c r="N1874" s="14" t="inlineStr">
        <is>
          <t>read ↗</t>
        </is>
      </c>
      <c r="O1874" s="11" t="inlineStr">
        <is>
          <t xml:space="preserve">reading for D.7.7 Is reasoning real? - the standing </t>
        </is>
      </c>
      <c r="P1874" s="10" t="inlineStr"/>
    </row>
    <row r="1875">
      <c r="A1875" s="17" t="n">
        <v>1874</v>
      </c>
      <c r="B1875" s="17" t="inlineStr">
        <is>
          <t>Part III - Upstream AI Research</t>
        </is>
      </c>
      <c r="C1875" s="18" t="inlineStr">
        <is>
          <t>DLT-2 Double descent, benign overfitting, interpolation</t>
        </is>
      </c>
      <c r="D1875" s="10" t="inlineStr">
        <is>
          <t>Neil Mallinar (UCSD) &amp; Preetum Nakkiran, Simons Deep Learning Theory Summer School</t>
        </is>
      </c>
      <c r="E1875" s="10" t="inlineStr"/>
      <c r="F1875" s="11" t="inlineStr">
        <is>
          <t>57:45</t>
        </is>
      </c>
      <c r="G1875" s="11" t="n">
        <v>0.96</v>
      </c>
      <c r="H1875" s="12" t="inlineStr">
        <is>
          <t>★</t>
        </is>
      </c>
      <c r="I1875" s="11" t="inlineStr">
        <is>
          <t>Not started</t>
        </is>
      </c>
      <c r="J1875" s="13" t="n"/>
      <c r="K1875" s="10" t="inlineStr"/>
      <c r="L1875" s="14" t="inlineStr">
        <is>
          <t>▶ watch</t>
        </is>
      </c>
      <c r="M1875" s="10" t="inlineStr">
        <is>
          <t>Mallinar, Simon, Abedsoltan, Pandit, Belkin, Nakkiran, "Benign, tempered, or catastrophic: a taxonomy of overfitting" (arXiv:2207.06569)</t>
        </is>
      </c>
      <c r="N1875" s="14" t="inlineStr">
        <is>
          <t>read ↗</t>
        </is>
      </c>
      <c r="O1875" s="11" t="inlineStr">
        <is>
          <t>stated with the talk</t>
        </is>
      </c>
      <c r="P1875" s="10" t="inlineStr">
        <is>
          <t>9.2 Simons: Deep Learning Theory Workshop and Summer School (August 1–5, 2022</t>
        </is>
      </c>
    </row>
    <row r="1876">
      <c r="A1876" s="17" t="n">
        <v>1875</v>
      </c>
      <c r="B1876" s="17" t="inlineStr">
        <is>
          <t>Part III - Upstream AI Research</t>
        </is>
      </c>
      <c r="C1876" s="18" t="inlineStr">
        <is>
          <t>DLT-2 Double descent, benign overfitting, interpolation</t>
        </is>
      </c>
      <c r="D1876" s="10" t="inlineStr">
        <is>
          <t>Simons</t>
        </is>
      </c>
      <c r="E1876" s="10" t="inlineStr"/>
      <c r="F1876" s="11" t="inlineStr">
        <is>
          <t>26:25</t>
        </is>
      </c>
      <c r="G1876" s="11" t="n">
        <v>0.44</v>
      </c>
      <c r="H1876" s="12" t="inlineStr"/>
      <c r="I1876" s="11" t="inlineStr">
        <is>
          <t>Not started</t>
        </is>
      </c>
      <c r="J1876" s="13" t="n"/>
      <c r="K1876" s="10" t="inlineStr"/>
      <c r="L1876" s="14" t="inlineStr">
        <is>
          <t>▶ watch</t>
        </is>
      </c>
      <c r="M1876" s="10" t="inlineStr">
        <is>
          <t>McCoy et al. 2024, PNAS 121:e2322420121 (Embers of Autoregression) · Bubeck et al. 2023, arXiv:2303.12712 (Sparks of AGI)</t>
        </is>
      </c>
      <c r="N1876" s="14" t="inlineStr">
        <is>
          <t>read ↗</t>
        </is>
      </c>
      <c r="O1876" s="11" t="inlineStr">
        <is>
          <t xml:space="preserve">reading for D.7.7 Is reasoning real? - the standing </t>
        </is>
      </c>
      <c r="P1876" s="10" t="inlineStr"/>
    </row>
    <row r="1877">
      <c r="A1877" s="17" t="n">
        <v>1876</v>
      </c>
      <c r="B1877" s="17" t="inlineStr">
        <is>
          <t>Part III - Upstream AI Research</t>
        </is>
      </c>
      <c r="C1877" s="18" t="inlineStr">
        <is>
          <t>DLT-2 Double descent, benign overfitting, interpolation</t>
        </is>
      </c>
      <c r="D1877" s="10" t="inlineStr">
        <is>
          <t>Niladri Chatterji (OpenAI), Simons Deep Learning Theory Summer School</t>
        </is>
      </c>
      <c r="E1877" s="10" t="inlineStr"/>
      <c r="F1877" s="11" t="inlineStr">
        <is>
          <t>54:40</t>
        </is>
      </c>
      <c r="G1877" s="11" t="n">
        <v>0.91</v>
      </c>
      <c r="H1877" s="12" t="inlineStr"/>
      <c r="I1877" s="11" t="inlineStr">
        <is>
          <t>Not started</t>
        </is>
      </c>
      <c r="J1877" s="13" t="n"/>
      <c r="K1877" s="10" t="inlineStr"/>
      <c r="L1877" s="14" t="inlineStr">
        <is>
          <t>▶ watch</t>
        </is>
      </c>
      <c r="M1877" s="10" t="inlineStr">
        <is>
          <t>McCoy et al. 2024, PNAS 121:e2322420121 (Embers of Autoregression) · Bubeck et al. 2023, arXiv:2303.12712 (Sparks of AGI)</t>
        </is>
      </c>
      <c r="N1877" s="14" t="inlineStr">
        <is>
          <t>read ↗</t>
        </is>
      </c>
      <c r="O1877" s="11" t="inlineStr">
        <is>
          <t xml:space="preserve">reading for D.7.7 Is reasoning real? - the standing </t>
        </is>
      </c>
      <c r="P1877" s="10" t="inlineStr">
        <is>
          <t>9.2 Simons: Deep Learning Theory Workshop and Summer School (August 1–5, 2022</t>
        </is>
      </c>
    </row>
    <row r="1878">
      <c r="A1878" s="17" t="n">
        <v>1877</v>
      </c>
      <c r="B1878" s="17" t="inlineStr">
        <is>
          <t>Part III - Upstream AI Research</t>
        </is>
      </c>
      <c r="C1878" s="18" t="inlineStr">
        <is>
          <t>DLT-2 Double descent, benign overfitting, interpolation</t>
        </is>
      </c>
      <c r="D1878" s="10" t="inlineStr">
        <is>
          <t>Fanny Yang (ETH Zurich), Simons Modern Paradigms in Generalization Boot Camp</t>
        </is>
      </c>
      <c r="E1878" s="10" t="inlineStr"/>
      <c r="F1878" s="11" t="inlineStr">
        <is>
          <t>1:18:05</t>
        </is>
      </c>
      <c r="G1878" s="11" t="n">
        <v>1.3</v>
      </c>
      <c r="H1878" s="12" t="inlineStr">
        <is>
          <t>★</t>
        </is>
      </c>
      <c r="I1878" s="11" t="inlineStr">
        <is>
          <t>Not started</t>
        </is>
      </c>
      <c r="J1878" s="13" t="n"/>
      <c r="K1878" s="10" t="inlineStr"/>
      <c r="L1878" s="14" t="inlineStr">
        <is>
          <t>▶ watch</t>
        </is>
      </c>
      <c r="M1878" s="10" t="inlineStr">
        <is>
          <t>McCoy et al. 2024, PNAS 121:e2322420121 (Embers of Autoregression) · Bubeck et al. 2023, arXiv:2303.12712 (Sparks of AGI)</t>
        </is>
      </c>
      <c r="N1878" s="14" t="inlineStr">
        <is>
          <t>read ↗</t>
        </is>
      </c>
      <c r="O1878" s="11" t="inlineStr">
        <is>
          <t xml:space="preserve">reading for D.7.7 Is reasoning real? - the standing </t>
        </is>
      </c>
      <c r="P1878" s="10" t="inlineStr">
        <is>
          <t>9.3 Simons: Modern Paradigms in Generalization (Fall 2024</t>
        </is>
      </c>
    </row>
    <row r="1879">
      <c r="A1879" s="17" t="n">
        <v>1878</v>
      </c>
      <c r="B1879" s="17" t="inlineStr">
        <is>
          <t>Part III - Upstream AI Research</t>
        </is>
      </c>
      <c r="C1879" s="18" t="inlineStr">
        <is>
          <t>DLT-2 Double descent, benign overfitting, interpolation</t>
        </is>
      </c>
      <c r="D1879" s="10" t="inlineStr">
        <is>
          <t>Preetum Nakkiran (Harvard), ICTP</t>
        </is>
      </c>
      <c r="E1879" s="10" t="inlineStr"/>
      <c r="F1879" s="11" t="inlineStr">
        <is>
          <t>19:54</t>
        </is>
      </c>
      <c r="G1879" s="11" t="n">
        <v>0.33</v>
      </c>
      <c r="H1879" s="12" t="inlineStr"/>
      <c r="I1879" s="11" t="inlineStr">
        <is>
          <t>Not started</t>
        </is>
      </c>
      <c r="J1879" s="13" t="n"/>
      <c r="K1879" s="10" t="inlineStr"/>
      <c r="L1879" s="14" t="inlineStr">
        <is>
          <t>▶ watch</t>
        </is>
      </c>
      <c r="M1879" s="10" t="inlineStr">
        <is>
          <t>"The Deep Bootstrap Framework" (arXiv:2010.08127); "Deep Double Descent" (arXiv:1912.02292)</t>
        </is>
      </c>
      <c r="N1879" s="14" t="inlineStr">
        <is>
          <t>read ↗</t>
        </is>
      </c>
      <c r="O1879" s="11" t="inlineStr">
        <is>
          <t>stated with the talk</t>
        </is>
      </c>
      <c r="P1879" s="10" t="inlineStr"/>
    </row>
    <row r="1880">
      <c r="A1880" s="17" t="n">
        <v>1879</v>
      </c>
      <c r="B1880" s="17" t="inlineStr">
        <is>
          <t>Part III - Upstream AI Research</t>
        </is>
      </c>
      <c r="C1880" s="18" t="inlineStr">
        <is>
          <t>DLT-2 Double descent, benign overfitting, interpolation</t>
        </is>
      </c>
      <c r="D1880" s="10" t="inlineStr">
        <is>
          <t>Preetum Nakkiran</t>
        </is>
      </c>
      <c r="E1880" s="10" t="inlineStr"/>
      <c r="F1880" s="11" t="inlineStr">
        <is>
          <t>1:37:29</t>
        </is>
      </c>
      <c r="G1880" s="11" t="n">
        <v>1.62</v>
      </c>
      <c r="H1880" s="12" t="inlineStr"/>
      <c r="I1880" s="11" t="inlineStr">
        <is>
          <t>Not started</t>
        </is>
      </c>
      <c r="J1880" s="13" t="n"/>
      <c r="K1880" s="10" t="inlineStr"/>
      <c r="L1880" s="14" t="inlineStr">
        <is>
          <t>▶ watch</t>
        </is>
      </c>
      <c r="M1880" s="10" t="inlineStr">
        <is>
          <t>McCoy et al. 2024, PNAS 121:e2322420121 (Embers of Autoregression) · Bubeck et al. 2023, arXiv:2303.12712 (Sparks of AGI)</t>
        </is>
      </c>
      <c r="N1880" s="14" t="inlineStr">
        <is>
          <t>read ↗</t>
        </is>
      </c>
      <c r="O1880" s="11" t="inlineStr">
        <is>
          <t xml:space="preserve">reading for D.7.7 Is reasoning real? - the standing </t>
        </is>
      </c>
      <c r="P1880" s="10" t="inlineStr"/>
    </row>
    <row r="1881">
      <c r="A1881" s="17" t="n">
        <v>1880</v>
      </c>
      <c r="B1881" s="17" t="inlineStr">
        <is>
          <t>Part III - Upstream AI Research</t>
        </is>
      </c>
      <c r="C1881" s="18" t="inlineStr">
        <is>
          <t>DLT-2 Double descent, benign overfitting, interpolation</t>
        </is>
      </c>
      <c r="D1881" s="10" t="inlineStr">
        <is>
          <t>Simons</t>
        </is>
      </c>
      <c r="E1881" s="10" t="inlineStr"/>
      <c r="F1881" s="11" t="inlineStr">
        <is>
          <t>1:06:39</t>
        </is>
      </c>
      <c r="G1881" s="11" t="n">
        <v>1.11</v>
      </c>
      <c r="H1881" s="12" t="inlineStr"/>
      <c r="I1881" s="11" t="inlineStr">
        <is>
          <t>Not started</t>
        </is>
      </c>
      <c r="J1881" s="13" t="n"/>
      <c r="K1881" s="10" t="inlineStr"/>
      <c r="L1881" s="14" t="inlineStr">
        <is>
          <t>▶ watch</t>
        </is>
      </c>
      <c r="M1881" s="10" t="inlineStr">
        <is>
          <t>Montanari, Zhong (arXiv:2007.12826)</t>
        </is>
      </c>
      <c r="N1881" s="14" t="inlineStr">
        <is>
          <t>read ↗</t>
        </is>
      </c>
      <c r="O1881" s="11" t="inlineStr">
        <is>
          <t>stated with the talk</t>
        </is>
      </c>
      <c r="P1881" s="10" t="inlineStr"/>
    </row>
    <row r="1882">
      <c r="A1882" s="17" t="n">
        <v>1881</v>
      </c>
      <c r="B1882" s="17" t="inlineStr">
        <is>
          <t>Part III - Upstream AI Research</t>
        </is>
      </c>
      <c r="C1882" s="18" t="inlineStr">
        <is>
          <t>DLT-2 Double descent, benign overfitting, interpolation</t>
        </is>
      </c>
      <c r="D1882" s="10" t="inlineStr">
        <is>
          <t>Suriya Gunasekar (Microsoft Research), Simons</t>
        </is>
      </c>
      <c r="E1882" s="10" t="inlineStr"/>
      <c r="F1882" s="11" t="inlineStr">
        <is>
          <t>46:15</t>
        </is>
      </c>
      <c r="G1882" s="11" t="n">
        <v>0.77</v>
      </c>
      <c r="H1882" s="12" t="inlineStr">
        <is>
          <t>★</t>
        </is>
      </c>
      <c r="I1882" s="11" t="inlineStr">
        <is>
          <t>Not started</t>
        </is>
      </c>
      <c r="J1882" s="13" t="n"/>
      <c r="K1882" s="10" t="inlineStr"/>
      <c r="L1882" s="14" t="inlineStr">
        <is>
          <t>▶ watch</t>
        </is>
      </c>
      <c r="M1882" s="10" t="inlineStr">
        <is>
          <t>Woodworth et al., "Kernel and rich regimes in overparametrized models" (arXiv:2002.09277)</t>
        </is>
      </c>
      <c r="N1882" s="14" t="inlineStr">
        <is>
          <t>read ↗</t>
        </is>
      </c>
      <c r="O1882" s="11" t="inlineStr">
        <is>
          <t>stated with the talk</t>
        </is>
      </c>
      <c r="P1882" s="10" t="inlineStr">
        <is>
          <t>9.1 Simons: Foundations of Deep Learning (Summer 2019</t>
        </is>
      </c>
    </row>
    <row r="1883">
      <c r="A1883" s="17" t="n">
        <v>1882</v>
      </c>
      <c r="B1883" s="17" t="inlineStr">
        <is>
          <t>Part III - Upstream AI Research</t>
        </is>
      </c>
      <c r="C1883" s="18" t="inlineStr">
        <is>
          <t>DLT-2 Double descent, benign overfitting, interpolation</t>
        </is>
      </c>
      <c r="D1883" s="10" t="inlineStr">
        <is>
          <t>Nati Srebro (TTIC), IAS</t>
        </is>
      </c>
      <c r="E1883" s="10" t="inlineStr"/>
      <c r="F1883" s="11" t="inlineStr">
        <is>
          <t>37:01</t>
        </is>
      </c>
      <c r="G1883" s="11" t="n">
        <v>0.62</v>
      </c>
      <c r="H1883" s="12" t="inlineStr">
        <is>
          <t>★</t>
        </is>
      </c>
      <c r="I1883" s="11" t="inlineStr">
        <is>
          <t>Not started</t>
        </is>
      </c>
      <c r="J1883" s="13" t="n"/>
      <c r="K1883" s="10" t="inlineStr"/>
      <c r="L1883" s="14" t="inlineStr">
        <is>
          <t>▶ watch</t>
        </is>
      </c>
      <c r="M1883" s="10" t="inlineStr">
        <is>
          <t>arXiv:2002.09277</t>
        </is>
      </c>
      <c r="N1883" s="14" t="inlineStr">
        <is>
          <t>read ↗</t>
        </is>
      </c>
      <c r="O1883" s="11" t="inlineStr">
        <is>
          <t>stated with the talk</t>
        </is>
      </c>
      <c r="P1883" s="10" t="inlineStr">
        <is>
          <t>9.7 IAS: Special Year on Optimization, Statistics, and Theoretical Machine Learning (2019–2020</t>
        </is>
      </c>
    </row>
    <row r="1884">
      <c r="A1884" s="17" t="n">
        <v>1883</v>
      </c>
      <c r="B1884" s="17" t="inlineStr">
        <is>
          <t>Part III - Upstream AI Research</t>
        </is>
      </c>
      <c r="C1884" s="18" t="inlineStr">
        <is>
          <t>3.1 The NTK and the wide limit</t>
        </is>
      </c>
      <c r="D1884" s="10" t="inlineStr">
        <is>
          <t>Arthur Jacot, Franck Gabriel, Clément Hongler (EPFL)</t>
        </is>
      </c>
      <c r="E1884" s="10" t="inlineStr"/>
      <c r="F1884" s="11" t="inlineStr">
        <is>
          <t>22:25</t>
        </is>
      </c>
      <c r="G1884" s="11" t="n">
        <v>0.37</v>
      </c>
      <c r="H1884" s="12" t="inlineStr"/>
      <c r="I1884" s="11" t="inlineStr">
        <is>
          <t>Not started</t>
        </is>
      </c>
      <c r="J1884" s="13" t="n"/>
      <c r="K1884" s="10" t="inlineStr"/>
      <c r="L1884" s="14" t="inlineStr">
        <is>
          <t>▶ watch</t>
        </is>
      </c>
      <c r="M1884" s="10" t="inlineStr">
        <is>
          <t>Jacot, Gabriel, Hongler (arXiv:1806.07572)</t>
        </is>
      </c>
      <c r="N1884" s="14" t="inlineStr">
        <is>
          <t>read ↗</t>
        </is>
      </c>
      <c r="O1884" s="11" t="inlineStr">
        <is>
          <t>stated with the talk</t>
        </is>
      </c>
      <c r="P1884" s="10" t="inlineStr"/>
    </row>
    <row r="1885">
      <c r="A1885" s="17" t="n">
        <v>1884</v>
      </c>
      <c r="B1885" s="17" t="inlineStr">
        <is>
          <t>Part III - Upstream AI Research</t>
        </is>
      </c>
      <c r="C1885" s="18" t="inlineStr">
        <is>
          <t>3.1 The NTK and the wide limit</t>
        </is>
      </c>
      <c r="D1885" s="10" t="inlineStr">
        <is>
          <t>Jascha Sohl-Dickstein (Google Brain), Understanding Deep Learning lecture series</t>
        </is>
      </c>
      <c r="E1885" s="10" t="inlineStr">
        <is>
          <t>Jascha Sohl-Dickstein (Google Brain</t>
        </is>
      </c>
      <c r="F1885" s="11" t="inlineStr">
        <is>
          <t>1:16:51</t>
        </is>
      </c>
      <c r="G1885" s="11" t="n">
        <v>1.28</v>
      </c>
      <c r="H1885" s="12" t="inlineStr"/>
      <c r="I1885" s="11" t="inlineStr">
        <is>
          <t>Not started</t>
        </is>
      </c>
      <c r="J1885" s="13" t="n"/>
      <c r="K1885" s="10" t="inlineStr"/>
      <c r="L1885" s="14" t="inlineStr">
        <is>
          <t>▶ watch</t>
        </is>
      </c>
      <c r="M1885" s="10" t="inlineStr">
        <is>
          <t>Lee et al., "Deep neural networks as Gaussian processes" (arXiv:1711.00165); Lee et al., "Wide neural networks of any depth evolve as linear models under gradient descent"</t>
        </is>
      </c>
      <c r="N1885" s="14" t="inlineStr">
        <is>
          <t>read ↗</t>
        </is>
      </c>
      <c r="O1885" s="11" t="inlineStr">
        <is>
          <t>stated with the talk</t>
        </is>
      </c>
      <c r="P1885" s="10" t="inlineStr">
        <is>
          <t>8.5 Understanding Deep Learning lecture series</t>
        </is>
      </c>
    </row>
    <row r="1886">
      <c r="A1886" s="17" t="n">
        <v>1885</v>
      </c>
      <c r="B1886" s="17" t="inlineStr">
        <is>
          <t>Part III - Upstream AI Research</t>
        </is>
      </c>
      <c r="C1886" s="18" t="inlineStr">
        <is>
          <t>3.1 The NTK and the wide limit</t>
        </is>
      </c>
      <c r="D1886" s="10" t="inlineStr">
        <is>
          <t>Jascha Sohl-Dickstein (Google Brain), Oxford ML and Physics</t>
        </is>
      </c>
      <c r="E1886" s="10" t="inlineStr"/>
      <c r="F1886" s="11" t="inlineStr">
        <is>
          <t>1:18:22</t>
        </is>
      </c>
      <c r="G1886" s="11" t="n">
        <v>1.31</v>
      </c>
      <c r="H1886" s="12" t="inlineStr"/>
      <c r="I1886" s="11" t="inlineStr">
        <is>
          <t>Not started</t>
        </is>
      </c>
      <c r="J1886" s="13" t="n"/>
      <c r="K1886" s="10" t="inlineStr"/>
      <c r="L1886" s="14" t="inlineStr">
        <is>
          <t>▶ watch</t>
        </is>
      </c>
      <c r="M1886" s="10" t="inlineStr">
        <is>
          <t>arXiv:1902.06720</t>
        </is>
      </c>
      <c r="N1886" s="14" t="inlineStr">
        <is>
          <t>read ↗</t>
        </is>
      </c>
      <c r="O1886" s="11" t="inlineStr">
        <is>
          <t>stated with the talk</t>
        </is>
      </c>
      <c r="P1886" s="10" t="inlineStr"/>
    </row>
    <row r="1887">
      <c r="A1887" s="17" t="n">
        <v>1886</v>
      </c>
      <c r="B1887" s="17" t="inlineStr">
        <is>
          <t>Part III - Upstream AI Research</t>
        </is>
      </c>
      <c r="C1887" s="18" t="inlineStr">
        <is>
          <t>3.1 The NTK and the wide limit</t>
        </is>
      </c>
      <c r="D1887" s="10" t="inlineStr">
        <is>
          <t>Yasaman Bahri (Google Brain), DeepMath</t>
        </is>
      </c>
      <c r="E1887" s="10" t="inlineStr"/>
      <c r="F1887" s="11" t="inlineStr">
        <is>
          <t>1:11:37</t>
        </is>
      </c>
      <c r="G1887" s="11" t="n">
        <v>1.19</v>
      </c>
      <c r="H1887" s="12" t="inlineStr"/>
      <c r="I1887" s="11" t="inlineStr">
        <is>
          <t>Not started</t>
        </is>
      </c>
      <c r="J1887" s="13" t="n"/>
      <c r="K1887" s="10" t="inlineStr"/>
      <c r="L1887" s="14" t="inlineStr">
        <is>
          <t>▶ watch</t>
        </is>
      </c>
      <c r="M1887" s="10" t="inlineStr">
        <is>
          <t>McCoy et al. 2024, PNAS 121:e2322420121 (Embers of Autoregression) · Bubeck et al. 2023, arXiv:2303.12712 (Sparks of AGI)</t>
        </is>
      </c>
      <c r="N1887" s="14" t="inlineStr">
        <is>
          <t>read ↗</t>
        </is>
      </c>
      <c r="O1887" s="11" t="inlineStr">
        <is>
          <t xml:space="preserve">reading for D.7.7 Is reasoning real? - the standing </t>
        </is>
      </c>
      <c r="P1887" s="10" t="inlineStr"/>
    </row>
    <row r="1888">
      <c r="A1888" s="17" t="n">
        <v>1887</v>
      </c>
      <c r="B1888" s="17" t="inlineStr">
        <is>
          <t>Part III - Upstream AI Research</t>
        </is>
      </c>
      <c r="C1888" s="18" t="inlineStr">
        <is>
          <t>3.1 The NTK and the wide limit</t>
        </is>
      </c>
      <c r="D1888" s="10" t="inlineStr">
        <is>
          <t>Yasaman Bahri (Google Brain), Simons</t>
        </is>
      </c>
      <c r="E1888" s="10" t="inlineStr"/>
      <c r="F1888" s="11" t="inlineStr">
        <is>
          <t>48:40</t>
        </is>
      </c>
      <c r="G1888" s="11" t="n">
        <v>0.8100000000000001</v>
      </c>
      <c r="H1888" s="12" t="inlineStr">
        <is>
          <t>★</t>
        </is>
      </c>
      <c r="I1888" s="11" t="inlineStr">
        <is>
          <t>Not started</t>
        </is>
      </c>
      <c r="J1888" s="13" t="n"/>
      <c r="K1888" s="10" t="inlineStr"/>
      <c r="L1888" s="14" t="inlineStr">
        <is>
          <t>▶ watch</t>
        </is>
      </c>
      <c r="M1888" s="10" t="inlineStr">
        <is>
          <t>McCoy et al. 2024, PNAS 121:e2322420121 (Embers of Autoregression) · Bubeck et al. 2023, arXiv:2303.12712 (Sparks of AGI)</t>
        </is>
      </c>
      <c r="N1888" s="14" t="inlineStr">
        <is>
          <t>read ↗</t>
        </is>
      </c>
      <c r="O1888" s="11" t="inlineStr">
        <is>
          <t xml:space="preserve">reading for D.7.7 Is reasoning real? - the standing </t>
        </is>
      </c>
      <c r="P1888" s="10" t="inlineStr">
        <is>
          <t>9.1 Simons: Foundations of Deep Learning (Summer 2019</t>
        </is>
      </c>
    </row>
    <row r="1889">
      <c r="A1889" s="17" t="n">
        <v>1888</v>
      </c>
      <c r="B1889" s="17" t="inlineStr">
        <is>
          <t>Part III - Upstream AI Research</t>
        </is>
      </c>
      <c r="C1889" s="18" t="inlineStr">
        <is>
          <t>3.1 The NTK and the wide limit</t>
        </is>
      </c>
      <c r="D1889" s="10" t="inlineStr">
        <is>
          <t>Tengyu Ma (Stanford)</t>
        </is>
      </c>
      <c r="E1889" s="10" t="inlineStr"/>
      <c r="F1889" s="11" t="inlineStr">
        <is>
          <t>1:29:30</t>
        </is>
      </c>
      <c r="G1889" s="11" t="n">
        <v>1.49</v>
      </c>
      <c r="H1889" s="12" t="inlineStr"/>
      <c r="I1889" s="11" t="inlineStr">
        <is>
          <t>Not started</t>
        </is>
      </c>
      <c r="J1889" s="13" t="n"/>
      <c r="K1889" s="10" t="inlineStr"/>
      <c r="L1889" s="14" t="inlineStr">
        <is>
          <t>▶ watch</t>
        </is>
      </c>
      <c r="M1889" s="10" t="inlineStr">
        <is>
          <t>McCoy et al. 2024, PNAS 121:e2322420121 (Embers of Autoregression) · Bubeck et al. 2023, arXiv:2303.12712 (Sparks of AGI)</t>
        </is>
      </c>
      <c r="N1889" s="14" t="inlineStr">
        <is>
          <t>read ↗</t>
        </is>
      </c>
      <c r="O1889" s="11" t="inlineStr">
        <is>
          <t xml:space="preserve">reading for D.7.7 Is reasoning real? - the standing </t>
        </is>
      </c>
      <c r="P1889" s="10" t="inlineStr">
        <is>
          <t>8.1 Stanford CS229M / STATS214 - Machine Learning Theory</t>
        </is>
      </c>
    </row>
    <row r="1890">
      <c r="A1890" s="17" t="n">
        <v>1889</v>
      </c>
      <c r="B1890" s="17" t="inlineStr">
        <is>
          <t>Part III - Upstream AI Research</t>
        </is>
      </c>
      <c r="C1890" s="18" t="inlineStr">
        <is>
          <t>3.1 The NTK and the wide limit</t>
        </is>
      </c>
      <c r="D1890" s="10" t="inlineStr">
        <is>
          <t>Simon Du (University of Washington), IAS</t>
        </is>
      </c>
      <c r="E1890" s="10" t="inlineStr"/>
      <c r="F1890" s="11" t="inlineStr">
        <is>
          <t>30:46</t>
        </is>
      </c>
      <c r="G1890" s="11" t="n">
        <v>0.51</v>
      </c>
      <c r="H1890" s="12" t="inlineStr"/>
      <c r="I1890" s="11" t="inlineStr">
        <is>
          <t>Not started</t>
        </is>
      </c>
      <c r="J1890" s="13" t="n"/>
      <c r="K1890" s="10" t="inlineStr"/>
      <c r="L1890" s="14" t="inlineStr">
        <is>
          <t>▶ watch</t>
        </is>
      </c>
      <c r="M1890" s="10" t="inlineStr">
        <is>
          <t>McCoy et al. 2024, PNAS 121:e2322420121 (Embers of Autoregression) · Bubeck et al. 2023, arXiv:2303.12712 (Sparks of AGI)</t>
        </is>
      </c>
      <c r="N1890" s="14" t="inlineStr">
        <is>
          <t>read ↗</t>
        </is>
      </c>
      <c r="O1890" s="11" t="inlineStr">
        <is>
          <t xml:space="preserve">reading for D.7.7 Is reasoning real? - the standing </t>
        </is>
      </c>
      <c r="P1890" s="10" t="inlineStr">
        <is>
          <t>9.7 IAS: Special Year on Optimization, Statistics, and Theoretical Machine Learning (2019–2020</t>
        </is>
      </c>
    </row>
    <row r="1891">
      <c r="A1891" s="17" t="n">
        <v>1890</v>
      </c>
      <c r="B1891" s="17" t="inlineStr">
        <is>
          <t>Part III - Upstream AI Research</t>
        </is>
      </c>
      <c r="C1891" s="18" t="inlineStr">
        <is>
          <t>3.1 The NTK and the wide limit</t>
        </is>
      </c>
      <c r="D1891" s="10" t="inlineStr">
        <is>
          <t>Guy Gur-Ari (Google), Understanding Deep Learning lecture series</t>
        </is>
      </c>
      <c r="E1891" s="10" t="inlineStr">
        <is>
          <t>Guy Gur-Ari (Google</t>
        </is>
      </c>
      <c r="F1891" s="11" t="inlineStr">
        <is>
          <t>1:07:20</t>
        </is>
      </c>
      <c r="G1891" s="11" t="n">
        <v>1.12</v>
      </c>
      <c r="H1891" s="12" t="inlineStr"/>
      <c r="I1891" s="11" t="inlineStr">
        <is>
          <t>Not started</t>
        </is>
      </c>
      <c r="J1891" s="13" t="n"/>
      <c r="K1891" s="10" t="inlineStr"/>
      <c r="L1891" s="14" t="inlineStr">
        <is>
          <t>▶ watch</t>
        </is>
      </c>
      <c r="M1891" s="10" t="inlineStr">
        <is>
          <t>Lewkowycz, Bahri, Dyer, Sohl-Dickstein, Gur-Ari (arXiv:2003.02218)</t>
        </is>
      </c>
      <c r="N1891" s="14" t="inlineStr">
        <is>
          <t>read ↗</t>
        </is>
      </c>
      <c r="O1891" s="11" t="inlineStr">
        <is>
          <t>stated with the talk</t>
        </is>
      </c>
      <c r="P1891" s="10" t="inlineStr">
        <is>
          <t>8.5 Understanding Deep Learning lecture series</t>
        </is>
      </c>
    </row>
    <row r="1892">
      <c r="A1892" s="17" t="n">
        <v>1891</v>
      </c>
      <c r="B1892" s="17" t="inlineStr">
        <is>
          <t>Part III - Upstream AI Research</t>
        </is>
      </c>
      <c r="C1892" s="18" t="inlineStr">
        <is>
          <t>3.2 Lazy training versus feature learning, and mean-field limits</t>
        </is>
      </c>
      <c r="D1892" s="10" t="inlineStr">
        <is>
          <t>Lénaïc Chizat (CNRS / Paris-Saclay), One World Theoretical ML</t>
        </is>
      </c>
      <c r="E1892" s="10" t="inlineStr"/>
      <c r="F1892" s="11" t="inlineStr">
        <is>
          <t>1:07:29</t>
        </is>
      </c>
      <c r="G1892" s="11" t="n">
        <v>1.12</v>
      </c>
      <c r="H1892" s="12" t="inlineStr"/>
      <c r="I1892" s="11" t="inlineStr">
        <is>
          <t>Not started</t>
        </is>
      </c>
      <c r="J1892" s="13" t="n"/>
      <c r="K1892" s="10" t="inlineStr"/>
      <c r="L1892" s="14" t="inlineStr">
        <is>
          <t>▶ watch</t>
        </is>
      </c>
      <c r="M1892" s="10" t="inlineStr">
        <is>
          <t>Chizat, Oyallon, Bach, "On lazy training in differentiable programming" (arXiv:1812.07956); Chizat &amp; Bach (arXiv:2002.04486)</t>
        </is>
      </c>
      <c r="N1892" s="14" t="inlineStr">
        <is>
          <t>read ↗</t>
        </is>
      </c>
      <c r="O1892" s="11" t="inlineStr">
        <is>
          <t>stated with the talk</t>
        </is>
      </c>
      <c r="P1892" s="10" t="inlineStr"/>
    </row>
    <row r="1893">
      <c r="A1893" s="17" t="n">
        <v>1892</v>
      </c>
      <c r="B1893" s="17" t="inlineStr">
        <is>
          <t>Part III - Upstream AI Research</t>
        </is>
      </c>
      <c r="C1893" s="18" t="inlineStr">
        <is>
          <t>3.2 Lazy training versus feature learning, and mean-field limits</t>
        </is>
      </c>
      <c r="D1893" s="10" t="inlineStr">
        <is>
          <t>Lénaïc Chizat</t>
        </is>
      </c>
      <c r="E1893" s="10" t="inlineStr"/>
      <c r="F1893" s="11" t="inlineStr">
        <is>
          <t>38:55</t>
        </is>
      </c>
      <c r="G1893" s="11" t="n">
        <v>0.65</v>
      </c>
      <c r="H1893" s="12" t="inlineStr"/>
      <c r="I1893" s="11" t="inlineStr">
        <is>
          <t>Not started</t>
        </is>
      </c>
      <c r="J1893" s="13" t="n"/>
      <c r="K1893" s="10" t="inlineStr"/>
      <c r="L1893" s="14" t="inlineStr">
        <is>
          <t>▶ watch</t>
        </is>
      </c>
      <c r="M1893" s="10" t="inlineStr">
        <is>
          <t>McCoy et al. 2024, PNAS 121:e2322420121 (Embers of Autoregression) · Bubeck et al. 2023, arXiv:2303.12712 (Sparks of AGI)</t>
        </is>
      </c>
      <c r="N1893" s="14" t="inlineStr">
        <is>
          <t>read ↗</t>
        </is>
      </c>
      <c r="O1893" s="11" t="inlineStr">
        <is>
          <t xml:space="preserve">reading for D.7.7 Is reasoning real? - the standing </t>
        </is>
      </c>
      <c r="P1893" s="10" t="inlineStr"/>
    </row>
    <row r="1894">
      <c r="A1894" s="17" t="n">
        <v>1893</v>
      </c>
      <c r="B1894" s="17" t="inlineStr">
        <is>
          <t>Part III - Upstream AI Research</t>
        </is>
      </c>
      <c r="C1894" s="18" t="inlineStr">
        <is>
          <t>3.2 Lazy training versus feature learning, and mean-field limits</t>
        </is>
      </c>
      <c r="D1894" s="10" t="inlineStr">
        <is>
          <t>Francis Bach (INRIA / ENS), Institut Henri Poincaré</t>
        </is>
      </c>
      <c r="E1894" s="10" t="inlineStr"/>
      <c r="F1894" s="11" t="inlineStr">
        <is>
          <t>1:00:51</t>
        </is>
      </c>
      <c r="G1894" s="11" t="n">
        <v>1.01</v>
      </c>
      <c r="H1894" s="12" t="inlineStr"/>
      <c r="I1894" s="11" t="inlineStr">
        <is>
          <t>Not started</t>
        </is>
      </c>
      <c r="J1894" s="13" t="n"/>
      <c r="K1894" s="10" t="inlineStr"/>
      <c r="L1894" s="14" t="inlineStr">
        <is>
          <t>▶ watch</t>
        </is>
      </c>
      <c r="M1894" s="10" t="inlineStr">
        <is>
          <t>Chizat &amp; Bach (arXiv:1805.09545)</t>
        </is>
      </c>
      <c r="N1894" s="14" t="inlineStr">
        <is>
          <t>read ↗</t>
        </is>
      </c>
      <c r="O1894" s="11" t="inlineStr">
        <is>
          <t>stated with the talk</t>
        </is>
      </c>
      <c r="P1894" s="10" t="inlineStr"/>
    </row>
    <row r="1895">
      <c r="A1895" s="17" t="n">
        <v>1894</v>
      </c>
      <c r="B1895" s="17" t="inlineStr">
        <is>
          <t>Part III - Upstream AI Research</t>
        </is>
      </c>
      <c r="C1895" s="18" t="inlineStr">
        <is>
          <t>3.2 Lazy training versus feature learning, and mean-field limits</t>
        </is>
      </c>
      <c r="D1895" s="10" t="inlineStr">
        <is>
          <t>Andrea Montanari (Stanford), FODSI</t>
        </is>
      </c>
      <c r="E1895" s="10" t="inlineStr"/>
      <c r="F1895" s="11" t="inlineStr">
        <is>
          <t>1:05:39</t>
        </is>
      </c>
      <c r="G1895" s="11" t="n">
        <v>1.09</v>
      </c>
      <c r="H1895" s="12" t="inlineStr"/>
      <c r="I1895" s="11" t="inlineStr">
        <is>
          <t>Not started</t>
        </is>
      </c>
      <c r="J1895" s="13" t="n"/>
      <c r="K1895" s="10" t="inlineStr"/>
      <c r="L1895" s="14" t="inlineStr">
        <is>
          <t>▶ watch</t>
        </is>
      </c>
      <c r="M1895" s="10" t="inlineStr">
        <is>
          <t>Mei, Montanari, Nguyen (arXiv:1804.06561)</t>
        </is>
      </c>
      <c r="N1895" s="14" t="inlineStr">
        <is>
          <t>read ↗</t>
        </is>
      </c>
      <c r="O1895" s="11" t="inlineStr">
        <is>
          <t>stated with the talk</t>
        </is>
      </c>
      <c r="P1895" s="10" t="inlineStr"/>
    </row>
    <row r="1896">
      <c r="A1896" s="17" t="n">
        <v>1895</v>
      </c>
      <c r="B1896" s="17" t="inlineStr">
        <is>
          <t>Part III - Upstream AI Research</t>
        </is>
      </c>
      <c r="C1896" s="18" t="inlineStr">
        <is>
          <t>3.2 Lazy training versus feature learning, and mean-field limits</t>
        </is>
      </c>
      <c r="D1896" s="10" t="inlineStr">
        <is>
          <t>Andrea Montanari (Stanford), Harvard CMSA</t>
        </is>
      </c>
      <c r="E1896" s="10" t="inlineStr"/>
      <c r="F1896" s="11" t="inlineStr">
        <is>
          <t>1:06:11</t>
        </is>
      </c>
      <c r="G1896" s="11" t="n">
        <v>1.1</v>
      </c>
      <c r="H1896" s="12" t="inlineStr"/>
      <c r="I1896" s="11" t="inlineStr">
        <is>
          <t>Not started</t>
        </is>
      </c>
      <c r="J1896" s="13" t="n"/>
      <c r="K1896" s="10" t="inlineStr"/>
      <c r="L1896" s="14" t="inlineStr">
        <is>
          <t>▶ watch</t>
        </is>
      </c>
      <c r="M1896" s="10" t="inlineStr">
        <is>
          <t>"When do neural networks outperform kernel methods?" (arXiv:2006.13409); "The generalization error of random features regression" (arXiv:1908.05355)</t>
        </is>
      </c>
      <c r="N1896" s="14" t="inlineStr">
        <is>
          <t>read ↗</t>
        </is>
      </c>
      <c r="O1896" s="11" t="inlineStr">
        <is>
          <t>stated with the talk</t>
        </is>
      </c>
      <c r="P1896" s="10" t="inlineStr"/>
    </row>
    <row r="1897">
      <c r="A1897" s="17" t="n">
        <v>1896</v>
      </c>
      <c r="B1897" s="17" t="inlineStr">
        <is>
          <t>Part III - Upstream AI Research</t>
        </is>
      </c>
      <c r="C1897" s="18" t="inlineStr">
        <is>
          <t>3.2 Lazy training versus feature learning, and mean-field limits</t>
        </is>
      </c>
      <c r="D1897" s="10" t="inlineStr">
        <is>
          <t>Maxim Raginsky (UIUC)</t>
        </is>
      </c>
      <c r="E1897" s="10" t="inlineStr"/>
      <c r="F1897" s="11" t="inlineStr">
        <is>
          <t>49:38</t>
        </is>
      </c>
      <c r="G1897" s="11" t="n">
        <v>0.83</v>
      </c>
      <c r="H1897" s="12" t="inlineStr"/>
      <c r="I1897" s="11" t="inlineStr">
        <is>
          <t>Not started</t>
        </is>
      </c>
      <c r="J1897" s="13" t="n"/>
      <c r="K1897" s="10" t="inlineStr"/>
      <c r="L1897" s="14" t="inlineStr">
        <is>
          <t>▶ watch</t>
        </is>
      </c>
      <c r="M1897" s="10" t="inlineStr">
        <is>
          <t>arXiv:2002.01987</t>
        </is>
      </c>
      <c r="N1897" s="14" t="inlineStr">
        <is>
          <t>read ↗</t>
        </is>
      </c>
      <c r="O1897" s="11" t="inlineStr">
        <is>
          <t>stated with the talk</t>
        </is>
      </c>
      <c r="P1897" s="10" t="inlineStr"/>
    </row>
    <row r="1898">
      <c r="A1898" s="17" t="n">
        <v>1897</v>
      </c>
      <c r="B1898" s="17" t="inlineStr">
        <is>
          <t>Part III - Upstream AI Research</t>
        </is>
      </c>
      <c r="C1898" s="18" t="inlineStr">
        <is>
          <t>3.2 Lazy training versus feature learning, and mean-field limits</t>
        </is>
      </c>
      <c r="D1898" s="10" t="inlineStr">
        <is>
          <t>Eric Vanden-Eijnden (NYU Courant)</t>
        </is>
      </c>
      <c r="E1898" s="10" t="inlineStr"/>
      <c r="F1898" s="11" t="inlineStr">
        <is>
          <t>1:11:07</t>
        </is>
      </c>
      <c r="G1898" s="11" t="n">
        <v>1.19</v>
      </c>
      <c r="H1898" s="12" t="inlineStr"/>
      <c r="I1898" s="11" t="inlineStr">
        <is>
          <t>Not started</t>
        </is>
      </c>
      <c r="J1898" s="13" t="n"/>
      <c r="K1898" s="10" t="inlineStr"/>
      <c r="L1898" s="14" t="inlineStr">
        <is>
          <t>▶ watch</t>
        </is>
      </c>
      <c r="M1898" s="10" t="inlineStr">
        <is>
          <t>arXiv:1805.00915</t>
        </is>
      </c>
      <c r="N1898" s="14" t="inlineStr">
        <is>
          <t>read ↗</t>
        </is>
      </c>
      <c r="O1898" s="11" t="inlineStr">
        <is>
          <t>stated with the talk</t>
        </is>
      </c>
      <c r="P1898" s="10" t="inlineStr"/>
    </row>
    <row r="1899">
      <c r="A1899" s="17" t="n">
        <v>1898</v>
      </c>
      <c r="B1899" s="17" t="inlineStr">
        <is>
          <t>Part III - Upstream AI Research</t>
        </is>
      </c>
      <c r="C1899" s="18" t="inlineStr">
        <is>
          <t>3.2 Lazy training versus feature learning, and mean-field limits</t>
        </is>
      </c>
      <c r="D1899" s="10" t="inlineStr">
        <is>
          <t>Theodor Misiakiewicz (Stanford), Simons</t>
        </is>
      </c>
      <c r="E1899" s="10" t="inlineStr"/>
      <c r="F1899" s="11" t="inlineStr">
        <is>
          <t>49:55</t>
        </is>
      </c>
      <c r="G1899" s="11" t="n">
        <v>0.83</v>
      </c>
      <c r="H1899" s="12" t="inlineStr"/>
      <c r="I1899" s="11" t="inlineStr">
        <is>
          <t>Not started</t>
        </is>
      </c>
      <c r="J1899" s="13" t="n"/>
      <c r="K1899" s="10" t="inlineStr"/>
      <c r="L1899" s="14" t="inlineStr">
        <is>
          <t>▶ watch</t>
        </is>
      </c>
      <c r="M1899" s="10" t="inlineStr">
        <is>
          <t>arXiv:1902.06015</t>
        </is>
      </c>
      <c r="N1899" s="14" t="inlineStr">
        <is>
          <t>read ↗</t>
        </is>
      </c>
      <c r="O1899" s="11" t="inlineStr">
        <is>
          <t>stated with the talk</t>
        </is>
      </c>
      <c r="P1899" s="10" t="inlineStr"/>
    </row>
    <row r="1900">
      <c r="A1900" s="17" t="n">
        <v>1899</v>
      </c>
      <c r="B1900" s="17" t="inlineStr">
        <is>
          <t>Part III - Upstream AI Research</t>
        </is>
      </c>
      <c r="C1900" s="18" t="inlineStr">
        <is>
          <t>3.2 Lazy training versus feature learning, and mean-field limits</t>
        </is>
      </c>
      <c r="D1900" s="10" t="inlineStr">
        <is>
          <t>Huy Tuan Pham (Stanford)</t>
        </is>
      </c>
      <c r="E1900" s="10" t="inlineStr"/>
      <c r="F1900" s="11" t="inlineStr">
        <is>
          <t>56:38</t>
        </is>
      </c>
      <c r="G1900" s="11" t="n">
        <v>0.9399999999999999</v>
      </c>
      <c r="H1900" s="12" t="inlineStr"/>
      <c r="I1900" s="11" t="inlineStr">
        <is>
          <t>Not started</t>
        </is>
      </c>
      <c r="J1900" s="13" t="n"/>
      <c r="K1900" s="10" t="inlineStr"/>
      <c r="L1900" s="14" t="inlineStr">
        <is>
          <t>▶ watch</t>
        </is>
      </c>
      <c r="M1900" s="10" t="inlineStr">
        <is>
          <t>arXiv:2001.11443</t>
        </is>
      </c>
      <c r="N1900" s="14" t="inlineStr">
        <is>
          <t>read ↗</t>
        </is>
      </c>
      <c r="O1900" s="11" t="inlineStr">
        <is>
          <t>stated with the talk</t>
        </is>
      </c>
      <c r="P1900" s="10" t="inlineStr"/>
    </row>
    <row r="1901">
      <c r="A1901" s="17" t="n">
        <v>1900</v>
      </c>
      <c r="B1901" s="17" t="inlineStr">
        <is>
          <t>Part III - Upstream AI Research</t>
        </is>
      </c>
      <c r="C1901" s="18" t="inlineStr">
        <is>
          <t>3.2 Lazy training versus feature learning, and mean-field limits</t>
        </is>
      </c>
      <c r="D1901" s="10" t="inlineStr">
        <is>
          <t>Quanquan Gu (UCLA)</t>
        </is>
      </c>
      <c r="E1901" s="10" t="inlineStr"/>
      <c r="F1901" s="11" t="inlineStr">
        <is>
          <t>44:06</t>
        </is>
      </c>
      <c r="G1901" s="11" t="n">
        <v>0.73</v>
      </c>
      <c r="H1901" s="12" t="inlineStr"/>
      <c r="I1901" s="11" t="inlineStr">
        <is>
          <t>Not started</t>
        </is>
      </c>
      <c r="J1901" s="13" t="n"/>
      <c r="K1901" s="10" t="inlineStr"/>
      <c r="L1901" s="14" t="inlineStr">
        <is>
          <t>▶ watch</t>
        </is>
      </c>
      <c r="M1901" s="10" t="inlineStr">
        <is>
          <t>arXiv:1902.01384</t>
        </is>
      </c>
      <c r="N1901" s="14" t="inlineStr">
        <is>
          <t>read ↗</t>
        </is>
      </c>
      <c r="O1901" s="11" t="inlineStr">
        <is>
          <t>stated with the talk</t>
        </is>
      </c>
      <c r="P1901" s="10" t="inlineStr"/>
    </row>
    <row r="1902">
      <c r="A1902" s="17" t="n">
        <v>1901</v>
      </c>
      <c r="B1902" s="17" t="inlineStr">
        <is>
          <t>Part III - Upstream AI Research</t>
        </is>
      </c>
      <c r="C1902" s="18" t="inlineStr">
        <is>
          <t>3.3 Tensor Programs, muP, and the parametrization that actually matters</t>
        </is>
      </c>
      <c r="D1902" s="10" t="inlineStr">
        <is>
          <t>Greg Yang (Microsoft Research), ELLIS UCL CSML Seminar</t>
        </is>
      </c>
      <c r="E1902" s="10" t="inlineStr"/>
      <c r="F1902" s="11" t="inlineStr">
        <is>
          <t>47:37</t>
        </is>
      </c>
      <c r="G1902" s="11" t="n">
        <v>0.79</v>
      </c>
      <c r="H1902" s="12" t="inlineStr"/>
      <c r="I1902" s="11" t="inlineStr">
        <is>
          <t>Not started</t>
        </is>
      </c>
      <c r="J1902" s="13" t="n"/>
      <c r="K1902" s="10" t="inlineStr"/>
      <c r="L1902" s="14" t="inlineStr">
        <is>
          <t>▶ watch</t>
        </is>
      </c>
      <c r="M1902" s="10" t="inlineStr">
        <is>
          <t>Yang &amp; Hu, "Tensor Programs IV: Feature learning in infinite-width neural networks" (arXiv:2011.14522)</t>
        </is>
      </c>
      <c r="N1902" s="14" t="inlineStr">
        <is>
          <t>read ↗</t>
        </is>
      </c>
      <c r="O1902" s="11" t="inlineStr">
        <is>
          <t>stated with the talk</t>
        </is>
      </c>
      <c r="P1902" s="10" t="inlineStr"/>
    </row>
    <row r="1903">
      <c r="A1903" s="17" t="n">
        <v>1902</v>
      </c>
      <c r="B1903" s="17" t="inlineStr">
        <is>
          <t>Part III - Upstream AI Research</t>
        </is>
      </c>
      <c r="C1903" s="18" t="inlineStr">
        <is>
          <t>3.3 Tensor Programs, muP, and the parametrization that actually matters</t>
        </is>
      </c>
      <c r="D1903" s="10" t="inlineStr">
        <is>
          <t>Greg Yang (xAI), Sydney Mathematical Research Institute</t>
        </is>
      </c>
      <c r="E1903" s="10" t="inlineStr"/>
      <c r="F1903" s="11" t="inlineStr">
        <is>
          <t>1:08:48</t>
        </is>
      </c>
      <c r="G1903" s="11" t="n">
        <v>1.15</v>
      </c>
      <c r="H1903" s="12" t="inlineStr"/>
      <c r="I1903" s="11" t="inlineStr">
        <is>
          <t>Not started</t>
        </is>
      </c>
      <c r="J1903" s="13" t="n"/>
      <c r="K1903" s="10" t="inlineStr"/>
      <c r="L1903" s="14" t="inlineStr">
        <is>
          <t>▶ watch</t>
        </is>
      </c>
      <c r="M1903" s="10" t="inlineStr">
        <is>
          <t>McCoy et al. 2024, PNAS 121:e2322420121 (Embers of Autoregression) · Bubeck et al. 2023, arXiv:2303.12712 (Sparks of AGI)</t>
        </is>
      </c>
      <c r="N1903" s="14" t="inlineStr">
        <is>
          <t>read ↗</t>
        </is>
      </c>
      <c r="O1903" s="11" t="inlineStr">
        <is>
          <t xml:space="preserve">reading for D.7.7 Is reasoning real? - the standing </t>
        </is>
      </c>
      <c r="P1903" s="10" t="inlineStr"/>
    </row>
    <row r="1904">
      <c r="A1904" s="17" t="n">
        <v>1903</v>
      </c>
      <c r="B1904" s="17" t="inlineStr">
        <is>
          <t>Part III - Upstream AI Research</t>
        </is>
      </c>
      <c r="C1904" s="18" t="inlineStr">
        <is>
          <t>3.3 Tensor Programs, muP, and the parametrization that actually matters</t>
        </is>
      </c>
      <c r="D1904" s="10" t="inlineStr">
        <is>
          <t>Blake Bordelon (Harvard), IPAM</t>
        </is>
      </c>
      <c r="E1904" s="10" t="inlineStr"/>
      <c r="F1904" s="11" t="inlineStr">
        <is>
          <t>59:29</t>
        </is>
      </c>
      <c r="G1904" s="11" t="n">
        <v>0.99</v>
      </c>
      <c r="H1904" s="12" t="inlineStr"/>
      <c r="I1904" s="11" t="inlineStr">
        <is>
          <t>Not started</t>
        </is>
      </c>
      <c r="J1904" s="13" t="n"/>
      <c r="K1904" s="10" t="inlineStr"/>
      <c r="L1904" s="14" t="inlineStr">
        <is>
          <t>▶ watch</t>
        </is>
      </c>
      <c r="M1904" s="10" t="inlineStr">
        <is>
          <t>Bordelon, Atanasov, Pehlevan, "A dynamical model of neural scaling laws" (arXiv:2402.01092); "Self-consistent dynamical field theory of kernel evolution in wide neural networks" (arXiv:2205.09653)</t>
        </is>
      </c>
      <c r="N1904" s="14" t="inlineStr">
        <is>
          <t>read ↗</t>
        </is>
      </c>
      <c r="O1904" s="11" t="inlineStr">
        <is>
          <t>stated with the talk</t>
        </is>
      </c>
      <c r="P1904" s="10" t="inlineStr"/>
    </row>
    <row r="1905">
      <c r="A1905" s="17" t="n">
        <v>1904</v>
      </c>
      <c r="B1905" s="17" t="inlineStr">
        <is>
          <t>Part III - Upstream AI Research</t>
        </is>
      </c>
      <c r="C1905" s="18" t="inlineStr">
        <is>
          <t>3.3 Tensor Programs, muP, and the parametrization that actually matters</t>
        </is>
      </c>
      <c r="D1905" s="10" t="inlineStr">
        <is>
          <t>Blake Bordelon (Harvard), Harvard CMSA</t>
        </is>
      </c>
      <c r="E1905" s="10" t="inlineStr"/>
      <c r="F1905" s="11" t="inlineStr">
        <is>
          <t>1:05:38</t>
        </is>
      </c>
      <c r="G1905" s="11" t="n">
        <v>1.09</v>
      </c>
      <c r="H1905" s="12" t="inlineStr"/>
      <c r="I1905" s="11" t="inlineStr">
        <is>
          <t>Not started</t>
        </is>
      </c>
      <c r="J1905" s="13" t="n"/>
      <c r="K1905" s="10" t="inlineStr"/>
      <c r="L1905" s="14" t="inlineStr">
        <is>
          <t>▶ watch</t>
        </is>
      </c>
      <c r="M1905" s="10" t="inlineStr">
        <is>
          <t>Bordelon, Noci, Li, Hanin, Pehlevan, "Depthwise hyperparameter transfer in residual networks" (arXiv:2309.16620)</t>
        </is>
      </c>
      <c r="N1905" s="14" t="inlineStr">
        <is>
          <t>read ↗</t>
        </is>
      </c>
      <c r="O1905" s="11" t="inlineStr">
        <is>
          <t>stated with the talk</t>
        </is>
      </c>
      <c r="P1905" s="10" t="inlineStr"/>
    </row>
    <row r="1906">
      <c r="A1906" s="17" t="n">
        <v>1905</v>
      </c>
      <c r="B1906" s="17" t="inlineStr">
        <is>
          <t>Part III - Upstream AI Research</t>
        </is>
      </c>
      <c r="C1906" s="18" t="inlineStr">
        <is>
          <t>3.3 Tensor Programs, muP, and the parametrization that actually matters</t>
        </is>
      </c>
      <c r="D1906" s="10" t="inlineStr">
        <is>
          <t>Leena Vankadara (Amazon Research), IPAM</t>
        </is>
      </c>
      <c r="E1906" s="10" t="inlineStr"/>
      <c r="F1906" s="11" t="inlineStr">
        <is>
          <t>51:06</t>
        </is>
      </c>
      <c r="G1906" s="11" t="n">
        <v>0.85</v>
      </c>
      <c r="H1906" s="12" t="inlineStr"/>
      <c r="I1906" s="11" t="inlineStr">
        <is>
          <t>Not started</t>
        </is>
      </c>
      <c r="J1906" s="13" t="n"/>
      <c r="K1906" s="10" t="inlineStr"/>
      <c r="L1906" s="14" t="inlineStr">
        <is>
          <t>▶ watch</t>
        </is>
      </c>
      <c r="M1906" s="10" t="inlineStr">
        <is>
          <t>"On feature learning in structured state space models" (arXiv:2406.03529)</t>
        </is>
      </c>
      <c r="N1906" s="14" t="inlineStr">
        <is>
          <t>read ↗</t>
        </is>
      </c>
      <c r="O1906" s="11" t="inlineStr">
        <is>
          <t>stated with the talk</t>
        </is>
      </c>
      <c r="P1906" s="10" t="inlineStr">
        <is>
          <t>7.5 State space model theory</t>
        </is>
      </c>
    </row>
    <row r="1907">
      <c r="A1907" s="17" t="n">
        <v>1906</v>
      </c>
      <c r="B1907" s="17" t="inlineStr">
        <is>
          <t>Part III - Upstream AI Research</t>
        </is>
      </c>
      <c r="C1907" s="18" t="inlineStr">
        <is>
          <t>3.4 Finite-width corrections - the effective-theory programme</t>
        </is>
      </c>
      <c r="D1907" s="10" t="inlineStr">
        <is>
          <t>Dan Roberts (MIT / Salesforce), IAS</t>
        </is>
      </c>
      <c r="E1907" s="10" t="inlineStr"/>
      <c r="F1907" s="11" t="inlineStr">
        <is>
          <t>1:20:17</t>
        </is>
      </c>
      <c r="G1907" s="11" t="n">
        <v>1.34</v>
      </c>
      <c r="H1907" s="12" t="inlineStr">
        <is>
          <t>★</t>
        </is>
      </c>
      <c r="I1907" s="11" t="inlineStr">
        <is>
          <t>Not started</t>
        </is>
      </c>
      <c r="J1907" s="13" t="n"/>
      <c r="K1907" s="10" t="inlineStr"/>
      <c r="L1907" s="14" t="inlineStr">
        <is>
          <t>▶ watch</t>
        </is>
      </c>
      <c r="M1907" s="10" t="inlineStr">
        <is>
          <t>Roberts, Yaida, Hanin, "The Principles of Deep Learning Theory" (arXiv:2106.10165)</t>
        </is>
      </c>
      <c r="N1907" s="14" t="inlineStr">
        <is>
          <t>read ↗</t>
        </is>
      </c>
      <c r="O1907" s="11" t="inlineStr">
        <is>
          <t>stated with the talk</t>
        </is>
      </c>
      <c r="P1907" s="10" t="inlineStr">
        <is>
          <t>9.7 IAS: Special Year on Optimization, Statistics, and Theoretical Machine Learning (2019–2020</t>
        </is>
      </c>
    </row>
    <row r="1908">
      <c r="A1908" s="17" t="n">
        <v>1907</v>
      </c>
      <c r="B1908" s="17" t="inlineStr">
        <is>
          <t>Part III - Upstream AI Research</t>
        </is>
      </c>
      <c r="C1908" s="18" t="inlineStr">
        <is>
          <t>3.4 Finite-width corrections - the effective-theory programme</t>
        </is>
      </c>
      <c r="D1908" s="10" t="inlineStr">
        <is>
          <t>Dan Roberts, Harvard CMSA</t>
        </is>
      </c>
      <c r="E1908" s="10" t="inlineStr"/>
      <c r="F1908" s="11" t="inlineStr">
        <is>
          <t>1:15:33</t>
        </is>
      </c>
      <c r="G1908" s="11" t="n">
        <v>1.26</v>
      </c>
      <c r="H1908" s="12" t="inlineStr"/>
      <c r="I1908" s="11" t="inlineStr">
        <is>
          <t>Not started</t>
        </is>
      </c>
      <c r="J1908" s="13" t="n"/>
      <c r="K1908" s="10" t="inlineStr"/>
      <c r="L1908" s="14" t="inlineStr">
        <is>
          <t>▶ watch</t>
        </is>
      </c>
      <c r="M1908" s="10" t="inlineStr">
        <is>
          <t>McCoy et al. 2024, PNAS 121:e2322420121 (Embers of Autoregression) · Bubeck et al. 2023, arXiv:2303.12712 (Sparks of AGI)</t>
        </is>
      </c>
      <c r="N1908" s="14" t="inlineStr">
        <is>
          <t>read ↗</t>
        </is>
      </c>
      <c r="O1908" s="11" t="inlineStr">
        <is>
          <t xml:space="preserve">reading for D.7.7 Is reasoning real? - the standing </t>
        </is>
      </c>
      <c r="P1908" s="10" t="inlineStr"/>
    </row>
    <row r="1909">
      <c r="A1909" s="17" t="n">
        <v>1908</v>
      </c>
      <c r="B1909" s="17" t="inlineStr">
        <is>
          <t>Part III - Upstream AI Research</t>
        </is>
      </c>
      <c r="C1909" s="18" t="inlineStr">
        <is>
          <t>3.4 Finite-width corrections - the effective-theory programme</t>
        </is>
      </c>
      <c r="D1909" s="10" t="inlineStr">
        <is>
          <t>Boris Hanin (Princeton), Rocky Mountain Mathematical Physics Seminar</t>
        </is>
      </c>
      <c r="E1909" s="10" t="inlineStr"/>
      <c r="F1909" s="11" t="inlineStr">
        <is>
          <t>58:43</t>
        </is>
      </c>
      <c r="G1909" s="11" t="n">
        <v>0.98</v>
      </c>
      <c r="H1909" s="12" t="inlineStr"/>
      <c r="I1909" s="11" t="inlineStr">
        <is>
          <t>Not started</t>
        </is>
      </c>
      <c r="J1909" s="13" t="n"/>
      <c r="K1909" s="10" t="inlineStr"/>
      <c r="L1909" s="14" t="inlineStr">
        <is>
          <t>▶ watch</t>
        </is>
      </c>
      <c r="M1909" s="10" t="inlineStr">
        <is>
          <t>arXiv:2204.01058</t>
        </is>
      </c>
      <c r="N1909" s="14" t="inlineStr">
        <is>
          <t>read ↗</t>
        </is>
      </c>
      <c r="O1909" s="11" t="inlineStr">
        <is>
          <t>stated with the talk</t>
        </is>
      </c>
      <c r="P1909" s="10" t="inlineStr"/>
    </row>
    <row r="1910">
      <c r="A1910" s="17" t="n">
        <v>1909</v>
      </c>
      <c r="B1910" s="17" t="inlineStr">
        <is>
          <t>Part III - Upstream AI Research</t>
        </is>
      </c>
      <c r="C1910" s="18" t="inlineStr">
        <is>
          <t>3.4 Finite-width corrections - the effective-theory programme</t>
        </is>
      </c>
      <c r="D1910" s="10" t="inlineStr">
        <is>
          <t>Sho Yaida (Meta FAIR), IAIFI Summer Workshop</t>
        </is>
      </c>
      <c r="E1910" s="10" t="inlineStr"/>
      <c r="F1910" s="11" t="inlineStr">
        <is>
          <t>46:04</t>
        </is>
      </c>
      <c r="G1910" s="11" t="n">
        <v>0.77</v>
      </c>
      <c r="H1910" s="12" t="inlineStr"/>
      <c r="I1910" s="11" t="inlineStr">
        <is>
          <t>Not started</t>
        </is>
      </c>
      <c r="J1910" s="13" t="n"/>
      <c r="K1910" s="10" t="inlineStr"/>
      <c r="L1910" s="14" t="inlineStr">
        <is>
          <t>▶ watch</t>
        </is>
      </c>
      <c r="M1910" s="10" t="inlineStr">
        <is>
          <t>arXiv:2304.02034</t>
        </is>
      </c>
      <c r="N1910" s="14" t="inlineStr">
        <is>
          <t>read ↗</t>
        </is>
      </c>
      <c r="O1910" s="11" t="inlineStr">
        <is>
          <t>stated with the talk</t>
        </is>
      </c>
      <c r="P1910" s="10" t="inlineStr"/>
    </row>
    <row r="1911">
      <c r="A1911" s="17" t="n">
        <v>1910</v>
      </c>
      <c r="B1911" s="17" t="inlineStr">
        <is>
          <t>Part III - Upstream AI Research</t>
        </is>
      </c>
      <c r="C1911" s="18" t="inlineStr">
        <is>
          <t>3.4 Finite-width corrections - the effective-theory programme</t>
        </is>
      </c>
      <c r="D1911" s="10" t="inlineStr">
        <is>
          <t>Surya Ganguli (Stanford), IAS</t>
        </is>
      </c>
      <c r="E1911" s="10" t="inlineStr"/>
      <c r="F1911" s="11" t="inlineStr">
        <is>
          <t>29:55</t>
        </is>
      </c>
      <c r="G1911" s="11" t="n">
        <v>0.5</v>
      </c>
      <c r="H1911" s="12" t="inlineStr">
        <is>
          <t>★</t>
        </is>
      </c>
      <c r="I1911" s="11" t="inlineStr">
        <is>
          <t>Not started</t>
        </is>
      </c>
      <c r="J1911" s="13" t="n"/>
      <c r="K1911" s="10" t="inlineStr"/>
      <c r="L1911" s="14" t="inlineStr">
        <is>
          <t>▶ watch</t>
        </is>
      </c>
      <c r="M1911" s="10" t="inlineStr">
        <is>
          <t>McCoy et al. 2024, PNAS 121:e2322420121 (Embers of Autoregression) · Bubeck et al. 2023, arXiv:2303.12712 (Sparks of AGI)</t>
        </is>
      </c>
      <c r="N1911" s="14" t="inlineStr">
        <is>
          <t>read ↗</t>
        </is>
      </c>
      <c r="O1911" s="11" t="inlineStr">
        <is>
          <t xml:space="preserve">reading for D.7.7 Is reasoning real? - the standing </t>
        </is>
      </c>
      <c r="P1911" s="10" t="inlineStr">
        <is>
          <t>9.7 IAS: Special Year on Optimization, Statistics, and Theoretical Machine Learning (2019–2020</t>
        </is>
      </c>
    </row>
    <row r="1912">
      <c r="A1912" s="17" t="n">
        <v>1911</v>
      </c>
      <c r="B1912" s="17" t="inlineStr">
        <is>
          <t>Part III - Upstream AI Research</t>
        </is>
      </c>
      <c r="C1912" s="18" t="inlineStr">
        <is>
          <t>3.4 Finite-width corrections - the effective-theory programme</t>
        </is>
      </c>
      <c r="D1912" s="10" t="inlineStr">
        <is>
          <t>Understanding Deep Learning lecture series</t>
        </is>
      </c>
      <c r="E1912" s="10" t="inlineStr">
        <is>
          <t>not listed</t>
        </is>
      </c>
      <c r="F1912" s="11" t="inlineStr">
        <is>
          <t>1:06:50</t>
        </is>
      </c>
      <c r="G1912" s="11" t="n">
        <v>1.11</v>
      </c>
      <c r="H1912" s="12" t="inlineStr"/>
      <c r="I1912" s="11" t="inlineStr">
        <is>
          <t>Not started</t>
        </is>
      </c>
      <c r="J1912" s="13" t="n"/>
      <c r="K1912" s="10" t="inlineStr"/>
      <c r="L1912" s="14" t="inlineStr">
        <is>
          <t>▶ watch</t>
        </is>
      </c>
      <c r="M1912" s="10" t="inlineStr">
        <is>
          <t>Pennington, Schoenholz, Ganguli, "Resurrecting the sigmoid in deep learning through dynamical isometry" (arXiv:1711.04735)</t>
        </is>
      </c>
      <c r="N1912" s="14" t="inlineStr">
        <is>
          <t>read ↗</t>
        </is>
      </c>
      <c r="O1912" s="11" t="inlineStr">
        <is>
          <t>stated with the talk</t>
        </is>
      </c>
      <c r="P1912" s="10" t="inlineStr">
        <is>
          <t>8.5 Understanding Deep Learning lecture series</t>
        </is>
      </c>
    </row>
    <row r="1913">
      <c r="A1913" s="17" t="n">
        <v>1912</v>
      </c>
      <c r="B1913" s="17" t="inlineStr">
        <is>
          <t>Part III - Upstream AI Research</t>
        </is>
      </c>
      <c r="C1913" s="18" t="inlineStr">
        <is>
          <t>3.4 Finite-width corrections - the effective-theory programme</t>
        </is>
      </c>
      <c r="D1913" s="10" t="inlineStr">
        <is>
          <t>Lechao Xiao (Google Brain), Understanding Deep Learning lecture series</t>
        </is>
      </c>
      <c r="E1913" s="10" t="inlineStr">
        <is>
          <t>Lechao Xiao (Google Brain</t>
        </is>
      </c>
      <c r="F1913" s="11" t="inlineStr">
        <is>
          <t>52:09</t>
        </is>
      </c>
      <c r="G1913" s="11" t="n">
        <v>0.87</v>
      </c>
      <c r="H1913" s="12" t="inlineStr"/>
      <c r="I1913" s="11" t="inlineStr">
        <is>
          <t>Not started</t>
        </is>
      </c>
      <c r="J1913" s="13" t="n"/>
      <c r="K1913" s="10" t="inlineStr"/>
      <c r="L1913" s="14" t="inlineStr">
        <is>
          <t>▶ watch</t>
        </is>
      </c>
      <c r="M1913" s="10" t="inlineStr">
        <is>
          <t>arXiv:1912.13053</t>
        </is>
      </c>
      <c r="N1913" s="14" t="inlineStr">
        <is>
          <t>read ↗</t>
        </is>
      </c>
      <c r="O1913" s="11" t="inlineStr">
        <is>
          <t>stated with the talk</t>
        </is>
      </c>
      <c r="P1913" s="10" t="inlineStr">
        <is>
          <t>8.5 Understanding Deep Learning lecture series</t>
        </is>
      </c>
    </row>
    <row r="1914">
      <c r="A1914" s="17" t="n">
        <v>1913</v>
      </c>
      <c r="B1914" s="17" t="inlineStr">
        <is>
          <t>Part III - Upstream AI Research</t>
        </is>
      </c>
      <c r="C1914" s="18" t="inlineStr">
        <is>
          <t>4.1 Edge of stability - the most important recent result</t>
        </is>
      </c>
      <c r="D1914" s="10" t="inlineStr">
        <is>
          <t>Jeremy Cohen (Carnegie Mellon)</t>
        </is>
      </c>
      <c r="E1914" s="10" t="inlineStr"/>
      <c r="F1914" s="11" t="inlineStr">
        <is>
          <t>58:18</t>
        </is>
      </c>
      <c r="G1914" s="11" t="n">
        <v>0.97</v>
      </c>
      <c r="H1914" s="12" t="inlineStr"/>
      <c r="I1914" s="11" t="inlineStr">
        <is>
          <t>Not started</t>
        </is>
      </c>
      <c r="J1914" s="13" t="n"/>
      <c r="K1914" s="10" t="inlineStr"/>
      <c r="L1914" s="14" t="inlineStr">
        <is>
          <t>▶ watch</t>
        </is>
      </c>
      <c r="M1914" s="10" t="inlineStr">
        <is>
          <t>Cohen, Kaur, Li, Kolter, Talwalkar (arXiv:2103.00065)</t>
        </is>
      </c>
      <c r="N1914" s="14" t="inlineStr">
        <is>
          <t>read ↗</t>
        </is>
      </c>
      <c r="O1914" s="11" t="inlineStr">
        <is>
          <t>stated with the talk</t>
        </is>
      </c>
      <c r="P1914" s="10" t="inlineStr"/>
    </row>
    <row r="1915">
      <c r="A1915" s="17" t="n">
        <v>1914</v>
      </c>
      <c r="B1915" s="17" t="inlineStr">
        <is>
          <t>Part III - Upstream AI Research</t>
        </is>
      </c>
      <c r="C1915" s="18" t="inlineStr">
        <is>
          <t>4.1 Edge of stability - the most important recent result</t>
        </is>
      </c>
      <c r="D1915" s="10" t="inlineStr">
        <is>
          <t>Alex Damian (Princeton), One World Theoretical ML</t>
        </is>
      </c>
      <c r="E1915" s="10" t="inlineStr"/>
      <c r="F1915" s="11" t="inlineStr">
        <is>
          <t>55:15</t>
        </is>
      </c>
      <c r="G1915" s="11" t="n">
        <v>0.92</v>
      </c>
      <c r="H1915" s="12" t="inlineStr"/>
      <c r="I1915" s="11" t="inlineStr">
        <is>
          <t>Not started</t>
        </is>
      </c>
      <c r="J1915" s="13" t="n"/>
      <c r="K1915" s="10" t="inlineStr"/>
      <c r="L1915" s="14" t="inlineStr">
        <is>
          <t>▶ watch</t>
        </is>
      </c>
      <c r="M1915" s="10" t="inlineStr">
        <is>
          <t>Damian, Nichani, Lee et al. (arXiv:2410.24206) (Harvard CMSA version of the same talk, 2025, 0:50:55:)</t>
        </is>
      </c>
      <c r="N1915" s="14" t="inlineStr">
        <is>
          <t>read ↗</t>
        </is>
      </c>
      <c r="O1915" s="11" t="inlineStr">
        <is>
          <t>stated with the talk</t>
        </is>
      </c>
      <c r="P1915" s="10" t="inlineStr"/>
    </row>
    <row r="1916">
      <c r="A1916" s="17" t="n">
        <v>1915</v>
      </c>
      <c r="B1916" s="17" t="inlineStr">
        <is>
          <t>Part III - Upstream AI Research</t>
        </is>
      </c>
      <c r="C1916" s="18" t="inlineStr">
        <is>
          <t>4.1 Edge of stability - the most important recent result</t>
        </is>
      </c>
      <c r="D1916" s="10" t="inlineStr">
        <is>
          <t>Paper:</t>
        </is>
      </c>
      <c r="E1916" s="10" t="inlineStr"/>
      <c r="F1916" s="11" t="inlineStr"/>
      <c r="G1916" s="11" t="n">
        <v>0</v>
      </c>
      <c r="H1916" s="12" t="inlineStr"/>
      <c r="I1916" s="11" t="inlineStr">
        <is>
          <t>Not started</t>
        </is>
      </c>
      <c r="J1916" s="13" t="n"/>
      <c r="K1916" s="10" t="inlineStr"/>
      <c r="L1916" s="14" t="inlineStr">
        <is>
          <t>▶ watch</t>
        </is>
      </c>
      <c r="M1916" s="10" t="inlineStr">
        <is>
          <t>McCoy et al. 2024, PNAS 121:e2322420121 (Embers of Autoregression) · Bubeck et al. 2023, arXiv:2303.12712 (Sparks of AGI)</t>
        </is>
      </c>
      <c r="N1916" s="14" t="inlineStr">
        <is>
          <t>read ↗</t>
        </is>
      </c>
      <c r="O1916" s="11" t="inlineStr">
        <is>
          <t xml:space="preserve">reading for D.7.7 Is reasoning real? - the standing </t>
        </is>
      </c>
      <c r="P1916" s="10" t="inlineStr"/>
    </row>
    <row r="1917">
      <c r="A1917" s="17" t="n">
        <v>1916</v>
      </c>
      <c r="B1917" s="17" t="inlineStr">
        <is>
          <t>Part III - Upstream AI Research</t>
        </is>
      </c>
      <c r="C1917" s="18" t="inlineStr">
        <is>
          <t>4.1 Edge of stability - the most important recent result</t>
        </is>
      </c>
      <c r="D1917" s="10" t="inlineStr">
        <is>
          <t>Peter Bartlett (UC Berkeley / Google DeepMind), University of Waterloo Distinguished Lecture</t>
        </is>
      </c>
      <c r="E1917" s="10" t="inlineStr"/>
      <c r="F1917" s="11" t="inlineStr">
        <is>
          <t>1:11:23</t>
        </is>
      </c>
      <c r="G1917" s="11" t="n">
        <v>1.19</v>
      </c>
      <c r="H1917" s="12" t="inlineStr"/>
      <c r="I1917" s="11" t="inlineStr">
        <is>
          <t>Not started</t>
        </is>
      </c>
      <c r="J1917" s="13" t="n"/>
      <c r="K1917" s="10" t="inlineStr"/>
      <c r="L1917" s="14" t="inlineStr">
        <is>
          <t>▶ watch</t>
        </is>
      </c>
      <c r="M1917" s="10" t="inlineStr">
        <is>
          <t>Wu, Braverman, Bartlett et al., "Large stepsize gradient descent for logistic loss" (arXiv:2402.15926)</t>
        </is>
      </c>
      <c r="N1917" s="14" t="inlineStr">
        <is>
          <t>read ↗</t>
        </is>
      </c>
      <c r="O1917" s="11" t="inlineStr">
        <is>
          <t>stated with the talk</t>
        </is>
      </c>
      <c r="P1917" s="10" t="inlineStr"/>
    </row>
    <row r="1918">
      <c r="A1918" s="17" t="n">
        <v>1917</v>
      </c>
      <c r="B1918" s="17" t="inlineStr">
        <is>
          <t>Part III - Upstream AI Research</t>
        </is>
      </c>
      <c r="C1918" s="18" t="inlineStr">
        <is>
          <t>4.1 Edge of stability - the most important recent result</t>
        </is>
      </c>
      <c r="D1918" s="10" t="inlineStr">
        <is>
          <t>Kwangjun Ahn &amp; Felipe Suarez (MIT), hosted by Sébastien Bubeck</t>
        </is>
      </c>
      <c r="E1918" s="10" t="inlineStr"/>
      <c r="F1918" s="11" t="inlineStr">
        <is>
          <t>32:50</t>
        </is>
      </c>
      <c r="G1918" s="11" t="n">
        <v>0.55</v>
      </c>
      <c r="H1918" s="12" t="inlineStr"/>
      <c r="I1918" s="11" t="inlineStr">
        <is>
          <t>Not started</t>
        </is>
      </c>
      <c r="J1918" s="13" t="n"/>
      <c r="K1918" s="10" t="inlineStr"/>
      <c r="L1918" s="14" t="inlineStr">
        <is>
          <t>▶ watch</t>
        </is>
      </c>
      <c r="M1918" s="10" t="inlineStr">
        <is>
          <t>Ahn, Bubeck, Chewi, Lee, Suarez, Zhang (arXiv:2212.07469)</t>
        </is>
      </c>
      <c r="N1918" s="14" t="inlineStr">
        <is>
          <t>read ↗</t>
        </is>
      </c>
      <c r="O1918" s="11" t="inlineStr">
        <is>
          <t>stated with the talk</t>
        </is>
      </c>
      <c r="P1918" s="10" t="inlineStr"/>
    </row>
    <row r="1919">
      <c r="A1919" s="17" t="n">
        <v>1918</v>
      </c>
      <c r="B1919" s="17" t="inlineStr">
        <is>
          <t>Part III - Upstream AI Research</t>
        </is>
      </c>
      <c r="C1919" s="18" t="inlineStr">
        <is>
          <t>4.2 Loss landscape geometry and mode connectivity</t>
        </is>
      </c>
      <c r="D1919" s="10" t="inlineStr">
        <is>
          <t>Timur Garipov</t>
        </is>
      </c>
      <c r="E1919" s="10" t="inlineStr"/>
      <c r="F1919" s="11" t="inlineStr">
        <is>
          <t>1:06:00</t>
        </is>
      </c>
      <c r="G1919" s="11" t="n">
        <v>1.1</v>
      </c>
      <c r="H1919" s="12" t="inlineStr"/>
      <c r="I1919" s="11" t="inlineStr">
        <is>
          <t>Not started</t>
        </is>
      </c>
      <c r="J1919" s="13" t="n"/>
      <c r="K1919" s="10" t="inlineStr"/>
      <c r="L1919" s="14" t="inlineStr">
        <is>
          <t>▶ watch</t>
        </is>
      </c>
      <c r="M1919" s="10" t="inlineStr">
        <is>
          <t>"Loss surfaces, mode connectivity, and fast ensembling of DNNs" (arXiv:1802.10026); SWA (arXiv:1803.05407)</t>
        </is>
      </c>
      <c r="N1919" s="14" t="inlineStr">
        <is>
          <t>read ↗</t>
        </is>
      </c>
      <c r="O1919" s="11" t="inlineStr">
        <is>
          <t>stated with the talk</t>
        </is>
      </c>
      <c r="P1919" s="10" t="inlineStr"/>
    </row>
    <row r="1920">
      <c r="A1920" s="17" t="n">
        <v>1919</v>
      </c>
      <c r="B1920" s="17" t="inlineStr">
        <is>
          <t>Part III - Upstream AI Research</t>
        </is>
      </c>
      <c r="C1920" s="18" t="inlineStr">
        <is>
          <t>4.2 Loss landscape geometry and mode connectivity</t>
        </is>
      </c>
      <c r="D1920" s="10" t="inlineStr">
        <is>
          <t>Rong Ge (Duke), Simons</t>
        </is>
      </c>
      <c r="E1920" s="10" t="inlineStr"/>
      <c r="F1920" s="11" t="inlineStr">
        <is>
          <t>45:11</t>
        </is>
      </c>
      <c r="G1920" s="11" t="n">
        <v>0.75</v>
      </c>
      <c r="H1920" s="12" t="inlineStr">
        <is>
          <t>★</t>
        </is>
      </c>
      <c r="I1920" s="11" t="inlineStr">
        <is>
          <t>Not started</t>
        </is>
      </c>
      <c r="J1920" s="13" t="n"/>
      <c r="K1920" s="10" t="inlineStr"/>
      <c r="L1920" s="14" t="inlineStr">
        <is>
          <t>▶ watch</t>
        </is>
      </c>
      <c r="M1920" s="10" t="inlineStr">
        <is>
          <t>Kuditipudi, Wang, Lee, Zhang, Li, Hu, Ge, Arora (arXiv:1906.06247)</t>
        </is>
      </c>
      <c r="N1920" s="14" t="inlineStr">
        <is>
          <t>read ↗</t>
        </is>
      </c>
      <c r="O1920" s="11" t="inlineStr">
        <is>
          <t>stated with the talk</t>
        </is>
      </c>
      <c r="P1920" s="10" t="inlineStr">
        <is>
          <t>9.1 Simons: Foundations of Deep Learning (Summer 2019</t>
        </is>
      </c>
    </row>
    <row r="1921">
      <c r="A1921" s="17" t="n">
        <v>1920</v>
      </c>
      <c r="B1921" s="17" t="inlineStr">
        <is>
          <t>Part III - Upstream AI Research</t>
        </is>
      </c>
      <c r="C1921" s="18" t="inlineStr">
        <is>
          <t>4.2 Loss landscape geometry and mode connectivity</t>
        </is>
      </c>
      <c r="D1921" s="10" t="inlineStr">
        <is>
          <t>Andrew Gordon Wilson (NYU), EPFL Virtual Symposium</t>
        </is>
      </c>
      <c r="E1921" s="10" t="inlineStr"/>
      <c r="F1921" s="11" t="inlineStr">
        <is>
          <t>40:26</t>
        </is>
      </c>
      <c r="G1921" s="11" t="n">
        <v>0.67</v>
      </c>
      <c r="H1921" s="12" t="inlineStr"/>
      <c r="I1921" s="11" t="inlineStr">
        <is>
          <t>Not started</t>
        </is>
      </c>
      <c r="J1921" s="13" t="n"/>
      <c r="K1921" s="10" t="inlineStr"/>
      <c r="L1921" s="14" t="inlineStr">
        <is>
          <t>▶ watch</t>
        </is>
      </c>
      <c r="M1921" s="10" t="inlineStr">
        <is>
          <t>Wilson &amp; Izmailov, "Bayesian deep learning and a probabilistic perspective of generalization" (arXiv:2002.08791)</t>
        </is>
      </c>
      <c r="N1921" s="14" t="inlineStr">
        <is>
          <t>read ↗</t>
        </is>
      </c>
      <c r="O1921" s="11" t="inlineStr">
        <is>
          <t>stated with the talk</t>
        </is>
      </c>
      <c r="P1921" s="10" t="inlineStr"/>
    </row>
    <row r="1922">
      <c r="A1922" s="17" t="n">
        <v>1921</v>
      </c>
      <c r="B1922" s="17" t="inlineStr">
        <is>
          <t>Part III - Upstream AI Research</t>
        </is>
      </c>
      <c r="C1922" s="18" t="inlineStr">
        <is>
          <t>4.2 Loss landscape geometry and mode connectivity</t>
        </is>
      </c>
      <c r="D1922" s="10" t="inlineStr">
        <is>
          <t>Stanislav Fort (Stanford), GoodAI</t>
        </is>
      </c>
      <c r="E1922" s="10" t="inlineStr"/>
      <c r="F1922" s="11" t="inlineStr">
        <is>
          <t>38:53</t>
        </is>
      </c>
      <c r="G1922" s="11" t="n">
        <v>0.65</v>
      </c>
      <c r="H1922" s="12" t="inlineStr"/>
      <c r="I1922" s="11" t="inlineStr">
        <is>
          <t>Not started</t>
        </is>
      </c>
      <c r="J1922" s="13" t="n"/>
      <c r="K1922" s="10" t="inlineStr"/>
      <c r="L1922" s="14" t="inlineStr">
        <is>
          <t>▶ watch</t>
        </is>
      </c>
      <c r="M1922" s="10" t="inlineStr">
        <is>
          <t>Fort, Hu, Lakshminarayanan, "Deep ensembles: a loss landscape perspective" (arXiv:1912.02757)</t>
        </is>
      </c>
      <c r="N1922" s="14" t="inlineStr">
        <is>
          <t>read ↗</t>
        </is>
      </c>
      <c r="O1922" s="11" t="inlineStr">
        <is>
          <t>stated with the talk</t>
        </is>
      </c>
      <c r="P1922" s="10" t="inlineStr"/>
    </row>
    <row r="1923">
      <c r="A1923" s="17" t="n">
        <v>1922</v>
      </c>
      <c r="B1923" s="17" t="inlineStr">
        <is>
          <t>Part III - Upstream AI Research</t>
        </is>
      </c>
      <c r="C1923" s="18" t="inlineStr">
        <is>
          <t>4.2 Loss landscape geometry and mode connectivity</t>
        </is>
      </c>
      <c r="D1923" s="10" t="inlineStr">
        <is>
          <t>Rong Ge (Duke), IAS</t>
        </is>
      </c>
      <c r="E1923" s="10" t="inlineStr"/>
      <c r="F1923" s="11" t="inlineStr">
        <is>
          <t>58:27</t>
        </is>
      </c>
      <c r="G1923" s="11" t="n">
        <v>0.97</v>
      </c>
      <c r="H1923" s="12" t="inlineStr">
        <is>
          <t>★</t>
        </is>
      </c>
      <c r="I1923" s="11" t="inlineStr">
        <is>
          <t>Not started</t>
        </is>
      </c>
      <c r="J1923" s="13" t="n"/>
      <c r="K1923" s="10" t="inlineStr"/>
      <c r="L1923" s="14" t="inlineStr">
        <is>
          <t>▶ watch</t>
        </is>
      </c>
      <c r="M1923" s="10" t="inlineStr">
        <is>
          <t>McCoy et al. 2024, PNAS 121:e2322420121 (Embers of Autoregression) · Bubeck et al. 2023, arXiv:2303.12712 (Sparks of AGI)</t>
        </is>
      </c>
      <c r="N1923" s="14" t="inlineStr">
        <is>
          <t>read ↗</t>
        </is>
      </c>
      <c r="O1923" s="11" t="inlineStr">
        <is>
          <t xml:space="preserve">reading for D.7.7 Is reasoning real? - the standing </t>
        </is>
      </c>
      <c r="P1923" s="10" t="inlineStr">
        <is>
          <t>9.7 IAS: Special Year on Optimization, Statistics, and Theoretical Machine Learning (2019–2020</t>
        </is>
      </c>
    </row>
    <row r="1924">
      <c r="A1924" s="17" t="n">
        <v>1923</v>
      </c>
      <c r="B1924" s="17" t="inlineStr">
        <is>
          <t>Part III - Upstream AI Research</t>
        </is>
      </c>
      <c r="C1924" s="18" t="inlineStr">
        <is>
          <t>4.2 Loss landscape geometry and mode connectivity</t>
        </is>
      </c>
      <c r="D1924" s="10" t="inlineStr">
        <is>
          <t>Misha Belkin (UCSD), DeepMath</t>
        </is>
      </c>
      <c r="E1924" s="10" t="inlineStr"/>
      <c r="F1924" s="11" t="inlineStr">
        <is>
          <t>1:04:55</t>
        </is>
      </c>
      <c r="G1924" s="11" t="n">
        <v>1.08</v>
      </c>
      <c r="H1924" s="12" t="inlineStr"/>
      <c r="I1924" s="11" t="inlineStr">
        <is>
          <t>Not started</t>
        </is>
      </c>
      <c r="J1924" s="13" t="n"/>
      <c r="K1924" s="10" t="inlineStr"/>
      <c r="L1924" s="14" t="inlineStr">
        <is>
          <t>▶ watch</t>
        </is>
      </c>
      <c r="M1924" s="10" t="inlineStr">
        <is>
          <t>Liu, Zhu, Belkin, "Loss landscapes and optimization in over-parameterized non-linear systems" (arXiv:2003.00307)</t>
        </is>
      </c>
      <c r="N1924" s="14" t="inlineStr">
        <is>
          <t>read ↗</t>
        </is>
      </c>
      <c r="O1924" s="11" t="inlineStr">
        <is>
          <t>stated with the talk</t>
        </is>
      </c>
      <c r="P1924" s="10" t="inlineStr"/>
    </row>
    <row r="1925">
      <c r="A1925" s="17" t="n">
        <v>1924</v>
      </c>
      <c r="B1925" s="17" t="inlineStr">
        <is>
          <t>Part III - Upstream AI Research</t>
        </is>
      </c>
      <c r="C1925" s="18" t="inlineStr">
        <is>
          <t>4.3 Sharpness, flat minima, and implicit bias of SGD</t>
        </is>
      </c>
      <c r="D1925" s="10" t="inlineStr">
        <is>
          <t>Hossein Mobahi (Google Research), ELLIS UCL CSML Seminar</t>
        </is>
      </c>
      <c r="E1925" s="10" t="inlineStr"/>
      <c r="F1925" s="11" t="inlineStr">
        <is>
          <t>53:56</t>
        </is>
      </c>
      <c r="G1925" s="11" t="n">
        <v>0.9</v>
      </c>
      <c r="H1925" s="12" t="inlineStr"/>
      <c r="I1925" s="11" t="inlineStr">
        <is>
          <t>Not started</t>
        </is>
      </c>
      <c r="J1925" s="13" t="n"/>
      <c r="K1925" s="10" t="inlineStr"/>
      <c r="L1925" s="14" t="inlineStr">
        <is>
          <t>▶ watch</t>
        </is>
      </c>
      <c r="M1925" s="10" t="inlineStr">
        <is>
          <t>Foret, Kleiner, Mobahi, Neyshabur (arXiv:2010.01412)</t>
        </is>
      </c>
      <c r="N1925" s="14" t="inlineStr">
        <is>
          <t>read ↗</t>
        </is>
      </c>
      <c r="O1925" s="11" t="inlineStr">
        <is>
          <t>stated with the talk</t>
        </is>
      </c>
      <c r="P1925" s="10" t="inlineStr"/>
    </row>
    <row r="1926">
      <c r="A1926" s="17" t="n">
        <v>1925</v>
      </c>
      <c r="B1926" s="17" t="inlineStr">
        <is>
          <t>Part III - Upstream AI Research</t>
        </is>
      </c>
      <c r="C1926" s="18" t="inlineStr">
        <is>
          <t>4.3 Sharpness, flat minima, and implicit bias of SGD</t>
        </is>
      </c>
      <c r="D1926" s="10" t="inlineStr">
        <is>
          <t>Nicolas Flammarion (EPFL)</t>
        </is>
      </c>
      <c r="E1926" s="10" t="inlineStr"/>
      <c r="F1926" s="11" t="inlineStr">
        <is>
          <t>1:04:30</t>
        </is>
      </c>
      <c r="G1926" s="11" t="n">
        <v>1.07</v>
      </c>
      <c r="H1926" s="12" t="inlineStr"/>
      <c r="I1926" s="11" t="inlineStr">
        <is>
          <t>Not started</t>
        </is>
      </c>
      <c r="J1926" s="13" t="n"/>
      <c r="K1926" s="10" t="inlineStr"/>
      <c r="L1926" s="14" t="inlineStr">
        <is>
          <t>▶ watch</t>
        </is>
      </c>
      <c r="M1926" s="10" t="inlineStr">
        <is>
          <t>Pesme, Pillaud-Vivien, Flammarion (arXiv:2106.09524)</t>
        </is>
      </c>
      <c r="N1926" s="14" t="inlineStr">
        <is>
          <t>read ↗</t>
        </is>
      </c>
      <c r="O1926" s="11" t="inlineStr">
        <is>
          <t>stated with the talk</t>
        </is>
      </c>
      <c r="P1926" s="10" t="inlineStr"/>
    </row>
    <row r="1927">
      <c r="A1927" s="17" t="n">
        <v>1926</v>
      </c>
      <c r="B1927" s="17" t="inlineStr">
        <is>
          <t>Part III - Upstream AI Research</t>
        </is>
      </c>
      <c r="C1927" s="18" t="inlineStr">
        <is>
          <t>4.3 Sharpness, flat minima, and implicit bias of SGD</t>
        </is>
      </c>
      <c r="D1927" s="10" t="inlineStr">
        <is>
          <t>Tengyu Ma (Stanford)</t>
        </is>
      </c>
      <c r="E1927" s="10" t="inlineStr"/>
      <c r="F1927" s="11" t="inlineStr">
        <is>
          <t>1:32:15</t>
        </is>
      </c>
      <c r="G1927" s="11" t="n">
        <v>1.54</v>
      </c>
      <c r="H1927" s="12" t="inlineStr"/>
      <c r="I1927" s="11" t="inlineStr">
        <is>
          <t>Not started</t>
        </is>
      </c>
      <c r="J1927" s="13" t="n"/>
      <c r="K1927" s="10" t="inlineStr"/>
      <c r="L1927" s="14" t="inlineStr">
        <is>
          <t>▶ watch</t>
        </is>
      </c>
      <c r="M1927" s="10" t="inlineStr">
        <is>
          <t>McCoy et al. 2024, PNAS 121:e2322420121 (Embers of Autoregression) · Bubeck et al. 2023, arXiv:2303.12712 (Sparks of AGI)</t>
        </is>
      </c>
      <c r="N1927" s="14" t="inlineStr">
        <is>
          <t>read ↗</t>
        </is>
      </c>
      <c r="O1927" s="11" t="inlineStr">
        <is>
          <t xml:space="preserve">reading for D.7.7 Is reasoning real? - the standing </t>
        </is>
      </c>
      <c r="P1927" s="10" t="inlineStr">
        <is>
          <t>8.1 Stanford CS229M / STATS214 - Machine Learning Theory</t>
        </is>
      </c>
    </row>
    <row r="1928">
      <c r="A1928" s="17" t="n">
        <v>1927</v>
      </c>
      <c r="B1928" s="17" t="inlineStr">
        <is>
          <t>Part III - Upstream AI Research</t>
        </is>
      </c>
      <c r="C1928" s="18" t="inlineStr">
        <is>
          <t>4.4 Why Adam works, and the preconditioned-optimizer wave</t>
        </is>
      </c>
      <c r="D1928" s="10" t="inlineStr">
        <is>
          <t>Kwangjun Ahn (MIT), ICML 2024</t>
        </is>
      </c>
      <c r="E1928" s="10" t="inlineStr"/>
      <c r="F1928" s="11" t="inlineStr">
        <is>
          <t>14:16</t>
        </is>
      </c>
      <c r="G1928" s="11" t="n">
        <v>0.24</v>
      </c>
      <c r="H1928" s="12" t="inlineStr"/>
      <c r="I1928" s="11" t="inlineStr">
        <is>
          <t>Not started</t>
        </is>
      </c>
      <c r="J1928" s="13" t="n"/>
      <c r="K1928" s="10" t="inlineStr"/>
      <c r="L1928" s="14" t="inlineStr">
        <is>
          <t>▶ watch</t>
        </is>
      </c>
      <c r="M1928" s="10" t="inlineStr">
        <is>
          <t>Ahn, Zhang, Singh, Sra (arXiv:2402.01567)</t>
        </is>
      </c>
      <c r="N1928" s="14" t="inlineStr">
        <is>
          <t>read ↗</t>
        </is>
      </c>
      <c r="O1928" s="11" t="inlineStr">
        <is>
          <t>stated with the talk</t>
        </is>
      </c>
      <c r="P1928" s="10" t="inlineStr"/>
    </row>
    <row r="1929">
      <c r="A1929" s="17" t="n">
        <v>1928</v>
      </c>
      <c r="B1929" s="17" t="inlineStr">
        <is>
          <t>Part III - Upstream AI Research</t>
        </is>
      </c>
      <c r="C1929" s="18" t="inlineStr">
        <is>
          <t>4.4 Why Adam works, and the preconditioned-optimizer wave</t>
        </is>
      </c>
      <c r="D1929" s="10" t="inlineStr">
        <is>
          <t>Kwangjun Ahn (MIT)</t>
        </is>
      </c>
      <c r="E1929" s="10" t="inlineStr"/>
      <c r="F1929" s="11" t="inlineStr">
        <is>
          <t>40:33</t>
        </is>
      </c>
      <c r="G1929" s="11" t="n">
        <v>0.68</v>
      </c>
      <c r="H1929" s="12" t="inlineStr"/>
      <c r="I1929" s="11" t="inlineStr">
        <is>
          <t>Not started</t>
        </is>
      </c>
      <c r="J1929" s="13" t="n"/>
      <c r="K1929" s="10" t="inlineStr"/>
      <c r="L1929" s="14" t="inlineStr">
        <is>
          <t>▶ watch</t>
        </is>
      </c>
      <c r="M1929" s="10" t="inlineStr">
        <is>
          <t>McCoy et al. 2024, PNAS 121:e2322420121 (Embers of Autoregression) · Bubeck et al. 2023, arXiv:2303.12712 (Sparks of AGI)</t>
        </is>
      </c>
      <c r="N1929" s="14" t="inlineStr">
        <is>
          <t>read ↗</t>
        </is>
      </c>
      <c r="O1929" s="11" t="inlineStr">
        <is>
          <t xml:space="preserve">reading for D.7.7 Is reasoning real? - the standing </t>
        </is>
      </c>
      <c r="P1929" s="10" t="inlineStr"/>
    </row>
    <row r="1930">
      <c r="A1930" s="17" t="n">
        <v>1929</v>
      </c>
      <c r="B1930" s="17" t="inlineStr">
        <is>
          <t>Part III - Upstream AI Research</t>
        </is>
      </c>
      <c r="C1930" s="18" t="inlineStr">
        <is>
          <t>4.4 Why Adam works, and the preconditioned-optimizer wave</t>
        </is>
      </c>
      <c r="D1930" s="10" t="inlineStr">
        <is>
          <t>course Fall 2024, posted 2026</t>
        </is>
      </c>
      <c r="E1930" s="10" t="inlineStr"/>
      <c r="F1930" s="11" t="inlineStr">
        <is>
          <t>1:07:50</t>
        </is>
      </c>
      <c r="G1930" s="11" t="n">
        <v>1.13</v>
      </c>
      <c r="H1930" s="12" t="inlineStr"/>
      <c r="I1930" s="11" t="inlineStr">
        <is>
          <t>Not started</t>
        </is>
      </c>
      <c r="J1930" s="13" t="n"/>
      <c r="K1930" s="10" t="inlineStr"/>
      <c r="L1930" s="14" t="inlineStr">
        <is>
          <t>▶ watch</t>
        </is>
      </c>
      <c r="M1930" s="10" t="inlineStr">
        <is>
          <t>McCoy et al. 2024, PNAS 121:e2322420121 (Embers of Autoregression) · Bubeck et al. 2023, arXiv:2303.12712 (Sparks of AGI)</t>
        </is>
      </c>
      <c r="N1930" s="14" t="inlineStr">
        <is>
          <t>read ↗</t>
        </is>
      </c>
      <c r="O1930" s="11" t="inlineStr">
        <is>
          <t xml:space="preserve">reading for D.7.7 Is reasoning real? - the standing </t>
        </is>
      </c>
      <c r="P1930" s="10" t="inlineStr"/>
    </row>
    <row r="1931">
      <c r="A1931" s="17" t="n">
        <v>1930</v>
      </c>
      <c r="B1931" s="17" t="inlineStr">
        <is>
          <t>Part III - Upstream AI Research</t>
        </is>
      </c>
      <c r="C1931" s="18" t="inlineStr">
        <is>
          <t>4.4 Why Adam works, and the preconditioned-optimizer wave</t>
        </is>
      </c>
      <c r="D1931" s="10" t="inlineStr">
        <is>
          <t>Weijie Su (University of Pennsylvania), CRUNCH Group</t>
        </is>
      </c>
      <c r="E1931" s="10" t="inlineStr"/>
      <c r="F1931" s="11" t="inlineStr">
        <is>
          <t>1:00:45</t>
        </is>
      </c>
      <c r="G1931" s="11" t="n">
        <v>1.01</v>
      </c>
      <c r="H1931" s="12" t="inlineStr"/>
      <c r="I1931" s="11" t="inlineStr">
        <is>
          <t>Not started</t>
        </is>
      </c>
      <c r="J1931" s="13" t="n"/>
      <c r="K1931" s="10" t="inlineStr"/>
      <c r="L1931" s="14" t="inlineStr">
        <is>
          <t>▶ watch</t>
        </is>
      </c>
      <c r="M1931" s="10" t="inlineStr">
        <is>
          <t>arXiv:2505.21799, arXiv:2511.00674</t>
        </is>
      </c>
      <c r="N1931" s="14" t="inlineStr">
        <is>
          <t>read ↗</t>
        </is>
      </c>
      <c r="O1931" s="11" t="inlineStr">
        <is>
          <t>stated with the talk</t>
        </is>
      </c>
      <c r="P1931" s="10" t="inlineStr"/>
    </row>
    <row r="1932">
      <c r="A1932" s="17" t="n">
        <v>1931</v>
      </c>
      <c r="B1932" s="17" t="inlineStr">
        <is>
          <t>Part III - Upstream AI Research</t>
        </is>
      </c>
      <c r="C1932" s="18" t="inlineStr">
        <is>
          <t>4.4 Why Adam works, and the preconditioned-optimizer wave</t>
        </is>
      </c>
      <c r="D1932" s="10" t="inlineStr">
        <is>
          <t>Robert Gower (Flatiron Institute), IMPA</t>
        </is>
      </c>
      <c r="E1932" s="10" t="inlineStr"/>
      <c r="F1932" s="11" t="inlineStr">
        <is>
          <t>59:45</t>
        </is>
      </c>
      <c r="G1932" s="11" t="n">
        <v>1</v>
      </c>
      <c r="H1932" s="12" t="inlineStr"/>
      <c r="I1932" s="11" t="inlineStr">
        <is>
          <t>Not started</t>
        </is>
      </c>
      <c r="J1932" s="13" t="n"/>
      <c r="K1932" s="10" t="inlineStr"/>
      <c r="L1932" s="14" t="inlineStr">
        <is>
          <t>▶ watch</t>
        </is>
      </c>
      <c r="M1932" s="10" t="inlineStr">
        <is>
          <t>McCoy et al. 2024, PNAS 121:e2322420121 (Embers of Autoregression) · Bubeck et al. 2023, arXiv:2303.12712 (Sparks of AGI)</t>
        </is>
      </c>
      <c r="N1932" s="14" t="inlineStr">
        <is>
          <t>read ↗</t>
        </is>
      </c>
      <c r="O1932" s="11" t="inlineStr">
        <is>
          <t xml:space="preserve">reading for D.7.7 Is reasoning real? - the standing </t>
        </is>
      </c>
      <c r="P1932" s="10" t="inlineStr"/>
    </row>
    <row r="1933">
      <c r="A1933" s="17" t="n">
        <v>1932</v>
      </c>
      <c r="B1933" s="17" t="inlineStr">
        <is>
          <t>Part III - Upstream AI Research</t>
        </is>
      </c>
      <c r="C1933" s="18" t="inlineStr">
        <is>
          <t>4.4 Why Adam works, and the preconditioned-optimizer wave</t>
        </is>
      </c>
      <c r="D1933" s="10" t="inlineStr">
        <is>
          <t>Yoram Singer (Princeton/Google), FODSI</t>
        </is>
      </c>
      <c r="E1933" s="10" t="inlineStr"/>
      <c r="F1933" s="11" t="inlineStr">
        <is>
          <t>52:43</t>
        </is>
      </c>
      <c r="G1933" s="11" t="n">
        <v>0.88</v>
      </c>
      <c r="H1933" s="12" t="inlineStr"/>
      <c r="I1933" s="11" t="inlineStr">
        <is>
          <t>Not started</t>
        </is>
      </c>
      <c r="J1933" s="13" t="n"/>
      <c r="K1933" s="10" t="inlineStr"/>
      <c r="L1933" s="14" t="inlineStr">
        <is>
          <t>▶ watch</t>
        </is>
      </c>
      <c r="M1933" s="10" t="inlineStr">
        <is>
          <t>Anil, Gupta, Koren, Singer (arXiv:1901.11150)</t>
        </is>
      </c>
      <c r="N1933" s="14" t="inlineStr">
        <is>
          <t>read ↗</t>
        </is>
      </c>
      <c r="O1933" s="11" t="inlineStr">
        <is>
          <t>stated with the talk</t>
        </is>
      </c>
      <c r="P1933" s="10" t="inlineStr"/>
    </row>
    <row r="1934">
      <c r="A1934" s="17" t="n">
        <v>1933</v>
      </c>
      <c r="B1934" s="17" t="inlineStr">
        <is>
          <t>Part III - Upstream AI Research</t>
        </is>
      </c>
      <c r="C1934" s="18" t="inlineStr">
        <is>
          <t>4.5 Convergence theory for overparameterized networks</t>
        </is>
      </c>
      <c r="D1934" s="10" t="inlineStr">
        <is>
          <t>Jason Lee (USC), Simons Deep Learning Boot Camp</t>
        </is>
      </c>
      <c r="E1934" s="10" t="inlineStr">
        <is>
          <t>Jason Lee (USC</t>
        </is>
      </c>
      <c r="F1934" s="11" t="inlineStr">
        <is>
          <t>1:14:29</t>
        </is>
      </c>
      <c r="G1934" s="11" t="n">
        <v>1.24</v>
      </c>
      <c r="H1934" s="12" t="inlineStr"/>
      <c r="I1934" s="11" t="inlineStr">
        <is>
          <t>Not started</t>
        </is>
      </c>
      <c r="J1934" s="13" t="n"/>
      <c r="K1934" s="10" t="inlineStr"/>
      <c r="L1934" s="14" t="inlineStr">
        <is>
          <t>▶ watch</t>
        </is>
      </c>
      <c r="M1934" s="10" t="inlineStr">
        <is>
          <t>Du, Lee, Li, Wang, Zhai, "Gradient descent finds global minima of deep neural networks" (arXiv:1811.03804)</t>
        </is>
      </c>
      <c r="N1934" s="14" t="inlineStr">
        <is>
          <t>read ↗</t>
        </is>
      </c>
      <c r="O1934" s="11" t="inlineStr">
        <is>
          <t>stated with the talk</t>
        </is>
      </c>
      <c r="P1934" s="10" t="inlineStr">
        <is>
          <t>9.1 Simons: Foundations of Deep Learning (Summer 2019</t>
        </is>
      </c>
    </row>
    <row r="1935">
      <c r="A1935" s="17" t="n">
        <v>1934</v>
      </c>
      <c r="B1935" s="17" t="inlineStr">
        <is>
          <t>Part III - Upstream AI Research</t>
        </is>
      </c>
      <c r="C1935" s="18" t="inlineStr">
        <is>
          <t>4.5 Convergence theory for overparameterized networks</t>
        </is>
      </c>
      <c r="D1935" s="10" t="inlineStr">
        <is>
          <t>Jason Lee (USC), Simons</t>
        </is>
      </c>
      <c r="E1935" s="10" t="inlineStr">
        <is>
          <t>Jason Lee (USC</t>
        </is>
      </c>
      <c r="F1935" s="11" t="inlineStr">
        <is>
          <t>1:13:57</t>
        </is>
      </c>
      <c r="G1935" s="11" t="n">
        <v>1.23</v>
      </c>
      <c r="H1935" s="12" t="inlineStr"/>
      <c r="I1935" s="11" t="inlineStr">
        <is>
          <t>Not started</t>
        </is>
      </c>
      <c r="J1935" s="13" t="n"/>
      <c r="K1935" s="10" t="inlineStr"/>
      <c r="L1935" s="14" t="inlineStr">
        <is>
          <t>▶ watch</t>
        </is>
      </c>
      <c r="M1935" s="10" t="inlineStr">
        <is>
          <t>McCoy et al. 2024, PNAS 121:e2322420121 (Embers of Autoregression) · Bubeck et al. 2023, arXiv:2303.12712 (Sparks of AGI)</t>
        </is>
      </c>
      <c r="N1935" s="14" t="inlineStr">
        <is>
          <t>read ↗</t>
        </is>
      </c>
      <c r="O1935" s="11" t="inlineStr">
        <is>
          <t xml:space="preserve">reading for D.7.7 Is reasoning real? - the standing </t>
        </is>
      </c>
      <c r="P1935" s="10" t="inlineStr">
        <is>
          <t>9.1 Simons: Foundations of Deep Learning (Summer 2019</t>
        </is>
      </c>
    </row>
    <row r="1936">
      <c r="A1936" s="17" t="n">
        <v>1935</v>
      </c>
      <c r="B1936" s="17" t="inlineStr">
        <is>
          <t>Part III - Upstream AI Research</t>
        </is>
      </c>
      <c r="C1936" s="18" t="inlineStr">
        <is>
          <t>4.5 Convergence theory for overparameterized networks</t>
        </is>
      </c>
      <c r="D1936" s="10" t="inlineStr">
        <is>
          <t>Jason Lee (USC), Simons</t>
        </is>
      </c>
      <c r="E1936" s="10" t="inlineStr"/>
      <c r="F1936" s="11" t="inlineStr">
        <is>
          <t>45:38</t>
        </is>
      </c>
      <c r="G1936" s="11" t="n">
        <v>0.76</v>
      </c>
      <c r="H1936" s="12" t="inlineStr"/>
      <c r="I1936" s="11" t="inlineStr">
        <is>
          <t>Not started</t>
        </is>
      </c>
      <c r="J1936" s="13" t="n"/>
      <c r="K1936" s="10" t="inlineStr"/>
      <c r="L1936" s="14" t="inlineStr">
        <is>
          <t>▶ watch</t>
        </is>
      </c>
      <c r="M1936" s="10" t="inlineStr">
        <is>
          <t>McCoy et al. 2024, PNAS 121:e2322420121 (Embers of Autoregression) · Bubeck et al. 2023, arXiv:2303.12712 (Sparks of AGI)</t>
        </is>
      </c>
      <c r="N1936" s="14" t="inlineStr">
        <is>
          <t>read ↗</t>
        </is>
      </c>
      <c r="O1936" s="11" t="inlineStr">
        <is>
          <t xml:space="preserve">reading for D.7.7 Is reasoning real? - the standing </t>
        </is>
      </c>
      <c r="P1936" s="10" t="inlineStr"/>
    </row>
    <row r="1937">
      <c r="A1937" s="17" t="n">
        <v>1936</v>
      </c>
      <c r="B1937" s="17" t="inlineStr">
        <is>
          <t>Part III - Upstream AI Research</t>
        </is>
      </c>
      <c r="C1937" s="18" t="inlineStr">
        <is>
          <t>4.5 Convergence theory for overparameterized networks</t>
        </is>
      </c>
      <c r="D1937" s="10" t="inlineStr">
        <is>
          <t>Nadav Cohen (IAS / Tel Aviv), Simons</t>
        </is>
      </c>
      <c r="E1937" s="10" t="inlineStr"/>
      <c r="F1937" s="11" t="inlineStr">
        <is>
          <t>46:27</t>
        </is>
      </c>
      <c r="G1937" s="11" t="n">
        <v>0.77</v>
      </c>
      <c r="H1937" s="12" t="inlineStr">
        <is>
          <t>★</t>
        </is>
      </c>
      <c r="I1937" s="11" t="inlineStr">
        <is>
          <t>Not started</t>
        </is>
      </c>
      <c r="J1937" s="13" t="n"/>
      <c r="K1937" s="10" t="inlineStr"/>
      <c r="L1937" s="14" t="inlineStr">
        <is>
          <t>▶ watch</t>
        </is>
      </c>
      <c r="M1937" s="10" t="inlineStr">
        <is>
          <t>Arora, Cohen, Hazan (arXiv:1802.06509)</t>
        </is>
      </c>
      <c r="N1937" s="14" t="inlineStr">
        <is>
          <t>read ↗</t>
        </is>
      </c>
      <c r="O1937" s="11" t="inlineStr">
        <is>
          <t>stated with the talk</t>
        </is>
      </c>
      <c r="P1937" s="10" t="inlineStr">
        <is>
          <t>9.1 Simons: Foundations of Deep Learning (Summer 2019</t>
        </is>
      </c>
    </row>
    <row r="1938">
      <c r="A1938" s="17" t="n">
        <v>1937</v>
      </c>
      <c r="B1938" s="17" t="inlineStr">
        <is>
          <t>Part III - Upstream AI Research</t>
        </is>
      </c>
      <c r="C1938" s="18" t="inlineStr">
        <is>
          <t>4.5 Convergence theory for overparameterized networks</t>
        </is>
      </c>
      <c r="D1938" s="10" t="inlineStr">
        <is>
          <t>Simon Du (University of Washington)</t>
        </is>
      </c>
      <c r="E1938" s="10" t="inlineStr"/>
      <c r="F1938" s="11" t="inlineStr">
        <is>
          <t>48:34</t>
        </is>
      </c>
      <c r="G1938" s="11" t="n">
        <v>0.8100000000000001</v>
      </c>
      <c r="H1938" s="12" t="inlineStr"/>
      <c r="I1938" s="11" t="inlineStr">
        <is>
          <t>Not started</t>
        </is>
      </c>
      <c r="J1938" s="13" t="n"/>
      <c r="K1938" s="10" t="inlineStr"/>
      <c r="L1938" s="14" t="inlineStr">
        <is>
          <t>▶ watch</t>
        </is>
      </c>
      <c r="M1938" s="10" t="inlineStr">
        <is>
          <t>McCoy et al. 2024, PNAS 121:e2322420121 (Embers of Autoregression) · Bubeck et al. 2023, arXiv:2303.12712 (Sparks of AGI)</t>
        </is>
      </c>
      <c r="N1938" s="14" t="inlineStr">
        <is>
          <t>read ↗</t>
        </is>
      </c>
      <c r="O1938" s="11" t="inlineStr">
        <is>
          <t xml:space="preserve">reading for D.7.7 Is reasoning real? - the standing </t>
        </is>
      </c>
      <c r="P1938" s="10" t="inlineStr"/>
    </row>
    <row r="1939">
      <c r="A1939" s="17" t="n">
        <v>1938</v>
      </c>
      <c r="B1939" s="17" t="inlineStr">
        <is>
          <t>Part III - Upstream AI Research</t>
        </is>
      </c>
      <c r="C1939" s="18" t="inlineStr">
        <is>
          <t>5.1 The empirical result and compute-optimal training</t>
        </is>
      </c>
      <c r="D1939" s="10" t="inlineStr">
        <is>
          <t>Stanford CS336 "Language Modeling from Scratch"</t>
        </is>
      </c>
      <c r="E1939" s="10" t="inlineStr"/>
      <c r="F1939" s="11" t="inlineStr">
        <is>
          <t>1:05:18</t>
        </is>
      </c>
      <c r="G1939" s="11" t="n">
        <v>1.09</v>
      </c>
      <c r="H1939" s="12" t="inlineStr"/>
      <c r="I1939" s="11" t="inlineStr">
        <is>
          <t>Not started</t>
        </is>
      </c>
      <c r="J1939" s="13" t="n"/>
      <c r="K1939" s="10" t="inlineStr"/>
      <c r="L1939" s="14" t="inlineStr">
        <is>
          <t>▶ watch</t>
        </is>
      </c>
      <c r="M1939" s="10" t="inlineStr">
        <is>
          <t>Hoffmann, Borgeaud, Mensch et al., "Training compute-optimal large language models" (arXiv:2203.15556)</t>
        </is>
      </c>
      <c r="N1939" s="14" t="inlineStr">
        <is>
          <t>read ↗</t>
        </is>
      </c>
      <c r="O1939" s="11" t="inlineStr">
        <is>
          <t>stated with the talk</t>
        </is>
      </c>
      <c r="P1939" s="10" t="inlineStr"/>
    </row>
    <row r="1940">
      <c r="A1940" s="17" t="n">
        <v>1939</v>
      </c>
      <c r="B1940" s="17" t="inlineStr">
        <is>
          <t>Part III - Upstream AI Research</t>
        </is>
      </c>
      <c r="C1940" s="18" t="inlineStr">
        <is>
          <t>5.1 The empirical result and compute-optimal training</t>
        </is>
      </c>
      <c r="D1940" s="10" t="inlineStr">
        <is>
          <t>Samuel L. Smith (Google DeepMind), IPAM</t>
        </is>
      </c>
      <c r="E1940" s="10" t="inlineStr"/>
      <c r="F1940" s="11" t="inlineStr">
        <is>
          <t>53:16</t>
        </is>
      </c>
      <c r="G1940" s="11" t="n">
        <v>0.89</v>
      </c>
      <c r="H1940" s="12" t="inlineStr"/>
      <c r="I1940" s="11" t="inlineStr">
        <is>
          <t>Not started</t>
        </is>
      </c>
      <c r="J1940" s="13" t="n"/>
      <c r="K1940" s="10" t="inlineStr"/>
      <c r="L1940" s="14" t="inlineStr">
        <is>
          <t>▶ watch</t>
        </is>
      </c>
      <c r="M1940" s="10" t="inlineStr">
        <is>
          <t>arXiv:2203.15556</t>
        </is>
      </c>
      <c r="N1940" s="14" t="inlineStr">
        <is>
          <t>read ↗</t>
        </is>
      </c>
      <c r="O1940" s="11" t="inlineStr">
        <is>
          <t>stated with the talk</t>
        </is>
      </c>
      <c r="P1940" s="10" t="inlineStr"/>
    </row>
    <row r="1941">
      <c r="A1941" s="17" t="n">
        <v>1940</v>
      </c>
      <c r="B1941" s="17" t="inlineStr">
        <is>
          <t>Part III - Upstream AI Research</t>
        </is>
      </c>
      <c r="C1941" s="18" t="inlineStr">
        <is>
          <t>5.1 The empirical result and compute-optimal training</t>
        </is>
      </c>
      <c r="D1941" s="10" t="inlineStr">
        <is>
          <t>Niklas Muennighoff (Stanford / Contextual AI), Cohere For AI</t>
        </is>
      </c>
      <c r="E1941" s="10" t="inlineStr"/>
      <c r="F1941" s="11" t="inlineStr">
        <is>
          <t>1:00:01</t>
        </is>
      </c>
      <c r="G1941" s="11" t="n">
        <v>1</v>
      </c>
      <c r="H1941" s="12" t="inlineStr"/>
      <c r="I1941" s="11" t="inlineStr">
        <is>
          <t>Not started</t>
        </is>
      </c>
      <c r="J1941" s="13" t="n"/>
      <c r="K1941" s="10" t="inlineStr"/>
      <c r="L1941" s="14" t="inlineStr">
        <is>
          <t>▶ watch</t>
        </is>
      </c>
      <c r="M1941" s="10" t="inlineStr">
        <is>
          <t>arXiv:2305.16264</t>
        </is>
      </c>
      <c r="N1941" s="14" t="inlineStr">
        <is>
          <t>read ↗</t>
        </is>
      </c>
      <c r="O1941" s="11" t="inlineStr">
        <is>
          <t>stated with the talk</t>
        </is>
      </c>
      <c r="P1941" s="10" t="inlineStr"/>
    </row>
    <row r="1942">
      <c r="A1942" s="17" t="n">
        <v>1941</v>
      </c>
      <c r="B1942" s="17" t="inlineStr">
        <is>
          <t>Part III - Upstream AI Research</t>
        </is>
      </c>
      <c r="C1942" s="18" t="inlineStr">
        <is>
          <t>5.2 Deriving the exponents</t>
        </is>
      </c>
      <c r="D1942" s="10" t="inlineStr">
        <is>
          <t>Jaehoon Lee (Google Brain), Understanding Deep Learning lecture series</t>
        </is>
      </c>
      <c r="E1942" s="10" t="inlineStr">
        <is>
          <t>Jaehoon Lee (Google Brain</t>
        </is>
      </c>
      <c r="F1942" s="11" t="inlineStr">
        <is>
          <t>56:12</t>
        </is>
      </c>
      <c r="G1942" s="11" t="n">
        <v>0.9399999999999999</v>
      </c>
      <c r="H1942" s="12" t="inlineStr"/>
      <c r="I1942" s="11" t="inlineStr">
        <is>
          <t>Not started</t>
        </is>
      </c>
      <c r="J1942" s="13" t="n"/>
      <c r="K1942" s="10" t="inlineStr"/>
      <c r="L1942" s="14" t="inlineStr">
        <is>
          <t>▶ watch</t>
        </is>
      </c>
      <c r="M1942" s="10" t="inlineStr">
        <is>
          <t>Bahri, Dyer, Kaplan, Lee, Sharma, "Explaining neural scaling laws" (arXiv:2102.06701)</t>
        </is>
      </c>
      <c r="N1942" s="14" t="inlineStr">
        <is>
          <t>read ↗</t>
        </is>
      </c>
      <c r="O1942" s="11" t="inlineStr">
        <is>
          <t>stated with the talk</t>
        </is>
      </c>
      <c r="P1942" s="10" t="inlineStr">
        <is>
          <t>8.5 Understanding Deep Learning lecture series</t>
        </is>
      </c>
    </row>
    <row r="1943">
      <c r="A1943" s="17" t="n">
        <v>1942</v>
      </c>
      <c r="B1943" s="17" t="inlineStr">
        <is>
          <t>Part III - Upstream AI Research</t>
        </is>
      </c>
      <c r="C1943" s="18" t="inlineStr">
        <is>
          <t>5.2 Deriving the exponents</t>
        </is>
      </c>
      <c r="D1943" s="10" t="inlineStr">
        <is>
          <t>Cengiz Pehlevan (Harvard / Kempner Institute), KUIS AI</t>
        </is>
      </c>
      <c r="E1943" s="10" t="inlineStr"/>
      <c r="F1943" s="11" t="inlineStr">
        <is>
          <t>58:59</t>
        </is>
      </c>
      <c r="G1943" s="11" t="n">
        <v>0.98</v>
      </c>
      <c r="H1943" s="12" t="inlineStr"/>
      <c r="I1943" s="11" t="inlineStr">
        <is>
          <t>Not started</t>
        </is>
      </c>
      <c r="J1943" s="13" t="n"/>
      <c r="K1943" s="10" t="inlineStr"/>
      <c r="L1943" s="14" t="inlineStr">
        <is>
          <t>▶ watch</t>
        </is>
      </c>
      <c r="M1943" s="10" t="inlineStr">
        <is>
          <t>Atanasov, Zavatone-Veth, Pehlevan, "Scaling and renormalization in high-dimensional regression" (arXiv:2405.00592); Bordelon, Atanasov, Pehlevan (arXiv:2402.01092)</t>
        </is>
      </c>
      <c r="N1943" s="14" t="inlineStr">
        <is>
          <t>read ↗</t>
        </is>
      </c>
      <c r="O1943" s="11" t="inlineStr">
        <is>
          <t>stated with the talk</t>
        </is>
      </c>
      <c r="P1943" s="10" t="inlineStr"/>
    </row>
    <row r="1944">
      <c r="A1944" s="17" t="n">
        <v>1943</v>
      </c>
      <c r="B1944" s="17" t="inlineStr">
        <is>
          <t>Part III - Upstream AI Research</t>
        </is>
      </c>
      <c r="C1944" s="18" t="inlineStr">
        <is>
          <t>5.2 Deriving the exponents</t>
        </is>
      </c>
      <c r="D1944" s="10" t="inlineStr">
        <is>
          <t>Cengiz Pehlevan (Harvard / Kempner), Principles of Intelligence</t>
        </is>
      </c>
      <c r="E1944" s="10" t="inlineStr"/>
      <c r="F1944" s="11" t="inlineStr">
        <is>
          <t>53:03</t>
        </is>
      </c>
      <c r="G1944" s="11" t="n">
        <v>0.88</v>
      </c>
      <c r="H1944" s="12" t="inlineStr"/>
      <c r="I1944" s="11" t="inlineStr">
        <is>
          <t>Not started</t>
        </is>
      </c>
      <c r="J1944" s="13" t="n"/>
      <c r="K1944" s="10" t="inlineStr"/>
      <c r="L1944" s="14" t="inlineStr">
        <is>
          <t>▶ watch</t>
        </is>
      </c>
      <c r="M1944" s="10" t="inlineStr">
        <is>
          <t>McCoy et al. 2024, PNAS 121:e2322420121 (Embers of Autoregression) · Bubeck et al. 2023, arXiv:2303.12712 (Sparks of AGI)</t>
        </is>
      </c>
      <c r="N1944" s="14" t="inlineStr">
        <is>
          <t>read ↗</t>
        </is>
      </c>
      <c r="O1944" s="11" t="inlineStr">
        <is>
          <t xml:space="preserve">reading for D.7.7 Is reasoning real? - the standing </t>
        </is>
      </c>
      <c r="P1944" s="10" t="inlineStr"/>
    </row>
    <row r="1945">
      <c r="A1945" s="17" t="n">
        <v>1944</v>
      </c>
      <c r="B1945" s="17" t="inlineStr">
        <is>
          <t>Part III - Upstream AI Research</t>
        </is>
      </c>
      <c r="C1945" s="18" t="inlineStr">
        <is>
          <t>5.2 Deriving the exponents</t>
        </is>
      </c>
      <c r="D1945" s="10" t="inlineStr">
        <is>
          <t>Eric Michaud (MIT), SLT Summit</t>
        </is>
      </c>
      <c r="E1945" s="10" t="inlineStr"/>
      <c r="F1945" s="11" t="inlineStr">
        <is>
          <t>45:19</t>
        </is>
      </c>
      <c r="G1945" s="11" t="n">
        <v>0.76</v>
      </c>
      <c r="H1945" s="12" t="inlineStr"/>
      <c r="I1945" s="11" t="inlineStr">
        <is>
          <t>Not started</t>
        </is>
      </c>
      <c r="J1945" s="13" t="n"/>
      <c r="K1945" s="10" t="inlineStr"/>
      <c r="L1945" s="14" t="inlineStr">
        <is>
          <t>▶ watch</t>
        </is>
      </c>
      <c r="M1945" s="10" t="inlineStr">
        <is>
          <t>Michaud, Liu, Girit, Tegmark (arXiv:2303.13506)</t>
        </is>
      </c>
      <c r="N1945" s="14" t="inlineStr">
        <is>
          <t>read ↗</t>
        </is>
      </c>
      <c r="O1945" s="11" t="inlineStr">
        <is>
          <t>stated with the talk</t>
        </is>
      </c>
      <c r="P1945" s="10" t="inlineStr"/>
    </row>
    <row r="1946">
      <c r="A1946" s="17" t="n">
        <v>1945</v>
      </c>
      <c r="B1946" s="17" t="inlineStr">
        <is>
          <t>Part III - Upstream AI Research</t>
        </is>
      </c>
      <c r="C1946" s="18" t="inlineStr">
        <is>
          <t>5.2 Deriving the exponents</t>
        </is>
      </c>
      <c r="D1946" s="10" t="inlineStr">
        <is>
          <t>Elvis Dohmatob (Meta FAIR), IPAM</t>
        </is>
      </c>
      <c r="E1946" s="10" t="inlineStr"/>
      <c r="F1946" s="11" t="inlineStr">
        <is>
          <t>1:03:19</t>
        </is>
      </c>
      <c r="G1946" s="11" t="n">
        <v>1.06</v>
      </c>
      <c r="H1946" s="12" t="inlineStr"/>
      <c r="I1946" s="11" t="inlineStr">
        <is>
          <t>Not started</t>
        </is>
      </c>
      <c r="J1946" s="13" t="n"/>
      <c r="K1946" s="10" t="inlineStr"/>
      <c r="L1946" s="14" t="inlineStr">
        <is>
          <t>▶ watch</t>
        </is>
      </c>
      <c r="M1946" s="10" t="inlineStr">
        <is>
          <t>Dohmatob, Feng, Yang, Charton, Kempe, "A tale of tails: model collapse as a change of scaling laws" (arXiv:2402.07043)</t>
        </is>
      </c>
      <c r="N1946" s="14" t="inlineStr">
        <is>
          <t>read ↗</t>
        </is>
      </c>
      <c r="O1946" s="11" t="inlineStr">
        <is>
          <t>stated with the talk</t>
        </is>
      </c>
      <c r="P1946" s="10" t="inlineStr"/>
    </row>
    <row r="1947">
      <c r="A1947" s="17" t="n">
        <v>1946</v>
      </c>
      <c r="B1947" s="17" t="inlineStr">
        <is>
          <t>Part III - Upstream AI Research</t>
        </is>
      </c>
      <c r="C1947" s="18" t="inlineStr">
        <is>
          <t>5.2 Deriving the exponents</t>
        </is>
      </c>
      <c r="D1947" s="10" t="inlineStr">
        <is>
          <t>Ethan Dyer (Google Research, Blueshift), Simons Deep Learning Theory Summer School</t>
        </is>
      </c>
      <c r="E1947" s="10" t="inlineStr"/>
      <c r="F1947" s="11" t="inlineStr">
        <is>
          <t>1:12:25</t>
        </is>
      </c>
      <c r="G1947" s="11" t="n">
        <v>1.21</v>
      </c>
      <c r="H1947" s="12" t="inlineStr">
        <is>
          <t>★</t>
        </is>
      </c>
      <c r="I1947" s="11" t="inlineStr">
        <is>
          <t>Not started</t>
        </is>
      </c>
      <c r="J1947" s="13" t="n"/>
      <c r="K1947" s="10" t="inlineStr"/>
      <c r="L1947" s="14" t="inlineStr">
        <is>
          <t>▶ watch</t>
        </is>
      </c>
      <c r="M1947" s="10" t="inlineStr">
        <is>
          <t>McCoy et al. 2024, PNAS 121:e2322420121 (Embers of Autoregression) · Bubeck et al. 2023, arXiv:2303.12712 (Sparks of AGI)</t>
        </is>
      </c>
      <c r="N1947" s="14" t="inlineStr">
        <is>
          <t>read ↗</t>
        </is>
      </c>
      <c r="O1947" s="11" t="inlineStr">
        <is>
          <t xml:space="preserve">reading for D.7.7 Is reasoning real? - the standing </t>
        </is>
      </c>
      <c r="P1947" s="10" t="inlineStr">
        <is>
          <t>9.2 Simons: Deep Learning Theory Workshop and Summer School (August 1–5, 2022</t>
        </is>
      </c>
    </row>
    <row r="1948">
      <c r="A1948" s="17" t="n">
        <v>1947</v>
      </c>
      <c r="B1948" s="17" t="inlineStr">
        <is>
          <t>Part III - Upstream AI Research</t>
        </is>
      </c>
      <c r="C1948" s="18" t="inlineStr">
        <is>
          <t>5.3 Emergence - and whether it is real</t>
        </is>
      </c>
      <c r="D1948" s="10" t="inlineStr">
        <is>
          <t>Jason Wei (Google Brain / OpenAI), Generative AI at MIT</t>
        </is>
      </c>
      <c r="E1948" s="10" t="inlineStr"/>
      <c r="F1948" s="11" t="inlineStr">
        <is>
          <t>57:32</t>
        </is>
      </c>
      <c r="G1948" s="11" t="n">
        <v>0.96</v>
      </c>
      <c r="H1948" s="12" t="inlineStr"/>
      <c r="I1948" s="11" t="inlineStr">
        <is>
          <t>Not started</t>
        </is>
      </c>
      <c r="J1948" s="13" t="n"/>
      <c r="K1948" s="10" t="inlineStr"/>
      <c r="L1948" s="14" t="inlineStr">
        <is>
          <t>▶ watch</t>
        </is>
      </c>
      <c r="M1948" s="10" t="inlineStr">
        <is>
          <t>Wei, Tay, Bommasani et al., "Emergent abilities of large language models" (arXiv:2206.07682)</t>
        </is>
      </c>
      <c r="N1948" s="14" t="inlineStr">
        <is>
          <t>read ↗</t>
        </is>
      </c>
      <c r="O1948" s="11" t="inlineStr">
        <is>
          <t>stated with the talk</t>
        </is>
      </c>
      <c r="P1948" s="10" t="inlineStr"/>
    </row>
    <row r="1949">
      <c r="A1949" s="17" t="n">
        <v>1948</v>
      </c>
      <c r="B1949" s="17" t="inlineStr">
        <is>
          <t>Part III - Upstream AI Research</t>
        </is>
      </c>
      <c r="C1949" s="18" t="inlineStr">
        <is>
          <t>5.3 Emergence - and whether it is real</t>
        </is>
      </c>
      <c r="D1949" s="10" t="inlineStr">
        <is>
          <t>Jason Wei (Google Brain), USC ISI</t>
        </is>
      </c>
      <c r="E1949" s="10" t="inlineStr"/>
      <c r="F1949" s="11" t="inlineStr">
        <is>
          <t>1:00:11</t>
        </is>
      </c>
      <c r="G1949" s="11" t="n">
        <v>1</v>
      </c>
      <c r="H1949" s="12" t="inlineStr"/>
      <c r="I1949" s="11" t="inlineStr">
        <is>
          <t>Not started</t>
        </is>
      </c>
      <c r="J1949" s="13" t="n"/>
      <c r="K1949" s="10" t="inlineStr"/>
      <c r="L1949" s="14" t="inlineStr">
        <is>
          <t>▶ watch</t>
        </is>
      </c>
      <c r="M1949" s="10" t="inlineStr">
        <is>
          <t>McCoy et al. 2024, PNAS 121:e2322420121 (Embers of Autoregression) · Bubeck et al. 2023, arXiv:2303.12712 (Sparks of AGI)</t>
        </is>
      </c>
      <c r="N1949" s="14" t="inlineStr">
        <is>
          <t>read ↗</t>
        </is>
      </c>
      <c r="O1949" s="11" t="inlineStr">
        <is>
          <t xml:space="preserve">reading for D.7.7 Is reasoning real? - the standing </t>
        </is>
      </c>
      <c r="P1949" s="10" t="inlineStr"/>
    </row>
    <row r="1950">
      <c r="A1950" s="17" t="n">
        <v>1949</v>
      </c>
      <c r="B1950" s="17" t="inlineStr">
        <is>
          <t>Part III - Upstream AI Research</t>
        </is>
      </c>
      <c r="C1950" s="18" t="inlineStr">
        <is>
          <t>5.3 Emergence - and whether it is real</t>
        </is>
      </c>
      <c r="D1950" s="10" t="inlineStr">
        <is>
          <t>Sanmi Koyejo (Stanford)</t>
        </is>
      </c>
      <c r="E1950" s="10" t="inlineStr"/>
      <c r="F1950" s="11" t="inlineStr">
        <is>
          <t>1:05:25</t>
        </is>
      </c>
      <c r="G1950" s="11" t="n">
        <v>1.09</v>
      </c>
      <c r="H1950" s="12" t="inlineStr"/>
      <c r="I1950" s="11" t="inlineStr">
        <is>
          <t>Not started</t>
        </is>
      </c>
      <c r="J1950" s="13" t="n"/>
      <c r="K1950" s="10" t="inlineStr"/>
      <c r="L1950" s="14" t="inlineStr">
        <is>
          <t>▶ watch</t>
        </is>
      </c>
      <c r="M1950" s="10" t="inlineStr">
        <is>
          <t>arXiv:2304.15004</t>
        </is>
      </c>
      <c r="N1950" s="14" t="inlineStr">
        <is>
          <t>read ↗</t>
        </is>
      </c>
      <c r="O1950" s="11" t="inlineStr">
        <is>
          <t>stated with the talk</t>
        </is>
      </c>
      <c r="P1950" s="10" t="inlineStr"/>
    </row>
    <row r="1951">
      <c r="A1951" s="17" t="n">
        <v>1950</v>
      </c>
      <c r="B1951" s="17" t="inlineStr">
        <is>
          <t>Part III - Upstream AI Research</t>
        </is>
      </c>
      <c r="C1951" s="18" t="inlineStr">
        <is>
          <t>6.1 Grokking and phase transitions in training</t>
        </is>
      </c>
      <c r="D1951" s="10" t="inlineStr">
        <is>
          <t>Andrey Gromov (UMD), Leinweber Institute for Theoretical Physics</t>
        </is>
      </c>
      <c r="E1951" s="10" t="inlineStr"/>
      <c r="F1951" s="11" t="inlineStr">
        <is>
          <t>1:11:10</t>
        </is>
      </c>
      <c r="G1951" s="11" t="n">
        <v>1.19</v>
      </c>
      <c r="H1951" s="12" t="inlineStr"/>
      <c r="I1951" s="11" t="inlineStr">
        <is>
          <t>Not started</t>
        </is>
      </c>
      <c r="J1951" s="13" t="n"/>
      <c r="K1951" s="10" t="inlineStr"/>
      <c r="L1951" s="14" t="inlineStr">
        <is>
          <t>▶ watch</t>
        </is>
      </c>
      <c r="M1951" s="10" t="inlineStr">
        <is>
          <t>Gromov, "Grokking modular arithmetic" (arXiv:2301.02679)</t>
        </is>
      </c>
      <c r="N1951" s="14" t="inlineStr">
        <is>
          <t>read ↗</t>
        </is>
      </c>
      <c r="O1951" s="11" t="inlineStr">
        <is>
          <t>stated with the talk</t>
        </is>
      </c>
      <c r="P1951" s="10" t="inlineStr"/>
    </row>
    <row r="1952">
      <c r="A1952" s="17" t="n">
        <v>1951</v>
      </c>
      <c r="B1952" s="17" t="inlineStr">
        <is>
          <t>Part III - Upstream AI Research</t>
        </is>
      </c>
      <c r="C1952" s="18" t="inlineStr">
        <is>
          <t>6.1 Grokking and phase transitions in training</t>
        </is>
      </c>
      <c r="D1952" s="10" t="inlineStr">
        <is>
          <t>Andrey Gromov</t>
        </is>
      </c>
      <c r="E1952" s="10" t="inlineStr"/>
      <c r="F1952" s="11" t="inlineStr">
        <is>
          <t>1:06:35</t>
        </is>
      </c>
      <c r="G1952" s="11" t="n">
        <v>1.11</v>
      </c>
      <c r="H1952" s="12" t="inlineStr"/>
      <c r="I1952" s="11" t="inlineStr">
        <is>
          <t>Not started</t>
        </is>
      </c>
      <c r="J1952" s="13" t="n"/>
      <c r="K1952" s="10" t="inlineStr"/>
      <c r="L1952" s="14" t="inlineStr">
        <is>
          <t>▶ watch</t>
        </is>
      </c>
      <c r="M1952" s="10" t="inlineStr">
        <is>
          <t>McCoy et al. 2024, PNAS 121:e2322420121 (Embers of Autoregression) · Bubeck et al. 2023, arXiv:2303.12712 (Sparks of AGI)</t>
        </is>
      </c>
      <c r="N1952" s="14" t="inlineStr">
        <is>
          <t>read ↗</t>
        </is>
      </c>
      <c r="O1952" s="11" t="inlineStr">
        <is>
          <t xml:space="preserve">reading for D.7.7 Is reasoning real? - the standing </t>
        </is>
      </c>
      <c r="P1952" s="10" t="inlineStr"/>
    </row>
    <row r="1953">
      <c r="A1953" s="17" t="n">
        <v>1952</v>
      </c>
      <c r="B1953" s="17" t="inlineStr">
        <is>
          <t>Part III - Upstream AI Research</t>
        </is>
      </c>
      <c r="C1953" s="18" t="inlineStr">
        <is>
          <t>6.1 Grokking and phase transitions in training</t>
        </is>
      </c>
      <c r="D1953" s="10" t="inlineStr">
        <is>
          <t>Misha Belkin (UCSD), Simons "Transformers as a Computational Model"</t>
        </is>
      </c>
      <c r="E1953" s="10" t="inlineStr"/>
      <c r="F1953" s="11" t="inlineStr">
        <is>
          <t>52:40</t>
        </is>
      </c>
      <c r="G1953" s="11" t="n">
        <v>0.88</v>
      </c>
      <c r="H1953" s="12" t="inlineStr">
        <is>
          <t>★</t>
        </is>
      </c>
      <c r="I1953" s="11" t="inlineStr">
        <is>
          <t>Not started</t>
        </is>
      </c>
      <c r="J1953" s="13" t="n"/>
      <c r="K1953" s="10" t="inlineStr"/>
      <c r="L1953" s="14" t="inlineStr">
        <is>
          <t>▶ watch</t>
        </is>
      </c>
      <c r="M1953" s="10" t="inlineStr">
        <is>
          <t>McCoy et al. 2024, PNAS 121:e2322420121 (Embers of Autoregression) · Bubeck et al. 2023, arXiv:2303.12712 (Sparks of AGI)</t>
        </is>
      </c>
      <c r="N1953" s="14" t="inlineStr">
        <is>
          <t>read ↗</t>
        </is>
      </c>
      <c r="O1953" s="11" t="inlineStr">
        <is>
          <t xml:space="preserve">reading for D.7.7 Is reasoning real? - the standing </t>
        </is>
      </c>
      <c r="P1953" s="10" t="inlineStr">
        <is>
          <t>9.4 Simons: Special Year on Large Language Models and Transformers (2023–2024</t>
        </is>
      </c>
    </row>
    <row r="1954">
      <c r="A1954" s="17" t="n">
        <v>1953</v>
      </c>
      <c r="B1954" s="17" t="inlineStr">
        <is>
          <t>Part III - Upstream AI Research</t>
        </is>
      </c>
      <c r="C1954" s="18" t="inlineStr">
        <is>
          <t>6.1 Grokking and phase transitions in training</t>
        </is>
      </c>
      <c r="D1954" s="10" t="inlineStr">
        <is>
          <t>Naomi Saphra</t>
        </is>
      </c>
      <c r="E1954" s="10" t="inlineStr"/>
      <c r="F1954" s="11" t="inlineStr">
        <is>
          <t>1:04:20</t>
        </is>
      </c>
      <c r="G1954" s="11" t="n">
        <v>1.07</v>
      </c>
      <c r="H1954" s="12" t="inlineStr">
        <is>
          <t>★</t>
        </is>
      </c>
      <c r="I1954" s="11" t="inlineStr">
        <is>
          <t>Not started</t>
        </is>
      </c>
      <c r="J1954" s="13" t="n"/>
      <c r="K1954" s="10" t="inlineStr"/>
      <c r="L1954" s="14" t="inlineStr">
        <is>
          <t>▶ watch</t>
        </is>
      </c>
      <c r="M1954" s="10" t="inlineStr">
        <is>
          <t>McCoy et al. 2024, PNAS 121:e2322420121 (Embers of Autoregression) · Bubeck et al. 2023, arXiv:2303.12712 (Sparks of AGI)</t>
        </is>
      </c>
      <c r="N1954" s="14" t="inlineStr">
        <is>
          <t>read ↗</t>
        </is>
      </c>
      <c r="O1954" s="11" t="inlineStr">
        <is>
          <t xml:space="preserve">reading for D.7.7 Is reasoning real? - the standing </t>
        </is>
      </c>
      <c r="P1954" s="10" t="inlineStr">
        <is>
          <t>4. Science of model behavior</t>
        </is>
      </c>
    </row>
    <row r="1955">
      <c r="A1955" s="17" t="n">
        <v>1954</v>
      </c>
      <c r="B1955" s="17" t="inlineStr">
        <is>
          <t>Part III - Upstream AI Research</t>
        </is>
      </c>
      <c r="C1955" s="18" t="inlineStr">
        <is>
          <t>6.1 Grokking and phase transitions in training</t>
        </is>
      </c>
      <c r="D1955" s="10" t="inlineStr">
        <is>
          <t>Jesse Hoogland (Timaeus), TAIS 2024</t>
        </is>
      </c>
      <c r="E1955" s="10" t="inlineStr"/>
      <c r="F1955" s="11" t="inlineStr">
        <is>
          <t>32:40</t>
        </is>
      </c>
      <c r="G1955" s="11" t="n">
        <v>0.54</v>
      </c>
      <c r="H1955" s="12" t="inlineStr"/>
      <c r="I1955" s="11" t="inlineStr">
        <is>
          <t>Not started</t>
        </is>
      </c>
      <c r="J1955" s="13" t="n"/>
      <c r="K1955" s="10" t="inlineStr"/>
      <c r="L1955" s="14" t="inlineStr">
        <is>
          <t>▶ watch</t>
        </is>
      </c>
      <c r="M1955" s="10" t="inlineStr">
        <is>
          <t>Hoogland, Wang, Farrugia-Roberts et al., "The developmental landscape of in-context learning" (arXiv:2402.02364)</t>
        </is>
      </c>
      <c r="N1955" s="14" t="inlineStr">
        <is>
          <t>read ↗</t>
        </is>
      </c>
      <c r="O1955" s="11" t="inlineStr">
        <is>
          <t>stated with the talk</t>
        </is>
      </c>
      <c r="P1955" s="10" t="inlineStr"/>
    </row>
    <row r="1956">
      <c r="A1956" s="17" t="n">
        <v>1955</v>
      </c>
      <c r="B1956" s="17" t="inlineStr">
        <is>
          <t>Part III - Upstream AI Research</t>
        </is>
      </c>
      <c r="C1956" s="18" t="inlineStr">
        <is>
          <t>6.1 Grokking and phase transitions in training</t>
        </is>
      </c>
      <c r="D1956" s="10" t="inlineStr">
        <is>
          <t>Ekdeep Singh Lubana (Harvard), TTIC</t>
        </is>
      </c>
      <c r="E1956" s="10" t="inlineStr"/>
      <c r="F1956" s="11" t="inlineStr">
        <is>
          <t>1:03:31</t>
        </is>
      </c>
      <c r="G1956" s="11" t="n">
        <v>1.06</v>
      </c>
      <c r="H1956" s="12" t="inlineStr">
        <is>
          <t>★</t>
        </is>
      </c>
      <c r="I1956" s="11" t="inlineStr">
        <is>
          <t>Not started</t>
        </is>
      </c>
      <c r="J1956" s="13" t="n"/>
      <c r="K1956" s="10" t="inlineStr"/>
      <c r="L1956" s="14" t="inlineStr">
        <is>
          <t>▶ watch</t>
        </is>
      </c>
      <c r="M1956" s="10" t="inlineStr">
        <is>
          <t>"Competition dynamics shape algorithmic phases of in-context learning" (arXiv:2412.01003)</t>
        </is>
      </c>
      <c r="N1956" s="14" t="inlineStr">
        <is>
          <t>read ↗</t>
        </is>
      </c>
      <c r="O1956" s="11" t="inlineStr">
        <is>
          <t>stated with the talk</t>
        </is>
      </c>
      <c r="P1956" s="10" t="inlineStr">
        <is>
          <t>4. Science of model behavior</t>
        </is>
      </c>
    </row>
    <row r="1957">
      <c r="A1957" s="17" t="n">
        <v>1956</v>
      </c>
      <c r="B1957" s="17" t="inlineStr">
        <is>
          <t>Part III - Upstream AI Research</t>
        </is>
      </c>
      <c r="C1957" s="18" t="inlineStr">
        <is>
          <t>6.2 Induction heads and in-context learning theory</t>
        </is>
      </c>
      <c r="D1957" s="10" t="inlineStr">
        <is>
          <t>Taiji Suzuki (University of Tokyo), Simons</t>
        </is>
      </c>
      <c r="E1957" s="10" t="inlineStr"/>
      <c r="F1957" s="11" t="inlineStr">
        <is>
          <t>45:35</t>
        </is>
      </c>
      <c r="G1957" s="11" t="n">
        <v>0.76</v>
      </c>
      <c r="H1957" s="12" t="inlineStr">
        <is>
          <t>★</t>
        </is>
      </c>
      <c r="I1957" s="11" t="inlineStr">
        <is>
          <t>Not started</t>
        </is>
      </c>
      <c r="J1957" s="13" t="n"/>
      <c r="K1957" s="10" t="inlineStr"/>
      <c r="L1957" s="14" t="inlineStr">
        <is>
          <t>▶ watch</t>
        </is>
      </c>
      <c r="M1957" s="10" t="inlineStr">
        <is>
          <t>McCoy et al. 2024, PNAS 121:e2322420121 (Embers of Autoregression) · Bubeck et al. 2023, arXiv:2303.12712 (Sparks of AGI)</t>
        </is>
      </c>
      <c r="N1957" s="14" t="inlineStr">
        <is>
          <t>read ↗</t>
        </is>
      </c>
      <c r="O1957" s="11" t="inlineStr">
        <is>
          <t xml:space="preserve">reading for D.7.7 Is reasoning real? - the standing </t>
        </is>
      </c>
      <c r="P1957" s="10" t="inlineStr">
        <is>
          <t>9.3 Simons: Modern Paradigms in Generalization (Fall 2024</t>
        </is>
      </c>
    </row>
    <row r="1958">
      <c r="A1958" s="17" t="n">
        <v>1957</v>
      </c>
      <c r="B1958" s="17" t="inlineStr">
        <is>
          <t>Part III - Upstream AI Research</t>
        </is>
      </c>
      <c r="C1958" s="18" t="inlineStr">
        <is>
          <t>6.3 Memorization versus generalization</t>
        </is>
      </c>
      <c r="D1958" s="10" t="inlineStr">
        <is>
          <t>Vitaly Feldman (Apple ML Research), Simons</t>
        </is>
      </c>
      <c r="E1958" s="10" t="inlineStr"/>
      <c r="F1958" s="11" t="inlineStr">
        <is>
          <t>51:40</t>
        </is>
      </c>
      <c r="G1958" s="11" t="n">
        <v>0.86</v>
      </c>
      <c r="H1958" s="12" t="inlineStr"/>
      <c r="I1958" s="11" t="inlineStr">
        <is>
          <t>Not started</t>
        </is>
      </c>
      <c r="J1958" s="13" t="n"/>
      <c r="K1958" s="10" t="inlineStr"/>
      <c r="L1958" s="14" t="inlineStr">
        <is>
          <t>▶ watch</t>
        </is>
      </c>
      <c r="M1958" s="10" t="inlineStr">
        <is>
          <t>"Does learning require memorization? A short tale about a long tail" (arXiv:1906.05271); Feldman &amp; Zhang, "What neural networks memorize and why" (arXiv:2008.037)</t>
        </is>
      </c>
      <c r="N1958" s="14" t="inlineStr">
        <is>
          <t>read ↗</t>
        </is>
      </c>
      <c r="O1958" s="11" t="inlineStr">
        <is>
          <t>stated with the talk</t>
        </is>
      </c>
      <c r="P1958" s="10" t="inlineStr"/>
    </row>
    <row r="1959">
      <c r="A1959" s="17" t="n">
        <v>1958</v>
      </c>
      <c r="B1959" s="17" t="inlineStr">
        <is>
          <t>Part III - Upstream AI Research</t>
        </is>
      </c>
      <c r="C1959" s="18" t="inlineStr">
        <is>
          <t>6.3 Memorization versus generalization</t>
        </is>
      </c>
      <c r="D1959" s="10" t="inlineStr">
        <is>
          <t>Vitaly Feldman (Google Research), FODSI</t>
        </is>
      </c>
      <c r="E1959" s="10" t="inlineStr"/>
      <c r="F1959" s="11" t="inlineStr">
        <is>
          <t>49:53</t>
        </is>
      </c>
      <c r="G1959" s="11" t="n">
        <v>0.83</v>
      </c>
      <c r="H1959" s="12" t="inlineStr"/>
      <c r="I1959" s="11" t="inlineStr">
        <is>
          <t>Not started</t>
        </is>
      </c>
      <c r="J1959" s="13" t="n"/>
      <c r="K1959" s="10" t="inlineStr"/>
      <c r="L1959" s="14" t="inlineStr">
        <is>
          <t>▶ watch</t>
        </is>
      </c>
      <c r="M1959" s="10" t="inlineStr">
        <is>
          <t>McCoy et al. 2024, PNAS 121:e2322420121 (Embers of Autoregression) · Bubeck et al. 2023, arXiv:2303.12712 (Sparks of AGI)</t>
        </is>
      </c>
      <c r="N1959" s="14" t="inlineStr">
        <is>
          <t>read ↗</t>
        </is>
      </c>
      <c r="O1959" s="11" t="inlineStr">
        <is>
          <t xml:space="preserve">reading for D.7.7 Is reasoning real? - the standing </t>
        </is>
      </c>
      <c r="P1959" s="10" t="inlineStr"/>
    </row>
    <row r="1960">
      <c r="A1960" s="17" t="n">
        <v>1959</v>
      </c>
      <c r="B1960" s="17" t="inlineStr">
        <is>
          <t>Part III - Upstream AI Research</t>
        </is>
      </c>
      <c r="C1960" s="18" t="inlineStr">
        <is>
          <t>6.3 Memorization versus generalization</t>
        </is>
      </c>
      <c r="D1960" s="10" t="inlineStr">
        <is>
          <t>Chiyuan Zhang (Google Research), Simons</t>
        </is>
      </c>
      <c r="E1960" s="10" t="inlineStr"/>
      <c r="F1960" s="11" t="inlineStr">
        <is>
          <t>48:05</t>
        </is>
      </c>
      <c r="G1960" s="11" t="n">
        <v>0.8</v>
      </c>
      <c r="H1960" s="12" t="inlineStr">
        <is>
          <t>★</t>
        </is>
      </c>
      <c r="I1960" s="11" t="inlineStr">
        <is>
          <t>Not started</t>
        </is>
      </c>
      <c r="J1960" s="13" t="n"/>
      <c r="K1960" s="10" t="inlineStr"/>
      <c r="L1960" s="14" t="inlineStr">
        <is>
          <t>▶ watch</t>
        </is>
      </c>
      <c r="M1960" s="10" t="inlineStr">
        <is>
          <t>McCoy et al. 2024, PNAS 121:e2322420121 (Embers of Autoregression) · Bubeck et al. 2023, arXiv:2303.12712 (Sparks of AGI)</t>
        </is>
      </c>
      <c r="N1960" s="14" t="inlineStr">
        <is>
          <t>read ↗</t>
        </is>
      </c>
      <c r="O1960" s="11" t="inlineStr">
        <is>
          <t xml:space="preserve">reading for D.7.7 Is reasoning real? - the standing </t>
        </is>
      </c>
      <c r="P1960" s="10" t="inlineStr">
        <is>
          <t>9.3 Simons: Modern Paradigms in Generalization (Fall 2024</t>
        </is>
      </c>
    </row>
    <row r="1961">
      <c r="A1961" s="17" t="n">
        <v>1960</v>
      </c>
      <c r="B1961" s="17" t="inlineStr">
        <is>
          <t>Part III - Upstream AI Research</t>
        </is>
      </c>
      <c r="C1961" s="18" t="inlineStr">
        <is>
          <t>6.3 Memorization versus generalization</t>
        </is>
      </c>
      <c r="D1961" s="10" t="inlineStr">
        <is>
          <t>Tom McCoy (Yale), Simons</t>
        </is>
      </c>
      <c r="E1961" s="10" t="inlineStr"/>
      <c r="F1961" s="11" t="inlineStr">
        <is>
          <t>44:25</t>
        </is>
      </c>
      <c r="G1961" s="11" t="n">
        <v>0.74</v>
      </c>
      <c r="H1961" s="12" t="inlineStr">
        <is>
          <t>★</t>
        </is>
      </c>
      <c r="I1961" s="11" t="inlineStr">
        <is>
          <t>Not started</t>
        </is>
      </c>
      <c r="J1961" s="13" t="n"/>
      <c r="K1961" s="10" t="inlineStr"/>
      <c r="L1961" s="14" t="inlineStr">
        <is>
          <t>▶ watch</t>
        </is>
      </c>
      <c r="M1961" s="10" t="inlineStr">
        <is>
          <t>McCoy et al. 2024, PNAS 121:e2322420121 (Embers of Autoregression)</t>
        </is>
      </c>
      <c r="N1961" s="14" t="inlineStr">
        <is>
          <t>read ↗</t>
        </is>
      </c>
      <c r="O1961" s="11" t="inlineStr">
        <is>
          <t>names MCCOY</t>
        </is>
      </c>
      <c r="P1961" s="10" t="inlineStr">
        <is>
          <t>9.3 Simons: Modern Paradigms in Generalization (Fall 2024</t>
        </is>
      </c>
    </row>
    <row r="1962">
      <c r="A1962" s="17" t="n">
        <v>1961</v>
      </c>
      <c r="B1962" s="17" t="inlineStr">
        <is>
          <t>Part III - Upstream AI Research</t>
        </is>
      </c>
      <c r="C1962" s="18" t="inlineStr">
        <is>
          <t>6.3 Memorization versus generalization</t>
        </is>
      </c>
      <c r="D1962" s="10" t="inlineStr">
        <is>
          <t>recorded 2025, posted 2026</t>
        </is>
      </c>
      <c r="E1962" s="10" t="inlineStr"/>
      <c r="F1962" s="11" t="inlineStr">
        <is>
          <t>49:30</t>
        </is>
      </c>
      <c r="G1962" s="11" t="n">
        <v>0.82</v>
      </c>
      <c r="H1962" s="12" t="inlineStr"/>
      <c r="I1962" s="11" t="inlineStr">
        <is>
          <t>Not started</t>
        </is>
      </c>
      <c r="J1962" s="13" t="n"/>
      <c r="K1962" s="10" t="inlineStr"/>
      <c r="L1962" s="14" t="inlineStr">
        <is>
          <t>▶ watch</t>
        </is>
      </c>
      <c r="M1962" s="10" t="inlineStr">
        <is>
          <t>Aerni, Rando, Carlini, Tramèr (arXiv:2411.10242)</t>
        </is>
      </c>
      <c r="N1962" s="14" t="inlineStr">
        <is>
          <t>read ↗</t>
        </is>
      </c>
      <c r="O1962" s="11" t="inlineStr">
        <is>
          <t>stated with the talk</t>
        </is>
      </c>
      <c r="P1962" s="10" t="inlineStr"/>
    </row>
    <row r="1963">
      <c r="A1963" s="17" t="n">
        <v>1962</v>
      </c>
      <c r="B1963" s="17" t="inlineStr">
        <is>
          <t>Part III - Upstream AI Research</t>
        </is>
      </c>
      <c r="C1963" s="18" t="inlineStr">
        <is>
          <t>6.3 Memorization versus generalization</t>
        </is>
      </c>
      <c r="D1963" s="10" t="inlineStr">
        <is>
          <t>Joshua Batson (Anthropic), Simons</t>
        </is>
      </c>
      <c r="E1963" s="10" t="inlineStr"/>
      <c r="F1963" s="11" t="inlineStr">
        <is>
          <t>52:05</t>
        </is>
      </c>
      <c r="G1963" s="11" t="n">
        <v>0.87</v>
      </c>
      <c r="H1963" s="12" t="inlineStr">
        <is>
          <t>★</t>
        </is>
      </c>
      <c r="I1963" s="11" t="inlineStr">
        <is>
          <t>Not started</t>
        </is>
      </c>
      <c r="J1963" s="13" t="n"/>
      <c r="K1963" s="10" t="inlineStr"/>
      <c r="L1963" s="14" t="inlineStr">
        <is>
          <t>▶ watch</t>
        </is>
      </c>
      <c r="M1963" s="10" t="inlineStr">
        <is>
          <t>McCoy et al. 2024, PNAS 121:e2322420121 (Embers of Autoregression) · Bubeck et al. 2023, arXiv:2303.12712 (Sparks of AGI)</t>
        </is>
      </c>
      <c r="N1963" s="14" t="inlineStr">
        <is>
          <t>read ↗</t>
        </is>
      </c>
      <c r="O1963" s="11" t="inlineStr">
        <is>
          <t xml:space="preserve">reading for D.7.7 Is reasoning real? - the standing </t>
        </is>
      </c>
      <c r="P1963" s="10" t="inlineStr">
        <is>
          <t>9.3 Simons: Modern Paradigms in Generalization (Fall 2024</t>
        </is>
      </c>
    </row>
    <row r="1964">
      <c r="A1964" s="17" t="n">
        <v>1963</v>
      </c>
      <c r="B1964" s="17" t="inlineStr">
        <is>
          <t>Part III - Upstream AI Research</t>
        </is>
      </c>
      <c r="C1964" s="18" t="inlineStr">
        <is>
          <t>6.3 Memorization versus generalization</t>
        </is>
      </c>
      <c r="D1964" s="10" t="inlineStr">
        <is>
          <t>Pavel Izmailov (Anthropic), Simons</t>
        </is>
      </c>
      <c r="E1964" s="10" t="inlineStr"/>
      <c r="F1964" s="11" t="inlineStr">
        <is>
          <t>43:25</t>
        </is>
      </c>
      <c r="G1964" s="11" t="n">
        <v>0.72</v>
      </c>
      <c r="H1964" s="12" t="inlineStr">
        <is>
          <t>★</t>
        </is>
      </c>
      <c r="I1964" s="11" t="inlineStr">
        <is>
          <t>Not started</t>
        </is>
      </c>
      <c r="J1964" s="13" t="n"/>
      <c r="K1964" s="10" t="inlineStr"/>
      <c r="L1964" s="14" t="inlineStr">
        <is>
          <t>▶ watch</t>
        </is>
      </c>
      <c r="M1964" s="10" t="inlineStr">
        <is>
          <t>Burns, Izmailov, Kirchner et al. (arXiv:2312.09390)</t>
        </is>
      </c>
      <c r="N1964" s="14" t="inlineStr">
        <is>
          <t>read ↗</t>
        </is>
      </c>
      <c r="O1964" s="11" t="inlineStr">
        <is>
          <t>stated with the talk</t>
        </is>
      </c>
      <c r="P1964" s="10" t="inlineStr">
        <is>
          <t>9.3 Simons: Modern Paradigms in Generalization (Fall 2024</t>
        </is>
      </c>
    </row>
    <row r="1965">
      <c r="A1965" s="17" t="n">
        <v>1964</v>
      </c>
      <c r="B1965" s="17" t="inlineStr">
        <is>
          <t>Part III - Upstream AI Research</t>
        </is>
      </c>
      <c r="C1965" s="18" t="inlineStr">
        <is>
          <t>6.4 Lottery tickets, neural collapse, loss of plasticity</t>
        </is>
      </c>
      <c r="D1965" s="10" t="inlineStr">
        <is>
          <t>Jonathan Frankle (MIT), ELLIS UCL CSML Seminar</t>
        </is>
      </c>
      <c r="E1965" s="10" t="inlineStr"/>
      <c r="F1965" s="11" t="inlineStr">
        <is>
          <t>54:19</t>
        </is>
      </c>
      <c r="G1965" s="11" t="n">
        <v>0.91</v>
      </c>
      <c r="H1965" s="12" t="inlineStr"/>
      <c r="I1965" s="11" t="inlineStr">
        <is>
          <t>Not started</t>
        </is>
      </c>
      <c r="J1965" s="13" t="n"/>
      <c r="K1965" s="10" t="inlineStr"/>
      <c r="L1965" s="14" t="inlineStr">
        <is>
          <t>▶ watch</t>
        </is>
      </c>
      <c r="M1965" s="10" t="inlineStr">
        <is>
          <t>Frankle &amp; Carbin (arXiv:1803.03635)</t>
        </is>
      </c>
      <c r="N1965" s="14" t="inlineStr">
        <is>
          <t>read ↗</t>
        </is>
      </c>
      <c r="O1965" s="11" t="inlineStr">
        <is>
          <t>stated with the talk</t>
        </is>
      </c>
      <c r="P1965" s="10" t="inlineStr"/>
    </row>
    <row r="1966">
      <c r="A1966" s="17" t="n">
        <v>1965</v>
      </c>
      <c r="B1966" s="17" t="inlineStr">
        <is>
          <t>Part III - Upstream AI Research</t>
        </is>
      </c>
      <c r="C1966" s="18" t="inlineStr">
        <is>
          <t>6.4 Lottery tickets, neural collapse, loss of plasticity</t>
        </is>
      </c>
      <c r="D1966" s="10" t="inlineStr">
        <is>
          <t>Michael Carbin (MIT)</t>
        </is>
      </c>
      <c r="E1966" s="10" t="inlineStr"/>
      <c r="F1966" s="11" t="inlineStr">
        <is>
          <t>1:05:47</t>
        </is>
      </c>
      <c r="G1966" s="11" t="n">
        <v>1.1</v>
      </c>
      <c r="H1966" s="12" t="inlineStr"/>
      <c r="I1966" s="11" t="inlineStr">
        <is>
          <t>Not started</t>
        </is>
      </c>
      <c r="J1966" s="13" t="n"/>
      <c r="K1966" s="10" t="inlineStr"/>
      <c r="L1966" s="14" t="inlineStr">
        <is>
          <t>▶ watch</t>
        </is>
      </c>
      <c r="M1966" s="10" t="inlineStr">
        <is>
          <t>McCoy et al. 2024, PNAS 121:e2322420121 (Embers of Autoregression) · Bubeck et al. 2023, arXiv:2303.12712 (Sparks of AGI)</t>
        </is>
      </c>
      <c r="N1966" s="14" t="inlineStr">
        <is>
          <t>read ↗</t>
        </is>
      </c>
      <c r="O1966" s="11" t="inlineStr">
        <is>
          <t xml:space="preserve">reading for D.7.7 Is reasoning real? - the standing </t>
        </is>
      </c>
      <c r="P1966" s="10" t="inlineStr"/>
    </row>
    <row r="1967">
      <c r="A1967" s="17" t="n">
        <v>1966</v>
      </c>
      <c r="B1967" s="17" t="inlineStr">
        <is>
          <t>Part III - Upstream AI Research</t>
        </is>
      </c>
      <c r="C1967" s="18" t="inlineStr">
        <is>
          <t>6.4 Lottery tickets, neural collapse, loss of plasticity</t>
        </is>
      </c>
      <c r="D1967" s="10" t="inlineStr">
        <is>
          <t>Vardan Papyan, X. Y. Han, David Donoho</t>
        </is>
      </c>
      <c r="E1967" s="10" t="inlineStr"/>
      <c r="F1967" s="11" t="inlineStr">
        <is>
          <t>1:44:55</t>
        </is>
      </c>
      <c r="G1967" s="11" t="n">
        <v>1.75</v>
      </c>
      <c r="H1967" s="12" t="inlineStr"/>
      <c r="I1967" s="11" t="inlineStr">
        <is>
          <t>Not started</t>
        </is>
      </c>
      <c r="J1967" s="13" t="n"/>
      <c r="K1967" s="10" t="inlineStr"/>
      <c r="L1967" s="14" t="inlineStr">
        <is>
          <t>▶ watch</t>
        </is>
      </c>
      <c r="M1967" s="10" t="inlineStr">
        <is>
          <t>Papyan, Han, Donoho, PNAS 2020 (arXiv:2008.08186)</t>
        </is>
      </c>
      <c r="N1967" s="14" t="inlineStr">
        <is>
          <t>read ↗</t>
        </is>
      </c>
      <c r="O1967" s="11" t="inlineStr">
        <is>
          <t>stated with the talk</t>
        </is>
      </c>
      <c r="P1967" s="10" t="inlineStr"/>
    </row>
    <row r="1968">
      <c r="A1968" s="17" t="n">
        <v>1967</v>
      </c>
      <c r="B1968" s="17" t="inlineStr">
        <is>
          <t>Part III - Upstream AI Research</t>
        </is>
      </c>
      <c r="C1968" s="18" t="inlineStr">
        <is>
          <t>6.4 Lottery tickets, neural collapse, loss of plasticity</t>
        </is>
      </c>
      <c r="D1968" s="10" t="inlineStr">
        <is>
          <t>Qing Qu (Michigan)</t>
        </is>
      </c>
      <c r="E1968" s="10" t="inlineStr"/>
      <c r="F1968" s="11" t="inlineStr">
        <is>
          <t>1:09:28</t>
        </is>
      </c>
      <c r="G1968" s="11" t="n">
        <v>1.16</v>
      </c>
      <c r="H1968" s="12" t="inlineStr"/>
      <c r="I1968" s="11" t="inlineStr">
        <is>
          <t>Not started</t>
        </is>
      </c>
      <c r="J1968" s="13" t="n"/>
      <c r="K1968" s="10" t="inlineStr"/>
      <c r="L1968" s="14" t="inlineStr">
        <is>
          <t>▶ watch</t>
        </is>
      </c>
      <c r="M1968" s="10" t="inlineStr">
        <is>
          <t>McCoy et al. 2024, PNAS 121:e2322420121 (Embers of Autoregression) · Bubeck et al. 2023, arXiv:2303.12712 (Sparks of AGI)</t>
        </is>
      </c>
      <c r="N1968" s="14" t="inlineStr">
        <is>
          <t>read ↗</t>
        </is>
      </c>
      <c r="O1968" s="11" t="inlineStr">
        <is>
          <t xml:space="preserve">reading for D.7.7 Is reasoning real? - the standing </t>
        </is>
      </c>
      <c r="P1968" s="10" t="inlineStr"/>
    </row>
    <row r="1969">
      <c r="A1969" s="17" t="n">
        <v>1968</v>
      </c>
      <c r="B1969" s="17" t="inlineStr">
        <is>
          <t>Part III - Upstream AI Research</t>
        </is>
      </c>
      <c r="C1969" s="18" t="inlineStr">
        <is>
          <t>6.4 Lottery tickets, neural collapse, loss of plasticity</t>
        </is>
      </c>
      <c r="D1969" s="10" t="inlineStr">
        <is>
          <t>Richard Sutton (Alberta / DeepMind), CoLLAs</t>
        </is>
      </c>
      <c r="E1969" s="10" t="inlineStr"/>
      <c r="F1969" s="11" t="inlineStr">
        <is>
          <t>1:11:20</t>
        </is>
      </c>
      <c r="G1969" s="11" t="n">
        <v>1.19</v>
      </c>
      <c r="H1969" s="12" t="inlineStr"/>
      <c r="I1969" s="11" t="inlineStr">
        <is>
          <t>Not started</t>
        </is>
      </c>
      <c r="J1969" s="13" t="n"/>
      <c r="K1969" s="10" t="inlineStr"/>
      <c r="L1969" s="14" t="inlineStr">
        <is>
          <t>▶ watch</t>
        </is>
      </c>
      <c r="M1969" s="10" t="inlineStr">
        <is>
          <t>Dohare, Hernandez-Garcia, Rahman, Mahmood, Sutton, "Loss of plasticity in deep continual learning" (arXiv:2306.13812; Nature 2024)</t>
        </is>
      </c>
      <c r="N1969" s="14" t="inlineStr">
        <is>
          <t>read ↗</t>
        </is>
      </c>
      <c r="O1969" s="11" t="inlineStr">
        <is>
          <t>stated with the talk</t>
        </is>
      </c>
      <c r="P1969" s="10" t="inlineStr"/>
    </row>
    <row r="1970">
      <c r="A1970" s="17" t="n">
        <v>1969</v>
      </c>
      <c r="B1970" s="17" t="inlineStr">
        <is>
          <t>Part III - Upstream AI Research</t>
        </is>
      </c>
      <c r="C1970" s="18" t="inlineStr">
        <is>
          <t>6.4 Lottery tickets, neural collapse, loss of plasticity</t>
        </is>
      </c>
      <c r="D1970" s="10" t="inlineStr">
        <is>
          <t>Shibhansh Dohare (Alberta)</t>
        </is>
      </c>
      <c r="E1970" s="10" t="inlineStr"/>
      <c r="F1970" s="11" t="inlineStr">
        <is>
          <t>54:25</t>
        </is>
      </c>
      <c r="G1970" s="11" t="n">
        <v>0.91</v>
      </c>
      <c r="H1970" s="12" t="inlineStr"/>
      <c r="I1970" s="11" t="inlineStr">
        <is>
          <t>Not started</t>
        </is>
      </c>
      <c r="J1970" s="13" t="n"/>
      <c r="K1970" s="10" t="inlineStr"/>
      <c r="L1970" s="14" t="inlineStr">
        <is>
          <t>▶ watch</t>
        </is>
      </c>
      <c r="M1970" s="10" t="inlineStr">
        <is>
          <t>McCoy et al. 2024, PNAS 121:e2322420121 (Embers of Autoregression) · Bubeck et al. 2023, arXiv:2303.12712 (Sparks of AGI)</t>
        </is>
      </c>
      <c r="N1970" s="14" t="inlineStr">
        <is>
          <t>read ↗</t>
        </is>
      </c>
      <c r="O1970" s="11" t="inlineStr">
        <is>
          <t xml:space="preserve">reading for D.7.7 Is reasoning real? - the standing </t>
        </is>
      </c>
      <c r="P1970" s="10" t="inlineStr"/>
    </row>
    <row r="1971">
      <c r="A1971" s="17" t="n">
        <v>1970</v>
      </c>
      <c r="B1971" s="17" t="inlineStr">
        <is>
          <t>Part III - Upstream AI Research</t>
        </is>
      </c>
      <c r="C1971" s="18" t="inlineStr">
        <is>
          <t>6.4 Lottery tickets, neural collapse, loss of plasticity</t>
        </is>
      </c>
      <c r="D1971" s="10" t="inlineStr">
        <is>
          <t>Clare Lyle (DeepMind), CoLLAs</t>
        </is>
      </c>
      <c r="E1971" s="10" t="inlineStr"/>
      <c r="F1971" s="11" t="inlineStr">
        <is>
          <t>1:01:29</t>
        </is>
      </c>
      <c r="G1971" s="11" t="n">
        <v>1.02</v>
      </c>
      <c r="H1971" s="12" t="inlineStr"/>
      <c r="I1971" s="11" t="inlineStr">
        <is>
          <t>Not started</t>
        </is>
      </c>
      <c r="J1971" s="13" t="n"/>
      <c r="K1971" s="10" t="inlineStr"/>
      <c r="L1971" s="14" t="inlineStr">
        <is>
          <t>▶ watch</t>
        </is>
      </c>
      <c r="M1971" s="10" t="inlineStr">
        <is>
          <t>Lyle, Zheng, Nikishin et al., "Understanding plasticity in neural networks" (arXiv:2303.01486)</t>
        </is>
      </c>
      <c r="N1971" s="14" t="inlineStr">
        <is>
          <t>read ↗</t>
        </is>
      </c>
      <c r="O1971" s="11" t="inlineStr">
        <is>
          <t>stated with the talk</t>
        </is>
      </c>
      <c r="P1971" s="10" t="inlineStr"/>
    </row>
    <row r="1972">
      <c r="A1972" s="17" t="n">
        <v>1971</v>
      </c>
      <c r="B1972" s="17" t="inlineStr">
        <is>
          <t>Part III - Upstream AI Research</t>
        </is>
      </c>
      <c r="C1972" s="18" t="inlineStr">
        <is>
          <t>7.1 Universal approximation and approximation rates</t>
        </is>
      </c>
      <c r="D1972" s="10" t="inlineStr">
        <is>
          <t>Gitta Kutyniok (LMU Munich), Isaac Newton Institute</t>
        </is>
      </c>
      <c r="E1972" s="10" t="inlineStr"/>
      <c r="F1972" s="11" t="inlineStr">
        <is>
          <t>58:10</t>
        </is>
      </c>
      <c r="G1972" s="11" t="n">
        <v>0.97</v>
      </c>
      <c r="H1972" s="12" t="inlineStr"/>
      <c r="I1972" s="11" t="inlineStr">
        <is>
          <t>Not started</t>
        </is>
      </c>
      <c r="J1972" s="13" t="n"/>
      <c r="K1972" s="10" t="inlineStr"/>
      <c r="L1972" s="14" t="inlineStr">
        <is>
          <t>▶ watch</t>
        </is>
      </c>
      <c r="M1972" s="10" t="inlineStr">
        <is>
          <t>Bölcskei, Grohs, Kutyniok, Petersen (arXiv:1705.01714); "The modern mathematics of deep learning" (arXiv:2105.04026)</t>
        </is>
      </c>
      <c r="N1972" s="14" t="inlineStr">
        <is>
          <t>read ↗</t>
        </is>
      </c>
      <c r="O1972" s="11" t="inlineStr">
        <is>
          <t>stated with the talk</t>
        </is>
      </c>
      <c r="P1972" s="10" t="inlineStr"/>
    </row>
    <row r="1973">
      <c r="A1973" s="17" t="n">
        <v>1972</v>
      </c>
      <c r="B1973" s="17" t="inlineStr">
        <is>
          <t>Part III - Upstream AI Research</t>
        </is>
      </c>
      <c r="C1973" s="18" t="inlineStr">
        <is>
          <t>7.1 Universal approximation and approximation rates</t>
        </is>
      </c>
      <c r="D1973" s="10" t="inlineStr">
        <is>
          <t>Dmitry Yarotsky (Skoltech), HSE Computer Science Colloquium</t>
        </is>
      </c>
      <c r="E1973" s="10" t="inlineStr"/>
      <c r="F1973" s="11" t="inlineStr">
        <is>
          <t>1:17:46</t>
        </is>
      </c>
      <c r="G1973" s="11" t="n">
        <v>1.3</v>
      </c>
      <c r="H1973" s="12" t="inlineStr"/>
      <c r="I1973" s="11" t="inlineStr">
        <is>
          <t>Not started</t>
        </is>
      </c>
      <c r="J1973" s="13" t="n"/>
      <c r="K1973" s="10" t="inlineStr"/>
      <c r="L1973" s="14" t="inlineStr">
        <is>
          <t>▶ watch</t>
        </is>
      </c>
      <c r="M1973" s="10" t="inlineStr">
        <is>
          <t>Yarotsky, "Error bounds for approximations with deep ReLU networks" (arXiv:1610.01145)</t>
        </is>
      </c>
      <c r="N1973" s="14" t="inlineStr">
        <is>
          <t>read ↗</t>
        </is>
      </c>
      <c r="O1973" s="11" t="inlineStr">
        <is>
          <t>stated with the talk</t>
        </is>
      </c>
      <c r="P1973" s="10" t="inlineStr"/>
    </row>
    <row r="1974">
      <c r="A1974" s="17" t="n">
        <v>1973</v>
      </c>
      <c r="B1974" s="17" t="inlineStr">
        <is>
          <t>Part III - Upstream AI Research</t>
        </is>
      </c>
      <c r="C1974" s="18" t="inlineStr">
        <is>
          <t>7.1 Universal approximation and approximation rates</t>
        </is>
      </c>
      <c r="D1974" s="10" t="inlineStr">
        <is>
          <t>Dmitry Yarotsky</t>
        </is>
      </c>
      <c r="E1974" s="10" t="inlineStr"/>
      <c r="F1974" s="11" t="inlineStr">
        <is>
          <t>10:33</t>
        </is>
      </c>
      <c r="G1974" s="11" t="n">
        <v>0.18</v>
      </c>
      <c r="H1974" s="12" t="inlineStr"/>
      <c r="I1974" s="11" t="inlineStr">
        <is>
          <t>Not started</t>
        </is>
      </c>
      <c r="J1974" s="13" t="n"/>
      <c r="K1974" s="10" t="inlineStr"/>
      <c r="L1974" s="14" t="inlineStr">
        <is>
          <t>▶ watch</t>
        </is>
      </c>
      <c r="M1974" s="10" t="inlineStr">
        <is>
          <t>arXiv:1802.03620</t>
        </is>
      </c>
      <c r="N1974" s="14" t="inlineStr">
        <is>
          <t>read ↗</t>
        </is>
      </c>
      <c r="O1974" s="11" t="inlineStr">
        <is>
          <t>stated with the talk</t>
        </is>
      </c>
      <c r="P1974" s="10" t="inlineStr"/>
    </row>
    <row r="1975">
      <c r="A1975" s="17" t="n">
        <v>1974</v>
      </c>
      <c r="B1975" s="17" t="inlineStr">
        <is>
          <t>Part III - Upstream AI Research</t>
        </is>
      </c>
      <c r="C1975" s="18" t="inlineStr">
        <is>
          <t>7.1 Universal approximation and approximation rates</t>
        </is>
      </c>
      <c r="D1975" s="10" t="inlineStr">
        <is>
          <t>Sejun Park (KAIST), DeepMath</t>
        </is>
      </c>
      <c r="E1975" s="10" t="inlineStr"/>
      <c r="F1975" s="11" t="inlineStr">
        <is>
          <t>17:03</t>
        </is>
      </c>
      <c r="G1975" s="11" t="n">
        <v>0.28</v>
      </c>
      <c r="H1975" s="12" t="inlineStr"/>
      <c r="I1975" s="11" t="inlineStr">
        <is>
          <t>Not started</t>
        </is>
      </c>
      <c r="J1975" s="13" t="n"/>
      <c r="K1975" s="10" t="inlineStr"/>
      <c r="L1975" s="14" t="inlineStr">
        <is>
          <t>▶ watch</t>
        </is>
      </c>
      <c r="M1975" s="10" t="inlineStr">
        <is>
          <t>Park, Yun, Lee, Shin, "Minimum width for universal approximation" (arXiv:2006.08859)</t>
        </is>
      </c>
      <c r="N1975" s="14" t="inlineStr">
        <is>
          <t>read ↗</t>
        </is>
      </c>
      <c r="O1975" s="11" t="inlineStr">
        <is>
          <t>stated with the talk</t>
        </is>
      </c>
      <c r="P1975" s="10" t="inlineStr"/>
    </row>
    <row r="1976">
      <c r="A1976" s="17" t="n">
        <v>1975</v>
      </c>
      <c r="B1976" s="17" t="inlineStr">
        <is>
          <t>Part III - Upstream AI Research</t>
        </is>
      </c>
      <c r="C1976" s="18" t="inlineStr">
        <is>
          <t>7.1 Universal approximation and approximation rates</t>
        </is>
      </c>
      <c r="D1976" s="10" t="inlineStr">
        <is>
          <t>Matus Telgarsky (NYU), Simons Deep Learning Boot Camp</t>
        </is>
      </c>
      <c r="E1976" s="10" t="inlineStr">
        <is>
          <t>Approximation Power</t>
        </is>
      </c>
      <c r="F1976" s="11" t="inlineStr">
        <is>
          <t>1:13:54</t>
        </is>
      </c>
      <c r="G1976" s="11" t="n">
        <v>1.23</v>
      </c>
      <c r="H1976" s="12" t="inlineStr"/>
      <c r="I1976" s="11" t="inlineStr">
        <is>
          <t>Not started</t>
        </is>
      </c>
      <c r="J1976" s="13" t="n"/>
      <c r="K1976" s="10" t="inlineStr"/>
      <c r="L1976" s="14" t="inlineStr">
        <is>
          <t>▶ watch</t>
        </is>
      </c>
      <c r="M1976" s="10" t="inlineStr">
        <is>
          <t>McCoy et al. 2024, PNAS 121:e2322420121 (Embers of Autoregression) · Bubeck et al. 2023, arXiv:2303.12712 (Sparks of AGI)</t>
        </is>
      </c>
      <c r="N1976" s="14" t="inlineStr">
        <is>
          <t>read ↗</t>
        </is>
      </c>
      <c r="O1976" s="11" t="inlineStr">
        <is>
          <t xml:space="preserve">reading for D.7.7 Is reasoning real? - the standing </t>
        </is>
      </c>
      <c r="P1976" s="10" t="inlineStr">
        <is>
          <t>9.1 Simons: Foundations of Deep Learning (Summer 2019</t>
        </is>
      </c>
    </row>
    <row r="1977">
      <c r="A1977" s="17" t="n">
        <v>1976</v>
      </c>
      <c r="B1977" s="17" t="inlineStr">
        <is>
          <t>Part III - Upstream AI Research</t>
        </is>
      </c>
      <c r="C1977" s="18" t="inlineStr">
        <is>
          <t>7.1 Universal approximation and approximation rates</t>
        </is>
      </c>
      <c r="D1977" s="10" t="inlineStr">
        <is>
          <t>Matus Telgarsky, SMILES Summer School</t>
        </is>
      </c>
      <c r="E1977" s="10" t="inlineStr"/>
      <c r="F1977" s="11" t="inlineStr">
        <is>
          <t>1:22:56</t>
        </is>
      </c>
      <c r="G1977" s="11" t="n">
        <v>1.38</v>
      </c>
      <c r="H1977" s="12" t="inlineStr"/>
      <c r="I1977" s="11" t="inlineStr">
        <is>
          <t>Not started</t>
        </is>
      </c>
      <c r="J1977" s="13" t="n"/>
      <c r="K1977" s="10" t="inlineStr"/>
      <c r="L1977" s="14" t="inlineStr">
        <is>
          <t>▶ watch</t>
        </is>
      </c>
      <c r="M1977" s="10" t="inlineStr">
        <is>
          <t>McCoy et al. 2024, PNAS 121:e2322420121 (Embers of Autoregression) · Bubeck et al. 2023, arXiv:2303.12712 (Sparks of AGI)</t>
        </is>
      </c>
      <c r="N1977" s="14" t="inlineStr">
        <is>
          <t>read ↗</t>
        </is>
      </c>
      <c r="O1977" s="11" t="inlineStr">
        <is>
          <t xml:space="preserve">reading for D.7.7 Is reasoning real? - the standing </t>
        </is>
      </c>
      <c r="P1977" s="10" t="inlineStr">
        <is>
          <t>8.4 Neural Network Theory (APS 2025 Summer School</t>
        </is>
      </c>
    </row>
    <row r="1978">
      <c r="A1978" s="17" t="n">
        <v>1977</v>
      </c>
      <c r="B1978" s="17" t="inlineStr">
        <is>
          <t>Part III - Upstream AI Research</t>
        </is>
      </c>
      <c r="C1978" s="18" t="inlineStr">
        <is>
          <t>7.2 Depth separation</t>
        </is>
      </c>
      <c r="D1978" s="10" t="inlineStr">
        <is>
          <t>Matus Telgarsky</t>
        </is>
      </c>
      <c r="E1978" s="10" t="inlineStr"/>
      <c r="F1978" s="11" t="inlineStr">
        <is>
          <t>9:06</t>
        </is>
      </c>
      <c r="G1978" s="11" t="n">
        <v>0.15</v>
      </c>
      <c r="H1978" s="12" t="inlineStr"/>
      <c r="I1978" s="11" t="inlineStr">
        <is>
          <t>Not started</t>
        </is>
      </c>
      <c r="J1978" s="13" t="n"/>
      <c r="K1978" s="10" t="inlineStr"/>
      <c r="L1978" s="14" t="inlineStr">
        <is>
          <t>▶ watch</t>
        </is>
      </c>
      <c r="M1978" s="10" t="inlineStr">
        <is>
          <t>Telgarsky, "Benefits of depth in neural networks" (arXiv:1602.04485)</t>
        </is>
      </c>
      <c r="N1978" s="14" t="inlineStr">
        <is>
          <t>read ↗</t>
        </is>
      </c>
      <c r="O1978" s="11" t="inlineStr">
        <is>
          <t>stated with the talk</t>
        </is>
      </c>
      <c r="P1978" s="10" t="inlineStr"/>
    </row>
    <row r="1979">
      <c r="A1979" s="17" t="n">
        <v>1978</v>
      </c>
      <c r="B1979" s="17" t="inlineStr">
        <is>
          <t>Part III - Upstream AI Research</t>
        </is>
      </c>
      <c r="C1979" s="18" t="inlineStr">
        <is>
          <t>7.2 Depth separation</t>
        </is>
      </c>
      <c r="D1979" s="10" t="inlineStr">
        <is>
          <t>Ronen Eldan &amp; Ohad Shamir</t>
        </is>
      </c>
      <c r="E1979" s="10" t="inlineStr"/>
      <c r="F1979" s="11" t="inlineStr">
        <is>
          <t>12:37</t>
        </is>
      </c>
      <c r="G1979" s="11" t="n">
        <v>0.21</v>
      </c>
      <c r="H1979" s="12" t="inlineStr"/>
      <c r="I1979" s="11" t="inlineStr">
        <is>
          <t>Not started</t>
        </is>
      </c>
      <c r="J1979" s="13" t="n"/>
      <c r="K1979" s="10" t="inlineStr"/>
      <c r="L1979" s="14" t="inlineStr">
        <is>
          <t>▶ watch</t>
        </is>
      </c>
      <c r="M1979" s="10" t="inlineStr">
        <is>
          <t>arXiv:1512.03965</t>
        </is>
      </c>
      <c r="N1979" s="14" t="inlineStr">
        <is>
          <t>read ↗</t>
        </is>
      </c>
      <c r="O1979" s="11" t="inlineStr">
        <is>
          <t>stated with the talk</t>
        </is>
      </c>
      <c r="P1979" s="10" t="inlineStr"/>
    </row>
    <row r="1980">
      <c r="A1980" s="17" t="n">
        <v>1979</v>
      </c>
      <c r="B1980" s="17" t="inlineStr">
        <is>
          <t>Part III - Upstream AI Research</t>
        </is>
      </c>
      <c r="C1980" s="18" t="inlineStr">
        <is>
          <t>7.2 Depth separation</t>
        </is>
      </c>
      <c r="D1980" s="10" t="inlineStr">
        <is>
          <t>Gilad Yehudai (Weizmann), HUJI Machine Learning Club</t>
        </is>
      </c>
      <c r="E1980" s="10" t="inlineStr"/>
      <c r="F1980" s="11" t="inlineStr">
        <is>
          <t>1:01:17</t>
        </is>
      </c>
      <c r="G1980" s="11" t="n">
        <v>1.02</v>
      </c>
      <c r="H1980" s="12" t="inlineStr"/>
      <c r="I1980" s="11" t="inlineStr">
        <is>
          <t>Not started</t>
        </is>
      </c>
      <c r="J1980" s="13" t="n"/>
      <c r="K1980" s="10" t="inlineStr"/>
      <c r="L1980" s="14" t="inlineStr">
        <is>
          <t>▶ watch</t>
        </is>
      </c>
      <c r="M1980" s="10" t="inlineStr">
        <is>
          <t>Vardi, Yehudai, Shamir, "Width is less important than depth in ReLU neural networks" (arXiv:2202.03841)</t>
        </is>
      </c>
      <c r="N1980" s="14" t="inlineStr">
        <is>
          <t>read ↗</t>
        </is>
      </c>
      <c r="O1980" s="11" t="inlineStr">
        <is>
          <t>stated with the talk</t>
        </is>
      </c>
      <c r="P1980" s="10" t="inlineStr"/>
    </row>
    <row r="1981">
      <c r="A1981" s="17" t="n">
        <v>1980</v>
      </c>
      <c r="B1981" s="17" t="inlineStr">
        <is>
          <t>Part III - Upstream AI Research</t>
        </is>
      </c>
      <c r="C1981" s="18" t="inlineStr">
        <is>
          <t>7.2 Depth separation</t>
        </is>
      </c>
      <c r="D1981" s="10" t="inlineStr">
        <is>
          <t>Shai Shalev-Shwartz (Hebrew University of Jerusalem), Simons "Emerging Challenges in Deep Learning"</t>
        </is>
      </c>
      <c r="E1981" s="10" t="inlineStr"/>
      <c r="F1981" s="11" t="inlineStr">
        <is>
          <t>44:48</t>
        </is>
      </c>
      <c r="G1981" s="11" t="n">
        <v>0.75</v>
      </c>
      <c r="H1981" s="12" t="inlineStr">
        <is>
          <t>★</t>
        </is>
      </c>
      <c r="I1981" s="11" t="inlineStr">
        <is>
          <t>Not started</t>
        </is>
      </c>
      <c r="J1981" s="13" t="n"/>
      <c r="K1981" s="10" t="inlineStr"/>
      <c r="L1981" s="14" t="inlineStr">
        <is>
          <t>▶ watch</t>
        </is>
      </c>
      <c r="M1981" s="10" t="inlineStr">
        <is>
          <t>McCoy et al. 2024, PNAS 121:e2322420121 (Embers of Autoregression) · Bubeck et al. 2023, arXiv:2303.12712 (Sparks of AGI)</t>
        </is>
      </c>
      <c r="N1981" s="14" t="inlineStr">
        <is>
          <t>read ↗</t>
        </is>
      </c>
      <c r="O1981" s="11" t="inlineStr">
        <is>
          <t xml:space="preserve">reading for D.7.7 Is reasoning real? - the standing </t>
        </is>
      </c>
      <c r="P1981" s="10" t="inlineStr">
        <is>
          <t>9.1 Simons: Foundations of Deep Learning (Summer 2019</t>
        </is>
      </c>
    </row>
    <row r="1982">
      <c r="A1982" s="17" t="n">
        <v>1981</v>
      </c>
      <c r="B1982" s="17" t="inlineStr">
        <is>
          <t>Part III - Upstream AI Research</t>
        </is>
      </c>
      <c r="C1982" s="18" t="inlineStr">
        <is>
          <t>7.2 Depth separation</t>
        </is>
      </c>
      <c r="D1982" s="10" t="inlineStr">
        <is>
          <t>Nadav Cohen (IAS), IAS</t>
        </is>
      </c>
      <c r="E1982" s="10" t="inlineStr"/>
      <c r="F1982" s="11" t="inlineStr">
        <is>
          <t>1:03:26</t>
        </is>
      </c>
      <c r="G1982" s="11" t="n">
        <v>1.06</v>
      </c>
      <c r="H1982" s="12" t="inlineStr">
        <is>
          <t>★</t>
        </is>
      </c>
      <c r="I1982" s="11" t="inlineStr">
        <is>
          <t>Not started</t>
        </is>
      </c>
      <c r="J1982" s="13" t="n"/>
      <c r="K1982" s="10" t="inlineStr"/>
      <c r="L1982" s="14" t="inlineStr">
        <is>
          <t>▶ watch</t>
        </is>
      </c>
      <c r="M1982" s="10" t="inlineStr">
        <is>
          <t>McCoy et al. 2024, PNAS 121:e2322420121 (Embers of Autoregression) · Bubeck et al. 2023, arXiv:2303.12712 (Sparks of AGI)</t>
        </is>
      </c>
      <c r="N1982" s="14" t="inlineStr">
        <is>
          <t>read ↗</t>
        </is>
      </c>
      <c r="O1982" s="11" t="inlineStr">
        <is>
          <t xml:space="preserve">reading for D.7.7 Is reasoning real? - the standing </t>
        </is>
      </c>
      <c r="P1982" s="10" t="inlineStr">
        <is>
          <t>9.7 IAS: Special Year on Optimization, Statistics, and Theoretical Machine Learning (2019–2020</t>
        </is>
      </c>
    </row>
    <row r="1983">
      <c r="A1983" s="17" t="n">
        <v>1982</v>
      </c>
      <c r="B1983" s="17" t="inlineStr">
        <is>
          <t>Part III - Upstream AI Research</t>
        </is>
      </c>
      <c r="C1983" s="18" t="inlineStr">
        <is>
          <t>7.3 What transformers can and cannot compute</t>
        </is>
      </c>
      <c r="D1983" s="10" t="inlineStr">
        <is>
          <t>William Merrill (NYU), FLaNN Seminar</t>
        </is>
      </c>
      <c r="E1983" s="10" t="inlineStr"/>
      <c r="F1983" s="11" t="inlineStr">
        <is>
          <t>34:32</t>
        </is>
      </c>
      <c r="G1983" s="11" t="n">
        <v>0.58</v>
      </c>
      <c r="H1983" s="12" t="inlineStr"/>
      <c r="I1983" s="11" t="inlineStr">
        <is>
          <t>Not started</t>
        </is>
      </c>
      <c r="J1983" s="13" t="n"/>
      <c r="K1983" s="10" t="inlineStr"/>
      <c r="L1983" s="14" t="inlineStr">
        <is>
          <t>▶ watch</t>
        </is>
      </c>
      <c r="M1983" s="10" t="inlineStr">
        <is>
          <t>Merrill, Sabharwal, Smith, "Saturated transformers are constant-depth threshold circuits" (arXiv:2106.16213)</t>
        </is>
      </c>
      <c r="N1983" s="14" t="inlineStr">
        <is>
          <t>read ↗</t>
        </is>
      </c>
      <c r="O1983" s="11" t="inlineStr">
        <is>
          <t>stated with the talk</t>
        </is>
      </c>
      <c r="P1983" s="10" t="inlineStr"/>
    </row>
    <row r="1984">
      <c r="A1984" s="17" t="n">
        <v>1983</v>
      </c>
      <c r="B1984" s="17" t="inlineStr">
        <is>
          <t>Part III - Upstream AI Research</t>
        </is>
      </c>
      <c r="C1984" s="18" t="inlineStr">
        <is>
          <t>7.3 What transformers can and cannot compute</t>
        </is>
      </c>
      <c r="D1984" s="10" t="inlineStr">
        <is>
          <t>Will Merrill (NYU), Simons</t>
        </is>
      </c>
      <c r="E1984" s="10" t="inlineStr"/>
      <c r="F1984" s="11" t="inlineStr">
        <is>
          <t>45:13</t>
        </is>
      </c>
      <c r="G1984" s="11" t="n">
        <v>0.75</v>
      </c>
      <c r="H1984" s="12" t="inlineStr">
        <is>
          <t>★</t>
        </is>
      </c>
      <c r="I1984" s="11" t="inlineStr">
        <is>
          <t>Not started</t>
        </is>
      </c>
      <c r="J1984" s="13" t="n"/>
      <c r="K1984" s="10" t="inlineStr"/>
      <c r="L1984" s="14" t="inlineStr">
        <is>
          <t>▶ watch</t>
        </is>
      </c>
      <c r="M1984" s="10" t="inlineStr">
        <is>
          <t>Merrill &amp; Sabharwal (arXiv:2207.00729)</t>
        </is>
      </c>
      <c r="N1984" s="14" t="inlineStr">
        <is>
          <t>read ↗</t>
        </is>
      </c>
      <c r="O1984" s="11" t="inlineStr">
        <is>
          <t>stated with the talk</t>
        </is>
      </c>
      <c r="P1984" s="10" t="inlineStr">
        <is>
          <t>9.4 Simons: Special Year on Large Language Models and Transformers (2023–2024</t>
        </is>
      </c>
    </row>
    <row r="1985">
      <c r="A1985" s="17" t="n">
        <v>1984</v>
      </c>
      <c r="B1985" s="17" t="inlineStr">
        <is>
          <t>Part III - Upstream AI Research</t>
        </is>
      </c>
      <c r="C1985" s="18" t="inlineStr">
        <is>
          <t>7.3 What transformers can and cannot compute</t>
        </is>
      </c>
      <c r="D1985" s="10" t="inlineStr">
        <is>
          <t>Daniel Hsu (Columbia), Simons</t>
        </is>
      </c>
      <c r="E1985" s="10" t="inlineStr"/>
      <c r="F1985" s="11" t="inlineStr">
        <is>
          <t>57:21</t>
        </is>
      </c>
      <c r="G1985" s="11" t="n">
        <v>0.96</v>
      </c>
      <c r="H1985" s="12" t="inlineStr">
        <is>
          <t>★</t>
        </is>
      </c>
      <c r="I1985" s="11" t="inlineStr">
        <is>
          <t>Not started</t>
        </is>
      </c>
      <c r="J1985" s="13" t="n"/>
      <c r="K1985" s="10" t="inlineStr"/>
      <c r="L1985" s="14" t="inlineStr">
        <is>
          <t>▶ watch</t>
        </is>
      </c>
      <c r="M1985" s="10" t="inlineStr">
        <is>
          <t>Sanford, Hsu, Telgarsky (arXiv:2402.09268)</t>
        </is>
      </c>
      <c r="N1985" s="14" t="inlineStr">
        <is>
          <t>read ↗</t>
        </is>
      </c>
      <c r="O1985" s="11" t="inlineStr">
        <is>
          <t>stated with the talk</t>
        </is>
      </c>
      <c r="P1985" s="10" t="inlineStr">
        <is>
          <t>9.4 Simons: Special Year on Large Language Models and Transformers (2023–2024</t>
        </is>
      </c>
    </row>
    <row r="1986">
      <c r="A1986" s="17" t="n">
        <v>1985</v>
      </c>
      <c r="B1986" s="17" t="inlineStr">
        <is>
          <t>Part III - Upstream AI Research</t>
        </is>
      </c>
      <c r="C1986" s="18" t="inlineStr">
        <is>
          <t>7.3 What transformers can and cannot compute</t>
        </is>
      </c>
      <c r="D1986" s="10" t="inlineStr">
        <is>
          <t>David Chiang (Notre Dame), Simons</t>
        </is>
      </c>
      <c r="E1986" s="10" t="inlineStr"/>
      <c r="F1986" s="11" t="inlineStr">
        <is>
          <t>45:34</t>
        </is>
      </c>
      <c r="G1986" s="11" t="n">
        <v>0.76</v>
      </c>
      <c r="H1986" s="12" t="inlineStr">
        <is>
          <t>★</t>
        </is>
      </c>
      <c r="I1986" s="11" t="inlineStr">
        <is>
          <t>Not started</t>
        </is>
      </c>
      <c r="J1986" s="13" t="n"/>
      <c r="K1986" s="10" t="inlineStr"/>
      <c r="L1986" s="14" t="inlineStr">
        <is>
          <t>▶ watch</t>
        </is>
      </c>
      <c r="M1986" s="10" t="inlineStr">
        <is>
          <t>Chiang, Cholak, Pillay (arXiv:2301.10743)</t>
        </is>
      </c>
      <c r="N1986" s="14" t="inlineStr">
        <is>
          <t>read ↗</t>
        </is>
      </c>
      <c r="O1986" s="11" t="inlineStr">
        <is>
          <t>stated with the talk</t>
        </is>
      </c>
      <c r="P1986" s="10" t="inlineStr">
        <is>
          <t>9.4 Simons: Special Year on Large Language Models and Transformers (2023–2024</t>
        </is>
      </c>
    </row>
    <row r="1987">
      <c r="A1987" s="17" t="n">
        <v>1986</v>
      </c>
      <c r="B1987" s="17" t="inlineStr">
        <is>
          <t>Part III - Upstream AI Research</t>
        </is>
      </c>
      <c r="C1987" s="18" t="inlineStr">
        <is>
          <t>7.3 What transformers can and cannot compute</t>
        </is>
      </c>
      <c r="D1987" s="10" t="inlineStr">
        <is>
          <t>Gail Weiss (Technion), FLaNN Seminar</t>
        </is>
      </c>
      <c r="E1987" s="10" t="inlineStr"/>
      <c r="F1987" s="11" t="inlineStr">
        <is>
          <t>1:07:11</t>
        </is>
      </c>
      <c r="G1987" s="11" t="n">
        <v>1.12</v>
      </c>
      <c r="H1987" s="12" t="inlineStr"/>
      <c r="I1987" s="11" t="inlineStr">
        <is>
          <t>Not started</t>
        </is>
      </c>
      <c r="J1987" s="13" t="n"/>
      <c r="K1987" s="10" t="inlineStr"/>
      <c r="L1987" s="14" t="inlineStr">
        <is>
          <t>▶ watch</t>
        </is>
      </c>
      <c r="M1987" s="10" t="inlineStr">
        <is>
          <t>Weiss, Goldberg, Yahav (arXiv:2106.06981)</t>
        </is>
      </c>
      <c r="N1987" s="14" t="inlineStr">
        <is>
          <t>read ↗</t>
        </is>
      </c>
      <c r="O1987" s="11" t="inlineStr">
        <is>
          <t>stated with the talk</t>
        </is>
      </c>
      <c r="P1987" s="10" t="inlineStr"/>
    </row>
    <row r="1988">
      <c r="A1988" s="17" t="n">
        <v>1987</v>
      </c>
      <c r="B1988" s="17" t="inlineStr">
        <is>
          <t>Part III - Upstream AI Research</t>
        </is>
      </c>
      <c r="C1988" s="18" t="inlineStr">
        <is>
          <t>7.3 What transformers can and cannot compute</t>
        </is>
      </c>
      <c r="D1988" s="10" t="inlineStr">
        <is>
          <t>Andy Yang (Notre Dame), FLaNN Seminar</t>
        </is>
      </c>
      <c r="E1988" s="10" t="inlineStr"/>
      <c r="F1988" s="11" t="inlineStr">
        <is>
          <t>35:08</t>
        </is>
      </c>
      <c r="G1988" s="11" t="n">
        <v>0.59</v>
      </c>
      <c r="H1988" s="12" t="inlineStr"/>
      <c r="I1988" s="11" t="inlineStr">
        <is>
          <t>Not started</t>
        </is>
      </c>
      <c r="J1988" s="13" t="n"/>
      <c r="K1988" s="10" t="inlineStr"/>
      <c r="L1988" s="14" t="inlineStr">
        <is>
          <t>▶ watch</t>
        </is>
      </c>
      <c r="M1988" s="10" t="inlineStr">
        <is>
          <t>arXiv:2310.13897</t>
        </is>
      </c>
      <c r="N1988" s="14" t="inlineStr">
        <is>
          <t>read ↗</t>
        </is>
      </c>
      <c r="O1988" s="11" t="inlineStr">
        <is>
          <t>stated with the talk</t>
        </is>
      </c>
      <c r="P1988" s="10" t="inlineStr"/>
    </row>
    <row r="1989">
      <c r="A1989" s="17" t="n">
        <v>1988</v>
      </c>
      <c r="B1989" s="17" t="inlineStr">
        <is>
          <t>Part III - Upstream AI Research</t>
        </is>
      </c>
      <c r="C1989" s="18" t="inlineStr">
        <is>
          <t>7.3 What transformers can and cannot compute</t>
        </is>
      </c>
      <c r="D1989" s="10" t="inlineStr">
        <is>
          <t>Will Merrill (NYU), FLaNN Seminar</t>
        </is>
      </c>
      <c r="E1989" s="10" t="inlineStr"/>
      <c r="F1989" s="11" t="inlineStr">
        <is>
          <t>39:40</t>
        </is>
      </c>
      <c r="G1989" s="11" t="n">
        <v>0.66</v>
      </c>
      <c r="H1989" s="12" t="inlineStr"/>
      <c r="I1989" s="11" t="inlineStr">
        <is>
          <t>Not started</t>
        </is>
      </c>
      <c r="J1989" s="13" t="n"/>
      <c r="K1989" s="10" t="inlineStr"/>
      <c r="L1989" s="14" t="inlineStr">
        <is>
          <t>▶ watch</t>
        </is>
      </c>
      <c r="M1989" s="10" t="inlineStr">
        <is>
          <t>Merrill &amp; Sabharwal (arXiv:2310.07923)</t>
        </is>
      </c>
      <c r="N1989" s="14" t="inlineStr">
        <is>
          <t>read ↗</t>
        </is>
      </c>
      <c r="O1989" s="11" t="inlineStr">
        <is>
          <t>stated with the talk</t>
        </is>
      </c>
      <c r="P1989" s="10" t="inlineStr"/>
    </row>
    <row r="1990">
      <c r="A1990" s="17" t="n">
        <v>1989</v>
      </c>
      <c r="B1990" s="17" t="inlineStr">
        <is>
          <t>Part III - Upstream AI Research</t>
        </is>
      </c>
      <c r="C1990" s="18" t="inlineStr">
        <is>
          <t>7.3 What transformers can and cannot compute</t>
        </is>
      </c>
      <c r="D1990" s="10" t="inlineStr">
        <is>
          <t>Clayton Sanford (Columbia), FLaNN Seminar</t>
        </is>
      </c>
      <c r="E1990" s="10" t="inlineStr"/>
      <c r="F1990" s="11" t="inlineStr">
        <is>
          <t>51:27</t>
        </is>
      </c>
      <c r="G1990" s="11" t="n">
        <v>0.86</v>
      </c>
      <c r="H1990" s="12" t="inlineStr"/>
      <c r="I1990" s="11" t="inlineStr">
        <is>
          <t>Not started</t>
        </is>
      </c>
      <c r="J1990" s="13" t="n"/>
      <c r="K1990" s="10" t="inlineStr"/>
      <c r="L1990" s="14" t="inlineStr">
        <is>
          <t>▶ watch</t>
        </is>
      </c>
      <c r="M1990" s="10" t="inlineStr">
        <is>
          <t>Sanford, Hsu, Telgarsky (arXiv:2306.02896)</t>
        </is>
      </c>
      <c r="N1990" s="14" t="inlineStr">
        <is>
          <t>read ↗</t>
        </is>
      </c>
      <c r="O1990" s="11" t="inlineStr">
        <is>
          <t>stated with the talk</t>
        </is>
      </c>
      <c r="P1990" s="10" t="inlineStr"/>
    </row>
    <row r="1991">
      <c r="A1991" s="17" t="n">
        <v>1990</v>
      </c>
      <c r="B1991" s="17" t="inlineStr">
        <is>
          <t>Part III - Upstream AI Research</t>
        </is>
      </c>
      <c r="C1991" s="18" t="inlineStr">
        <is>
          <t>7.3 What transformers can and cannot compute</t>
        </is>
      </c>
      <c r="D1991" s="10" t="inlineStr">
        <is>
          <t>Bingbin Liu (CMU), FLaNN Seminar</t>
        </is>
      </c>
      <c r="E1991" s="10" t="inlineStr"/>
      <c r="F1991" s="11" t="inlineStr">
        <is>
          <t>48:49</t>
        </is>
      </c>
      <c r="G1991" s="11" t="n">
        <v>0.8100000000000001</v>
      </c>
      <c r="H1991" s="12" t="inlineStr"/>
      <c r="I1991" s="11" t="inlineStr">
        <is>
          <t>Not started</t>
        </is>
      </c>
      <c r="J1991" s="13" t="n"/>
      <c r="K1991" s="10" t="inlineStr"/>
      <c r="L1991" s="14" t="inlineStr">
        <is>
          <t>▶ watch</t>
        </is>
      </c>
      <c r="M1991" s="10" t="inlineStr">
        <is>
          <t>Liu, Ash, Goel, Krishnamurthy, Zhang (arXiv:2210.10749)</t>
        </is>
      </c>
      <c r="N1991" s="14" t="inlineStr">
        <is>
          <t>read ↗</t>
        </is>
      </c>
      <c r="O1991" s="11" t="inlineStr">
        <is>
          <t>stated with the talk</t>
        </is>
      </c>
      <c r="P1991" s="10" t="inlineStr"/>
    </row>
    <row r="1992">
      <c r="A1992" s="17" t="n">
        <v>1991</v>
      </c>
      <c r="B1992" s="17" t="inlineStr">
        <is>
          <t>Part III - Upstream AI Research</t>
        </is>
      </c>
      <c r="C1992" s="18" t="inlineStr">
        <is>
          <t>7.3 What transformers can and cannot compute</t>
        </is>
      </c>
      <c r="D1992" s="10" t="inlineStr">
        <is>
          <t>Hattie Zhou (Mila), FLaNN Seminar</t>
        </is>
      </c>
      <c r="E1992" s="10" t="inlineStr"/>
      <c r="F1992" s="11" t="inlineStr">
        <is>
          <t>53:49</t>
        </is>
      </c>
      <c r="G1992" s="11" t="n">
        <v>0.9</v>
      </c>
      <c r="H1992" s="12" t="inlineStr"/>
      <c r="I1992" s="11" t="inlineStr">
        <is>
          <t>Not started</t>
        </is>
      </c>
      <c r="J1992" s="13" t="n"/>
      <c r="K1992" s="10" t="inlineStr"/>
      <c r="L1992" s="14" t="inlineStr">
        <is>
          <t>▶ watch</t>
        </is>
      </c>
      <c r="M1992" s="10" t="inlineStr">
        <is>
          <t>arXiv:2310.16028</t>
        </is>
      </c>
      <c r="N1992" s="14" t="inlineStr">
        <is>
          <t>read ↗</t>
        </is>
      </c>
      <c r="O1992" s="11" t="inlineStr">
        <is>
          <t>stated with the talk</t>
        </is>
      </c>
      <c r="P1992" s="10" t="inlineStr"/>
    </row>
    <row r="1993">
      <c r="A1993" s="17" t="n">
        <v>1992</v>
      </c>
      <c r="B1993" s="17" t="inlineStr">
        <is>
          <t>Part III - Upstream AI Research</t>
        </is>
      </c>
      <c r="C1993" s="18" t="inlineStr">
        <is>
          <t>7.3 What transformers can and cannot compute</t>
        </is>
      </c>
      <c r="D1993" s="10" t="inlineStr">
        <is>
          <t>Xinting Huang (ETH / Saarland), FLaNN Seminar</t>
        </is>
      </c>
      <c r="E1993" s="10" t="inlineStr"/>
      <c r="F1993" s="11" t="inlineStr">
        <is>
          <t>38:23</t>
        </is>
      </c>
      <c r="G1993" s="11" t="n">
        <v>0.64</v>
      </c>
      <c r="H1993" s="12" t="inlineStr"/>
      <c r="I1993" s="11" t="inlineStr">
        <is>
          <t>Not started</t>
        </is>
      </c>
      <c r="J1993" s="13" t="n"/>
      <c r="K1993" s="10" t="inlineStr"/>
      <c r="L1993" s="14" t="inlineStr">
        <is>
          <t>▶ watch</t>
        </is>
      </c>
      <c r="M1993" s="10" t="inlineStr">
        <is>
          <t>arXiv:2410.02140</t>
        </is>
      </c>
      <c r="N1993" s="14" t="inlineStr">
        <is>
          <t>read ↗</t>
        </is>
      </c>
      <c r="O1993" s="11" t="inlineStr">
        <is>
          <t>stated with the talk</t>
        </is>
      </c>
      <c r="P1993" s="10" t="inlineStr"/>
    </row>
    <row r="1994">
      <c r="A1994" s="17" t="n">
        <v>1993</v>
      </c>
      <c r="B1994" s="17" t="inlineStr">
        <is>
          <t>Part III - Upstream AI Research</t>
        </is>
      </c>
      <c r="C1994" s="18" t="inlineStr">
        <is>
          <t>7.3 What transformers can and cannot compute</t>
        </is>
      </c>
      <c r="D1994" s="10" t="inlineStr">
        <is>
          <t>Philippe Rigollet (MIT), Simons</t>
        </is>
      </c>
      <c r="E1994" s="10" t="inlineStr"/>
      <c r="F1994" s="11" t="inlineStr">
        <is>
          <t>48:48</t>
        </is>
      </c>
      <c r="G1994" s="11" t="n">
        <v>0.8100000000000001</v>
      </c>
      <c r="H1994" s="12" t="inlineStr">
        <is>
          <t>★</t>
        </is>
      </c>
      <c r="I1994" s="11" t="inlineStr">
        <is>
          <t>Not started</t>
        </is>
      </c>
      <c r="J1994" s="13" t="n"/>
      <c r="K1994" s="10" t="inlineStr"/>
      <c r="L1994" s="14" t="inlineStr">
        <is>
          <t>▶ watch</t>
        </is>
      </c>
      <c r="M1994" s="10" t="inlineStr">
        <is>
          <t>Geshkovski, Letrouit, Polyanskiy, Rigollet (arXiv:2305.05465)</t>
        </is>
      </c>
      <c r="N1994" s="14" t="inlineStr">
        <is>
          <t>read ↗</t>
        </is>
      </c>
      <c r="O1994" s="11" t="inlineStr">
        <is>
          <t>stated with the talk</t>
        </is>
      </c>
      <c r="P1994" s="10" t="inlineStr">
        <is>
          <t>9.4 Simons: Special Year on Large Language Models and Transformers (2023–2024</t>
        </is>
      </c>
    </row>
    <row r="1995">
      <c r="A1995" s="17" t="n">
        <v>1994</v>
      </c>
      <c r="B1995" s="17" t="inlineStr">
        <is>
          <t>Part III - Upstream AI Research</t>
        </is>
      </c>
      <c r="C1995" s="18" t="inlineStr">
        <is>
          <t>7.3 What transformers can and cannot compute</t>
        </is>
      </c>
      <c r="D1995" s="10" t="inlineStr">
        <is>
          <t>Surya Ganguli (Stanford), Simons</t>
        </is>
      </c>
      <c r="E1995" s="10" t="inlineStr"/>
      <c r="F1995" s="11" t="inlineStr">
        <is>
          <t>44:20</t>
        </is>
      </c>
      <c r="G1995" s="11" t="n">
        <v>0.74</v>
      </c>
      <c r="H1995" s="12" t="inlineStr">
        <is>
          <t>★</t>
        </is>
      </c>
      <c r="I1995" s="11" t="inlineStr">
        <is>
          <t>Not started</t>
        </is>
      </c>
      <c r="J1995" s="13" t="n"/>
      <c r="K1995" s="10" t="inlineStr"/>
      <c r="L1995" s="14" t="inlineStr">
        <is>
          <t>▶ watch</t>
        </is>
      </c>
      <c r="M1995" s="10" t="inlineStr">
        <is>
          <t>McCoy et al. 2024, PNAS 121:e2322420121 (Embers of Autoregression) · Bubeck et al. 2023, arXiv:2303.12712 (Sparks of AGI)</t>
        </is>
      </c>
      <c r="N1995" s="14" t="inlineStr">
        <is>
          <t>read ↗</t>
        </is>
      </c>
      <c r="O1995" s="11" t="inlineStr">
        <is>
          <t xml:space="preserve">reading for D.7.7 Is reasoning real? - the standing </t>
        </is>
      </c>
      <c r="P1995" s="10" t="inlineStr">
        <is>
          <t>9.4 Simons: Special Year on Large Language Models and Transformers (2023–2024</t>
        </is>
      </c>
    </row>
    <row r="1996">
      <c r="A1996" s="17" t="n">
        <v>1995</v>
      </c>
      <c r="B1996" s="17" t="inlineStr">
        <is>
          <t>Part III - Upstream AI Research</t>
        </is>
      </c>
      <c r="C1996" s="18" t="inlineStr">
        <is>
          <t>7.4 Weisfeiler–Leman hierarchy and GNN expressivity</t>
        </is>
      </c>
      <c r="D1996" s="10" t="inlineStr">
        <is>
          <t>Petar Veličković (DeepMind)</t>
        </is>
      </c>
      <c r="E1996" s="10" t="inlineStr"/>
      <c r="F1996" s="11" t="inlineStr">
        <is>
          <t>1:12:20</t>
        </is>
      </c>
      <c r="G1996" s="11" t="n">
        <v>1.21</v>
      </c>
      <c r="H1996" s="12" t="inlineStr"/>
      <c r="I1996" s="11" t="inlineStr">
        <is>
          <t>Not started</t>
        </is>
      </c>
      <c r="J1996" s="13" t="n"/>
      <c r="K1996" s="10" t="inlineStr"/>
      <c r="L1996" s="14" t="inlineStr">
        <is>
          <t>▶ watch</t>
        </is>
      </c>
      <c r="M1996" s="10" t="inlineStr">
        <is>
          <t>Bronstein, Bruna, Cohen, Veličković, "Geometric deep learning" (arXiv:2104.13478)</t>
        </is>
      </c>
      <c r="N1996" s="14" t="inlineStr">
        <is>
          <t>read ↗</t>
        </is>
      </c>
      <c r="O1996" s="11" t="inlineStr">
        <is>
          <t>stated with the talk</t>
        </is>
      </c>
      <c r="P1996" s="10" t="inlineStr"/>
    </row>
    <row r="1997">
      <c r="A1997" s="17" t="n">
        <v>1996</v>
      </c>
      <c r="B1997" s="17" t="inlineStr">
        <is>
          <t>Part III - Upstream AI Research</t>
        </is>
      </c>
      <c r="C1997" s="18" t="inlineStr">
        <is>
          <t>7.4 Weisfeiler–Leman hierarchy and GNN expressivity</t>
        </is>
      </c>
      <c r="D1997" s="10" t="inlineStr">
        <is>
          <t>Stefanie Jegelka (MIT), Tübingen Machine Learning</t>
        </is>
      </c>
      <c r="E1997" s="10" t="inlineStr"/>
      <c r="F1997" s="11" t="inlineStr">
        <is>
          <t>41:38</t>
        </is>
      </c>
      <c r="G1997" s="11" t="n">
        <v>0.6899999999999999</v>
      </c>
      <c r="H1997" s="12" t="inlineStr"/>
      <c r="I1997" s="11" t="inlineStr">
        <is>
          <t>Not started</t>
        </is>
      </c>
      <c r="J1997" s="13" t="n"/>
      <c r="K1997" s="10" t="inlineStr"/>
      <c r="L1997" s="14" t="inlineStr">
        <is>
          <t>▶ watch</t>
        </is>
      </c>
      <c r="M1997" s="10" t="inlineStr">
        <is>
          <t>Xu, Hu, Leskovec, Jegelka, "How powerful are graph neural networks?" (arXiv:1810.00826)</t>
        </is>
      </c>
      <c r="N1997" s="14" t="inlineStr">
        <is>
          <t>read ↗</t>
        </is>
      </c>
      <c r="O1997" s="11" t="inlineStr">
        <is>
          <t>stated with the talk</t>
        </is>
      </c>
      <c r="P1997" s="10" t="inlineStr"/>
    </row>
    <row r="1998">
      <c r="A1998" s="17" t="n">
        <v>1997</v>
      </c>
      <c r="B1998" s="17" t="inlineStr">
        <is>
          <t>Part III - Upstream AI Research</t>
        </is>
      </c>
      <c r="C1998" s="18" t="inlineStr">
        <is>
          <t>7.4 Weisfeiler–Leman hierarchy and GNN expressivity</t>
        </is>
      </c>
      <c r="D1998" s="10" t="inlineStr">
        <is>
          <t>Martin Grohe (RWTH Aachen)</t>
        </is>
      </c>
      <c r="E1998" s="10" t="inlineStr"/>
      <c r="F1998" s="11" t="inlineStr">
        <is>
          <t>56:28</t>
        </is>
      </c>
      <c r="G1998" s="11" t="n">
        <v>0.9399999999999999</v>
      </c>
      <c r="H1998" s="12" t="inlineStr"/>
      <c r="I1998" s="11" t="inlineStr">
        <is>
          <t>Not started</t>
        </is>
      </c>
      <c r="J1998" s="13" t="n"/>
      <c r="K1998" s="10" t="inlineStr"/>
      <c r="L1998" s="14" t="inlineStr">
        <is>
          <t>▶ watch</t>
        </is>
      </c>
      <c r="M1998" s="10" t="inlineStr">
        <is>
          <t>McCoy et al. 2024, PNAS 121:e2322420121 (Embers of Autoregression) · Bubeck et al. 2023, arXiv:2303.12712 (Sparks of AGI)</t>
        </is>
      </c>
      <c r="N1998" s="14" t="inlineStr">
        <is>
          <t>read ↗</t>
        </is>
      </c>
      <c r="O1998" s="11" t="inlineStr">
        <is>
          <t xml:space="preserve">reading for D.7.7 Is reasoning real? - the standing </t>
        </is>
      </c>
      <c r="P1998" s="10" t="inlineStr"/>
    </row>
    <row r="1999">
      <c r="A1999" s="17" t="n">
        <v>1998</v>
      </c>
      <c r="B1999" s="17" t="inlineStr">
        <is>
          <t>Part III - Upstream AI Research</t>
        </is>
      </c>
      <c r="C1999" s="18" t="inlineStr">
        <is>
          <t>7.4 Weisfeiler–Leman hierarchy and GNN expressivity</t>
        </is>
      </c>
      <c r="D1999" s="10" t="inlineStr">
        <is>
          <t>Martin Grohe (RWTH Aachen), FLaNN Seminar</t>
        </is>
      </c>
      <c r="E1999" s="10" t="inlineStr"/>
      <c r="F1999" s="11" t="inlineStr">
        <is>
          <t>52:41</t>
        </is>
      </c>
      <c r="G1999" s="11" t="n">
        <v>0.88</v>
      </c>
      <c r="H1999" s="12" t="inlineStr"/>
      <c r="I1999" s="11" t="inlineStr">
        <is>
          <t>Not started</t>
        </is>
      </c>
      <c r="J1999" s="13" t="n"/>
      <c r="K1999" s="10" t="inlineStr"/>
      <c r="L1999" s="14" t="inlineStr">
        <is>
          <t>▶ watch</t>
        </is>
      </c>
      <c r="M1999" s="10" t="inlineStr">
        <is>
          <t>arXiv:2303.04613</t>
        </is>
      </c>
      <c r="N1999" s="14" t="inlineStr">
        <is>
          <t>read ↗</t>
        </is>
      </c>
      <c r="O1999" s="11" t="inlineStr">
        <is>
          <t>stated with the talk</t>
        </is>
      </c>
      <c r="P1999" s="10" t="inlineStr"/>
    </row>
    <row r="2000">
      <c r="A2000" s="17" t="n">
        <v>1999</v>
      </c>
      <c r="B2000" s="17" t="inlineStr">
        <is>
          <t>Part III - Upstream AI Research</t>
        </is>
      </c>
      <c r="C2000" s="18" t="inlineStr">
        <is>
          <t>7.4 Weisfeiler–Leman hierarchy and GNN expressivity</t>
        </is>
      </c>
      <c r="D2000" s="10" t="inlineStr">
        <is>
          <t>Haggai Maron (Technion / NVIDIA), CIRM</t>
        </is>
      </c>
      <c r="E2000" s="10" t="inlineStr"/>
      <c r="F2000" s="11" t="inlineStr">
        <is>
          <t>49:41</t>
        </is>
      </c>
      <c r="G2000" s="11" t="n">
        <v>0.83</v>
      </c>
      <c r="H2000" s="12" t="inlineStr"/>
      <c r="I2000" s="11" t="inlineStr">
        <is>
          <t>Not started</t>
        </is>
      </c>
      <c r="J2000" s="13" t="n"/>
      <c r="K2000" s="10" t="inlineStr"/>
      <c r="L2000" s="14" t="inlineStr">
        <is>
          <t>▶ watch</t>
        </is>
      </c>
      <c r="M2000" s="10" t="inlineStr">
        <is>
          <t>Frasca, Bevilacqua, Bronstein, Maron (arXiv:2206.11140)</t>
        </is>
      </c>
      <c r="N2000" s="14" t="inlineStr">
        <is>
          <t>read ↗</t>
        </is>
      </c>
      <c r="O2000" s="11" t="inlineStr">
        <is>
          <t>stated with the talk</t>
        </is>
      </c>
      <c r="P2000" s="10" t="inlineStr"/>
    </row>
    <row r="2001">
      <c r="A2001" s="17" t="n">
        <v>2000</v>
      </c>
      <c r="B2001" s="17" t="inlineStr">
        <is>
          <t>Part III - Upstream AI Research</t>
        </is>
      </c>
      <c r="C2001" s="18" t="inlineStr">
        <is>
          <t>7.4 Weisfeiler–Leman hierarchy and GNN expressivity</t>
        </is>
      </c>
      <c r="D2001" s="10" t="inlineStr">
        <is>
          <t>Joan Bruna (NYU), IPAM</t>
        </is>
      </c>
      <c r="E2001" s="10" t="inlineStr"/>
      <c r="F2001" s="11" t="inlineStr">
        <is>
          <t>55:31</t>
        </is>
      </c>
      <c r="G2001" s="11" t="n">
        <v>0.93</v>
      </c>
      <c r="H2001" s="12" t="inlineStr"/>
      <c r="I2001" s="11" t="inlineStr">
        <is>
          <t>Not started</t>
        </is>
      </c>
      <c r="J2001" s="13" t="n"/>
      <c r="K2001" s="10" t="inlineStr"/>
      <c r="L2001" s="14" t="inlineStr">
        <is>
          <t>▶ watch</t>
        </is>
      </c>
      <c r="M2001" s="10" t="inlineStr">
        <is>
          <t>McCoy et al. 2024, PNAS 121:e2322420121 (Embers of Autoregression) · Bubeck et al. 2023, arXiv:2303.12712 (Sparks of AGI)</t>
        </is>
      </c>
      <c r="N2001" s="14" t="inlineStr">
        <is>
          <t>read ↗</t>
        </is>
      </c>
      <c r="O2001" s="11" t="inlineStr">
        <is>
          <t xml:space="preserve">reading for D.7.7 Is reasoning real? - the standing </t>
        </is>
      </c>
      <c r="P2001" s="10" t="inlineStr"/>
    </row>
    <row r="2002">
      <c r="A2002" s="17" t="n">
        <v>2001</v>
      </c>
      <c r="B2002" s="17" t="inlineStr">
        <is>
          <t>Part III - Upstream AI Research</t>
        </is>
      </c>
      <c r="C2002" s="18" t="inlineStr">
        <is>
          <t>7.4 Weisfeiler–Leman hierarchy and GNN expressivity</t>
        </is>
      </c>
      <c r="D2002" s="10" t="inlineStr">
        <is>
          <t>Simons "Graph Learning Meets TCS"</t>
        </is>
      </c>
      <c r="E2002" s="10" t="inlineStr"/>
      <c r="F2002" s="11" t="inlineStr">
        <is>
          <t>1:39:50</t>
        </is>
      </c>
      <c r="G2002" s="11" t="n">
        <v>1.66</v>
      </c>
      <c r="H2002" s="12" t="inlineStr">
        <is>
          <t>★</t>
        </is>
      </c>
      <c r="I2002" s="11" t="inlineStr">
        <is>
          <t>Not started</t>
        </is>
      </c>
      <c r="J2002" s="13" t="n"/>
      <c r="K2002" s="10" t="inlineStr"/>
      <c r="L2002" s="14" t="inlineStr">
        <is>
          <t>▶ watch</t>
        </is>
      </c>
      <c r="M2002" s="10" t="inlineStr">
        <is>
          <t>McCoy et al. 2024, PNAS 121:e2322420121 (Embers of Autoregression) · Bubeck et al. 2023, arXiv:2303.12712 (Sparks of AGI)</t>
        </is>
      </c>
      <c r="N2002" s="14" t="inlineStr">
        <is>
          <t>read ↗</t>
        </is>
      </c>
      <c r="O2002" s="11" t="inlineStr">
        <is>
          <t xml:space="preserve">reading for D.7.7 Is reasoning real? - the standing </t>
        </is>
      </c>
      <c r="P2002" s="10" t="inlineStr">
        <is>
          <t>9.5 Simons: Graph Learning Meets Theoretical Computer Science (2025</t>
        </is>
      </c>
    </row>
    <row r="2003">
      <c r="A2003" s="17" t="n">
        <v>2002</v>
      </c>
      <c r="B2003" s="17" t="inlineStr">
        <is>
          <t>Part III - Upstream AI Research</t>
        </is>
      </c>
      <c r="C2003" s="18" t="inlineStr">
        <is>
          <t>7.5 State space model theory</t>
        </is>
      </c>
      <c r="D2003" s="10" t="inlineStr">
        <is>
          <t>Will Merrill (NYU), FLaNN Seminar</t>
        </is>
      </c>
      <c r="E2003" s="10" t="inlineStr"/>
      <c r="F2003" s="11" t="inlineStr">
        <is>
          <t>45:42</t>
        </is>
      </c>
      <c r="G2003" s="11" t="n">
        <v>0.76</v>
      </c>
      <c r="H2003" s="12" t="inlineStr"/>
      <c r="I2003" s="11" t="inlineStr">
        <is>
          <t>Not started</t>
        </is>
      </c>
      <c r="J2003" s="13" t="n"/>
      <c r="K2003" s="10" t="inlineStr"/>
      <c r="L2003" s="14" t="inlineStr">
        <is>
          <t>▶ watch</t>
        </is>
      </c>
      <c r="M2003" s="10" t="inlineStr">
        <is>
          <t>Merrill, Petty, Sabharwal (arXiv:2404.08819)</t>
        </is>
      </c>
      <c r="N2003" s="14" t="inlineStr">
        <is>
          <t>read ↗</t>
        </is>
      </c>
      <c r="O2003" s="11" t="inlineStr">
        <is>
          <t>stated with the talk</t>
        </is>
      </c>
      <c r="P2003" s="10" t="inlineStr"/>
    </row>
    <row r="2004">
      <c r="A2004" s="17" t="n">
        <v>2003</v>
      </c>
      <c r="B2004" s="17" t="inlineStr">
        <is>
          <t>Part III - Upstream AI Research</t>
        </is>
      </c>
      <c r="C2004" s="18" t="inlineStr">
        <is>
          <t>7.5 State space model theory</t>
        </is>
      </c>
      <c r="D2004" s="10" t="inlineStr">
        <is>
          <t>Yash Sarrof (Saarland), FLaNN Seminar</t>
        </is>
      </c>
      <c r="E2004" s="10" t="inlineStr"/>
      <c r="F2004" s="11" t="inlineStr">
        <is>
          <t>48:38</t>
        </is>
      </c>
      <c r="G2004" s="11" t="n">
        <v>0.8100000000000001</v>
      </c>
      <c r="H2004" s="12" t="inlineStr"/>
      <c r="I2004" s="11" t="inlineStr">
        <is>
          <t>Not started</t>
        </is>
      </c>
      <c r="J2004" s="13" t="n"/>
      <c r="K2004" s="10" t="inlineStr"/>
      <c r="L2004" s="14" t="inlineStr">
        <is>
          <t>▶ watch</t>
        </is>
      </c>
      <c r="M2004" s="10" t="inlineStr">
        <is>
          <t>arXiv:2405.17394</t>
        </is>
      </c>
      <c r="N2004" s="14" t="inlineStr">
        <is>
          <t>read ↗</t>
        </is>
      </c>
      <c r="O2004" s="11" t="inlineStr">
        <is>
          <t>stated with the talk</t>
        </is>
      </c>
      <c r="P2004" s="10" t="inlineStr"/>
    </row>
    <row r="2005">
      <c r="A2005" s="17" t="n">
        <v>2004</v>
      </c>
      <c r="B2005" s="17" t="inlineStr">
        <is>
          <t>Part III - Upstream AI Research</t>
        </is>
      </c>
      <c r="C2005" s="18" t="inlineStr">
        <is>
          <t>8.1 Stanford CS229M / STATS214 - Machine Learning Theory</t>
        </is>
      </c>
      <c r="D2005" s="10" t="inlineStr">
        <is>
          <t>Overview, supervised learning, empirical risk minimization</t>
        </is>
      </c>
      <c r="E2005" s="10" t="inlineStr"/>
      <c r="F2005" s="11" t="inlineStr">
        <is>
          <t>1:04:07</t>
        </is>
      </c>
      <c r="G2005" s="11" t="n">
        <v>1.07</v>
      </c>
      <c r="H2005" s="12" t="inlineStr"/>
      <c r="I2005" s="11" t="inlineStr">
        <is>
          <t>Not started</t>
        </is>
      </c>
      <c r="J2005" s="13" t="n"/>
      <c r="K2005" s="10" t="inlineStr"/>
      <c r="L2005" s="14" t="inlineStr">
        <is>
          <t>▶ watch</t>
        </is>
      </c>
      <c r="M2005" s="10" t="inlineStr">
        <is>
          <t>McCoy et al. 2024, PNAS 121:e2322420121 (Embers of Autoregression) · Bubeck et al. 2023, arXiv:2303.12712 (Sparks of AGI)</t>
        </is>
      </c>
      <c r="N2005" s="14" t="inlineStr">
        <is>
          <t>read ↗</t>
        </is>
      </c>
      <c r="O2005" s="11" t="inlineStr">
        <is>
          <t xml:space="preserve">reading for D.7.7 Is reasoning real? - the standing </t>
        </is>
      </c>
      <c r="P2005" s="10" t="inlineStr"/>
    </row>
    <row r="2006">
      <c r="A2006" s="17" t="n">
        <v>2005</v>
      </c>
      <c r="B2006" s="17" t="inlineStr">
        <is>
          <t>Part III - Upstream AI Research</t>
        </is>
      </c>
      <c r="C2006" s="18" t="inlineStr">
        <is>
          <t>8.1 Stanford CS229M / STATS214 - Machine Learning Theory</t>
        </is>
      </c>
      <c r="D2006" s="10" t="inlineStr">
        <is>
          <t>Asymptotic analysis, uniform convergence, Hoeffding inequality</t>
        </is>
      </c>
      <c r="E2006" s="10" t="inlineStr"/>
      <c r="F2006" s="11" t="inlineStr">
        <is>
          <t>1:20:14</t>
        </is>
      </c>
      <c r="G2006" s="11" t="n">
        <v>1.34</v>
      </c>
      <c r="H2006" s="12" t="inlineStr"/>
      <c r="I2006" s="11" t="inlineStr">
        <is>
          <t>Not started</t>
        </is>
      </c>
      <c r="J2006" s="13" t="n"/>
      <c r="K2006" s="10" t="inlineStr"/>
      <c r="L2006" s="14" t="inlineStr">
        <is>
          <t>▶ watch</t>
        </is>
      </c>
      <c r="M2006" s="10" t="inlineStr">
        <is>
          <t>McCoy et al. 2024, PNAS 121:e2322420121 (Embers of Autoregression) · Bubeck et al. 2023, arXiv:2303.12712 (Sparks of AGI)</t>
        </is>
      </c>
      <c r="N2006" s="14" t="inlineStr">
        <is>
          <t>read ↗</t>
        </is>
      </c>
      <c r="O2006" s="11" t="inlineStr">
        <is>
          <t xml:space="preserve">reading for D.7.7 Is reasoning real? - the standing </t>
        </is>
      </c>
      <c r="P2006" s="10" t="inlineStr"/>
    </row>
    <row r="2007">
      <c r="A2007" s="17" t="n">
        <v>2006</v>
      </c>
      <c r="B2007" s="17" t="inlineStr">
        <is>
          <t>Part III - Upstream AI Research</t>
        </is>
      </c>
      <c r="C2007" s="18" t="inlineStr">
        <is>
          <t>8.1 Stanford CS229M / STATS214 - Machine Learning Theory</t>
        </is>
      </c>
      <c r="D2007" s="10" t="inlineStr">
        <is>
          <t>Finite hypothesis class, discretizing infinite hypothesis space</t>
        </is>
      </c>
      <c r="E2007" s="10" t="inlineStr"/>
      <c r="F2007" s="11" t="inlineStr">
        <is>
          <t>1:14:13</t>
        </is>
      </c>
      <c r="G2007" s="11" t="n">
        <v>1.24</v>
      </c>
      <c r="H2007" s="12" t="inlineStr"/>
      <c r="I2007" s="11" t="inlineStr">
        <is>
          <t>Not started</t>
        </is>
      </c>
      <c r="J2007" s="13" t="n"/>
      <c r="K2007" s="10" t="inlineStr"/>
      <c r="L2007" s="14" t="inlineStr">
        <is>
          <t>▶ watch</t>
        </is>
      </c>
      <c r="M2007" s="10" t="inlineStr">
        <is>
          <t>McCoy et al. 2024, PNAS 121:e2322420121 (Embers of Autoregression) · Bubeck et al. 2023, arXiv:2303.12712 (Sparks of AGI)</t>
        </is>
      </c>
      <c r="N2007" s="14" t="inlineStr">
        <is>
          <t>read ↗</t>
        </is>
      </c>
      <c r="O2007" s="11" t="inlineStr">
        <is>
          <t xml:space="preserve">reading for D.7.7 Is reasoning real? - the standing </t>
        </is>
      </c>
      <c r="P2007" s="10" t="inlineStr"/>
    </row>
    <row r="2008">
      <c r="A2008" s="17" t="n">
        <v>2007</v>
      </c>
      <c r="B2008" s="17" t="inlineStr">
        <is>
          <t>Part III - Upstream AI Research</t>
        </is>
      </c>
      <c r="C2008" s="18" t="inlineStr">
        <is>
          <t>8.1 Stanford CS229M / STATS214 - Machine Learning Theory</t>
        </is>
      </c>
      <c r="D2008" s="10" t="inlineStr">
        <is>
          <t>Advanced concentration inequalities</t>
        </is>
      </c>
      <c r="E2008" s="10" t="inlineStr"/>
      <c r="F2008" s="11" t="inlineStr">
        <is>
          <t>1:31:16</t>
        </is>
      </c>
      <c r="G2008" s="11" t="n">
        <v>1.52</v>
      </c>
      <c r="H2008" s="12" t="inlineStr"/>
      <c r="I2008" s="11" t="inlineStr">
        <is>
          <t>Not started</t>
        </is>
      </c>
      <c r="J2008" s="13" t="n"/>
      <c r="K2008" s="10" t="inlineStr"/>
      <c r="L2008" s="14" t="inlineStr">
        <is>
          <t>▶ watch</t>
        </is>
      </c>
      <c r="M2008" s="10" t="inlineStr">
        <is>
          <t>McCoy et al. 2024, PNAS 121:e2322420121 (Embers of Autoregression) · Bubeck et al. 2023, arXiv:2303.12712 (Sparks of AGI)</t>
        </is>
      </c>
      <c r="N2008" s="14" t="inlineStr">
        <is>
          <t>read ↗</t>
        </is>
      </c>
      <c r="O2008" s="11" t="inlineStr">
        <is>
          <t xml:space="preserve">reading for D.7.7 Is reasoning real? - the standing </t>
        </is>
      </c>
      <c r="P2008" s="10" t="inlineStr"/>
    </row>
    <row r="2009">
      <c r="A2009" s="17" t="n">
        <v>2008</v>
      </c>
      <c r="B2009" s="17" t="inlineStr">
        <is>
          <t>Part III - Upstream AI Research</t>
        </is>
      </c>
      <c r="C2009" s="18" t="inlineStr">
        <is>
          <t>8.1 Stanford CS229M / STATS214 - Machine Learning Theory</t>
        </is>
      </c>
      <c r="D2009" s="10" t="inlineStr">
        <is>
          <t>Rademacher complexity, empirical Rademacher complexity</t>
        </is>
      </c>
      <c r="E2009" s="10" t="inlineStr"/>
      <c r="F2009" s="11" t="inlineStr">
        <is>
          <t>1:23:58</t>
        </is>
      </c>
      <c r="G2009" s="11" t="n">
        <v>1.4</v>
      </c>
      <c r="H2009" s="12" t="inlineStr"/>
      <c r="I2009" s="11" t="inlineStr">
        <is>
          <t>Not started</t>
        </is>
      </c>
      <c r="J2009" s="13" t="n"/>
      <c r="K2009" s="10" t="inlineStr"/>
      <c r="L2009" s="14" t="inlineStr">
        <is>
          <t>▶ watch</t>
        </is>
      </c>
      <c r="M2009" s="10" t="inlineStr">
        <is>
          <t>McCoy et al. 2024, PNAS 121:e2322420121 (Embers of Autoregression) · Bubeck et al. 2023, arXiv:2303.12712 (Sparks of AGI)</t>
        </is>
      </c>
      <c r="N2009" s="14" t="inlineStr">
        <is>
          <t>read ↗</t>
        </is>
      </c>
      <c r="O2009" s="11" t="inlineStr">
        <is>
          <t xml:space="preserve">reading for D.7.7 Is reasoning real? - the standing </t>
        </is>
      </c>
      <c r="P2009" s="10" t="inlineStr"/>
    </row>
    <row r="2010">
      <c r="A2010" s="17" t="n">
        <v>2009</v>
      </c>
      <c r="B2010" s="17" t="inlineStr">
        <is>
          <t>Part III - Upstream AI Research</t>
        </is>
      </c>
      <c r="C2010" s="18" t="inlineStr">
        <is>
          <t>8.1 Stanford CS229M / STATS214 - Machine Learning Theory</t>
        </is>
      </c>
      <c r="D2010" s="10" t="inlineStr">
        <is>
          <t>Margin theory and Rademacher complexity for linear models</t>
        </is>
      </c>
      <c r="E2010" s="10" t="inlineStr"/>
      <c r="F2010" s="11" t="inlineStr">
        <is>
          <t>1:22:41</t>
        </is>
      </c>
      <c r="G2010" s="11" t="n">
        <v>1.38</v>
      </c>
      <c r="H2010" s="12" t="inlineStr"/>
      <c r="I2010" s="11" t="inlineStr">
        <is>
          <t>Not started</t>
        </is>
      </c>
      <c r="J2010" s="13" t="n"/>
      <c r="K2010" s="10" t="inlineStr"/>
      <c r="L2010" s="14" t="inlineStr">
        <is>
          <t>▶ watch</t>
        </is>
      </c>
      <c r="M2010" s="10" t="inlineStr">
        <is>
          <t>McCoy et al. 2024, PNAS 121:e2322420121 (Embers of Autoregression) · Bubeck et al. 2023, arXiv:2303.12712 (Sparks of AGI)</t>
        </is>
      </c>
      <c r="N2010" s="14" t="inlineStr">
        <is>
          <t>read ↗</t>
        </is>
      </c>
      <c r="O2010" s="11" t="inlineStr">
        <is>
          <t xml:space="preserve">reading for D.7.7 Is reasoning real? - the standing </t>
        </is>
      </c>
      <c r="P2010" s="10" t="inlineStr"/>
    </row>
    <row r="2011">
      <c r="A2011" s="17" t="n">
        <v>2010</v>
      </c>
      <c r="B2011" s="17" t="inlineStr">
        <is>
          <t>Part III - Upstream AI Research</t>
        </is>
      </c>
      <c r="C2011" s="18" t="inlineStr">
        <is>
          <t>8.1 Stanford CS229M / STATS214 - Machine Learning Theory</t>
        </is>
      </c>
      <c r="D2011" s="10" t="inlineStr">
        <is>
          <t>Challenges in DL theory, generalization bounds for neural nets</t>
        </is>
      </c>
      <c r="E2011" s="10" t="inlineStr"/>
      <c r="F2011" s="11" t="inlineStr">
        <is>
          <t>1:25:43</t>
        </is>
      </c>
      <c r="G2011" s="11" t="n">
        <v>1.43</v>
      </c>
      <c r="H2011" s="12" t="inlineStr"/>
      <c r="I2011" s="11" t="inlineStr">
        <is>
          <t>Not started</t>
        </is>
      </c>
      <c r="J2011" s="13" t="n"/>
      <c r="K2011" s="10" t="inlineStr"/>
      <c r="L2011" s="14" t="inlineStr">
        <is>
          <t>▶ watch</t>
        </is>
      </c>
      <c r="M2011" s="10" t="inlineStr">
        <is>
          <t>McCoy et al. 2024, PNAS 121:e2322420121 (Embers of Autoregression) · Bubeck et al. 2023, arXiv:2303.12712 (Sparks of AGI)</t>
        </is>
      </c>
      <c r="N2011" s="14" t="inlineStr">
        <is>
          <t>read ↗</t>
        </is>
      </c>
      <c r="O2011" s="11" t="inlineStr">
        <is>
          <t xml:space="preserve">reading for D.7.7 Is reasoning real? - the standing </t>
        </is>
      </c>
      <c r="P2011" s="10" t="inlineStr"/>
    </row>
    <row r="2012">
      <c r="A2012" s="17" t="n">
        <v>2011</v>
      </c>
      <c r="B2012" s="17" t="inlineStr">
        <is>
          <t>Part III - Upstream AI Research</t>
        </is>
      </c>
      <c r="C2012" s="18" t="inlineStr">
        <is>
          <t>8.1 Stanford CS229M / STATS214 - Machine Learning Theory</t>
        </is>
      </c>
      <c r="D2012" s="10" t="inlineStr">
        <is>
          <t>Refined generalization bounds for neural nets, kernel methods</t>
        </is>
      </c>
      <c r="E2012" s="10" t="inlineStr"/>
      <c r="F2012" s="11" t="inlineStr">
        <is>
          <t>1:27:11</t>
        </is>
      </c>
      <c r="G2012" s="11" t="n">
        <v>1.45</v>
      </c>
      <c r="H2012" s="12" t="inlineStr"/>
      <c r="I2012" s="11" t="inlineStr">
        <is>
          <t>Not started</t>
        </is>
      </c>
      <c r="J2012" s="13" t="n"/>
      <c r="K2012" s="10" t="inlineStr"/>
      <c r="L2012" s="14" t="inlineStr">
        <is>
          <t>▶ watch</t>
        </is>
      </c>
      <c r="M2012" s="10" t="inlineStr">
        <is>
          <t>McCoy et al. 2024, PNAS 121:e2322420121 (Embers of Autoregression) · Bubeck et al. 2023, arXiv:2303.12712 (Sparks of AGI)</t>
        </is>
      </c>
      <c r="N2012" s="14" t="inlineStr">
        <is>
          <t>read ↗</t>
        </is>
      </c>
      <c r="O2012" s="11" t="inlineStr">
        <is>
          <t xml:space="preserve">reading for D.7.7 Is reasoning real? - the standing </t>
        </is>
      </c>
      <c r="P2012" s="10" t="inlineStr"/>
    </row>
    <row r="2013">
      <c r="A2013" s="17" t="n">
        <v>2012</v>
      </c>
      <c r="B2013" s="17" t="inlineStr">
        <is>
          <t>Part III - Upstream AI Research</t>
        </is>
      </c>
      <c r="C2013" s="18" t="inlineStr">
        <is>
          <t>8.1 Stanford CS229M / STATS214 - Machine Learning Theory</t>
        </is>
      </c>
      <c r="D2013" s="10" t="inlineStr">
        <is>
          <t>Covering number approach, Dudley's theorem</t>
        </is>
      </c>
      <c r="E2013" s="10" t="inlineStr"/>
      <c r="F2013" s="11" t="inlineStr">
        <is>
          <t>1:26:23</t>
        </is>
      </c>
      <c r="G2013" s="11" t="n">
        <v>1.44</v>
      </c>
      <c r="H2013" s="12" t="inlineStr"/>
      <c r="I2013" s="11" t="inlineStr">
        <is>
          <t>Not started</t>
        </is>
      </c>
      <c r="J2013" s="13" t="n"/>
      <c r="K2013" s="10" t="inlineStr"/>
      <c r="L2013" s="14" t="inlineStr">
        <is>
          <t>▶ watch</t>
        </is>
      </c>
      <c r="M2013" s="10" t="inlineStr">
        <is>
          <t>McCoy et al. 2024, PNAS 121:e2322420121 (Embers of Autoregression) · Bubeck et al. 2023, arXiv:2303.12712 (Sparks of AGI)</t>
        </is>
      </c>
      <c r="N2013" s="14" t="inlineStr">
        <is>
          <t>read ↗</t>
        </is>
      </c>
      <c r="O2013" s="11" t="inlineStr">
        <is>
          <t xml:space="preserve">reading for D.7.7 Is reasoning real? - the standing </t>
        </is>
      </c>
      <c r="P2013" s="10" t="inlineStr"/>
    </row>
    <row r="2014">
      <c r="A2014" s="17" t="n">
        <v>2013</v>
      </c>
      <c r="B2014" s="17" t="inlineStr">
        <is>
          <t>Part III - Upstream AI Research</t>
        </is>
      </c>
      <c r="C2014" s="18" t="inlineStr">
        <is>
          <t>8.1 Stanford CS229M / STATS214 - Machine Learning Theory</t>
        </is>
      </c>
      <c r="D2014" s="10" t="inlineStr">
        <is>
          <t>Generalization bounds for deep nets</t>
        </is>
      </c>
      <c r="E2014" s="10" t="inlineStr"/>
      <c r="F2014" s="11" t="inlineStr">
        <is>
          <t>1:23:35</t>
        </is>
      </c>
      <c r="G2014" s="11" t="n">
        <v>1.39</v>
      </c>
      <c r="H2014" s="12" t="inlineStr"/>
      <c r="I2014" s="11" t="inlineStr">
        <is>
          <t>Not started</t>
        </is>
      </c>
      <c r="J2014" s="13" t="n"/>
      <c r="K2014" s="10" t="inlineStr"/>
      <c r="L2014" s="14" t="inlineStr">
        <is>
          <t>▶ watch</t>
        </is>
      </c>
      <c r="M2014" s="10" t="inlineStr">
        <is>
          <t>McCoy et al. 2024, PNAS 121:e2322420121 (Embers of Autoregression) · Bubeck et al. 2023, arXiv:2303.12712 (Sparks of AGI)</t>
        </is>
      </c>
      <c r="N2014" s="14" t="inlineStr">
        <is>
          <t>read ↗</t>
        </is>
      </c>
      <c r="O2014" s="11" t="inlineStr">
        <is>
          <t xml:space="preserve">reading for D.7.7 Is reasoning real? - the standing </t>
        </is>
      </c>
      <c r="P2014" s="10" t="inlineStr"/>
    </row>
    <row r="2015">
      <c r="A2015" s="17" t="n">
        <v>2014</v>
      </c>
      <c r="B2015" s="17" t="inlineStr">
        <is>
          <t>Part III - Upstream AI Research</t>
        </is>
      </c>
      <c r="C2015" s="18" t="inlineStr">
        <is>
          <t>8.1 Stanford CS229M / STATS214 - Machine Learning Theory</t>
        </is>
      </c>
      <c r="D2015" s="10" t="inlineStr">
        <is>
          <t>All-layer margin</t>
        </is>
      </c>
      <c r="E2015" s="10" t="inlineStr"/>
      <c r="F2015" s="11" t="inlineStr">
        <is>
          <t>1:29:24</t>
        </is>
      </c>
      <c r="G2015" s="11" t="n">
        <v>1.49</v>
      </c>
      <c r="H2015" s="12" t="inlineStr"/>
      <c r="I2015" s="11" t="inlineStr">
        <is>
          <t>Not started</t>
        </is>
      </c>
      <c r="J2015" s="13" t="n"/>
      <c r="K2015" s="10" t="inlineStr"/>
      <c r="L2015" s="14" t="inlineStr">
        <is>
          <t>▶ watch</t>
        </is>
      </c>
      <c r="M2015" s="10" t="inlineStr">
        <is>
          <t>McCoy et al. 2024, PNAS 121:e2322420121 (Embers of Autoregression) · Bubeck et al. 2023, arXiv:2303.12712 (Sparks of AGI)</t>
        </is>
      </c>
      <c r="N2015" s="14" t="inlineStr">
        <is>
          <t>read ↗</t>
        </is>
      </c>
      <c r="O2015" s="11" t="inlineStr">
        <is>
          <t xml:space="preserve">reading for D.7.7 Is reasoning real? - the standing </t>
        </is>
      </c>
      <c r="P2015" s="10" t="inlineStr"/>
    </row>
    <row r="2016">
      <c r="A2016" s="17" t="n">
        <v>2015</v>
      </c>
      <c r="B2016" s="17" t="inlineStr">
        <is>
          <t>Part III - Upstream AI Research</t>
        </is>
      </c>
      <c r="C2016" s="18" t="inlineStr">
        <is>
          <t>8.1 Stanford CS229M / STATS214 - Machine Learning Theory</t>
        </is>
      </c>
      <c r="D2016" s="10" t="inlineStr">
        <is>
          <t>NTK, implicit regularization of gradient descent</t>
        </is>
      </c>
      <c r="E2016" s="10" t="inlineStr"/>
      <c r="F2016" s="11" t="inlineStr">
        <is>
          <t>1:33:00</t>
        </is>
      </c>
      <c r="G2016" s="11" t="n">
        <v>1.55</v>
      </c>
      <c r="H2016" s="12" t="inlineStr"/>
      <c r="I2016" s="11" t="inlineStr">
        <is>
          <t>Not started</t>
        </is>
      </c>
      <c r="J2016" s="13" t="n"/>
      <c r="K2016" s="10" t="inlineStr"/>
      <c r="L2016" s="14" t="inlineStr">
        <is>
          <t>▶ watch</t>
        </is>
      </c>
      <c r="M2016" s="10" t="inlineStr">
        <is>
          <t>McCoy et al. 2024, PNAS 121:e2322420121 (Embers of Autoregression) · Bubeck et al. 2023, arXiv:2303.12712 (Sparks of AGI)</t>
        </is>
      </c>
      <c r="N2016" s="14" t="inlineStr">
        <is>
          <t>read ↗</t>
        </is>
      </c>
      <c r="O2016" s="11" t="inlineStr">
        <is>
          <t xml:space="preserve">reading for D.7.7 Is reasoning real? - the standing </t>
        </is>
      </c>
      <c r="P2016" s="10" t="inlineStr"/>
    </row>
    <row r="2017">
      <c r="A2017" s="17" t="n">
        <v>2016</v>
      </c>
      <c r="B2017" s="17" t="inlineStr">
        <is>
          <t>Part III - Upstream AI Research</t>
        </is>
      </c>
      <c r="C2017" s="18" t="inlineStr">
        <is>
          <t>8.1 Stanford CS229M / STATS214 - Machine Learning Theory</t>
        </is>
      </c>
      <c r="D2017" s="10" t="inlineStr">
        <is>
          <t>Implicit regularization effect of initialization</t>
        </is>
      </c>
      <c r="E2017" s="10" t="inlineStr"/>
      <c r="F2017" s="11" t="inlineStr">
        <is>
          <t>1:24:13</t>
        </is>
      </c>
      <c r="G2017" s="11" t="n">
        <v>1.4</v>
      </c>
      <c r="H2017" s="12" t="inlineStr"/>
      <c r="I2017" s="11" t="inlineStr">
        <is>
          <t>Not started</t>
        </is>
      </c>
      <c r="J2017" s="13" t="n"/>
      <c r="K2017" s="10" t="inlineStr"/>
      <c r="L2017" s="14" t="inlineStr">
        <is>
          <t>▶ watch</t>
        </is>
      </c>
      <c r="M2017" s="10" t="inlineStr">
        <is>
          <t>McCoy et al. 2024, PNAS 121:e2322420121 (Embers of Autoregression) · Bubeck et al. 2023, arXiv:2303.12712 (Sparks of AGI)</t>
        </is>
      </c>
      <c r="N2017" s="14" t="inlineStr">
        <is>
          <t>read ↗</t>
        </is>
      </c>
      <c r="O2017" s="11" t="inlineStr">
        <is>
          <t xml:space="preserve">reading for D.7.7 Is reasoning real? - the standing </t>
        </is>
      </c>
      <c r="P2017" s="10" t="inlineStr"/>
    </row>
    <row r="2018">
      <c r="A2018" s="17" t="n">
        <v>2017</v>
      </c>
      <c r="B2018" s="17" t="inlineStr">
        <is>
          <t>Part III - Upstream AI Research</t>
        </is>
      </c>
      <c r="C2018" s="18" t="inlineStr">
        <is>
          <t>8.1 Stanford CS229M / STATS214 - Machine Learning Theory</t>
        </is>
      </c>
      <c r="D2018" s="10" t="inlineStr">
        <is>
          <t>Implicit regularization in classification problems</t>
        </is>
      </c>
      <c r="E2018" s="10" t="inlineStr"/>
      <c r="F2018" s="11" t="inlineStr">
        <is>
          <t>1:29:51</t>
        </is>
      </c>
      <c r="G2018" s="11" t="n">
        <v>1.5</v>
      </c>
      <c r="H2018" s="12" t="inlineStr"/>
      <c r="I2018" s="11" t="inlineStr">
        <is>
          <t>Not started</t>
        </is>
      </c>
      <c r="J2018" s="13" t="n"/>
      <c r="K2018" s="10" t="inlineStr"/>
      <c r="L2018" s="14" t="inlineStr">
        <is>
          <t>▶ watch</t>
        </is>
      </c>
      <c r="M2018" s="10" t="inlineStr">
        <is>
          <t>McCoy et al. 2024, PNAS 121:e2322420121 (Embers of Autoregression) · Bubeck et al. 2023, arXiv:2303.12712 (Sparks of AGI)</t>
        </is>
      </c>
      <c r="N2018" s="14" t="inlineStr">
        <is>
          <t>read ↗</t>
        </is>
      </c>
      <c r="O2018" s="11" t="inlineStr">
        <is>
          <t xml:space="preserve">reading for D.7.7 Is reasoning real? - the standing </t>
        </is>
      </c>
      <c r="P2018" s="10" t="inlineStr"/>
    </row>
    <row r="2019">
      <c r="A2019" s="17" t="n">
        <v>2018</v>
      </c>
      <c r="B2019" s="17" t="inlineStr">
        <is>
          <t>Part III - Upstream AI Research</t>
        </is>
      </c>
      <c r="C2019" s="18" t="inlineStr">
        <is>
          <t>8.1 Stanford CS229M / STATS214 - Machine Learning Theory</t>
        </is>
      </c>
      <c r="D2019" s="10" t="inlineStr">
        <is>
          <t>Unsupervised learning, mixture of Gaussians, moment methods</t>
        </is>
      </c>
      <c r="E2019" s="10" t="inlineStr"/>
      <c r="F2019" s="11" t="inlineStr">
        <is>
          <t>1:22:08</t>
        </is>
      </c>
      <c r="G2019" s="11" t="n">
        <v>1.37</v>
      </c>
      <c r="H2019" s="12" t="inlineStr"/>
      <c r="I2019" s="11" t="inlineStr">
        <is>
          <t>Not started</t>
        </is>
      </c>
      <c r="J2019" s="13" t="n"/>
      <c r="K2019" s="10" t="inlineStr"/>
      <c r="L2019" s="14" t="inlineStr">
        <is>
          <t>▶ watch</t>
        </is>
      </c>
      <c r="M2019" s="10" t="inlineStr">
        <is>
          <t>McCoy et al. 2024, PNAS 121:e2322420121 (Embers of Autoregression) · Bubeck et al. 2023, arXiv:2303.12712 (Sparks of AGI)</t>
        </is>
      </c>
      <c r="N2019" s="14" t="inlineStr">
        <is>
          <t>read ↗</t>
        </is>
      </c>
      <c r="O2019" s="11" t="inlineStr">
        <is>
          <t xml:space="preserve">reading for D.7.7 Is reasoning real? - the standing </t>
        </is>
      </c>
      <c r="P2019" s="10" t="inlineStr"/>
    </row>
    <row r="2020">
      <c r="A2020" s="17" t="n">
        <v>2019</v>
      </c>
      <c r="B2020" s="17" t="inlineStr">
        <is>
          <t>Part III - Upstream AI Research</t>
        </is>
      </c>
      <c r="C2020" s="18" t="inlineStr">
        <is>
          <t>8.1 Stanford CS229M / STATS214 - Machine Learning Theory</t>
        </is>
      </c>
      <c r="D2020" s="10" t="inlineStr">
        <is>
          <t>Mixture of Gaussians, spectral clustering</t>
        </is>
      </c>
      <c r="E2020" s="10" t="inlineStr"/>
      <c r="F2020" s="11" t="inlineStr">
        <is>
          <t>1:30:30</t>
        </is>
      </c>
      <c r="G2020" s="11" t="n">
        <v>1.51</v>
      </c>
      <c r="H2020" s="12" t="inlineStr"/>
      <c r="I2020" s="11" t="inlineStr">
        <is>
          <t>Not started</t>
        </is>
      </c>
      <c r="J2020" s="13" t="n"/>
      <c r="K2020" s="10" t="inlineStr"/>
      <c r="L2020" s="14" t="inlineStr">
        <is>
          <t>▶ watch</t>
        </is>
      </c>
      <c r="M2020" s="10" t="inlineStr">
        <is>
          <t>McCoy et al. 2024, PNAS 121:e2322420121 (Embers of Autoregression) · Bubeck et al. 2023, arXiv:2303.12712 (Sparks of AGI)</t>
        </is>
      </c>
      <c r="N2020" s="14" t="inlineStr">
        <is>
          <t>read ↗</t>
        </is>
      </c>
      <c r="O2020" s="11" t="inlineStr">
        <is>
          <t xml:space="preserve">reading for D.7.7 Is reasoning real? - the standing </t>
        </is>
      </c>
      <c r="P2020" s="10" t="inlineStr"/>
    </row>
    <row r="2021">
      <c r="A2021" s="17" t="n">
        <v>2020</v>
      </c>
      <c r="B2021" s="17" t="inlineStr">
        <is>
          <t>Part III - Upstream AI Research</t>
        </is>
      </c>
      <c r="C2021" s="18" t="inlineStr">
        <is>
          <t>8.1 Stanford CS229M / STATS214 - Machine Learning Theory</t>
        </is>
      </c>
      <c r="D2021" s="10" t="inlineStr">
        <is>
          <t>Spectral clustering</t>
        </is>
      </c>
      <c r="E2021" s="10" t="inlineStr"/>
      <c r="F2021" s="11" t="inlineStr">
        <is>
          <t>1:28:25</t>
        </is>
      </c>
      <c r="G2021" s="11" t="n">
        <v>1.47</v>
      </c>
      <c r="H2021" s="12" t="inlineStr"/>
      <c r="I2021" s="11" t="inlineStr">
        <is>
          <t>Not started</t>
        </is>
      </c>
      <c r="J2021" s="13" t="n"/>
      <c r="K2021" s="10" t="inlineStr"/>
      <c r="L2021" s="14" t="inlineStr">
        <is>
          <t>▶ watch</t>
        </is>
      </c>
      <c r="M2021" s="10" t="inlineStr">
        <is>
          <t>McCoy et al. 2024, PNAS 121:e2322420121 (Embers of Autoregression) · Bubeck et al. 2023, arXiv:2303.12712 (Sparks of AGI)</t>
        </is>
      </c>
      <c r="N2021" s="14" t="inlineStr">
        <is>
          <t>read ↗</t>
        </is>
      </c>
      <c r="O2021" s="11" t="inlineStr">
        <is>
          <t xml:space="preserve">reading for D.7.7 Is reasoning real? - the standing </t>
        </is>
      </c>
      <c r="P2021" s="10" t="inlineStr"/>
    </row>
    <row r="2022">
      <c r="A2022" s="17" t="n">
        <v>2021</v>
      </c>
      <c r="B2022" s="17" t="inlineStr">
        <is>
          <t>Part III - Upstream AI Research</t>
        </is>
      </c>
      <c r="C2022" s="18" t="inlineStr">
        <is>
          <t>8.2 MIT 9.520 / 6.860 - Statistical Learning Theory and Applications</t>
        </is>
      </c>
      <c r="D2022" s="10" t="inlineStr">
        <is>
          <t>(untitled)</t>
        </is>
      </c>
      <c r="E2022" s="10" t="inlineStr"/>
      <c r="F2022" s="11" t="inlineStr">
        <is>
          <t>1:21:55</t>
        </is>
      </c>
      <c r="G2022" s="11" t="n">
        <v>1.37</v>
      </c>
      <c r="H2022" s="12" t="inlineStr"/>
      <c r="I2022" s="11" t="inlineStr">
        <is>
          <t>Not started</t>
        </is>
      </c>
      <c r="J2022" s="13" t="n"/>
      <c r="K2022" s="10" t="inlineStr"/>
      <c r="L2022" s="14" t="inlineStr">
        <is>
          <t>▶ watch</t>
        </is>
      </c>
      <c r="M2022" s="10" t="inlineStr">
        <is>
          <t>McCoy et al. 2024, PNAS 121:e2322420121 (Embers of Autoregression) · Bubeck et al. 2023, arXiv:2303.12712 (Sparks of AGI)</t>
        </is>
      </c>
      <c r="N2022" s="14" t="inlineStr">
        <is>
          <t>read ↗</t>
        </is>
      </c>
      <c r="O2022" s="11" t="inlineStr">
        <is>
          <t xml:space="preserve">reading for D.7.7 Is reasoning real? - the standing </t>
        </is>
      </c>
      <c r="P2022" s="10" t="inlineStr"/>
    </row>
    <row r="2023">
      <c r="A2023" s="17" t="n">
        <v>2022</v>
      </c>
      <c r="B2023" s="17" t="inlineStr">
        <is>
          <t>Part III - Upstream AI Research</t>
        </is>
      </c>
      <c r="C2023" s="18" t="inlineStr">
        <is>
          <t>8.2 MIT 9.520 / 6.860 - Statistical Learning Theory and Applications</t>
        </is>
      </c>
      <c r="D2023" s="10" t="inlineStr">
        <is>
          <t>(untitled)</t>
        </is>
      </c>
      <c r="E2023" s="10" t="inlineStr"/>
      <c r="F2023" s="11" t="inlineStr">
        <is>
          <t>1:18:18</t>
        </is>
      </c>
      <c r="G2023" s="11" t="n">
        <v>1.3</v>
      </c>
      <c r="H2023" s="12" t="inlineStr"/>
      <c r="I2023" s="11" t="inlineStr">
        <is>
          <t>Not started</t>
        </is>
      </c>
      <c r="J2023" s="13" t="n"/>
      <c r="K2023" s="10" t="inlineStr"/>
      <c r="L2023" s="14" t="inlineStr">
        <is>
          <t>▶ watch</t>
        </is>
      </c>
      <c r="M2023" s="10" t="inlineStr">
        <is>
          <t>McCoy et al. 2024, PNAS 121:e2322420121 (Embers of Autoregression) · Bubeck et al. 2023, arXiv:2303.12712 (Sparks of AGI)</t>
        </is>
      </c>
      <c r="N2023" s="14" t="inlineStr">
        <is>
          <t>read ↗</t>
        </is>
      </c>
      <c r="O2023" s="11" t="inlineStr">
        <is>
          <t xml:space="preserve">reading for D.7.7 Is reasoning real? - the standing </t>
        </is>
      </c>
      <c r="P2023" s="10" t="inlineStr"/>
    </row>
    <row r="2024">
      <c r="A2024" s="17" t="n">
        <v>2023</v>
      </c>
      <c r="B2024" s="17" t="inlineStr">
        <is>
          <t>Part III - Upstream AI Research</t>
        </is>
      </c>
      <c r="C2024" s="18" t="inlineStr">
        <is>
          <t>8.2 MIT 9.520 / 6.860 - Statistical Learning Theory and Applications</t>
        </is>
      </c>
      <c r="D2024" s="10" t="inlineStr">
        <is>
          <t>(untitled)</t>
        </is>
      </c>
      <c r="E2024" s="10" t="inlineStr"/>
      <c r="F2024" s="11" t="inlineStr">
        <is>
          <t>1:20:06</t>
        </is>
      </c>
      <c r="G2024" s="11" t="n">
        <v>1.33</v>
      </c>
      <c r="H2024" s="12" t="inlineStr"/>
      <c r="I2024" s="11" t="inlineStr">
        <is>
          <t>Not started</t>
        </is>
      </c>
      <c r="J2024" s="13" t="n"/>
      <c r="K2024" s="10" t="inlineStr"/>
      <c r="L2024" s="14" t="inlineStr">
        <is>
          <t>▶ watch</t>
        </is>
      </c>
      <c r="M2024" s="10" t="inlineStr">
        <is>
          <t>McCoy et al. 2024, PNAS 121:e2322420121 (Embers of Autoregression) · Bubeck et al. 2023, arXiv:2303.12712 (Sparks of AGI)</t>
        </is>
      </c>
      <c r="N2024" s="14" t="inlineStr">
        <is>
          <t>read ↗</t>
        </is>
      </c>
      <c r="O2024" s="11" t="inlineStr">
        <is>
          <t xml:space="preserve">reading for D.7.7 Is reasoning real? - the standing </t>
        </is>
      </c>
      <c r="P2024" s="10" t="inlineStr"/>
    </row>
    <row r="2025">
      <c r="A2025" s="17" t="n">
        <v>2024</v>
      </c>
      <c r="B2025" s="17" t="inlineStr">
        <is>
          <t>Part III - Upstream AI Research</t>
        </is>
      </c>
      <c r="C2025" s="18" t="inlineStr">
        <is>
          <t>8.2 MIT 9.520 / 6.860 - Statistical Learning Theory and Applications</t>
        </is>
      </c>
      <c r="D2025" s="10" t="inlineStr">
        <is>
          <t>(untitled)</t>
        </is>
      </c>
      <c r="E2025" s="10" t="inlineStr"/>
      <c r="F2025" s="11" t="inlineStr">
        <is>
          <t>1:17:27</t>
        </is>
      </c>
      <c r="G2025" s="11" t="n">
        <v>1.29</v>
      </c>
      <c r="H2025" s="12" t="inlineStr"/>
      <c r="I2025" s="11" t="inlineStr">
        <is>
          <t>Not started</t>
        </is>
      </c>
      <c r="J2025" s="13" t="n"/>
      <c r="K2025" s="10" t="inlineStr"/>
      <c r="L2025" s="14" t="inlineStr">
        <is>
          <t>▶ watch</t>
        </is>
      </c>
      <c r="M2025" s="10" t="inlineStr">
        <is>
          <t>McCoy et al. 2024, PNAS 121:e2322420121 (Embers of Autoregression) · Bubeck et al. 2023, arXiv:2303.12712 (Sparks of AGI)</t>
        </is>
      </c>
      <c r="N2025" s="14" t="inlineStr">
        <is>
          <t>read ↗</t>
        </is>
      </c>
      <c r="O2025" s="11" t="inlineStr">
        <is>
          <t xml:space="preserve">reading for D.7.7 Is reasoning real? - the standing </t>
        </is>
      </c>
      <c r="P2025" s="10" t="inlineStr"/>
    </row>
    <row r="2026">
      <c r="A2026" s="17" t="n">
        <v>2025</v>
      </c>
      <c r="B2026" s="17" t="inlineStr">
        <is>
          <t>Part III - Upstream AI Research</t>
        </is>
      </c>
      <c r="C2026" s="18" t="inlineStr">
        <is>
          <t>8.2 MIT 9.520 / 6.860 - Statistical Learning Theory and Applications</t>
        </is>
      </c>
      <c r="D2026" s="10" t="inlineStr">
        <is>
          <t>(untitled)</t>
        </is>
      </c>
      <c r="E2026" s="10" t="inlineStr"/>
      <c r="F2026" s="11" t="inlineStr">
        <is>
          <t>1:15:46</t>
        </is>
      </c>
      <c r="G2026" s="11" t="n">
        <v>1.26</v>
      </c>
      <c r="H2026" s="12" t="inlineStr"/>
      <c r="I2026" s="11" t="inlineStr">
        <is>
          <t>Not started</t>
        </is>
      </c>
      <c r="J2026" s="13" t="n"/>
      <c r="K2026" s="10" t="inlineStr"/>
      <c r="L2026" s="14" t="inlineStr">
        <is>
          <t>▶ watch</t>
        </is>
      </c>
      <c r="M2026" s="10" t="inlineStr">
        <is>
          <t>McCoy et al. 2024, PNAS 121:e2322420121 (Embers of Autoregression) · Bubeck et al. 2023, arXiv:2303.12712 (Sparks of AGI)</t>
        </is>
      </c>
      <c r="N2026" s="14" t="inlineStr">
        <is>
          <t>read ↗</t>
        </is>
      </c>
      <c r="O2026" s="11" t="inlineStr">
        <is>
          <t xml:space="preserve">reading for D.7.7 Is reasoning real? - the standing </t>
        </is>
      </c>
      <c r="P2026" s="10" t="inlineStr"/>
    </row>
    <row r="2027">
      <c r="A2027" s="17" t="n">
        <v>2026</v>
      </c>
      <c r="B2027" s="17" t="inlineStr">
        <is>
          <t>Part III - Upstream AI Research</t>
        </is>
      </c>
      <c r="C2027" s="18" t="inlineStr">
        <is>
          <t>8.2 MIT 9.520 / 6.860 - Statistical Learning Theory and Applications</t>
        </is>
      </c>
      <c r="D2027" s="10" t="inlineStr">
        <is>
          <t>(untitled)</t>
        </is>
      </c>
      <c r="E2027" s="10" t="inlineStr"/>
      <c r="F2027" s="11" t="inlineStr">
        <is>
          <t>1:18:45</t>
        </is>
      </c>
      <c r="G2027" s="11" t="n">
        <v>1.31</v>
      </c>
      <c r="H2027" s="12" t="inlineStr"/>
      <c r="I2027" s="11" t="inlineStr">
        <is>
          <t>Not started</t>
        </is>
      </c>
      <c r="J2027" s="13" t="n"/>
      <c r="K2027" s="10" t="inlineStr"/>
      <c r="L2027" s="14" t="inlineStr">
        <is>
          <t>▶ watch</t>
        </is>
      </c>
      <c r="M2027" s="10" t="inlineStr">
        <is>
          <t>McCoy et al. 2024, PNAS 121:e2322420121 (Embers of Autoregression) · Bubeck et al. 2023, arXiv:2303.12712 (Sparks of AGI)</t>
        </is>
      </c>
      <c r="N2027" s="14" t="inlineStr">
        <is>
          <t>read ↗</t>
        </is>
      </c>
      <c r="O2027" s="11" t="inlineStr">
        <is>
          <t xml:space="preserve">reading for D.7.7 Is reasoning real? - the standing </t>
        </is>
      </c>
      <c r="P2027" s="10" t="inlineStr"/>
    </row>
    <row r="2028">
      <c r="A2028" s="17" t="n">
        <v>2027</v>
      </c>
      <c r="B2028" s="17" t="inlineStr">
        <is>
          <t>Part III - Upstream AI Research</t>
        </is>
      </c>
      <c r="C2028" s="18" t="inlineStr">
        <is>
          <t>8.2 MIT 9.520 / 6.860 - Statistical Learning Theory and Applications</t>
        </is>
      </c>
      <c r="D2028" s="10" t="inlineStr">
        <is>
          <t>(untitled)</t>
        </is>
      </c>
      <c r="E2028" s="10" t="inlineStr"/>
      <c r="F2028" s="11" t="inlineStr">
        <is>
          <t>1:14:16</t>
        </is>
      </c>
      <c r="G2028" s="11" t="n">
        <v>1.24</v>
      </c>
      <c r="H2028" s="12" t="inlineStr"/>
      <c r="I2028" s="11" t="inlineStr">
        <is>
          <t>Not started</t>
        </is>
      </c>
      <c r="J2028" s="13" t="n"/>
      <c r="K2028" s="10" t="inlineStr"/>
      <c r="L2028" s="14" t="inlineStr">
        <is>
          <t>▶ watch</t>
        </is>
      </c>
      <c r="M2028" s="10" t="inlineStr">
        <is>
          <t>McCoy et al. 2024, PNAS 121:e2322420121 (Embers of Autoregression) · Bubeck et al. 2023, arXiv:2303.12712 (Sparks of AGI)</t>
        </is>
      </c>
      <c r="N2028" s="14" t="inlineStr">
        <is>
          <t>read ↗</t>
        </is>
      </c>
      <c r="O2028" s="11" t="inlineStr">
        <is>
          <t xml:space="preserve">reading for D.7.7 Is reasoning real? - the standing </t>
        </is>
      </c>
      <c r="P2028" s="10" t="inlineStr"/>
    </row>
    <row r="2029">
      <c r="A2029" s="17" t="n">
        <v>2028</v>
      </c>
      <c r="B2029" s="17" t="inlineStr">
        <is>
          <t>Part III - Upstream AI Research</t>
        </is>
      </c>
      <c r="C2029" s="18" t="inlineStr">
        <is>
          <t>8.2 MIT 9.520 / 6.860 - Statistical Learning Theory and Applications</t>
        </is>
      </c>
      <c r="D2029" s="10" t="inlineStr">
        <is>
          <t>(untitled)</t>
        </is>
      </c>
      <c r="E2029" s="10" t="inlineStr"/>
      <c r="F2029" s="11" t="inlineStr">
        <is>
          <t>1:20:25</t>
        </is>
      </c>
      <c r="G2029" s="11" t="n">
        <v>1.34</v>
      </c>
      <c r="H2029" s="12" t="inlineStr"/>
      <c r="I2029" s="11" t="inlineStr">
        <is>
          <t>Not started</t>
        </is>
      </c>
      <c r="J2029" s="13" t="n"/>
      <c r="K2029" s="10" t="inlineStr"/>
      <c r="L2029" s="14" t="inlineStr">
        <is>
          <t>▶ watch</t>
        </is>
      </c>
      <c r="M2029" s="10" t="inlineStr">
        <is>
          <t>McCoy et al. 2024, PNAS 121:e2322420121 (Embers of Autoregression) · Bubeck et al. 2023, arXiv:2303.12712 (Sparks of AGI)</t>
        </is>
      </c>
      <c r="N2029" s="14" t="inlineStr">
        <is>
          <t>read ↗</t>
        </is>
      </c>
      <c r="O2029" s="11" t="inlineStr">
        <is>
          <t xml:space="preserve">reading for D.7.7 Is reasoning real? - the standing </t>
        </is>
      </c>
      <c r="P2029" s="10" t="inlineStr"/>
    </row>
    <row r="2030">
      <c r="A2030" s="17" t="n">
        <v>2029</v>
      </c>
      <c r="B2030" s="17" t="inlineStr">
        <is>
          <t>Part III - Upstream AI Research</t>
        </is>
      </c>
      <c r="C2030" s="18" t="inlineStr">
        <is>
          <t>8.2 MIT 9.520 / 6.860 - Statistical Learning Theory and Applications</t>
        </is>
      </c>
      <c r="D2030" s="10" t="inlineStr">
        <is>
          <t>(untitled)</t>
        </is>
      </c>
      <c r="E2030" s="10" t="inlineStr"/>
      <c r="F2030" s="11" t="inlineStr">
        <is>
          <t>1:19:54</t>
        </is>
      </c>
      <c r="G2030" s="11" t="n">
        <v>1.33</v>
      </c>
      <c r="H2030" s="12" t="inlineStr"/>
      <c r="I2030" s="11" t="inlineStr">
        <is>
          <t>Not started</t>
        </is>
      </c>
      <c r="J2030" s="13" t="n"/>
      <c r="K2030" s="10" t="inlineStr"/>
      <c r="L2030" s="14" t="inlineStr">
        <is>
          <t>▶ watch</t>
        </is>
      </c>
      <c r="M2030" s="10" t="inlineStr">
        <is>
          <t>McCoy et al. 2024, PNAS 121:e2322420121 (Embers of Autoregression) · Bubeck et al. 2023, arXiv:2303.12712 (Sparks of AGI)</t>
        </is>
      </c>
      <c r="N2030" s="14" t="inlineStr">
        <is>
          <t>read ↗</t>
        </is>
      </c>
      <c r="O2030" s="11" t="inlineStr">
        <is>
          <t xml:space="preserve">reading for D.7.7 Is reasoning real? - the standing </t>
        </is>
      </c>
      <c r="P2030" s="10" t="inlineStr"/>
    </row>
    <row r="2031">
      <c r="A2031" s="17" t="n">
        <v>2030</v>
      </c>
      <c r="B2031" s="17" t="inlineStr">
        <is>
          <t>Part III - Upstream AI Research</t>
        </is>
      </c>
      <c r="C2031" s="18" t="inlineStr">
        <is>
          <t>8.2 MIT 9.520 / 6.860 - Statistical Learning Theory and Applications</t>
        </is>
      </c>
      <c r="D2031" s="10" t="inlineStr">
        <is>
          <t>(untitled)</t>
        </is>
      </c>
      <c r="E2031" s="10" t="inlineStr"/>
      <c r="F2031" s="11" t="inlineStr">
        <is>
          <t>1:21:20</t>
        </is>
      </c>
      <c r="G2031" s="11" t="n">
        <v>1.36</v>
      </c>
      <c r="H2031" s="12" t="inlineStr"/>
      <c r="I2031" s="11" t="inlineStr">
        <is>
          <t>Not started</t>
        </is>
      </c>
      <c r="J2031" s="13" t="n"/>
      <c r="K2031" s="10" t="inlineStr"/>
      <c r="L2031" s="14" t="inlineStr">
        <is>
          <t>▶ watch</t>
        </is>
      </c>
      <c r="M2031" s="10" t="inlineStr">
        <is>
          <t>McCoy et al. 2024, PNAS 121:e2322420121 (Embers of Autoregression) · Bubeck et al. 2023, arXiv:2303.12712 (Sparks of AGI)</t>
        </is>
      </c>
      <c r="N2031" s="14" t="inlineStr">
        <is>
          <t>read ↗</t>
        </is>
      </c>
      <c r="O2031" s="11" t="inlineStr">
        <is>
          <t xml:space="preserve">reading for D.7.7 Is reasoning real? - the standing </t>
        </is>
      </c>
      <c r="P2031" s="10" t="inlineStr"/>
    </row>
    <row r="2032">
      <c r="A2032" s="17" t="n">
        <v>2031</v>
      </c>
      <c r="B2032" s="17" t="inlineStr">
        <is>
          <t>Part III - Upstream AI Research</t>
        </is>
      </c>
      <c r="C2032" s="18" t="inlineStr">
        <is>
          <t>8.2 MIT 9.520 / 6.860 - Statistical Learning Theory and Applications</t>
        </is>
      </c>
      <c r="D2032" s="10" t="inlineStr">
        <is>
          <t>(untitled)</t>
        </is>
      </c>
      <c r="E2032" s="10" t="inlineStr"/>
      <c r="F2032" s="11" t="inlineStr">
        <is>
          <t>1:15:51</t>
        </is>
      </c>
      <c r="G2032" s="11" t="n">
        <v>1.26</v>
      </c>
      <c r="H2032" s="12" t="inlineStr"/>
      <c r="I2032" s="11" t="inlineStr">
        <is>
          <t>Not started</t>
        </is>
      </c>
      <c r="J2032" s="13" t="n"/>
      <c r="K2032" s="10" t="inlineStr"/>
      <c r="L2032" s="14" t="inlineStr">
        <is>
          <t>▶ watch</t>
        </is>
      </c>
      <c r="M2032" s="10" t="inlineStr">
        <is>
          <t>McCoy et al. 2024, PNAS 121:e2322420121 (Embers of Autoregression) · Bubeck et al. 2023, arXiv:2303.12712 (Sparks of AGI)</t>
        </is>
      </c>
      <c r="N2032" s="14" t="inlineStr">
        <is>
          <t>read ↗</t>
        </is>
      </c>
      <c r="O2032" s="11" t="inlineStr">
        <is>
          <t xml:space="preserve">reading for D.7.7 Is reasoning real? - the standing </t>
        </is>
      </c>
      <c r="P2032" s="10" t="inlineStr"/>
    </row>
    <row r="2033">
      <c r="A2033" s="17" t="n">
        <v>2032</v>
      </c>
      <c r="B2033" s="17" t="inlineStr">
        <is>
          <t>Part III - Upstream AI Research</t>
        </is>
      </c>
      <c r="C2033" s="18" t="inlineStr">
        <is>
          <t>8.2 MIT 9.520 / 6.860 - Statistical Learning Theory and Applications</t>
        </is>
      </c>
      <c r="D2033" s="10" t="inlineStr">
        <is>
          <t>(untitled)</t>
        </is>
      </c>
      <c r="E2033" s="10" t="inlineStr"/>
      <c r="F2033" s="11" t="inlineStr">
        <is>
          <t>1:16:44</t>
        </is>
      </c>
      <c r="G2033" s="11" t="n">
        <v>1.28</v>
      </c>
      <c r="H2033" s="12" t="inlineStr"/>
      <c r="I2033" s="11" t="inlineStr">
        <is>
          <t>Not started</t>
        </is>
      </c>
      <c r="J2033" s="13" t="n"/>
      <c r="K2033" s="10" t="inlineStr"/>
      <c r="L2033" s="14" t="inlineStr">
        <is>
          <t>▶ watch</t>
        </is>
      </c>
      <c r="M2033" s="10" t="inlineStr">
        <is>
          <t>McCoy et al. 2024, PNAS 121:e2322420121 (Embers of Autoregression) · Bubeck et al. 2023, arXiv:2303.12712 (Sparks of AGI)</t>
        </is>
      </c>
      <c r="N2033" s="14" t="inlineStr">
        <is>
          <t>read ↗</t>
        </is>
      </c>
      <c r="O2033" s="11" t="inlineStr">
        <is>
          <t xml:space="preserve">reading for D.7.7 Is reasoning real? - the standing </t>
        </is>
      </c>
      <c r="P2033" s="10" t="inlineStr"/>
    </row>
    <row r="2034">
      <c r="A2034" s="17" t="n">
        <v>2033</v>
      </c>
      <c r="B2034" s="17" t="inlineStr">
        <is>
          <t>Part III - Upstream AI Research</t>
        </is>
      </c>
      <c r="C2034" s="18" t="inlineStr">
        <is>
          <t>8.2 MIT 9.520 / 6.860 - Statistical Learning Theory and Applications</t>
        </is>
      </c>
      <c r="D2034" s="10" t="inlineStr">
        <is>
          <t>(untitled)</t>
        </is>
      </c>
      <c r="E2034" s="10" t="inlineStr"/>
      <c r="F2034" s="11" t="inlineStr">
        <is>
          <t>1:19:51</t>
        </is>
      </c>
      <c r="G2034" s="11" t="n">
        <v>1.33</v>
      </c>
      <c r="H2034" s="12" t="inlineStr"/>
      <c r="I2034" s="11" t="inlineStr">
        <is>
          <t>Not started</t>
        </is>
      </c>
      <c r="J2034" s="13" t="n"/>
      <c r="K2034" s="10" t="inlineStr"/>
      <c r="L2034" s="14" t="inlineStr">
        <is>
          <t>▶ watch</t>
        </is>
      </c>
      <c r="M2034" s="10" t="inlineStr">
        <is>
          <t>McCoy et al. 2024, PNAS 121:e2322420121 (Embers of Autoregression) · Bubeck et al. 2023, arXiv:2303.12712 (Sparks of AGI)</t>
        </is>
      </c>
      <c r="N2034" s="14" t="inlineStr">
        <is>
          <t>read ↗</t>
        </is>
      </c>
      <c r="O2034" s="11" t="inlineStr">
        <is>
          <t xml:space="preserve">reading for D.7.7 Is reasoning real? - the standing </t>
        </is>
      </c>
      <c r="P2034" s="10" t="inlineStr"/>
    </row>
    <row r="2035">
      <c r="A2035" s="17" t="n">
        <v>2034</v>
      </c>
      <c r="B2035" s="17" t="inlineStr">
        <is>
          <t>Part III - Upstream AI Research</t>
        </is>
      </c>
      <c r="C2035" s="18" t="inlineStr">
        <is>
          <t>8.2 MIT 9.520 / 6.860 - Statistical Learning Theory and Applications</t>
        </is>
      </c>
      <c r="D2035" s="10" t="inlineStr">
        <is>
          <t>(untitled)</t>
        </is>
      </c>
      <c r="E2035" s="10" t="inlineStr"/>
      <c r="F2035" s="11" t="inlineStr">
        <is>
          <t>1:20:53</t>
        </is>
      </c>
      <c r="G2035" s="11" t="n">
        <v>1.35</v>
      </c>
      <c r="H2035" s="12" t="inlineStr"/>
      <c r="I2035" s="11" t="inlineStr">
        <is>
          <t>Not started</t>
        </is>
      </c>
      <c r="J2035" s="13" t="n"/>
      <c r="K2035" s="10" t="inlineStr"/>
      <c r="L2035" s="14" t="inlineStr">
        <is>
          <t>▶ watch</t>
        </is>
      </c>
      <c r="M2035" s="10" t="inlineStr">
        <is>
          <t>McCoy et al. 2024, PNAS 121:e2322420121 (Embers of Autoregression) · Bubeck et al. 2023, arXiv:2303.12712 (Sparks of AGI)</t>
        </is>
      </c>
      <c r="N2035" s="14" t="inlineStr">
        <is>
          <t>read ↗</t>
        </is>
      </c>
      <c r="O2035" s="11" t="inlineStr">
        <is>
          <t xml:space="preserve">reading for D.7.7 Is reasoning real? - the standing </t>
        </is>
      </c>
      <c r="P2035" s="10" t="inlineStr"/>
    </row>
    <row r="2036">
      <c r="A2036" s="17" t="n">
        <v>2035</v>
      </c>
      <c r="B2036" s="17" t="inlineStr">
        <is>
          <t>Part III - Upstream AI Research</t>
        </is>
      </c>
      <c r="C2036" s="18" t="inlineStr">
        <is>
          <t>8.2 MIT 9.520 / 6.860 - Statistical Learning Theory and Applications</t>
        </is>
      </c>
      <c r="D2036" s="10" t="inlineStr">
        <is>
          <t>(untitled)</t>
        </is>
      </c>
      <c r="E2036" s="10" t="inlineStr"/>
      <c r="F2036" s="11" t="inlineStr">
        <is>
          <t>1:20:17</t>
        </is>
      </c>
      <c r="G2036" s="11" t="n">
        <v>1.34</v>
      </c>
      <c r="H2036" s="12" t="inlineStr"/>
      <c r="I2036" s="11" t="inlineStr">
        <is>
          <t>Not started</t>
        </is>
      </c>
      <c r="J2036" s="13" t="n"/>
      <c r="K2036" s="10" t="inlineStr"/>
      <c r="L2036" s="14" t="inlineStr">
        <is>
          <t>▶ watch</t>
        </is>
      </c>
      <c r="M2036" s="10" t="inlineStr">
        <is>
          <t>McCoy et al. 2024, PNAS 121:e2322420121 (Embers of Autoregression) · Bubeck et al. 2023, arXiv:2303.12712 (Sparks of AGI)</t>
        </is>
      </c>
      <c r="N2036" s="14" t="inlineStr">
        <is>
          <t>read ↗</t>
        </is>
      </c>
      <c r="O2036" s="11" t="inlineStr">
        <is>
          <t xml:space="preserve">reading for D.7.7 Is reasoning real? - the standing </t>
        </is>
      </c>
      <c r="P2036" s="10" t="inlineStr"/>
    </row>
    <row r="2037">
      <c r="A2037" s="17" t="n">
        <v>2036</v>
      </c>
      <c r="B2037" s="17" t="inlineStr">
        <is>
          <t>Part III - Upstream AI Research</t>
        </is>
      </c>
      <c r="C2037" s="18" t="inlineStr">
        <is>
          <t>8.2 MIT 9.520 / 6.860 - Statistical Learning Theory and Applications</t>
        </is>
      </c>
      <c r="D2037" s="10" t="inlineStr">
        <is>
          <t>(untitled)</t>
        </is>
      </c>
      <c r="E2037" s="10" t="inlineStr"/>
      <c r="F2037" s="11" t="inlineStr">
        <is>
          <t>1:21:18</t>
        </is>
      </c>
      <c r="G2037" s="11" t="n">
        <v>1.35</v>
      </c>
      <c r="H2037" s="12" t="inlineStr"/>
      <c r="I2037" s="11" t="inlineStr">
        <is>
          <t>Not started</t>
        </is>
      </c>
      <c r="J2037" s="13" t="n"/>
      <c r="K2037" s="10" t="inlineStr"/>
      <c r="L2037" s="14" t="inlineStr">
        <is>
          <t>▶ watch</t>
        </is>
      </c>
      <c r="M2037" s="10" t="inlineStr">
        <is>
          <t>McCoy et al. 2024, PNAS 121:e2322420121 (Embers of Autoregression) · Bubeck et al. 2023, arXiv:2303.12712 (Sparks of AGI)</t>
        </is>
      </c>
      <c r="N2037" s="14" t="inlineStr">
        <is>
          <t>read ↗</t>
        </is>
      </c>
      <c r="O2037" s="11" t="inlineStr">
        <is>
          <t xml:space="preserve">reading for D.7.7 Is reasoning real? - the standing </t>
        </is>
      </c>
      <c r="P2037" s="10" t="inlineStr"/>
    </row>
    <row r="2038">
      <c r="A2038" s="17" t="n">
        <v>2037</v>
      </c>
      <c r="B2038" s="17" t="inlineStr">
        <is>
          <t>Part III - Upstream AI Research</t>
        </is>
      </c>
      <c r="C2038" s="18" t="inlineStr">
        <is>
          <t>8.2 MIT 9.520 / 6.860 - Statistical Learning Theory and Applications</t>
        </is>
      </c>
      <c r="D2038" s="10" t="inlineStr">
        <is>
          <t>(untitled)</t>
        </is>
      </c>
      <c r="E2038" s="10" t="inlineStr"/>
      <c r="F2038" s="11" t="inlineStr">
        <is>
          <t>1:23:49</t>
        </is>
      </c>
      <c r="G2038" s="11" t="n">
        <v>1.4</v>
      </c>
      <c r="H2038" s="12" t="inlineStr"/>
      <c r="I2038" s="11" t="inlineStr">
        <is>
          <t>Not started</t>
        </is>
      </c>
      <c r="J2038" s="13" t="n"/>
      <c r="K2038" s="10" t="inlineStr"/>
      <c r="L2038" s="14" t="inlineStr">
        <is>
          <t>▶ watch</t>
        </is>
      </c>
      <c r="M2038" s="10" t="inlineStr">
        <is>
          <t>McCoy et al. 2024, PNAS 121:e2322420121 (Embers of Autoregression) · Bubeck et al. 2023, arXiv:2303.12712 (Sparks of AGI)</t>
        </is>
      </c>
      <c r="N2038" s="14" t="inlineStr">
        <is>
          <t>read ↗</t>
        </is>
      </c>
      <c r="O2038" s="11" t="inlineStr">
        <is>
          <t xml:space="preserve">reading for D.7.7 Is reasoning real? - the standing </t>
        </is>
      </c>
      <c r="P2038" s="10" t="inlineStr"/>
    </row>
    <row r="2039">
      <c r="A2039" s="17" t="n">
        <v>2038</v>
      </c>
      <c r="B2039" s="17" t="inlineStr">
        <is>
          <t>Part III - Upstream AI Research</t>
        </is>
      </c>
      <c r="C2039" s="18" t="inlineStr">
        <is>
          <t>8.2 MIT 9.520 / 6.860 - Statistical Learning Theory and Applications</t>
        </is>
      </c>
      <c r="D2039" s="10" t="inlineStr">
        <is>
          <t>(untitled)</t>
        </is>
      </c>
      <c r="E2039" s="10" t="inlineStr"/>
      <c r="F2039" s="11" t="inlineStr">
        <is>
          <t>1:22:33</t>
        </is>
      </c>
      <c r="G2039" s="11" t="n">
        <v>1.38</v>
      </c>
      <c r="H2039" s="12" t="inlineStr"/>
      <c r="I2039" s="11" t="inlineStr">
        <is>
          <t>Not started</t>
        </is>
      </c>
      <c r="J2039" s="13" t="n"/>
      <c r="K2039" s="10" t="inlineStr"/>
      <c r="L2039" s="14" t="inlineStr">
        <is>
          <t>▶ watch</t>
        </is>
      </c>
      <c r="M2039" s="10" t="inlineStr">
        <is>
          <t>McCoy et al. 2024, PNAS 121:e2322420121 (Embers of Autoregression) · Bubeck et al. 2023, arXiv:2303.12712 (Sparks of AGI)</t>
        </is>
      </c>
      <c r="N2039" s="14" t="inlineStr">
        <is>
          <t>read ↗</t>
        </is>
      </c>
      <c r="O2039" s="11" t="inlineStr">
        <is>
          <t xml:space="preserve">reading for D.7.7 Is reasoning real? - the standing </t>
        </is>
      </c>
      <c r="P2039" s="10" t="inlineStr"/>
    </row>
    <row r="2040">
      <c r="A2040" s="17" t="n">
        <v>2039</v>
      </c>
      <c r="B2040" s="17" t="inlineStr">
        <is>
          <t>Part III - Upstream AI Research</t>
        </is>
      </c>
      <c r="C2040" s="18" t="inlineStr">
        <is>
          <t>8.2 MIT 9.520 / 6.860 - Statistical Learning Theory and Applications</t>
        </is>
      </c>
      <c r="D2040" s="10" t="inlineStr">
        <is>
          <t>(untitled)</t>
        </is>
      </c>
      <c r="E2040" s="10" t="inlineStr"/>
      <c r="F2040" s="11" t="inlineStr">
        <is>
          <t>1:25:31</t>
        </is>
      </c>
      <c r="G2040" s="11" t="n">
        <v>1.43</v>
      </c>
      <c r="H2040" s="12" t="inlineStr"/>
      <c r="I2040" s="11" t="inlineStr">
        <is>
          <t>Not started</t>
        </is>
      </c>
      <c r="J2040" s="13" t="n"/>
      <c r="K2040" s="10" t="inlineStr"/>
      <c r="L2040" s="14" t="inlineStr">
        <is>
          <t>▶ watch</t>
        </is>
      </c>
      <c r="M2040" s="10" t="inlineStr">
        <is>
          <t>McCoy et al. 2024, PNAS 121:e2322420121 (Embers of Autoregression) · Bubeck et al. 2023, arXiv:2303.12712 (Sparks of AGI)</t>
        </is>
      </c>
      <c r="N2040" s="14" t="inlineStr">
        <is>
          <t>read ↗</t>
        </is>
      </c>
      <c r="O2040" s="11" t="inlineStr">
        <is>
          <t xml:space="preserve">reading for D.7.7 Is reasoning real? - the standing </t>
        </is>
      </c>
      <c r="P2040" s="10" t="inlineStr"/>
    </row>
    <row r="2041">
      <c r="A2041" s="17" t="n">
        <v>2040</v>
      </c>
      <c r="B2041" s="17" t="inlineStr">
        <is>
          <t>Part III - Upstream AI Research</t>
        </is>
      </c>
      <c r="C2041" s="18" t="inlineStr">
        <is>
          <t>8.2 MIT 9.520 / 6.860 - Statistical Learning Theory and Applications</t>
        </is>
      </c>
      <c r="D2041" s="10" t="inlineStr">
        <is>
          <t>(untitled)</t>
        </is>
      </c>
      <c r="E2041" s="10" t="inlineStr"/>
      <c r="F2041" s="11" t="inlineStr">
        <is>
          <t>1:24:17</t>
        </is>
      </c>
      <c r="G2041" s="11" t="n">
        <v>1.4</v>
      </c>
      <c r="H2041" s="12" t="inlineStr"/>
      <c r="I2041" s="11" t="inlineStr">
        <is>
          <t>Not started</t>
        </is>
      </c>
      <c r="J2041" s="13" t="n"/>
      <c r="K2041" s="10" t="inlineStr"/>
      <c r="L2041" s="14" t="inlineStr">
        <is>
          <t>▶ watch</t>
        </is>
      </c>
      <c r="M2041" s="10" t="inlineStr">
        <is>
          <t>McCoy et al. 2024, PNAS 121:e2322420121 (Embers of Autoregression) · Bubeck et al. 2023, arXiv:2303.12712 (Sparks of AGI)</t>
        </is>
      </c>
      <c r="N2041" s="14" t="inlineStr">
        <is>
          <t>read ↗</t>
        </is>
      </c>
      <c r="O2041" s="11" t="inlineStr">
        <is>
          <t xml:space="preserve">reading for D.7.7 Is reasoning real? - the standing </t>
        </is>
      </c>
      <c r="P2041" s="10" t="inlineStr"/>
    </row>
    <row r="2042">
      <c r="A2042" s="17" t="n">
        <v>2041</v>
      </c>
      <c r="B2042" s="17" t="inlineStr">
        <is>
          <t>Part III - Upstream AI Research</t>
        </is>
      </c>
      <c r="C2042" s="18" t="inlineStr">
        <is>
          <t>8.2 MIT 9.520 / 6.860 - Statistical Learning Theory and Applications</t>
        </is>
      </c>
      <c r="D2042" s="10" t="inlineStr">
        <is>
          <t>(untitled)</t>
        </is>
      </c>
      <c r="E2042" s="10" t="inlineStr"/>
      <c r="F2042" s="11" t="inlineStr">
        <is>
          <t>1:25:57</t>
        </is>
      </c>
      <c r="G2042" s="11" t="n">
        <v>1.43</v>
      </c>
      <c r="H2042" s="12" t="inlineStr"/>
      <c r="I2042" s="11" t="inlineStr">
        <is>
          <t>Not started</t>
        </is>
      </c>
      <c r="J2042" s="13" t="n"/>
      <c r="K2042" s="10" t="inlineStr"/>
      <c r="L2042" s="14" t="inlineStr">
        <is>
          <t>▶ watch</t>
        </is>
      </c>
      <c r="M2042" s="10" t="inlineStr">
        <is>
          <t>McCoy et al. 2024, PNAS 121:e2322420121 (Embers of Autoregression) · Bubeck et al. 2023, arXiv:2303.12712 (Sparks of AGI)</t>
        </is>
      </c>
      <c r="N2042" s="14" t="inlineStr">
        <is>
          <t>read ↗</t>
        </is>
      </c>
      <c r="O2042" s="11" t="inlineStr">
        <is>
          <t xml:space="preserve">reading for D.7.7 Is reasoning real? - the standing </t>
        </is>
      </c>
      <c r="P2042" s="10" t="inlineStr"/>
    </row>
    <row r="2043">
      <c r="A2043" s="17" t="n">
        <v>2042</v>
      </c>
      <c r="B2043" s="17" t="inlineStr">
        <is>
          <t>Part III - Upstream AI Research</t>
        </is>
      </c>
      <c r="C2043" s="18" t="inlineStr">
        <is>
          <t>8.2 MIT 9.520 / 6.860 - Statistical Learning Theory and Applications</t>
        </is>
      </c>
      <c r="D2043" s="10" t="inlineStr">
        <is>
          <t>(untitled)</t>
        </is>
      </c>
      <c r="E2043" s="10" t="inlineStr"/>
      <c r="F2043" s="11" t="inlineStr">
        <is>
          <t>1:24:17</t>
        </is>
      </c>
      <c r="G2043" s="11" t="n">
        <v>1.4</v>
      </c>
      <c r="H2043" s="12" t="inlineStr"/>
      <c r="I2043" s="11" t="inlineStr">
        <is>
          <t>Not started</t>
        </is>
      </c>
      <c r="J2043" s="13" t="n"/>
      <c r="K2043" s="10" t="inlineStr"/>
      <c r="L2043" s="14" t="inlineStr">
        <is>
          <t>▶ watch</t>
        </is>
      </c>
      <c r="M2043" s="10" t="inlineStr">
        <is>
          <t>McCoy et al. 2024, PNAS 121:e2322420121 (Embers of Autoregression) · Bubeck et al. 2023, arXiv:2303.12712 (Sparks of AGI)</t>
        </is>
      </c>
      <c r="N2043" s="14" t="inlineStr">
        <is>
          <t>read ↗</t>
        </is>
      </c>
      <c r="O2043" s="11" t="inlineStr">
        <is>
          <t xml:space="preserve">reading for D.7.7 Is reasoning real? - the standing </t>
        </is>
      </c>
      <c r="P2043" s="10" t="inlineStr"/>
    </row>
    <row r="2044">
      <c r="A2044" s="17" t="n">
        <v>2043</v>
      </c>
      <c r="B2044" s="17" t="inlineStr">
        <is>
          <t>Part III - Upstream AI Research</t>
        </is>
      </c>
      <c r="C2044" s="18" t="inlineStr">
        <is>
          <t>8.2 MIT 9.520 / 6.860 - Statistical Learning Theory and Applications</t>
        </is>
      </c>
      <c r="D2044" s="10" t="inlineStr">
        <is>
          <t>(untitled)</t>
        </is>
      </c>
      <c r="E2044" s="10" t="inlineStr"/>
      <c r="F2044" s="11" t="inlineStr">
        <is>
          <t>1:15:59</t>
        </is>
      </c>
      <c r="G2044" s="11" t="n">
        <v>1.27</v>
      </c>
      <c r="H2044" s="12" t="inlineStr"/>
      <c r="I2044" s="11" t="inlineStr">
        <is>
          <t>Not started</t>
        </is>
      </c>
      <c r="J2044" s="13" t="n"/>
      <c r="K2044" s="10" t="inlineStr"/>
      <c r="L2044" s="14" t="inlineStr">
        <is>
          <t>▶ watch</t>
        </is>
      </c>
      <c r="M2044" s="10" t="inlineStr">
        <is>
          <t>McCoy et al. 2024, PNAS 121:e2322420121 (Embers of Autoregression) · Bubeck et al. 2023, arXiv:2303.12712 (Sparks of AGI)</t>
        </is>
      </c>
      <c r="N2044" s="14" t="inlineStr">
        <is>
          <t>read ↗</t>
        </is>
      </c>
      <c r="O2044" s="11" t="inlineStr">
        <is>
          <t xml:space="preserve">reading for D.7.7 Is reasoning real? - the standing </t>
        </is>
      </c>
      <c r="P2044" s="10" t="inlineStr"/>
    </row>
    <row r="2045">
      <c r="A2045" s="17" t="n">
        <v>2044</v>
      </c>
      <c r="B2045" s="17" t="inlineStr">
        <is>
          <t>Part III - Upstream AI Research</t>
        </is>
      </c>
      <c r="C2045" s="18" t="inlineStr">
        <is>
          <t>8.2 MIT 9.520 / 6.860 - Statistical Learning Theory and Applications</t>
        </is>
      </c>
      <c r="D2045" s="10" t="inlineStr">
        <is>
          <t>(untitled)</t>
        </is>
      </c>
      <c r="E2045" s="10" t="inlineStr"/>
      <c r="F2045" s="11" t="inlineStr">
        <is>
          <t>1:15:12</t>
        </is>
      </c>
      <c r="G2045" s="11" t="n">
        <v>1.25</v>
      </c>
      <c r="H2045" s="12" t="inlineStr"/>
      <c r="I2045" s="11" t="inlineStr">
        <is>
          <t>Not started</t>
        </is>
      </c>
      <c r="J2045" s="13" t="n"/>
      <c r="K2045" s="10" t="inlineStr"/>
      <c r="L2045" s="14" t="inlineStr">
        <is>
          <t>▶ watch</t>
        </is>
      </c>
      <c r="M2045" s="10" t="inlineStr">
        <is>
          <t>McCoy et al. 2024, PNAS 121:e2322420121 (Embers of Autoregression) · Bubeck et al. 2023, arXiv:2303.12712 (Sparks of AGI)</t>
        </is>
      </c>
      <c r="N2045" s="14" t="inlineStr">
        <is>
          <t>read ↗</t>
        </is>
      </c>
      <c r="O2045" s="11" t="inlineStr">
        <is>
          <t xml:space="preserve">reading for D.7.7 Is reasoning real? - the standing </t>
        </is>
      </c>
      <c r="P2045" s="10" t="inlineStr"/>
    </row>
    <row r="2046">
      <c r="A2046" s="17" t="n">
        <v>2045</v>
      </c>
      <c r="B2046" s="17" t="inlineStr">
        <is>
          <t>Part III - Upstream AI Research</t>
        </is>
      </c>
      <c r="C2046" s="18" t="inlineStr">
        <is>
          <t>8.2 MIT 9.520 / 6.860 - Statistical Learning Theory and Applications</t>
        </is>
      </c>
      <c r="D2046" s="10" t="inlineStr">
        <is>
          <t>(untitled)</t>
        </is>
      </c>
      <c r="E2046" s="10" t="inlineStr"/>
      <c r="F2046" s="11" t="inlineStr">
        <is>
          <t>1:13:17</t>
        </is>
      </c>
      <c r="G2046" s="11" t="n">
        <v>1.22</v>
      </c>
      <c r="H2046" s="12" t="inlineStr"/>
      <c r="I2046" s="11" t="inlineStr">
        <is>
          <t>Not started</t>
        </is>
      </c>
      <c r="J2046" s="13" t="n"/>
      <c r="K2046" s="10" t="inlineStr"/>
      <c r="L2046" s="14" t="inlineStr">
        <is>
          <t>▶ watch</t>
        </is>
      </c>
      <c r="M2046" s="10" t="inlineStr">
        <is>
          <t>McCoy et al. 2024, PNAS 121:e2322420121 (Embers of Autoregression) · Bubeck et al. 2023, arXiv:2303.12712 (Sparks of AGI)</t>
        </is>
      </c>
      <c r="N2046" s="14" t="inlineStr">
        <is>
          <t>read ↗</t>
        </is>
      </c>
      <c r="O2046" s="11" t="inlineStr">
        <is>
          <t xml:space="preserve">reading for D.7.7 Is reasoning real? - the standing </t>
        </is>
      </c>
      <c r="P2046" s="10" t="inlineStr"/>
    </row>
    <row r="2047">
      <c r="A2047" s="17" t="n">
        <v>2046</v>
      </c>
      <c r="B2047" s="17" t="inlineStr">
        <is>
          <t>Part III - Upstream AI Research</t>
        </is>
      </c>
      <c r="C2047" s="18" t="inlineStr">
        <is>
          <t>8.2 MIT 9.520 / 6.860 - Statistical Learning Theory and Applications</t>
        </is>
      </c>
      <c r="D2047" s="10" t="inlineStr">
        <is>
          <t>Class 24 from Fall 2019 was never uploaded. The Fall 2018 Class 24</t>
        </is>
      </c>
      <c r="E2047" s="10" t="inlineStr"/>
      <c r="F2047" s="11" t="inlineStr">
        <is>
          <t>1:11:42</t>
        </is>
      </c>
      <c r="G2047" s="11" t="n">
        <v>1.2</v>
      </c>
      <c r="H2047" s="12" t="inlineStr"/>
      <c r="I2047" s="11" t="inlineStr">
        <is>
          <t>Not started</t>
        </is>
      </c>
      <c r="J2047" s="13" t="n"/>
      <c r="K2047" s="10" t="inlineStr"/>
      <c r="L2047" s="14" t="inlineStr">
        <is>
          <t>▶ watch</t>
        </is>
      </c>
      <c r="M2047" s="10" t="inlineStr">
        <is>
          <t>McCoy et al. 2024, PNAS 121:e2322420121 (Embers of Autoregression) · Bubeck et al. 2023, arXiv:2303.12712 (Sparks of AGI)</t>
        </is>
      </c>
      <c r="N2047" s="14" t="inlineStr">
        <is>
          <t>read ↗</t>
        </is>
      </c>
      <c r="O2047" s="11" t="inlineStr">
        <is>
          <t xml:space="preserve">reading for D.7.7 Is reasoning real? - the standing </t>
        </is>
      </c>
      <c r="P2047" s="10" t="inlineStr"/>
    </row>
    <row r="2048">
      <c r="A2048" s="17" t="n">
        <v>2047</v>
      </c>
      <c r="B2048" s="17" t="inlineStr">
        <is>
          <t>Part III - Upstream AI Research</t>
        </is>
      </c>
      <c r="C2048" s="18" t="inlineStr">
        <is>
          <t>8.3 Mathematics of Deep Learning (minicourse</t>
        </is>
      </c>
      <c r="D2048" s="10" t="inlineStr">
        <is>
          <t>(untitled)</t>
        </is>
      </c>
      <c r="E2048" s="10" t="inlineStr"/>
      <c r="F2048" s="11" t="inlineStr">
        <is>
          <t>1:08:52</t>
        </is>
      </c>
      <c r="G2048" s="11" t="n">
        <v>1.15</v>
      </c>
      <c r="H2048" s="12" t="inlineStr"/>
      <c r="I2048" s="11" t="inlineStr">
        <is>
          <t>Not started</t>
        </is>
      </c>
      <c r="J2048" s="13" t="n"/>
      <c r="K2048" s="10" t="inlineStr"/>
      <c r="L2048" s="14" t="inlineStr">
        <is>
          <t>▶ watch</t>
        </is>
      </c>
      <c r="M2048" s="10" t="inlineStr">
        <is>
          <t>McCoy et al. 2024, PNAS 121:e2322420121 (Embers of Autoregression) · Bubeck et al. 2023, arXiv:2303.12712 (Sparks of AGI)</t>
        </is>
      </c>
      <c r="N2048" s="14" t="inlineStr">
        <is>
          <t>read ↗</t>
        </is>
      </c>
      <c r="O2048" s="11" t="inlineStr">
        <is>
          <t xml:space="preserve">reading for D.7.7 Is reasoning real? - the standing </t>
        </is>
      </c>
      <c r="P2048" s="10" t="inlineStr"/>
    </row>
    <row r="2049">
      <c r="A2049" s="17" t="n">
        <v>2048</v>
      </c>
      <c r="B2049" s="17" t="inlineStr">
        <is>
          <t>Part III - Upstream AI Research</t>
        </is>
      </c>
      <c r="C2049" s="18" t="inlineStr">
        <is>
          <t>8.3 Mathematics of Deep Learning (minicourse</t>
        </is>
      </c>
      <c r="D2049" s="10" t="inlineStr">
        <is>
          <t>(untitled)</t>
        </is>
      </c>
      <c r="E2049" s="10" t="inlineStr"/>
      <c r="F2049" s="11" t="inlineStr">
        <is>
          <t>56:22</t>
        </is>
      </c>
      <c r="G2049" s="11" t="n">
        <v>0.9399999999999999</v>
      </c>
      <c r="H2049" s="12" t="inlineStr"/>
      <c r="I2049" s="11" t="inlineStr">
        <is>
          <t>Not started</t>
        </is>
      </c>
      <c r="J2049" s="13" t="n"/>
      <c r="K2049" s="10" t="inlineStr"/>
      <c r="L2049" s="14" t="inlineStr">
        <is>
          <t>▶ watch</t>
        </is>
      </c>
      <c r="M2049" s="10" t="inlineStr">
        <is>
          <t>McCoy et al. 2024, PNAS 121:e2322420121 (Embers of Autoregression) · Bubeck et al. 2023, arXiv:2303.12712 (Sparks of AGI)</t>
        </is>
      </c>
      <c r="N2049" s="14" t="inlineStr">
        <is>
          <t>read ↗</t>
        </is>
      </c>
      <c r="O2049" s="11" t="inlineStr">
        <is>
          <t xml:space="preserve">reading for D.7.7 Is reasoning real? - the standing </t>
        </is>
      </c>
      <c r="P2049" s="10" t="inlineStr"/>
    </row>
    <row r="2050">
      <c r="A2050" s="17" t="n">
        <v>2049</v>
      </c>
      <c r="B2050" s="17" t="inlineStr">
        <is>
          <t>Part III - Upstream AI Research</t>
        </is>
      </c>
      <c r="C2050" s="18" t="inlineStr">
        <is>
          <t>8.3 Mathematics of Deep Learning (minicourse</t>
        </is>
      </c>
      <c r="D2050" s="10" t="inlineStr">
        <is>
          <t>(untitled)</t>
        </is>
      </c>
      <c r="E2050" s="10" t="inlineStr"/>
      <c r="F2050" s="11" t="inlineStr">
        <is>
          <t>57:29</t>
        </is>
      </c>
      <c r="G2050" s="11" t="n">
        <v>0.96</v>
      </c>
      <c r="H2050" s="12" t="inlineStr"/>
      <c r="I2050" s="11" t="inlineStr">
        <is>
          <t>Not started</t>
        </is>
      </c>
      <c r="J2050" s="13" t="n"/>
      <c r="K2050" s="10" t="inlineStr"/>
      <c r="L2050" s="14" t="inlineStr">
        <is>
          <t>▶ watch</t>
        </is>
      </c>
      <c r="M2050" s="10" t="inlineStr">
        <is>
          <t>McCoy et al. 2024, PNAS 121:e2322420121 (Embers of Autoregression) · Bubeck et al. 2023, arXiv:2303.12712 (Sparks of AGI)</t>
        </is>
      </c>
      <c r="N2050" s="14" t="inlineStr">
        <is>
          <t>read ↗</t>
        </is>
      </c>
      <c r="O2050" s="11" t="inlineStr">
        <is>
          <t xml:space="preserve">reading for D.7.7 Is reasoning real? - the standing </t>
        </is>
      </c>
      <c r="P2050" s="10" t="inlineStr"/>
    </row>
    <row r="2051">
      <c r="A2051" s="17" t="n">
        <v>2050</v>
      </c>
      <c r="B2051" s="17" t="inlineStr">
        <is>
          <t>Part III - Upstream AI Research</t>
        </is>
      </c>
      <c r="C2051" s="18" t="inlineStr">
        <is>
          <t>8.3 Mathematics of Deep Learning (minicourse</t>
        </is>
      </c>
      <c r="D2051" s="10" t="inlineStr">
        <is>
          <t>(untitled)</t>
        </is>
      </c>
      <c r="E2051" s="10" t="inlineStr"/>
      <c r="F2051" s="11" t="inlineStr">
        <is>
          <t>1:10:55</t>
        </is>
      </c>
      <c r="G2051" s="11" t="n">
        <v>1.18</v>
      </c>
      <c r="H2051" s="12" t="inlineStr"/>
      <c r="I2051" s="11" t="inlineStr">
        <is>
          <t>Not started</t>
        </is>
      </c>
      <c r="J2051" s="13" t="n"/>
      <c r="K2051" s="10" t="inlineStr"/>
      <c r="L2051" s="14" t="inlineStr">
        <is>
          <t>▶ watch</t>
        </is>
      </c>
      <c r="M2051" s="10" t="inlineStr">
        <is>
          <t>McCoy et al. 2024, PNAS 121:e2322420121 (Embers of Autoregression) · Bubeck et al. 2023, arXiv:2303.12712 (Sparks of AGI)</t>
        </is>
      </c>
      <c r="N2051" s="14" t="inlineStr">
        <is>
          <t>read ↗</t>
        </is>
      </c>
      <c r="O2051" s="11" t="inlineStr">
        <is>
          <t xml:space="preserve">reading for D.7.7 Is reasoning real? - the standing </t>
        </is>
      </c>
      <c r="P2051" s="10" t="inlineStr"/>
    </row>
    <row r="2052">
      <c r="A2052" s="17" t="n">
        <v>2051</v>
      </c>
      <c r="B2052" s="17" t="inlineStr">
        <is>
          <t>Part III - Upstream AI Research</t>
        </is>
      </c>
      <c r="C2052" s="18" t="inlineStr">
        <is>
          <t>8.3 Mathematics of Deep Learning (minicourse</t>
        </is>
      </c>
      <c r="D2052" s="10" t="inlineStr">
        <is>
          <t>(untitled)</t>
        </is>
      </c>
      <c r="E2052" s="10" t="inlineStr"/>
      <c r="F2052" s="11" t="inlineStr">
        <is>
          <t>1:01:16</t>
        </is>
      </c>
      <c r="G2052" s="11" t="n">
        <v>1.02</v>
      </c>
      <c r="H2052" s="12" t="inlineStr"/>
      <c r="I2052" s="11" t="inlineStr">
        <is>
          <t>Not started</t>
        </is>
      </c>
      <c r="J2052" s="13" t="n"/>
      <c r="K2052" s="10" t="inlineStr"/>
      <c r="L2052" s="14" t="inlineStr">
        <is>
          <t>▶ watch</t>
        </is>
      </c>
      <c r="M2052" s="10" t="inlineStr">
        <is>
          <t>McCoy et al. 2024, PNAS 121:e2322420121 (Embers of Autoregression) · Bubeck et al. 2023, arXiv:2303.12712 (Sparks of AGI)</t>
        </is>
      </c>
      <c r="N2052" s="14" t="inlineStr">
        <is>
          <t>read ↗</t>
        </is>
      </c>
      <c r="O2052" s="11" t="inlineStr">
        <is>
          <t xml:space="preserve">reading for D.7.7 Is reasoning real? - the standing </t>
        </is>
      </c>
      <c r="P2052" s="10" t="inlineStr"/>
    </row>
    <row r="2053">
      <c r="A2053" s="17" t="n">
        <v>2052</v>
      </c>
      <c r="B2053" s="17" t="inlineStr">
        <is>
          <t>Part III - Upstream AI Research</t>
        </is>
      </c>
      <c r="C2053" s="18" t="inlineStr">
        <is>
          <t>8.4 Neural Network Theory (APS 2025 Summer School</t>
        </is>
      </c>
      <c r="D2053" s="10" t="inlineStr">
        <is>
          <t>(untitled)</t>
        </is>
      </c>
      <c r="E2053" s="10" t="inlineStr"/>
      <c r="F2053" s="11" t="inlineStr">
        <is>
          <t>1:26:20</t>
        </is>
      </c>
      <c r="G2053" s="11" t="n">
        <v>1.44</v>
      </c>
      <c r="H2053" s="12" t="inlineStr"/>
      <c r="I2053" s="11" t="inlineStr">
        <is>
          <t>Not started</t>
        </is>
      </c>
      <c r="J2053" s="13" t="n"/>
      <c r="K2053" s="10" t="inlineStr"/>
      <c r="L2053" s="14" t="inlineStr">
        <is>
          <t>▶ watch</t>
        </is>
      </c>
      <c r="M2053" s="10" t="inlineStr">
        <is>
          <t>McCoy et al. 2024, PNAS 121:e2322420121 (Embers of Autoregression) · Bubeck et al. 2023, arXiv:2303.12712 (Sparks of AGI)</t>
        </is>
      </c>
      <c r="N2053" s="14" t="inlineStr">
        <is>
          <t>read ↗</t>
        </is>
      </c>
      <c r="O2053" s="11" t="inlineStr">
        <is>
          <t xml:space="preserve">reading for D.7.7 Is reasoning real? - the standing </t>
        </is>
      </c>
      <c r="P2053" s="10" t="inlineStr"/>
    </row>
    <row r="2054">
      <c r="A2054" s="17" t="n">
        <v>2053</v>
      </c>
      <c r="B2054" s="17" t="inlineStr">
        <is>
          <t>Part III - Upstream AI Research</t>
        </is>
      </c>
      <c r="C2054" s="18" t="inlineStr">
        <is>
          <t>8.4 Neural Network Theory (APS 2025 Summer School</t>
        </is>
      </c>
      <c r="D2054" s="10" t="inlineStr">
        <is>
          <t>(untitled)</t>
        </is>
      </c>
      <c r="E2054" s="10" t="inlineStr"/>
      <c r="F2054" s="11" t="inlineStr">
        <is>
          <t>1:29:48</t>
        </is>
      </c>
      <c r="G2054" s="11" t="n">
        <v>1.5</v>
      </c>
      <c r="H2054" s="12" t="inlineStr"/>
      <c r="I2054" s="11" t="inlineStr">
        <is>
          <t>Not started</t>
        </is>
      </c>
      <c r="J2054" s="13" t="n"/>
      <c r="K2054" s="10" t="inlineStr"/>
      <c r="L2054" s="14" t="inlineStr">
        <is>
          <t>▶ watch</t>
        </is>
      </c>
      <c r="M2054" s="10" t="inlineStr">
        <is>
          <t>McCoy et al. 2024, PNAS 121:e2322420121 (Embers of Autoregression) · Bubeck et al. 2023, arXiv:2303.12712 (Sparks of AGI)</t>
        </is>
      </c>
      <c r="N2054" s="14" t="inlineStr">
        <is>
          <t>read ↗</t>
        </is>
      </c>
      <c r="O2054" s="11" t="inlineStr">
        <is>
          <t xml:space="preserve">reading for D.7.7 Is reasoning real? - the standing </t>
        </is>
      </c>
      <c r="P2054" s="10" t="inlineStr"/>
    </row>
    <row r="2055">
      <c r="A2055" s="17" t="n">
        <v>2054</v>
      </c>
      <c r="B2055" s="17" t="inlineStr">
        <is>
          <t>Part III - Upstream AI Research</t>
        </is>
      </c>
      <c r="C2055" s="18" t="inlineStr">
        <is>
          <t>8.4 Neural Network Theory (APS 2025 Summer School</t>
        </is>
      </c>
      <c r="D2055" s="10" t="inlineStr">
        <is>
          <t>(untitled)</t>
        </is>
      </c>
      <c r="E2055" s="10" t="inlineStr"/>
      <c r="F2055" s="11" t="inlineStr">
        <is>
          <t>1:27:44</t>
        </is>
      </c>
      <c r="G2055" s="11" t="n">
        <v>1.46</v>
      </c>
      <c r="H2055" s="12" t="inlineStr"/>
      <c r="I2055" s="11" t="inlineStr">
        <is>
          <t>Not started</t>
        </is>
      </c>
      <c r="J2055" s="13" t="n"/>
      <c r="K2055" s="10" t="inlineStr"/>
      <c r="L2055" s="14" t="inlineStr">
        <is>
          <t>▶ watch</t>
        </is>
      </c>
      <c r="M2055" s="10" t="inlineStr">
        <is>
          <t>McCoy et al. 2024, PNAS 121:e2322420121 (Embers of Autoregression) · Bubeck et al. 2023, arXiv:2303.12712 (Sparks of AGI)</t>
        </is>
      </c>
      <c r="N2055" s="14" t="inlineStr">
        <is>
          <t>read ↗</t>
        </is>
      </c>
      <c r="O2055" s="11" t="inlineStr">
        <is>
          <t xml:space="preserve">reading for D.7.7 Is reasoning real? - the standing </t>
        </is>
      </c>
      <c r="P2055" s="10" t="inlineStr"/>
    </row>
    <row r="2056">
      <c r="A2056" s="17" t="n">
        <v>2055</v>
      </c>
      <c r="B2056" s="17" t="inlineStr">
        <is>
          <t>Part III - Upstream AI Research</t>
        </is>
      </c>
      <c r="C2056" s="18" t="inlineStr">
        <is>
          <t>8.5 Understanding Deep Learning lecture series</t>
        </is>
      </c>
      <c r="D2056" s="10" t="inlineStr">
        <is>
          <t>Understanding Generalization Requires Rethinking Deep Learning</t>
        </is>
      </c>
      <c r="E2056" s="10" t="inlineStr">
        <is>
          <t>Boaz Barak &amp; Gal Kaplun (Harvard</t>
        </is>
      </c>
      <c r="F2056" s="11" t="inlineStr">
        <is>
          <t>1:15:41</t>
        </is>
      </c>
      <c r="G2056" s="11" t="n">
        <v>1.26</v>
      </c>
      <c r="H2056" s="12" t="inlineStr"/>
      <c r="I2056" s="11" t="inlineStr">
        <is>
          <t>Not started</t>
        </is>
      </c>
      <c r="J2056" s="13" t="n"/>
      <c r="K2056" s="10" t="inlineStr"/>
      <c r="L2056" s="14" t="inlineStr">
        <is>
          <t>▶ watch</t>
        </is>
      </c>
      <c r="M2056" s="10" t="inlineStr">
        <is>
          <t>McCoy et al. 2024, PNAS 121:e2322420121 (Embers of Autoregression) · Bubeck et al. 2023, arXiv:2303.12712 (Sparks of AGI)</t>
        </is>
      </c>
      <c r="N2056" s="14" t="inlineStr">
        <is>
          <t>read ↗</t>
        </is>
      </c>
      <c r="O2056" s="11" t="inlineStr">
        <is>
          <t xml:space="preserve">reading for D.7.7 Is reasoning real? - the standing </t>
        </is>
      </c>
      <c r="P2056" s="10" t="inlineStr"/>
    </row>
    <row r="2057">
      <c r="A2057" s="17" t="n">
        <v>2056</v>
      </c>
      <c r="B2057" s="17" t="inlineStr">
        <is>
          <t>Part III - Upstream AI Research</t>
        </is>
      </c>
      <c r="C2057" s="18" t="inlineStr">
        <is>
          <t>8.5 Understanding Deep Learning lecture series</t>
        </is>
      </c>
      <c r="D2057" s="10" t="inlineStr">
        <is>
          <t>Neural Network Loss Landscape in High Dimensions</t>
        </is>
      </c>
      <c r="E2057" s="10" t="inlineStr">
        <is>
          <t>Stanislav Fort (Stanford/Google</t>
        </is>
      </c>
      <c r="F2057" s="11" t="inlineStr">
        <is>
          <t>1:02:22</t>
        </is>
      </c>
      <c r="G2057" s="11" t="n">
        <v>1.04</v>
      </c>
      <c r="H2057" s="12" t="inlineStr"/>
      <c r="I2057" s="11" t="inlineStr">
        <is>
          <t>Not started</t>
        </is>
      </c>
      <c r="J2057" s="13" t="n"/>
      <c r="K2057" s="10" t="inlineStr"/>
      <c r="L2057" s="14" t="inlineStr">
        <is>
          <t>▶ watch</t>
        </is>
      </c>
      <c r="M2057" s="10" t="inlineStr">
        <is>
          <t>McCoy et al. 2024, PNAS 121:e2322420121 (Embers of Autoregression) · Bubeck et al. 2023, arXiv:2303.12712 (Sparks of AGI)</t>
        </is>
      </c>
      <c r="N2057" s="14" t="inlineStr">
        <is>
          <t>read ↗</t>
        </is>
      </c>
      <c r="O2057" s="11" t="inlineStr">
        <is>
          <t xml:space="preserve">reading for D.7.7 Is reasoning real? - the standing </t>
        </is>
      </c>
      <c r="P2057" s="10" t="inlineStr"/>
    </row>
    <row r="2058">
      <c r="A2058" s="17" t="n">
        <v>2057</v>
      </c>
      <c r="B2058" s="17" t="inlineStr">
        <is>
          <t>Part III - Upstream AI Research</t>
        </is>
      </c>
      <c r="C2058" s="18" t="inlineStr">
        <is>
          <t>8.5 Understanding Deep Learning lecture series</t>
        </is>
      </c>
      <c r="D2058" s="10" t="inlineStr">
        <is>
          <t>Progress Towards Understanding Generalization</t>
        </is>
      </c>
      <c r="E2058" s="10" t="inlineStr">
        <is>
          <t>Gintare Karolina Dziugaite (Element AI</t>
        </is>
      </c>
      <c r="F2058" s="11" t="inlineStr">
        <is>
          <t>1:02:25</t>
        </is>
      </c>
      <c r="G2058" s="11" t="n">
        <v>1.04</v>
      </c>
      <c r="H2058" s="12" t="inlineStr"/>
      <c r="I2058" s="11" t="inlineStr">
        <is>
          <t>Not started</t>
        </is>
      </c>
      <c r="J2058" s="13" t="n"/>
      <c r="K2058" s="10" t="inlineStr"/>
      <c r="L2058" s="14" t="inlineStr">
        <is>
          <t>▶ watch</t>
        </is>
      </c>
      <c r="M2058" s="10" t="inlineStr">
        <is>
          <t>McCoy et al. 2024, PNAS 121:e2322420121 (Embers of Autoregression) · Bubeck et al. 2023, arXiv:2303.12712 (Sparks of AGI)</t>
        </is>
      </c>
      <c r="N2058" s="14" t="inlineStr">
        <is>
          <t>read ↗</t>
        </is>
      </c>
      <c r="O2058" s="11" t="inlineStr">
        <is>
          <t xml:space="preserve">reading for D.7.7 Is reasoning real? - the standing </t>
        </is>
      </c>
      <c r="P2058" s="10" t="inlineStr"/>
    </row>
    <row r="2059">
      <c r="A2059" s="17" t="n">
        <v>2058</v>
      </c>
      <c r="B2059" s="17" t="inlineStr">
        <is>
          <t>Part III - Upstream AI Research</t>
        </is>
      </c>
      <c r="C2059" s="18" t="inlineStr">
        <is>
          <t>8.5 Understanding Deep Learning lecture series</t>
        </is>
      </c>
      <c r="D2059" s="10" t="inlineStr">
        <is>
          <t>Information-Theoretic Generalization Bounds for SGD</t>
        </is>
      </c>
      <c r="E2059" s="10" t="inlineStr">
        <is>
          <t>Gergely Neu (UPF</t>
        </is>
      </c>
      <c r="F2059" s="11" t="inlineStr">
        <is>
          <t>1:05:37</t>
        </is>
      </c>
      <c r="G2059" s="11" t="n">
        <v>1.09</v>
      </c>
      <c r="H2059" s="12" t="inlineStr"/>
      <c r="I2059" s="11" t="inlineStr">
        <is>
          <t>Not started</t>
        </is>
      </c>
      <c r="J2059" s="13" t="n"/>
      <c r="K2059" s="10" t="inlineStr"/>
      <c r="L2059" s="14" t="inlineStr">
        <is>
          <t>▶ watch</t>
        </is>
      </c>
      <c r="M2059" s="10" t="inlineStr">
        <is>
          <t>McCoy et al. 2024, PNAS 121:e2322420121 (Embers of Autoregression) · Bubeck et al. 2023, arXiv:2303.12712 (Sparks of AGI)</t>
        </is>
      </c>
      <c r="N2059" s="14" t="inlineStr">
        <is>
          <t>read ↗</t>
        </is>
      </c>
      <c r="O2059" s="11" t="inlineStr">
        <is>
          <t xml:space="preserve">reading for D.7.7 Is reasoning real? - the standing </t>
        </is>
      </c>
      <c r="P2059" s="10" t="inlineStr"/>
    </row>
    <row r="2060">
      <c r="A2060" s="17" t="n">
        <v>2059</v>
      </c>
      <c r="B2060" s="17" t="inlineStr">
        <is>
          <t>Part III - Upstream AI Research</t>
        </is>
      </c>
      <c r="C2060" s="18" t="inlineStr">
        <is>
          <t>8.5 Understanding Deep Learning lecture series</t>
        </is>
      </c>
      <c r="D2060" s="10" t="inlineStr">
        <is>
          <t>Brendan Fong (MIT / Topos Institute</t>
        </is>
      </c>
      <c r="E2060" s="10" t="inlineStr">
        <is>
          <t>Backprop as a Functor</t>
        </is>
      </c>
      <c r="F2060" s="11" t="inlineStr">
        <is>
          <t>1:08:41</t>
        </is>
      </c>
      <c r="G2060" s="11" t="n">
        <v>1.14</v>
      </c>
      <c r="H2060" s="12" t="inlineStr"/>
      <c r="I2060" s="11" t="inlineStr">
        <is>
          <t>Not started</t>
        </is>
      </c>
      <c r="J2060" s="13" t="n"/>
      <c r="K2060" s="10" t="inlineStr"/>
      <c r="L2060" s="14" t="inlineStr">
        <is>
          <t>▶ watch</t>
        </is>
      </c>
      <c r="M2060" s="10" t="inlineStr">
        <is>
          <t>McCoy et al. 2024, PNAS 121:e2322420121 (Embers of Autoregression) · Bubeck et al. 2023, arXiv:2303.12712 (Sparks of AGI)</t>
        </is>
      </c>
      <c r="N2060" s="14" t="inlineStr">
        <is>
          <t>read ↗</t>
        </is>
      </c>
      <c r="O2060" s="11" t="inlineStr">
        <is>
          <t xml:space="preserve">reading for D.7.7 Is reasoning real? - the standing </t>
        </is>
      </c>
      <c r="P2060" s="10" t="inlineStr"/>
    </row>
    <row r="2061">
      <c r="A2061" s="17" t="n">
        <v>2060</v>
      </c>
      <c r="B2061" s="17" t="inlineStr">
        <is>
          <t>Part III - Upstream AI Research</t>
        </is>
      </c>
      <c r="C2061" s="18" t="inlineStr">
        <is>
          <t>8.5 Understanding Deep Learning lecture series</t>
        </is>
      </c>
      <c r="D2061" s="10" t="inlineStr">
        <is>
          <t>Panel: The Many Paths to Understanding Deep Learning</t>
        </is>
      </c>
      <c r="E2061" s="10" t="inlineStr"/>
      <c r="F2061" s="11" t="inlineStr">
        <is>
          <t>1:02:40</t>
        </is>
      </c>
      <c r="G2061" s="11" t="n">
        <v>1.04</v>
      </c>
      <c r="H2061" s="12" t="inlineStr"/>
      <c r="I2061" s="11" t="inlineStr">
        <is>
          <t>Not started</t>
        </is>
      </c>
      <c r="J2061" s="13" t="n"/>
      <c r="K2061" s="10" t="inlineStr"/>
      <c r="L2061" s="14" t="inlineStr">
        <is>
          <t>▶ watch</t>
        </is>
      </c>
      <c r="M2061" s="10" t="inlineStr">
        <is>
          <t>McCoy et al. 2024, PNAS 121:e2322420121 (Embers of Autoregression) · Bubeck et al. 2023, arXiv:2303.12712 (Sparks of AGI)</t>
        </is>
      </c>
      <c r="N2061" s="14" t="inlineStr">
        <is>
          <t>read ↗</t>
        </is>
      </c>
      <c r="O2061" s="11" t="inlineStr">
        <is>
          <t xml:space="preserve">reading for D.7.7 Is reasoning real? - the standing </t>
        </is>
      </c>
      <c r="P2061" s="10" t="inlineStr"/>
    </row>
    <row r="2062">
      <c r="A2062" s="17" t="n">
        <v>2061</v>
      </c>
      <c r="B2062" s="17" t="inlineStr">
        <is>
          <t>Part III - Upstream AI Research</t>
        </is>
      </c>
      <c r="C2062" s="18" t="inlineStr">
        <is>
          <t>8.6 Francis Bach - optimization for machine learning</t>
        </is>
      </c>
      <c r="D2062" s="10" t="inlineStr">
        <is>
          <t>(see curriculum section)</t>
        </is>
      </c>
      <c r="E2062" s="10" t="inlineStr"/>
      <c r="F2062" s="11" t="inlineStr">
        <is>
          <t>1:07:34</t>
        </is>
      </c>
      <c r="G2062" s="11" t="n">
        <v>1.13</v>
      </c>
      <c r="H2062" s="12" t="inlineStr"/>
      <c r="I2062" s="11" t="inlineStr">
        <is>
          <t>Not started</t>
        </is>
      </c>
      <c r="J2062" s="13" t="n"/>
      <c r="K2062" s="10" t="inlineStr"/>
      <c r="L2062" s="14" t="inlineStr">
        <is>
          <t>▶ watch</t>
        </is>
      </c>
      <c r="M2062" s="10" t="inlineStr">
        <is>
          <t>McCoy et al. 2024, PNAS 121:e2322420121 (Embers of Autoregression) · Bubeck et al. 2023, arXiv:2303.12712 (Sparks of AGI)</t>
        </is>
      </c>
      <c r="N2062" s="14" t="inlineStr">
        <is>
          <t>read ↗</t>
        </is>
      </c>
      <c r="O2062" s="11" t="inlineStr">
        <is>
          <t xml:space="preserve">reading for D.7.7 Is reasoning real? - the standing </t>
        </is>
      </c>
      <c r="P2062" s="10" t="inlineStr"/>
    </row>
    <row r="2063">
      <c r="A2063" s="17" t="n">
        <v>2062</v>
      </c>
      <c r="B2063" s="17" t="inlineStr">
        <is>
          <t>Part III - Upstream AI Research</t>
        </is>
      </c>
      <c r="C2063" s="18" t="inlineStr">
        <is>
          <t>8.6 Francis Bach - optimization for machine learning</t>
        </is>
      </c>
      <c r="D2063" s="10" t="inlineStr">
        <is>
          <t>(see curriculum section)</t>
        </is>
      </c>
      <c r="E2063" s="10" t="inlineStr"/>
      <c r="F2063" s="11" t="inlineStr">
        <is>
          <t>1:07:34</t>
        </is>
      </c>
      <c r="G2063" s="11" t="n">
        <v>1.13</v>
      </c>
      <c r="H2063" s="12" t="inlineStr"/>
      <c r="I2063" s="11" t="inlineStr">
        <is>
          <t>Not started</t>
        </is>
      </c>
      <c r="J2063" s="13" t="n"/>
      <c r="K2063" s="10" t="inlineStr"/>
      <c r="L2063" s="14" t="inlineStr">
        <is>
          <t>▶ watch</t>
        </is>
      </c>
      <c r="M2063" s="10" t="inlineStr">
        <is>
          <t>McCoy et al. 2024, PNAS 121:e2322420121 (Embers of Autoregression) · Bubeck et al. 2023, arXiv:2303.12712 (Sparks of AGI)</t>
        </is>
      </c>
      <c r="N2063" s="14" t="inlineStr">
        <is>
          <t>read ↗</t>
        </is>
      </c>
      <c r="O2063" s="11" t="inlineStr">
        <is>
          <t xml:space="preserve">reading for D.7.7 Is reasoning real? - the standing </t>
        </is>
      </c>
      <c r="P2063" s="10" t="inlineStr"/>
    </row>
    <row r="2064">
      <c r="A2064" s="17" t="n">
        <v>2063</v>
      </c>
      <c r="B2064" s="17" t="inlineStr">
        <is>
          <t>Part III - Upstream AI Research</t>
        </is>
      </c>
      <c r="C2064" s="18" t="inlineStr">
        <is>
          <t>8.6 Francis Bach - optimization for machine learning</t>
        </is>
      </c>
      <c r="D2064" s="10" t="inlineStr">
        <is>
          <t>(1:22:01</t>
        </is>
      </c>
      <c r="E2064" s="10" t="inlineStr"/>
      <c r="F2064" s="11" t="inlineStr">
        <is>
          <t>1:07:34</t>
        </is>
      </c>
      <c r="G2064" s="11" t="n">
        <v>1.13</v>
      </c>
      <c r="H2064" s="12" t="inlineStr"/>
      <c r="I2064" s="11" t="inlineStr">
        <is>
          <t>Not started</t>
        </is>
      </c>
      <c r="J2064" s="13" t="n"/>
      <c r="K2064" s="10" t="inlineStr"/>
      <c r="L2064" s="14" t="inlineStr">
        <is>
          <t>▶ watch</t>
        </is>
      </c>
      <c r="M2064" s="10" t="inlineStr">
        <is>
          <t>McCoy et al. 2024, PNAS 121:e2322420121 (Embers of Autoregression) · Bubeck et al. 2023, arXiv:2303.12712 (Sparks of AGI)</t>
        </is>
      </c>
      <c r="N2064" s="14" t="inlineStr">
        <is>
          <t>read ↗</t>
        </is>
      </c>
      <c r="O2064" s="11" t="inlineStr">
        <is>
          <t xml:space="preserve">reading for D.7.7 Is reasoning real? - the standing </t>
        </is>
      </c>
      <c r="P2064" s="10" t="inlineStr"/>
    </row>
    <row r="2065">
      <c r="A2065" s="17" t="n">
        <v>2064</v>
      </c>
      <c r="B2065" s="17" t="inlineStr">
        <is>
          <t>Part III - Upstream AI Research</t>
        </is>
      </c>
      <c r="C2065" s="18" t="inlineStr">
        <is>
          <t>8.6 Francis Bach - optimization for machine learning</t>
        </is>
      </c>
      <c r="D2065" s="10" t="inlineStr">
        <is>
          <t>(1:04:38</t>
        </is>
      </c>
      <c r="E2065" s="10" t="inlineStr"/>
      <c r="F2065" s="11" t="inlineStr">
        <is>
          <t>1:07:34</t>
        </is>
      </c>
      <c r="G2065" s="11" t="n">
        <v>1.13</v>
      </c>
      <c r="H2065" s="12" t="inlineStr"/>
      <c r="I2065" s="11" t="inlineStr">
        <is>
          <t>Not started</t>
        </is>
      </c>
      <c r="J2065" s="13" t="n"/>
      <c r="K2065" s="10" t="inlineStr"/>
      <c r="L2065" s="14" t="inlineStr">
        <is>
          <t>▶ watch</t>
        </is>
      </c>
      <c r="M2065" s="10" t="inlineStr">
        <is>
          <t>McCoy et al. 2024, PNAS 121:e2322420121 (Embers of Autoregression) · Bubeck et al. 2023, arXiv:2303.12712 (Sparks of AGI)</t>
        </is>
      </c>
      <c r="N2065" s="14" t="inlineStr">
        <is>
          <t>read ↗</t>
        </is>
      </c>
      <c r="O2065" s="11" t="inlineStr">
        <is>
          <t xml:space="preserve">reading for D.7.7 Is reasoning real? - the standing </t>
        </is>
      </c>
      <c r="P2065" s="10" t="inlineStr"/>
    </row>
    <row r="2066">
      <c r="A2066" s="17" t="n">
        <v>2065</v>
      </c>
      <c r="B2066" s="17" t="inlineStr">
        <is>
          <t>Part III - Upstream AI Research</t>
        </is>
      </c>
      <c r="C2066" s="18" t="inlineStr">
        <is>
          <t>8.6 Francis Bach - optimization for machine learning</t>
        </is>
      </c>
      <c r="D2066" s="10" t="inlineStr">
        <is>
          <t>(see curriculum section)</t>
        </is>
      </c>
      <c r="E2066" s="10" t="inlineStr"/>
      <c r="F2066" s="11" t="inlineStr">
        <is>
          <t>1:38:50</t>
        </is>
      </c>
      <c r="G2066" s="11" t="n">
        <v>1.65</v>
      </c>
      <c r="H2066" s="12" t="inlineStr"/>
      <c r="I2066" s="11" t="inlineStr">
        <is>
          <t>Not started</t>
        </is>
      </c>
      <c r="J2066" s="13" t="n"/>
      <c r="K2066" s="10" t="inlineStr"/>
      <c r="L2066" s="14" t="inlineStr">
        <is>
          <t>▶ watch</t>
        </is>
      </c>
      <c r="M2066" s="10" t="inlineStr">
        <is>
          <t>McCoy et al. 2024, PNAS 121:e2322420121 (Embers of Autoregression) · Bubeck et al. 2023, arXiv:2303.12712 (Sparks of AGI)</t>
        </is>
      </c>
      <c r="N2066" s="14" t="inlineStr">
        <is>
          <t>read ↗</t>
        </is>
      </c>
      <c r="O2066" s="11" t="inlineStr">
        <is>
          <t xml:space="preserve">reading for D.7.7 Is reasoning real? - the standing </t>
        </is>
      </c>
      <c r="P2066" s="10" t="inlineStr"/>
    </row>
    <row r="2067">
      <c r="A2067" s="17" t="n">
        <v>2066</v>
      </c>
      <c r="B2067" s="17" t="inlineStr">
        <is>
          <t>Part III - Upstream AI Research</t>
        </is>
      </c>
      <c r="C2067" s="18" t="inlineStr">
        <is>
          <t>8.6 Francis Bach - optimization for machine learning</t>
        </is>
      </c>
      <c r="D2067" s="10" t="inlineStr">
        <is>
          <t>(see curriculum section)</t>
        </is>
      </c>
      <c r="E2067" s="10" t="inlineStr"/>
      <c r="F2067" s="11" t="inlineStr">
        <is>
          <t>1:38:50</t>
        </is>
      </c>
      <c r="G2067" s="11" t="n">
        <v>1.65</v>
      </c>
      <c r="H2067" s="12" t="inlineStr"/>
      <c r="I2067" s="11" t="inlineStr">
        <is>
          <t>Not started</t>
        </is>
      </c>
      <c r="J2067" s="13" t="n"/>
      <c r="K2067" s="10" t="inlineStr"/>
      <c r="L2067" s="14" t="inlineStr">
        <is>
          <t>▶ watch</t>
        </is>
      </c>
      <c r="M2067" s="10" t="inlineStr">
        <is>
          <t>McCoy et al. 2024, PNAS 121:e2322420121 (Embers of Autoregression) · Bubeck et al. 2023, arXiv:2303.12712 (Sparks of AGI)</t>
        </is>
      </c>
      <c r="N2067" s="14" t="inlineStr">
        <is>
          <t>read ↗</t>
        </is>
      </c>
      <c r="O2067" s="11" t="inlineStr">
        <is>
          <t xml:space="preserve">reading for D.7.7 Is reasoning real? - the standing </t>
        </is>
      </c>
      <c r="P2067" s="10" t="inlineStr"/>
    </row>
    <row r="2068">
      <c r="A2068" s="17" t="n">
        <v>2067</v>
      </c>
      <c r="B2068" s="17" t="inlineStr">
        <is>
          <t>Part III - Upstream AI Research</t>
        </is>
      </c>
      <c r="C2068" s="18" t="inlineStr">
        <is>
          <t>8.6 Francis Bach - optimization for machine learning</t>
        </is>
      </c>
      <c r="D2068" s="10" t="inlineStr">
        <is>
          <t>(see curriculum section)</t>
        </is>
      </c>
      <c r="E2068" s="10" t="inlineStr"/>
      <c r="F2068" s="11" t="inlineStr">
        <is>
          <t>1:22:17</t>
        </is>
      </c>
      <c r="G2068" s="11" t="n">
        <v>1.37</v>
      </c>
      <c r="H2068" s="12" t="inlineStr"/>
      <c r="I2068" s="11" t="inlineStr">
        <is>
          <t>Not started</t>
        </is>
      </c>
      <c r="J2068" s="13" t="n"/>
      <c r="K2068" s="10" t="inlineStr"/>
      <c r="L2068" s="14" t="inlineStr">
        <is>
          <t>▶ watch</t>
        </is>
      </c>
      <c r="M2068" s="10" t="inlineStr">
        <is>
          <t>McCoy et al. 2024, PNAS 121:e2322420121 (Embers of Autoregression) · Bubeck et al. 2023, arXiv:2303.12712 (Sparks of AGI)</t>
        </is>
      </c>
      <c r="N2068" s="14" t="inlineStr">
        <is>
          <t>read ↗</t>
        </is>
      </c>
      <c r="O2068" s="11" t="inlineStr">
        <is>
          <t xml:space="preserve">reading for D.7.7 Is reasoning real? - the standing </t>
        </is>
      </c>
      <c r="P2068" s="10" t="inlineStr"/>
    </row>
    <row r="2069">
      <c r="A2069" s="17" t="n">
        <v>2068</v>
      </c>
      <c r="B2069" s="17" t="inlineStr">
        <is>
          <t>Part III - Upstream AI Research</t>
        </is>
      </c>
      <c r="C2069" s="18" t="inlineStr">
        <is>
          <t>8.6 Francis Bach - optimization for machine learning</t>
        </is>
      </c>
      <c r="D2069" s="10" t="inlineStr">
        <is>
          <t>(see curriculum section)</t>
        </is>
      </c>
      <c r="E2069" s="10" t="inlineStr"/>
      <c r="F2069" s="11" t="inlineStr">
        <is>
          <t>1:22:17</t>
        </is>
      </c>
      <c r="G2069" s="11" t="n">
        <v>1.37</v>
      </c>
      <c r="H2069" s="12" t="inlineStr"/>
      <c r="I2069" s="11" t="inlineStr">
        <is>
          <t>Not started</t>
        </is>
      </c>
      <c r="J2069" s="13" t="n"/>
      <c r="K2069" s="10" t="inlineStr"/>
      <c r="L2069" s="14" t="inlineStr">
        <is>
          <t>▶ watch</t>
        </is>
      </c>
      <c r="M2069" s="10" t="inlineStr">
        <is>
          <t>McCoy et al. 2024, PNAS 121:e2322420121 (Embers of Autoregression) · Bubeck et al. 2023, arXiv:2303.12712 (Sparks of AGI)</t>
        </is>
      </c>
      <c r="N2069" s="14" t="inlineStr">
        <is>
          <t>read ↗</t>
        </is>
      </c>
      <c r="O2069" s="11" t="inlineStr">
        <is>
          <t xml:space="preserve">reading for D.7.7 Is reasoning real? - the standing </t>
        </is>
      </c>
      <c r="P2069" s="10" t="inlineStr"/>
    </row>
    <row r="2070">
      <c r="A2070" s="17" t="n">
        <v>2069</v>
      </c>
      <c r="B2070" s="17" t="inlineStr">
        <is>
          <t>Part III - Upstream AI Research</t>
        </is>
      </c>
      <c r="C2070" s="18" t="inlineStr">
        <is>
          <t>8.7 Princeton ORFE Deep Learning Theory Summer School</t>
        </is>
      </c>
      <c r="D2070" s="10" t="inlineStr">
        <is>
          <t>Day 1</t>
        </is>
      </c>
      <c r="E2070" s="10" t="inlineStr"/>
      <c r="F2070" s="11" t="inlineStr">
        <is>
          <t>5:22:38</t>
        </is>
      </c>
      <c r="G2070" s="11" t="n">
        <v>5.38</v>
      </c>
      <c r="H2070" s="12" t="inlineStr"/>
      <c r="I2070" s="11" t="inlineStr">
        <is>
          <t>Not started</t>
        </is>
      </c>
      <c r="J2070" s="13" t="n"/>
      <c r="K2070" s="10" t="inlineStr"/>
      <c r="L2070" s="14" t="inlineStr">
        <is>
          <t>▶ watch</t>
        </is>
      </c>
      <c r="M2070" s="10" t="inlineStr">
        <is>
          <t>McCoy et al. 2024, PNAS 121:e2322420121 (Embers of Autoregression) · Bubeck et al. 2023, arXiv:2303.12712 (Sparks of AGI)</t>
        </is>
      </c>
      <c r="N2070" s="14" t="inlineStr">
        <is>
          <t>read ↗</t>
        </is>
      </c>
      <c r="O2070" s="11" t="inlineStr">
        <is>
          <t xml:space="preserve">reading for D.7.7 Is reasoning real? - the standing </t>
        </is>
      </c>
      <c r="P2070" s="10" t="inlineStr"/>
    </row>
    <row r="2071">
      <c r="A2071" s="17" t="n">
        <v>2070</v>
      </c>
      <c r="B2071" s="17" t="inlineStr">
        <is>
          <t>Part III - Upstream AI Research</t>
        </is>
      </c>
      <c r="C2071" s="18" t="inlineStr">
        <is>
          <t>8.7 Princeton ORFE Deep Learning Theory Summer School</t>
        </is>
      </c>
      <c r="D2071" s="10" t="inlineStr">
        <is>
          <t>Day 2</t>
        </is>
      </c>
      <c r="E2071" s="10" t="inlineStr"/>
      <c r="F2071" s="11" t="inlineStr">
        <is>
          <t>5:22:38</t>
        </is>
      </c>
      <c r="G2071" s="11" t="n">
        <v>5.38</v>
      </c>
      <c r="H2071" s="12" t="inlineStr"/>
      <c r="I2071" s="11" t="inlineStr">
        <is>
          <t>Not started</t>
        </is>
      </c>
      <c r="J2071" s="13" t="n"/>
      <c r="K2071" s="10" t="inlineStr"/>
      <c r="L2071" s="14" t="inlineStr">
        <is>
          <t>▶ watch</t>
        </is>
      </c>
      <c r="M2071" s="10" t="inlineStr">
        <is>
          <t>McCoy et al. 2024, PNAS 121:e2322420121 (Embers of Autoregression) · Bubeck et al. 2023, arXiv:2303.12712 (Sparks of AGI)</t>
        </is>
      </c>
      <c r="N2071" s="14" t="inlineStr">
        <is>
          <t>read ↗</t>
        </is>
      </c>
      <c r="O2071" s="11" t="inlineStr">
        <is>
          <t xml:space="preserve">reading for D.7.7 Is reasoning real? - the standing </t>
        </is>
      </c>
      <c r="P2071" s="10" t="inlineStr"/>
    </row>
    <row r="2072">
      <c r="A2072" s="17" t="n">
        <v>2071</v>
      </c>
      <c r="B2072" s="17" t="inlineStr">
        <is>
          <t>Part III - Upstream AI Research</t>
        </is>
      </c>
      <c r="C2072" s="18" t="inlineStr">
        <is>
          <t>8.7 Princeton ORFE Deep Learning Theory Summer School</t>
        </is>
      </c>
      <c r="D2072" s="10" t="inlineStr">
        <is>
          <t>Day 3</t>
        </is>
      </c>
      <c r="E2072" s="10" t="inlineStr"/>
      <c r="F2072" s="11" t="inlineStr">
        <is>
          <t>5:22:38</t>
        </is>
      </c>
      <c r="G2072" s="11" t="n">
        <v>5.38</v>
      </c>
      <c r="H2072" s="12" t="inlineStr"/>
      <c r="I2072" s="11" t="inlineStr">
        <is>
          <t>Not started</t>
        </is>
      </c>
      <c r="J2072" s="13" t="n"/>
      <c r="K2072" s="10" t="inlineStr"/>
      <c r="L2072" s="14" t="inlineStr">
        <is>
          <t>▶ watch</t>
        </is>
      </c>
      <c r="M2072" s="10" t="inlineStr">
        <is>
          <t>McCoy et al. 2024, PNAS 121:e2322420121 (Embers of Autoregression) · Bubeck et al. 2023, arXiv:2303.12712 (Sparks of AGI)</t>
        </is>
      </c>
      <c r="N2072" s="14" t="inlineStr">
        <is>
          <t>read ↗</t>
        </is>
      </c>
      <c r="O2072" s="11" t="inlineStr">
        <is>
          <t xml:space="preserve">reading for D.7.7 Is reasoning real? - the standing </t>
        </is>
      </c>
      <c r="P2072" s="10" t="inlineStr"/>
    </row>
    <row r="2073">
      <c r="A2073" s="17" t="n">
        <v>2072</v>
      </c>
      <c r="B2073" s="17" t="inlineStr">
        <is>
          <t>Part III - Upstream AI Research</t>
        </is>
      </c>
      <c r="C2073" s="18" t="inlineStr">
        <is>
          <t>8.7 Princeton ORFE Deep Learning Theory Summer School</t>
        </is>
      </c>
      <c r="D2073" s="10" t="inlineStr">
        <is>
          <t>Day 4</t>
        </is>
      </c>
      <c r="E2073" s="10" t="inlineStr"/>
      <c r="F2073" s="11" t="inlineStr">
        <is>
          <t>5:22:38</t>
        </is>
      </c>
      <c r="G2073" s="11" t="n">
        <v>5.38</v>
      </c>
      <c r="H2073" s="12" t="inlineStr"/>
      <c r="I2073" s="11" t="inlineStr">
        <is>
          <t>Not started</t>
        </is>
      </c>
      <c r="J2073" s="13" t="n"/>
      <c r="K2073" s="10" t="inlineStr"/>
      <c r="L2073" s="14" t="inlineStr">
        <is>
          <t>▶ watch</t>
        </is>
      </c>
      <c r="M2073" s="10" t="inlineStr">
        <is>
          <t>McCoy et al. 2024, PNAS 121:e2322420121 (Embers of Autoregression) · Bubeck et al. 2023, arXiv:2303.12712 (Sparks of AGI)</t>
        </is>
      </c>
      <c r="N2073" s="14" t="inlineStr">
        <is>
          <t>read ↗</t>
        </is>
      </c>
      <c r="O2073" s="11" t="inlineStr">
        <is>
          <t xml:space="preserve">reading for D.7.7 Is reasoning real? - the standing </t>
        </is>
      </c>
      <c r="P2073" s="10" t="inlineStr"/>
    </row>
    <row r="2074">
      <c r="A2074" s="17" t="n">
        <v>2073</v>
      </c>
      <c r="B2074" s="17" t="inlineStr">
        <is>
          <t>Part III - Upstream AI Research</t>
        </is>
      </c>
      <c r="C2074" s="18" t="inlineStr">
        <is>
          <t>8.7 Princeton ORFE Deep Learning Theory Summer School</t>
        </is>
      </c>
      <c r="D2074" s="10" t="inlineStr">
        <is>
          <t>Day 5</t>
        </is>
      </c>
      <c r="E2074" s="10" t="inlineStr"/>
      <c r="F2074" s="11" t="inlineStr">
        <is>
          <t>2:42:47</t>
        </is>
      </c>
      <c r="G2074" s="11" t="n">
        <v>2.71</v>
      </c>
      <c r="H2074" s="12" t="inlineStr"/>
      <c r="I2074" s="11" t="inlineStr">
        <is>
          <t>Not started</t>
        </is>
      </c>
      <c r="J2074" s="13" t="n"/>
      <c r="K2074" s="10" t="inlineStr"/>
      <c r="L2074" s="14" t="inlineStr">
        <is>
          <t>▶ watch</t>
        </is>
      </c>
      <c r="M2074" s="10" t="inlineStr">
        <is>
          <t>McCoy et al. 2024, PNAS 121:e2322420121 (Embers of Autoregression) · Bubeck et al. 2023, arXiv:2303.12712 (Sparks of AGI)</t>
        </is>
      </c>
      <c r="N2074" s="14" t="inlineStr">
        <is>
          <t>read ↗</t>
        </is>
      </c>
      <c r="O2074" s="11" t="inlineStr">
        <is>
          <t xml:space="preserve">reading for D.7.7 Is reasoning real? - the standing </t>
        </is>
      </c>
      <c r="P2074" s="10" t="inlineStr"/>
    </row>
    <row r="2075">
      <c r="A2075" s="17" t="n">
        <v>2074</v>
      </c>
      <c r="B2075" s="17" t="inlineStr">
        <is>
          <t>Part III - Upstream AI Research</t>
        </is>
      </c>
      <c r="C2075" s="18" t="inlineStr">
        <is>
          <t>8.7 Princeton ORFE Deep Learning Theory Summer School</t>
        </is>
      </c>
      <c r="D2075" s="10" t="inlineStr">
        <is>
          <t>Day 6</t>
        </is>
      </c>
      <c r="E2075" s="10" t="inlineStr"/>
      <c r="F2075" s="11" t="inlineStr">
        <is>
          <t>5:50:04</t>
        </is>
      </c>
      <c r="G2075" s="11" t="n">
        <v>5.83</v>
      </c>
      <c r="H2075" s="12" t="inlineStr"/>
      <c r="I2075" s="11" t="inlineStr">
        <is>
          <t>Not started</t>
        </is>
      </c>
      <c r="J2075" s="13" t="n"/>
      <c r="K2075" s="10" t="inlineStr"/>
      <c r="L2075" s="14" t="inlineStr">
        <is>
          <t>▶ watch</t>
        </is>
      </c>
      <c r="M2075" s="10" t="inlineStr">
        <is>
          <t>McCoy et al. 2024, PNAS 121:e2322420121 (Embers of Autoregression) · Bubeck et al. 2023, arXiv:2303.12712 (Sparks of AGI)</t>
        </is>
      </c>
      <c r="N2075" s="14" t="inlineStr">
        <is>
          <t>read ↗</t>
        </is>
      </c>
      <c r="O2075" s="11" t="inlineStr">
        <is>
          <t xml:space="preserve">reading for D.7.7 Is reasoning real? - the standing </t>
        </is>
      </c>
      <c r="P2075" s="10" t="inlineStr"/>
    </row>
    <row r="2076">
      <c r="A2076" s="17" t="n">
        <v>2075</v>
      </c>
      <c r="B2076" s="17" t="inlineStr">
        <is>
          <t>Part III - Upstream AI Research</t>
        </is>
      </c>
      <c r="C2076" s="18" t="inlineStr">
        <is>
          <t>8.7 Princeton ORFE Deep Learning Theory Summer School</t>
        </is>
      </c>
      <c r="D2076" s="10" t="inlineStr">
        <is>
          <t>Day 7</t>
        </is>
      </c>
      <c r="E2076" s="10" t="inlineStr"/>
      <c r="F2076" s="11" t="inlineStr">
        <is>
          <t>2:57:17</t>
        </is>
      </c>
      <c r="G2076" s="11" t="n">
        <v>2.95</v>
      </c>
      <c r="H2076" s="12" t="inlineStr"/>
      <c r="I2076" s="11" t="inlineStr">
        <is>
          <t>Not started</t>
        </is>
      </c>
      <c r="J2076" s="13" t="n"/>
      <c r="K2076" s="10" t="inlineStr"/>
      <c r="L2076" s="14" t="inlineStr">
        <is>
          <t>▶ watch</t>
        </is>
      </c>
      <c r="M2076" s="10" t="inlineStr">
        <is>
          <t>McCoy et al. 2024, PNAS 121:e2322420121 (Embers of Autoregression) · Bubeck et al. 2023, arXiv:2303.12712 (Sparks of AGI)</t>
        </is>
      </c>
      <c r="N2076" s="14" t="inlineStr">
        <is>
          <t>read ↗</t>
        </is>
      </c>
      <c r="O2076" s="11" t="inlineStr">
        <is>
          <t xml:space="preserve">reading for D.7.7 Is reasoning real? - the standing </t>
        </is>
      </c>
      <c r="P2076" s="10" t="inlineStr"/>
    </row>
    <row r="2077">
      <c r="A2077" s="17" t="n">
        <v>2076</v>
      </c>
      <c r="B2077" s="17" t="inlineStr">
        <is>
          <t>Part III - Upstream AI Research</t>
        </is>
      </c>
      <c r="C2077" s="18" t="inlineStr">
        <is>
          <t>9.2 Simons: Deep Learning Theory Workshop and Summer School (August 1–5, 2022</t>
        </is>
      </c>
      <c r="D2077" s="10" t="inlineStr">
        <is>
          <t>Tutorial: Statistical Learning Theory and Neural Networks I</t>
        </is>
      </c>
      <c r="E2077" s="10" t="inlineStr"/>
      <c r="F2077" s="11" t="inlineStr">
        <is>
          <t>59:25</t>
        </is>
      </c>
      <c r="G2077" s="11" t="n">
        <v>0.99</v>
      </c>
      <c r="H2077" s="12" t="inlineStr">
        <is>
          <t>★</t>
        </is>
      </c>
      <c r="I2077" s="11" t="inlineStr">
        <is>
          <t>Not started</t>
        </is>
      </c>
      <c r="J2077" s="13" t="n"/>
      <c r="K2077" s="10" t="inlineStr"/>
      <c r="L2077" s="14" t="inlineStr">
        <is>
          <t>▶ watch</t>
        </is>
      </c>
      <c r="M2077" s="10" t="inlineStr">
        <is>
          <t>McCoy et al. 2024, PNAS 121:e2322420121 (Embers of Autoregression) · Bubeck et al. 2023, arXiv:2303.12712 (Sparks of AGI)</t>
        </is>
      </c>
      <c r="N2077" s="14" t="inlineStr">
        <is>
          <t>read ↗</t>
        </is>
      </c>
      <c r="O2077" s="11" t="inlineStr">
        <is>
          <t xml:space="preserve">reading for D.7.7 Is reasoning real? - the standing </t>
        </is>
      </c>
      <c r="P2077" s="10" t="inlineStr"/>
    </row>
    <row r="2078">
      <c r="A2078" s="17" t="n">
        <v>2077</v>
      </c>
      <c r="B2078" s="17" t="inlineStr">
        <is>
          <t>Part III - Upstream AI Research</t>
        </is>
      </c>
      <c r="C2078" s="18" t="inlineStr">
        <is>
          <t>9.2 Simons: Deep Learning Theory Workshop and Summer School (August 1–5, 2022</t>
        </is>
      </c>
      <c r="D2078" s="10" t="inlineStr">
        <is>
          <t>Tutorial: Statistical Learning Theory and Neural Networks II</t>
        </is>
      </c>
      <c r="E2078" s="10" t="inlineStr"/>
      <c r="F2078" s="11" t="inlineStr">
        <is>
          <t>1:02:20</t>
        </is>
      </c>
      <c r="G2078" s="11" t="n">
        <v>1.04</v>
      </c>
      <c r="H2078" s="12" t="inlineStr">
        <is>
          <t>★</t>
        </is>
      </c>
      <c r="I2078" s="11" t="inlineStr">
        <is>
          <t>Not started</t>
        </is>
      </c>
      <c r="J2078" s="13" t="n"/>
      <c r="K2078" s="10" t="inlineStr"/>
      <c r="L2078" s="14" t="inlineStr">
        <is>
          <t>▶ watch</t>
        </is>
      </c>
      <c r="M2078" s="10" t="inlineStr">
        <is>
          <t>McCoy et al. 2024, PNAS 121:e2322420121 (Embers of Autoregression) · Bubeck et al. 2023, arXiv:2303.12712 (Sparks of AGI)</t>
        </is>
      </c>
      <c r="N2078" s="14" t="inlineStr">
        <is>
          <t>read ↗</t>
        </is>
      </c>
      <c r="O2078" s="11" t="inlineStr">
        <is>
          <t xml:space="preserve">reading for D.7.7 Is reasoning real? - the standing </t>
        </is>
      </c>
      <c r="P2078" s="10" t="inlineStr"/>
    </row>
    <row r="2079">
      <c r="A2079" s="17" t="n">
        <v>2078</v>
      </c>
      <c r="B2079" s="17" t="inlineStr">
        <is>
          <t>Part III - Upstream AI Research</t>
        </is>
      </c>
      <c r="C2079" s="18" t="inlineStr">
        <is>
          <t>9.2 Simons: Deep Learning Theory Workshop and Summer School (August 1–5, 2022</t>
        </is>
      </c>
      <c r="D2079" s="10" t="inlineStr">
        <is>
          <t>A Theoretical Framework of Convolutional Kernels on Image Datasets</t>
        </is>
      </c>
      <c r="E2079" s="10" t="inlineStr"/>
      <c r="F2079" s="11" t="inlineStr">
        <is>
          <t>1:00:05</t>
        </is>
      </c>
      <c r="G2079" s="11" t="n">
        <v>1</v>
      </c>
      <c r="H2079" s="12" t="inlineStr">
        <is>
          <t>★</t>
        </is>
      </c>
      <c r="I2079" s="11" t="inlineStr">
        <is>
          <t>Not started</t>
        </is>
      </c>
      <c r="J2079" s="13" t="n"/>
      <c r="K2079" s="10" t="inlineStr"/>
      <c r="L2079" s="14" t="inlineStr">
        <is>
          <t>▶ watch</t>
        </is>
      </c>
      <c r="M2079" s="10" t="inlineStr">
        <is>
          <t>McCoy et al. 2024, PNAS 121:e2322420121 (Embers of Autoregression) · Bubeck et al. 2023, arXiv:2303.12712 (Sparks of AGI)</t>
        </is>
      </c>
      <c r="N2079" s="14" t="inlineStr">
        <is>
          <t>read ↗</t>
        </is>
      </c>
      <c r="O2079" s="11" t="inlineStr">
        <is>
          <t xml:space="preserve">reading for D.7.7 Is reasoning real? - the standing </t>
        </is>
      </c>
      <c r="P2079" s="10" t="inlineStr"/>
    </row>
    <row r="2080">
      <c r="A2080" s="17" t="n">
        <v>2079</v>
      </c>
      <c r="B2080" s="17" t="inlineStr">
        <is>
          <t>Part III - Upstream AI Research</t>
        </is>
      </c>
      <c r="C2080" s="18" t="inlineStr">
        <is>
          <t>9.2 Simons: Deep Learning Theory Workshop and Summer School (August 1–5, 2022</t>
        </is>
      </c>
      <c r="D2080" s="10" t="inlineStr">
        <is>
          <t>Understanding the Robustness of Deep Learning</t>
        </is>
      </c>
      <c r="E2080" s="10" t="inlineStr"/>
      <c r="F2080" s="11" t="inlineStr">
        <is>
          <t>1:00:23</t>
        </is>
      </c>
      <c r="G2080" s="11" t="n">
        <v>1.01</v>
      </c>
      <c r="H2080" s="12" t="inlineStr">
        <is>
          <t>★</t>
        </is>
      </c>
      <c r="I2080" s="11" t="inlineStr">
        <is>
          <t>Not started</t>
        </is>
      </c>
      <c r="J2080" s="13" t="n"/>
      <c r="K2080" s="10" t="inlineStr"/>
      <c r="L2080" s="14" t="inlineStr">
        <is>
          <t>▶ watch</t>
        </is>
      </c>
      <c r="M2080" s="10" t="inlineStr">
        <is>
          <t>McCoy et al. 2024, PNAS 121:e2322420121 (Embers of Autoregression) · Bubeck et al. 2023, arXiv:2303.12712 (Sparks of AGI)</t>
        </is>
      </c>
      <c r="N2080" s="14" t="inlineStr">
        <is>
          <t>read ↗</t>
        </is>
      </c>
      <c r="O2080" s="11" t="inlineStr">
        <is>
          <t xml:space="preserve">reading for D.7.7 Is reasoning real? - the standing </t>
        </is>
      </c>
      <c r="P2080" s="10" t="inlineStr"/>
    </row>
    <row r="2081">
      <c r="A2081" s="17" t="n">
        <v>2080</v>
      </c>
      <c r="B2081" s="17" t="inlineStr">
        <is>
          <t>Part III - Upstream AI Research</t>
        </is>
      </c>
      <c r="C2081" s="18" t="inlineStr">
        <is>
          <t>9.3 Simons: Modern Paradigms in Generalization (Fall 2024</t>
        </is>
      </c>
      <c r="D2081" s="10" t="inlineStr">
        <is>
          <t>Overview of Statistical Learning Theory, Part 1</t>
        </is>
      </c>
      <c r="E2081" s="10" t="inlineStr"/>
      <c r="F2081" s="11" t="inlineStr">
        <is>
          <t>1:16:40</t>
        </is>
      </c>
      <c r="G2081" s="11" t="n">
        <v>1.28</v>
      </c>
      <c r="H2081" s="12" t="inlineStr">
        <is>
          <t>★</t>
        </is>
      </c>
      <c r="I2081" s="11" t="inlineStr">
        <is>
          <t>Not started</t>
        </is>
      </c>
      <c r="J2081" s="13" t="n"/>
      <c r="K2081" s="10" t="inlineStr"/>
      <c r="L2081" s="14" t="inlineStr">
        <is>
          <t>▶ watch</t>
        </is>
      </c>
      <c r="M2081" s="10" t="inlineStr">
        <is>
          <t>McCoy et al. 2024, PNAS 121:e2322420121 (Embers of Autoregression) · Bubeck et al. 2023, arXiv:2303.12712 (Sparks of AGI)</t>
        </is>
      </c>
      <c r="N2081" s="14" t="inlineStr">
        <is>
          <t>read ↗</t>
        </is>
      </c>
      <c r="O2081" s="11" t="inlineStr">
        <is>
          <t xml:space="preserve">reading for D.7.7 Is reasoning real? - the standing </t>
        </is>
      </c>
      <c r="P2081" s="10" t="inlineStr"/>
    </row>
    <row r="2082">
      <c r="A2082" s="17" t="n">
        <v>2081</v>
      </c>
      <c r="B2082" s="17" t="inlineStr">
        <is>
          <t>Part III - Upstream AI Research</t>
        </is>
      </c>
      <c r="C2082" s="18" t="inlineStr">
        <is>
          <t>9.3 Simons: Modern Paradigms in Generalization (Fall 2024</t>
        </is>
      </c>
      <c r="D2082" s="10" t="inlineStr">
        <is>
          <t>Overview of Statistical Learning Theory, Part 2</t>
        </is>
      </c>
      <c r="E2082" s="10" t="inlineStr"/>
      <c r="F2082" s="11" t="inlineStr">
        <is>
          <t>1:16:40</t>
        </is>
      </c>
      <c r="G2082" s="11" t="n">
        <v>1.28</v>
      </c>
      <c r="H2082" s="12" t="inlineStr">
        <is>
          <t>★</t>
        </is>
      </c>
      <c r="I2082" s="11" t="inlineStr">
        <is>
          <t>Not started</t>
        </is>
      </c>
      <c r="J2082" s="13" t="n"/>
      <c r="K2082" s="10" t="inlineStr"/>
      <c r="L2082" s="14" t="inlineStr">
        <is>
          <t>▶ watch</t>
        </is>
      </c>
      <c r="M2082" s="10" t="inlineStr">
        <is>
          <t>McCoy et al. 2024, PNAS 121:e2322420121 (Embers of Autoregression) · Bubeck et al. 2023, arXiv:2303.12712 (Sparks of AGI)</t>
        </is>
      </c>
      <c r="N2082" s="14" t="inlineStr">
        <is>
          <t>read ↗</t>
        </is>
      </c>
      <c r="O2082" s="11" t="inlineStr">
        <is>
          <t xml:space="preserve">reading for D.7.7 Is reasoning real? - the standing </t>
        </is>
      </c>
      <c r="P2082" s="10" t="inlineStr"/>
    </row>
    <row r="2083">
      <c r="A2083" s="17" t="n">
        <v>2082</v>
      </c>
      <c r="B2083" s="17" t="inlineStr">
        <is>
          <t>Part III - Upstream AI Research</t>
        </is>
      </c>
      <c r="C2083" s="18" t="inlineStr">
        <is>
          <t>9.3 Simons: Modern Paradigms in Generalization (Fall 2024</t>
        </is>
      </c>
      <c r="D2083" s="10" t="inlineStr">
        <is>
          <t>Modern paradigms of generalization, the heliocentric model of Aristarchus, gradient descent is a lazy scientist, and other stories</t>
        </is>
      </c>
      <c r="E2083" s="10" t="inlineStr"/>
      <c r="F2083" s="11" t="inlineStr">
        <is>
          <t>1:09:38</t>
        </is>
      </c>
      <c r="G2083" s="11" t="n">
        <v>1.16</v>
      </c>
      <c r="H2083" s="12" t="inlineStr">
        <is>
          <t>★</t>
        </is>
      </c>
      <c r="I2083" s="11" t="inlineStr">
        <is>
          <t>Not started</t>
        </is>
      </c>
      <c r="J2083" s="13" t="n"/>
      <c r="K2083" s="10" t="inlineStr"/>
      <c r="L2083" s="14" t="inlineStr">
        <is>
          <t>▶ watch</t>
        </is>
      </c>
      <c r="M2083" s="10" t="inlineStr">
        <is>
          <t>McCoy et al. 2024, PNAS 121:e2322420121 (Embers of Autoregression) · Bubeck et al. 2023, arXiv:2303.12712 (Sparks of AGI)</t>
        </is>
      </c>
      <c r="N2083" s="14" t="inlineStr">
        <is>
          <t>read ↗</t>
        </is>
      </c>
      <c r="O2083" s="11" t="inlineStr">
        <is>
          <t xml:space="preserve">reading for D.7.7 Is reasoning real? - the standing </t>
        </is>
      </c>
      <c r="P2083" s="10" t="inlineStr"/>
    </row>
    <row r="2084">
      <c r="A2084" s="17" t="n">
        <v>2083</v>
      </c>
      <c r="B2084" s="17" t="inlineStr">
        <is>
          <t>Part III - Upstream AI Research</t>
        </is>
      </c>
      <c r="C2084" s="18" t="inlineStr">
        <is>
          <t>9.3 Simons: Modern Paradigms in Generalization (Fall 2024</t>
        </is>
      </c>
      <c r="D2084" s="10" t="inlineStr">
        <is>
          <t>(see curriculum section)</t>
        </is>
      </c>
      <c r="E2084" s="10" t="inlineStr"/>
      <c r="F2084" s="11" t="inlineStr">
        <is>
          <t>1:01:38</t>
        </is>
      </c>
      <c r="G2084" s="11" t="n">
        <v>1.03</v>
      </c>
      <c r="H2084" s="12" t="inlineStr"/>
      <c r="I2084" s="11" t="inlineStr">
        <is>
          <t>Not started</t>
        </is>
      </c>
      <c r="J2084" s="13" t="n"/>
      <c r="K2084" s="10" t="inlineStr"/>
      <c r="L2084" s="14" t="inlineStr">
        <is>
          <t>▶ watch</t>
        </is>
      </c>
      <c r="M2084" s="10" t="inlineStr">
        <is>
          <t>McCoy et al. 2024, PNAS 121:e2322420121 (Embers of Autoregression) · Bubeck et al. 2023, arXiv:2303.12712 (Sparks of AGI)</t>
        </is>
      </c>
      <c r="N2084" s="14" t="inlineStr">
        <is>
          <t>read ↗</t>
        </is>
      </c>
      <c r="O2084" s="11" t="inlineStr">
        <is>
          <t xml:space="preserve">reading for D.7.7 Is reasoning real? - the standing </t>
        </is>
      </c>
      <c r="P2084" s="10" t="inlineStr"/>
    </row>
    <row r="2085">
      <c r="A2085" s="17" t="n">
        <v>2084</v>
      </c>
      <c r="B2085" s="17" t="inlineStr">
        <is>
          <t>Part III - Upstream AI Research</t>
        </is>
      </c>
      <c r="C2085" s="18" t="inlineStr">
        <is>
          <t>9.3 Simons: Modern Paradigms in Generalization (Fall 2024</t>
        </is>
      </c>
      <c r="D2085" s="10" t="inlineStr">
        <is>
          <t>(see curriculum section)</t>
        </is>
      </c>
      <c r="E2085" s="10" t="inlineStr"/>
      <c r="F2085" s="11" t="inlineStr">
        <is>
          <t>1:01:38</t>
        </is>
      </c>
      <c r="G2085" s="11" t="n">
        <v>1.03</v>
      </c>
      <c r="H2085" s="12" t="inlineStr"/>
      <c r="I2085" s="11" t="inlineStr">
        <is>
          <t>Not started</t>
        </is>
      </c>
      <c r="J2085" s="13" t="n"/>
      <c r="K2085" s="10" t="inlineStr"/>
      <c r="L2085" s="14" t="inlineStr">
        <is>
          <t>▶ watch</t>
        </is>
      </c>
      <c r="M2085" s="10" t="inlineStr">
        <is>
          <t>McCoy et al. 2024, PNAS 121:e2322420121 (Embers of Autoregression) · Bubeck et al. 2023, arXiv:2303.12712 (Sparks of AGI)</t>
        </is>
      </c>
      <c r="N2085" s="14" t="inlineStr">
        <is>
          <t>read ↗</t>
        </is>
      </c>
      <c r="O2085" s="11" t="inlineStr">
        <is>
          <t xml:space="preserve">reading for D.7.7 Is reasoning real? - the standing </t>
        </is>
      </c>
      <c r="P2085" s="10" t="inlineStr"/>
    </row>
    <row r="2086">
      <c r="A2086" s="17" t="n">
        <v>2085</v>
      </c>
      <c r="B2086" s="17" t="inlineStr">
        <is>
          <t>Part III - Upstream AI Research</t>
        </is>
      </c>
      <c r="C2086" s="18" t="inlineStr">
        <is>
          <t>9.4 Simons: Special Year on Large Language Models and Transformers (2023–2024</t>
        </is>
      </c>
      <c r="D2086" s="10" t="inlineStr">
        <is>
          <t>Introduction to Transformers (How Do Transformers Work, Part 1</t>
        </is>
      </c>
      <c r="E2086" s="10" t="inlineStr"/>
      <c r="F2086" s="11" t="inlineStr">
        <is>
          <t>1:10:24</t>
        </is>
      </c>
      <c r="G2086" s="11" t="n">
        <v>1.17</v>
      </c>
      <c r="H2086" s="12" t="inlineStr">
        <is>
          <t>★</t>
        </is>
      </c>
      <c r="I2086" s="11" t="inlineStr">
        <is>
          <t>Not started</t>
        </is>
      </c>
      <c r="J2086" s="13" t="n"/>
      <c r="K2086" s="10" t="inlineStr"/>
      <c r="L2086" s="14" t="inlineStr">
        <is>
          <t>▶ watch</t>
        </is>
      </c>
      <c r="M2086" s="10" t="inlineStr">
        <is>
          <t>McCoy et al. 2024, PNAS 121:e2322420121 (Embers of Autoregression) · Bubeck et al. 2023, arXiv:2303.12712 (Sparks of AGI)</t>
        </is>
      </c>
      <c r="N2086" s="14" t="inlineStr">
        <is>
          <t>read ↗</t>
        </is>
      </c>
      <c r="O2086" s="11" t="inlineStr">
        <is>
          <t xml:space="preserve">reading for D.7.7 Is reasoning real? - the standing </t>
        </is>
      </c>
      <c r="P2086" s="10" t="inlineStr"/>
    </row>
    <row r="2087">
      <c r="A2087" s="17" t="n">
        <v>2086</v>
      </c>
      <c r="B2087" s="17" t="inlineStr">
        <is>
          <t>Part III - Upstream AI Research</t>
        </is>
      </c>
      <c r="C2087" s="18" t="inlineStr">
        <is>
          <t>9.4 Simons: Special Year on Large Language Models and Transformers (2023–2024</t>
        </is>
      </c>
      <c r="D2087" s="10" t="inlineStr">
        <is>
          <t>How Do Transformers Work? (Part 2</t>
        </is>
      </c>
      <c r="E2087" s="10" t="inlineStr"/>
      <c r="F2087" s="11" t="inlineStr">
        <is>
          <t>1:10:24</t>
        </is>
      </c>
      <c r="G2087" s="11" t="n">
        <v>1.17</v>
      </c>
      <c r="H2087" s="12" t="inlineStr">
        <is>
          <t>★</t>
        </is>
      </c>
      <c r="I2087" s="11" t="inlineStr">
        <is>
          <t>Not started</t>
        </is>
      </c>
      <c r="J2087" s="13" t="n"/>
      <c r="K2087" s="10" t="inlineStr"/>
      <c r="L2087" s="14" t="inlineStr">
        <is>
          <t>▶ watch</t>
        </is>
      </c>
      <c r="M2087" s="10" t="inlineStr">
        <is>
          <t>McCoy et al. 2024, PNAS 121:e2322420121 (Embers of Autoregression) · Bubeck et al. 2023, arXiv:2303.12712 (Sparks of AGI)</t>
        </is>
      </c>
      <c r="N2087" s="14" t="inlineStr">
        <is>
          <t>read ↗</t>
        </is>
      </c>
      <c r="O2087" s="11" t="inlineStr">
        <is>
          <t xml:space="preserve">reading for D.7.7 Is reasoning real? - the standing </t>
        </is>
      </c>
      <c r="P2087" s="10" t="inlineStr"/>
    </row>
    <row r="2088">
      <c r="A2088" s="17" t="n">
        <v>2087</v>
      </c>
      <c r="B2088" s="17" t="inlineStr">
        <is>
          <t>Part III - Upstream AI Research</t>
        </is>
      </c>
      <c r="C2088" s="18" t="inlineStr">
        <is>
          <t>9.4 Simons: Special Year on Large Language Models and Transformers (2023–2024</t>
        </is>
      </c>
      <c r="D2088" s="10" t="inlineStr">
        <is>
          <t>On large language models and transformers: perspectives from physics, neuroscience, and theory</t>
        </is>
      </c>
      <c r="E2088" s="10" t="inlineStr"/>
      <c r="F2088" s="11" t="inlineStr">
        <is>
          <t>1:32:41</t>
        </is>
      </c>
      <c r="G2088" s="11" t="n">
        <v>1.54</v>
      </c>
      <c r="H2088" s="12" t="inlineStr">
        <is>
          <t>★</t>
        </is>
      </c>
      <c r="I2088" s="11" t="inlineStr">
        <is>
          <t>Not started</t>
        </is>
      </c>
      <c r="J2088" s="13" t="n"/>
      <c r="K2088" s="10" t="inlineStr"/>
      <c r="L2088" s="14" t="inlineStr">
        <is>
          <t>▶ watch</t>
        </is>
      </c>
      <c r="M2088" s="10" t="inlineStr">
        <is>
          <t>McCoy et al. 2024, PNAS 121:e2322420121 (Embers of Autoregression) · Bubeck et al. 2023, arXiv:2303.12712 (Sparks of AGI)</t>
        </is>
      </c>
      <c r="N2088" s="14" t="inlineStr">
        <is>
          <t>read ↗</t>
        </is>
      </c>
      <c r="O2088" s="11" t="inlineStr">
        <is>
          <t xml:space="preserve">reading for D.7.7 Is reasoning real? - the standing </t>
        </is>
      </c>
      <c r="P2088" s="10" t="inlineStr"/>
    </row>
    <row r="2089">
      <c r="A2089" s="17" t="n">
        <v>2088</v>
      </c>
      <c r="B2089" s="17" t="inlineStr">
        <is>
          <t>Part III - Upstream AI Research</t>
        </is>
      </c>
      <c r="C2089" s="18" t="inlineStr">
        <is>
          <t>9.5 Simons: Graph Learning Meets Theoretical Computer Science (2025</t>
        </is>
      </c>
      <c r="D2089" s="10" t="inlineStr">
        <is>
          <t>Boot Camp on Graph Learning</t>
        </is>
      </c>
      <c r="E2089" s="10" t="inlineStr"/>
      <c r="F2089" s="11" t="inlineStr">
        <is>
          <t>1:38:30</t>
        </is>
      </c>
      <c r="G2089" s="11" t="n">
        <v>1.64</v>
      </c>
      <c r="H2089" s="12" t="inlineStr">
        <is>
          <t>★</t>
        </is>
      </c>
      <c r="I2089" s="11" t="inlineStr">
        <is>
          <t>Not started</t>
        </is>
      </c>
      <c r="J2089" s="13" t="n"/>
      <c r="K2089" s="10" t="inlineStr"/>
      <c r="L2089" s="14" t="inlineStr">
        <is>
          <t>▶ watch</t>
        </is>
      </c>
      <c r="M2089" s="10" t="inlineStr">
        <is>
          <t>McCoy et al. 2024, PNAS 121:e2322420121 (Embers of Autoregression) · Bubeck et al. 2023, arXiv:2303.12712 (Sparks of AGI)</t>
        </is>
      </c>
      <c r="N2089" s="14" t="inlineStr">
        <is>
          <t>read ↗</t>
        </is>
      </c>
      <c r="O2089" s="11" t="inlineStr">
        <is>
          <t xml:space="preserve">reading for D.7.7 Is reasoning real? - the standing </t>
        </is>
      </c>
      <c r="P2089" s="10" t="inlineStr"/>
    </row>
    <row r="2090">
      <c r="A2090" s="17" t="n">
        <v>2089</v>
      </c>
      <c r="B2090" s="17" t="inlineStr">
        <is>
          <t>Part III - Upstream AI Research</t>
        </is>
      </c>
      <c r="C2090" s="18" t="inlineStr">
        <is>
          <t>9.5 Simons: Graph Learning Meets Theoretical Computer Science (2025</t>
        </is>
      </c>
      <c r="D2090" s="10" t="inlineStr">
        <is>
          <t>Boot camp on logic and graph learning</t>
        </is>
      </c>
      <c r="E2090" s="10" t="inlineStr"/>
      <c r="F2090" s="11" t="inlineStr">
        <is>
          <t>1:39:50</t>
        </is>
      </c>
      <c r="G2090" s="11" t="n">
        <v>1.66</v>
      </c>
      <c r="H2090" s="12" t="inlineStr">
        <is>
          <t>★</t>
        </is>
      </c>
      <c r="I2090" s="11" t="inlineStr">
        <is>
          <t>Not started</t>
        </is>
      </c>
      <c r="J2090" s="13" t="n"/>
      <c r="K2090" s="10" t="inlineStr"/>
      <c r="L2090" s="14" t="inlineStr">
        <is>
          <t>▶ watch</t>
        </is>
      </c>
      <c r="M2090" s="10" t="inlineStr">
        <is>
          <t>McCoy et al. 2024, PNAS 121:e2322420121 (Embers of Autoregression) · Bubeck et al. 2023, arXiv:2303.12712 (Sparks of AGI)</t>
        </is>
      </c>
      <c r="N2090" s="14" t="inlineStr">
        <is>
          <t>read ↗</t>
        </is>
      </c>
      <c r="O2090" s="11" t="inlineStr">
        <is>
          <t xml:space="preserve">reading for D.7.7 Is reasoning real? - the standing </t>
        </is>
      </c>
      <c r="P2090" s="10" t="inlineStr"/>
    </row>
    <row r="2091">
      <c r="A2091" s="17" t="n">
        <v>2090</v>
      </c>
      <c r="B2091" s="17" t="inlineStr">
        <is>
          <t>Part III - Upstream AI Research</t>
        </is>
      </c>
      <c r="C2091" s="18" t="inlineStr">
        <is>
          <t>9.5 Simons: Graph Learning Meets Theoretical Computer Science (2025</t>
        </is>
      </c>
      <c r="D2091" s="10" t="inlineStr">
        <is>
          <t>Boot camp on invariances in graph learning</t>
        </is>
      </c>
      <c r="E2091" s="10" t="inlineStr"/>
      <c r="F2091" s="11" t="inlineStr">
        <is>
          <t>1:30:19</t>
        </is>
      </c>
      <c r="G2091" s="11" t="n">
        <v>1.51</v>
      </c>
      <c r="H2091" s="12" t="inlineStr">
        <is>
          <t>★</t>
        </is>
      </c>
      <c r="I2091" s="11" t="inlineStr">
        <is>
          <t>Not started</t>
        </is>
      </c>
      <c r="J2091" s="13" t="n"/>
      <c r="K2091" s="10" t="inlineStr"/>
      <c r="L2091" s="14" t="inlineStr">
        <is>
          <t>▶ watch</t>
        </is>
      </c>
      <c r="M2091" s="10" t="inlineStr">
        <is>
          <t>McCoy et al. 2024, PNAS 121:e2322420121 (Embers of Autoregression) · Bubeck et al. 2023, arXiv:2303.12712 (Sparks of AGI)</t>
        </is>
      </c>
      <c r="N2091" s="14" t="inlineStr">
        <is>
          <t>read ↗</t>
        </is>
      </c>
      <c r="O2091" s="11" t="inlineStr">
        <is>
          <t xml:space="preserve">reading for D.7.7 Is reasoning real? - the standing </t>
        </is>
      </c>
      <c r="P2091" s="10" t="inlineStr"/>
    </row>
    <row r="2092">
      <c r="A2092" s="17" t="n">
        <v>2091</v>
      </c>
      <c r="B2092" s="17" t="inlineStr">
        <is>
          <t>Part III - Upstream AI Research</t>
        </is>
      </c>
      <c r="C2092" s="18" t="inlineStr">
        <is>
          <t>9.5 Simons: Graph Learning Meets Theoretical Computer Science (2025</t>
        </is>
      </c>
      <c r="D2092" s="10" t="inlineStr">
        <is>
          <t>(see curriculum section)</t>
        </is>
      </c>
      <c r="E2092" s="10" t="inlineStr"/>
      <c r="F2092" s="11" t="inlineStr"/>
      <c r="G2092" s="11" t="n">
        <v>0</v>
      </c>
      <c r="H2092" s="12" t="inlineStr"/>
      <c r="I2092" s="11" t="inlineStr">
        <is>
          <t>Not started</t>
        </is>
      </c>
      <c r="J2092" s="13" t="n"/>
      <c r="K2092" s="10" t="inlineStr"/>
      <c r="L2092" s="14" t="inlineStr">
        <is>
          <t>▶ watch</t>
        </is>
      </c>
      <c r="M2092" s="10" t="inlineStr">
        <is>
          <t>McCoy et al. 2024, PNAS 121:e2322420121 (Embers of Autoregression) · Bubeck et al. 2023, arXiv:2303.12712 (Sparks of AGI)</t>
        </is>
      </c>
      <c r="N2092" s="14" t="inlineStr">
        <is>
          <t>read ↗</t>
        </is>
      </c>
      <c r="O2092" s="11" t="inlineStr">
        <is>
          <t xml:space="preserve">reading for D.7.7 Is reasoning real? - the standing </t>
        </is>
      </c>
      <c r="P2092" s="10" t="inlineStr"/>
    </row>
    <row r="2093">
      <c r="A2093" s="17" t="n">
        <v>2092</v>
      </c>
      <c r="B2093" s="17" t="inlineStr">
        <is>
          <t>Part III - Upstream AI Research</t>
        </is>
      </c>
      <c r="C2093" s="18" t="inlineStr">
        <is>
          <t>9.6 Simons: Theoretical Foundations - From the Early Days of Neural Networks to the Modern Deep Learning Era</t>
        </is>
      </c>
      <c r="D2093" s="10" t="inlineStr">
        <is>
          <t>Talk by Matus Telgarsky (Courant, NYU</t>
        </is>
      </c>
      <c r="E2093" s="10" t="inlineStr"/>
      <c r="F2093" s="11" t="inlineStr">
        <is>
          <t>31:06</t>
        </is>
      </c>
      <c r="G2093" s="11" t="n">
        <v>0.52</v>
      </c>
      <c r="H2093" s="12" t="inlineStr">
        <is>
          <t>★</t>
        </is>
      </c>
      <c r="I2093" s="11" t="inlineStr">
        <is>
          <t>Not started</t>
        </is>
      </c>
      <c r="J2093" s="13" t="n"/>
      <c r="K2093" s="10" t="inlineStr"/>
      <c r="L2093" s="14" t="inlineStr">
        <is>
          <t>▶ watch</t>
        </is>
      </c>
      <c r="M2093" s="10" t="inlineStr">
        <is>
          <t>McCoy et al. 2024, PNAS 121:e2322420121 (Embers of Autoregression) · Bubeck et al. 2023, arXiv:2303.12712 (Sparks of AGI)</t>
        </is>
      </c>
      <c r="N2093" s="14" t="inlineStr">
        <is>
          <t>read ↗</t>
        </is>
      </c>
      <c r="O2093" s="11" t="inlineStr">
        <is>
          <t xml:space="preserve">reading for D.7.7 Is reasoning real? - the standing </t>
        </is>
      </c>
      <c r="P2093" s="10" t="inlineStr"/>
    </row>
    <row r="2094">
      <c r="A2094" s="17" t="n">
        <v>2093</v>
      </c>
      <c r="B2094" s="17" t="inlineStr">
        <is>
          <t>Part III - Upstream AI Research</t>
        </is>
      </c>
      <c r="C2094" s="18" t="inlineStr">
        <is>
          <t>9.6 Simons: Theoretical Foundations - From the Early Days of Neural Networks to the Modern Deep Learning Era</t>
        </is>
      </c>
      <c r="D2094" s="10" t="inlineStr">
        <is>
          <t>Talk by Nati Srebro (TTIC</t>
        </is>
      </c>
      <c r="E2094" s="10" t="inlineStr"/>
      <c r="F2094" s="11" t="inlineStr">
        <is>
          <t>31:06</t>
        </is>
      </c>
      <c r="G2094" s="11" t="n">
        <v>0.52</v>
      </c>
      <c r="H2094" s="12" t="inlineStr">
        <is>
          <t>★</t>
        </is>
      </c>
      <c r="I2094" s="11" t="inlineStr">
        <is>
          <t>Not started</t>
        </is>
      </c>
      <c r="J2094" s="13" t="n"/>
      <c r="K2094" s="10" t="inlineStr"/>
      <c r="L2094" s="14" t="inlineStr">
        <is>
          <t>▶ watch</t>
        </is>
      </c>
      <c r="M2094" s="10" t="inlineStr">
        <is>
          <t>McCoy et al. 2024, PNAS 121:e2322420121 (Embers of Autoregression) · Bubeck et al. 2023, arXiv:2303.12712 (Sparks of AGI)</t>
        </is>
      </c>
      <c r="N2094" s="14" t="inlineStr">
        <is>
          <t>read ↗</t>
        </is>
      </c>
      <c r="O2094" s="11" t="inlineStr">
        <is>
          <t xml:space="preserve">reading for D.7.7 Is reasoning real? - the standing </t>
        </is>
      </c>
      <c r="P2094" s="10" t="inlineStr"/>
    </row>
    <row r="2095">
      <c r="A2095" s="17" t="n">
        <v>2094</v>
      </c>
      <c r="B2095" s="17" t="inlineStr">
        <is>
          <t>Part III - Upstream AI Research</t>
        </is>
      </c>
      <c r="C2095" s="18" t="inlineStr">
        <is>
          <t>9.6 Simons: Theoretical Foundations - From the Early Days of Neural Networks to the Modern Deep Learning Era</t>
        </is>
      </c>
      <c r="D2095" s="10" t="inlineStr">
        <is>
          <t>Talk by Misha Belkin (UC San Diego</t>
        </is>
      </c>
      <c r="E2095" s="10" t="inlineStr"/>
      <c r="F2095" s="11" t="inlineStr">
        <is>
          <t>23:09</t>
        </is>
      </c>
      <c r="G2095" s="11" t="n">
        <v>0.39</v>
      </c>
      <c r="H2095" s="12" t="inlineStr">
        <is>
          <t>★</t>
        </is>
      </c>
      <c r="I2095" s="11" t="inlineStr">
        <is>
          <t>Not started</t>
        </is>
      </c>
      <c r="J2095" s="13" t="n"/>
      <c r="K2095" s="10" t="inlineStr"/>
      <c r="L2095" s="14" t="inlineStr">
        <is>
          <t>▶ watch</t>
        </is>
      </c>
      <c r="M2095" s="10" t="inlineStr">
        <is>
          <t>McCoy et al. 2024, PNAS 121:e2322420121 (Embers of Autoregression) · Bubeck et al. 2023, arXiv:2303.12712 (Sparks of AGI)</t>
        </is>
      </c>
      <c r="N2095" s="14" t="inlineStr">
        <is>
          <t>read ↗</t>
        </is>
      </c>
      <c r="O2095" s="11" t="inlineStr">
        <is>
          <t xml:space="preserve">reading for D.7.7 Is reasoning real? - the standing </t>
        </is>
      </c>
      <c r="P2095" s="10" t="inlineStr"/>
    </row>
    <row r="2096">
      <c r="A2096" s="17" t="n">
        <v>2095</v>
      </c>
      <c r="B2096" s="17" t="inlineStr">
        <is>
          <t>Part III - Upstream AI Research</t>
        </is>
      </c>
      <c r="C2096" s="18" t="inlineStr">
        <is>
          <t>9.7 IAS: Special Year on Optimization, Statistics, and Theoretical Machine Learning (2019–2020</t>
        </is>
      </c>
      <c r="D2096" s="10" t="inlineStr">
        <is>
          <t>Towards a theoretical foundation of neural networks</t>
        </is>
      </c>
      <c r="E2096" s="10" t="inlineStr"/>
      <c r="F2096" s="11" t="inlineStr">
        <is>
          <t>24:39</t>
        </is>
      </c>
      <c r="G2096" s="11" t="n">
        <v>0.41</v>
      </c>
      <c r="H2096" s="12" t="inlineStr">
        <is>
          <t>★</t>
        </is>
      </c>
      <c r="I2096" s="11" t="inlineStr">
        <is>
          <t>Not started</t>
        </is>
      </c>
      <c r="J2096" s="13" t="n"/>
      <c r="K2096" s="10" t="inlineStr"/>
      <c r="L2096" s="14" t="inlineStr">
        <is>
          <t>▶ watch</t>
        </is>
      </c>
      <c r="M2096" s="10" t="inlineStr">
        <is>
          <t>McCoy et al. 2024, PNAS 121:e2322420121 (Embers of Autoregression) · Bubeck et al. 2023, arXiv:2303.12712 (Sparks of AGI)</t>
        </is>
      </c>
      <c r="N2096" s="14" t="inlineStr">
        <is>
          <t>read ↗</t>
        </is>
      </c>
      <c r="O2096" s="11" t="inlineStr">
        <is>
          <t xml:space="preserve">reading for D.7.7 Is reasoning real? - the standing </t>
        </is>
      </c>
      <c r="P2096" s="10" t="inlineStr"/>
    </row>
    <row r="2097">
      <c r="A2097" s="17" t="n">
        <v>2096</v>
      </c>
      <c r="B2097" s="17" t="inlineStr">
        <is>
          <t>Part III - Upstream AI Research</t>
        </is>
      </c>
      <c r="C2097" s="18" t="inlineStr">
        <is>
          <t>9.7 IAS: Special Year on Optimization, Statistics, and Theoretical Machine Learning (2019–2020</t>
        </is>
      </c>
      <c r="D2097" s="10" t="inlineStr">
        <is>
          <t>Designing explicit regularizers for deep models?</t>
        </is>
      </c>
      <c r="E2097" s="10" t="inlineStr"/>
      <c r="F2097" s="11" t="inlineStr">
        <is>
          <t>31:34</t>
        </is>
      </c>
      <c r="G2097" s="11" t="n">
        <v>0.53</v>
      </c>
      <c r="H2097" s="12" t="inlineStr">
        <is>
          <t>★</t>
        </is>
      </c>
      <c r="I2097" s="11" t="inlineStr">
        <is>
          <t>Not started</t>
        </is>
      </c>
      <c r="J2097" s="13" t="n"/>
      <c r="K2097" s="10" t="inlineStr"/>
      <c r="L2097" s="14" t="inlineStr">
        <is>
          <t>▶ watch</t>
        </is>
      </c>
      <c r="M2097" s="10" t="inlineStr">
        <is>
          <t>McCoy et al. 2024, PNAS 121:e2322420121 (Embers of Autoregression) · Bubeck et al. 2023, arXiv:2303.12712 (Sparks of AGI)</t>
        </is>
      </c>
      <c r="N2097" s="14" t="inlineStr">
        <is>
          <t>read ↗</t>
        </is>
      </c>
      <c r="O2097" s="11" t="inlineStr">
        <is>
          <t xml:space="preserve">reading for D.7.7 Is reasoning real? - the standing </t>
        </is>
      </c>
      <c r="P2097" s="10" t="inlineStr"/>
    </row>
    <row r="2098">
      <c r="A2098" s="17" t="n">
        <v>2097</v>
      </c>
      <c r="B2098" s="17" t="inlineStr">
        <is>
          <t>Part III - Upstream AI Research</t>
        </is>
      </c>
      <c r="C2098" s="18" t="inlineStr">
        <is>
          <t>9.7 IAS: Special Year on Optimization, Statistics, and Theoretical Machine Learning (2019–2020</t>
        </is>
      </c>
      <c r="D2098" s="10" t="inlineStr">
        <is>
          <t>Understanding Deep Neural Networks: From Generalization to Interpretability</t>
        </is>
      </c>
      <c r="E2098" s="10" t="inlineStr"/>
      <c r="F2098" s="11" t="inlineStr">
        <is>
          <t>1:02:04</t>
        </is>
      </c>
      <c r="G2098" s="11" t="n">
        <v>1.03</v>
      </c>
      <c r="H2098" s="12" t="inlineStr">
        <is>
          <t>★</t>
        </is>
      </c>
      <c r="I2098" s="11" t="inlineStr">
        <is>
          <t>Not started</t>
        </is>
      </c>
      <c r="J2098" s="13" t="n"/>
      <c r="K2098" s="10" t="inlineStr"/>
      <c r="L2098" s="14" t="inlineStr">
        <is>
          <t>▶ watch</t>
        </is>
      </c>
      <c r="M2098" s="10" t="inlineStr">
        <is>
          <t>McCoy et al. 2024, PNAS 121:e2322420121 (Embers of Autoregression) · Bubeck et al. 2023, arXiv:2303.12712 (Sparks of AGI)</t>
        </is>
      </c>
      <c r="N2098" s="14" t="inlineStr">
        <is>
          <t>read ↗</t>
        </is>
      </c>
      <c r="O2098" s="11" t="inlineStr">
        <is>
          <t xml:space="preserve">reading for D.7.7 Is reasoning real? - the standing </t>
        </is>
      </c>
      <c r="P2098" s="10" t="inlineStr"/>
    </row>
    <row r="2099">
      <c r="A2099" s="17" t="n">
        <v>2098</v>
      </c>
      <c r="B2099" s="17" t="inlineStr">
        <is>
          <t>Part III - Upstream AI Research</t>
        </is>
      </c>
      <c r="C2099" s="18" t="inlineStr">
        <is>
          <t>1. Mechanistic interpretability</t>
        </is>
      </c>
      <c r="D2099" s="10" t="inlineStr">
        <is>
          <t>CVPR'20 iMLCV tutorial: Introduction to Circuits in CNNs by Chris Olah</t>
        </is>
      </c>
      <c r="E2099" s="10" t="inlineStr"/>
      <c r="F2099" s="11" t="inlineStr">
        <is>
          <t>44:54</t>
        </is>
      </c>
      <c r="G2099" s="11" t="n">
        <v>0.75</v>
      </c>
      <c r="H2099" s="12" t="inlineStr">
        <is>
          <t>★</t>
        </is>
      </c>
      <c r="I2099" s="11" t="inlineStr">
        <is>
          <t>Not started</t>
        </is>
      </c>
      <c r="J2099" s="13" t="n"/>
      <c r="K2099" s="10" t="inlineStr"/>
      <c r="L2099" s="14" t="inlineStr">
        <is>
          <t>▶ watch</t>
        </is>
      </c>
      <c r="M2099" s="10" t="inlineStr">
        <is>
          <t>Zoom In: An Introduction to Circuits (Distill 2020); Feature Visualization (Distill 2017). 2. Chris Olah - Looking Inside Neural Networks with Mechanistic Interpretability</t>
        </is>
      </c>
      <c r="N2099" s="14" t="inlineStr">
        <is>
          <t>read ↗</t>
        </is>
      </c>
      <c r="O2099" s="11" t="inlineStr">
        <is>
          <t>stated with the talk</t>
        </is>
      </c>
      <c r="P2099" s="10" t="inlineStr"/>
    </row>
    <row r="2100">
      <c r="A2100" s="17" t="n">
        <v>2099</v>
      </c>
      <c r="B2100" s="17" t="inlineStr">
        <is>
          <t>Part III - Upstream AI Research</t>
        </is>
      </c>
      <c r="C2100" s="18" t="inlineStr">
        <is>
          <t>1. Mechanistic interpretability</t>
        </is>
      </c>
      <c r="D2100" s="10" t="inlineStr">
        <is>
          <t>Chris Olah - Looking Inside Neural Networks with Mechanistic Interpretability</t>
        </is>
      </c>
      <c r="E2100" s="10" t="inlineStr"/>
      <c r="F2100" s="11" t="inlineStr">
        <is>
          <t>40:59</t>
        </is>
      </c>
      <c r="G2100" s="11" t="n">
        <v>0.68</v>
      </c>
      <c r="H2100" s="12" t="inlineStr">
        <is>
          <t>★</t>
        </is>
      </c>
      <c r="I2100" s="11" t="inlineStr">
        <is>
          <t>Not started</t>
        </is>
      </c>
      <c r="J2100" s="13" t="n"/>
      <c r="K2100" s="10" t="inlineStr"/>
      <c r="L2100" s="14" t="inlineStr">
        <is>
          <t>▶ watch</t>
        </is>
      </c>
      <c r="M2100" s="10" t="inlineStr">
        <is>
          <t>Toy Models of Superposition (Elhage et al. 2022). 3. Catherine Olsson - Mechanistic Interpretability: Getting Started</t>
        </is>
      </c>
      <c r="N2100" s="14" t="inlineStr">
        <is>
          <t>read ↗</t>
        </is>
      </c>
      <c r="O2100" s="11" t="inlineStr">
        <is>
          <t>stated with the talk</t>
        </is>
      </c>
      <c r="P2100" s="10" t="inlineStr"/>
    </row>
    <row r="2101">
      <c r="A2101" s="17" t="n">
        <v>2100</v>
      </c>
      <c r="B2101" s="17" t="inlineStr">
        <is>
          <t>Part III - Upstream AI Research</t>
        </is>
      </c>
      <c r="C2101" s="18" t="inlineStr">
        <is>
          <t>1. Mechanistic interpretability</t>
        </is>
      </c>
      <c r="D2101" s="10" t="inlineStr">
        <is>
          <t>Catherine Olsson - Mechanistic Interpretability: Getting Started</t>
        </is>
      </c>
      <c r="E2101" s="10" t="inlineStr"/>
      <c r="F2101" s="11" t="inlineStr">
        <is>
          <t>54:10</t>
        </is>
      </c>
      <c r="G2101" s="11" t="n">
        <v>0.9</v>
      </c>
      <c r="H2101" s="12" t="inlineStr">
        <is>
          <t>★</t>
        </is>
      </c>
      <c r="I2101" s="11" t="inlineStr">
        <is>
          <t>Not started</t>
        </is>
      </c>
      <c r="J2101" s="13" t="n"/>
      <c r="K2101" s="10" t="inlineStr"/>
      <c r="L2101" s="14" t="inlineStr">
        <is>
          <t>▶ watch</t>
        </is>
      </c>
      <c r="M2101" s="10" t="inlineStr">
        <is>
          <t>McCoy et al. 2024, PNAS 121:e2322420121 (Embers of Autoregression) · Bubeck et al. 2023, arXiv:2303.12712 (Sparks of AGI)</t>
        </is>
      </c>
      <c r="N2101" s="14" t="inlineStr">
        <is>
          <t>read ↗</t>
        </is>
      </c>
      <c r="O2101" s="11" t="inlineStr">
        <is>
          <t xml:space="preserve">reading for D.7.7 Is reasoning real? - the standing </t>
        </is>
      </c>
      <c r="P2101" s="10" t="inlineStr"/>
    </row>
    <row r="2102">
      <c r="A2102" s="17" t="n">
        <v>2101</v>
      </c>
      <c r="B2102" s="17" t="inlineStr">
        <is>
          <t>Part III - Upstream AI Research</t>
        </is>
      </c>
      <c r="C2102" s="18" t="inlineStr">
        <is>
          <t>1. Mechanistic interpretability</t>
        </is>
      </c>
      <c r="D2102" s="10" t="inlineStr">
        <is>
          <t>What the hell is going on inside neural networks? | Chris Olah</t>
        </is>
      </c>
      <c r="E2102" s="10" t="inlineStr"/>
      <c r="F2102" s="11" t="inlineStr">
        <is>
          <t>3:09:20</t>
        </is>
      </c>
      <c r="G2102" s="11" t="n">
        <v>3.16</v>
      </c>
      <c r="H2102" s="12" t="inlineStr">
        <is>
          <t>★</t>
        </is>
      </c>
      <c r="I2102" s="11" t="inlineStr">
        <is>
          <t>Not started</t>
        </is>
      </c>
      <c r="J2102" s="13" t="n"/>
      <c r="K2102" s="10" t="inlineStr"/>
      <c r="L2102" s="14" t="inlineStr">
        <is>
          <t>▶ watch</t>
        </is>
      </c>
      <c r="M2102" s="10" t="inlineStr">
        <is>
          <t>McCoy et al. 2024, PNAS 121:e2322420121 (Embers of Autoregression) · Bubeck et al. 2023, arXiv:2303.12712 (Sparks of AGI)</t>
        </is>
      </c>
      <c r="N2102" s="14" t="inlineStr">
        <is>
          <t>read ↗</t>
        </is>
      </c>
      <c r="O2102" s="11" t="inlineStr">
        <is>
          <t xml:space="preserve">reading for D.7.7 Is reasoning real? - the standing </t>
        </is>
      </c>
      <c r="P2102" s="10" t="inlineStr"/>
    </row>
    <row r="2103">
      <c r="A2103" s="17" t="n">
        <v>2102</v>
      </c>
      <c r="B2103" s="17" t="inlineStr">
        <is>
          <t>Part III - Upstream AI Research</t>
        </is>
      </c>
      <c r="C2103" s="18" t="inlineStr">
        <is>
          <t>1. Mechanistic interpretability</t>
        </is>
      </c>
      <c r="D2103" s="10" t="inlineStr">
        <is>
          <t>A Walkthrough of A Mathematical Framework for Transformer Circuits</t>
        </is>
      </c>
      <c r="E2103" s="10" t="inlineStr"/>
      <c r="F2103" s="11" t="inlineStr">
        <is>
          <t>2:50:13</t>
        </is>
      </c>
      <c r="G2103" s="11" t="n">
        <v>2.84</v>
      </c>
      <c r="H2103" s="12" t="inlineStr">
        <is>
          <t>★</t>
        </is>
      </c>
      <c r="I2103" s="11" t="inlineStr">
        <is>
          <t>Not started</t>
        </is>
      </c>
      <c r="J2103" s="13" t="n"/>
      <c r="K2103" s="10" t="inlineStr"/>
      <c r="L2103" s="14" t="inlineStr">
        <is>
          <t>▶ watch</t>
        </is>
      </c>
      <c r="M2103" s="10" t="inlineStr">
        <is>
          <t>Elhage et al. 2021. 7. A Walkthrough of In-Context Learning and Induction Heads Part 1 of 2 (w/ Charles Frye)</t>
        </is>
      </c>
      <c r="N2103" s="14" t="inlineStr">
        <is>
          <t>read ↗</t>
        </is>
      </c>
      <c r="O2103" s="11" t="inlineStr">
        <is>
          <t>stated with the talk</t>
        </is>
      </c>
      <c r="P2103" s="10" t="inlineStr"/>
    </row>
    <row r="2104">
      <c r="A2104" s="17" t="n">
        <v>2103</v>
      </c>
      <c r="B2104" s="17" t="inlineStr">
        <is>
          <t>Part III - Upstream AI Research</t>
        </is>
      </c>
      <c r="C2104" s="18" t="inlineStr">
        <is>
          <t>1. Mechanistic interpretability</t>
        </is>
      </c>
      <c r="D2104" s="10" t="inlineStr">
        <is>
          <t>What is a Transformer? (Transformer Walkthrough Part 1/2</t>
        </is>
      </c>
      <c r="E2104" s="10" t="inlineStr"/>
      <c r="F2104" s="11" t="inlineStr">
        <is>
          <t>1:03:00</t>
        </is>
      </c>
      <c r="G2104" s="11" t="n">
        <v>1.05</v>
      </c>
      <c r="H2104" s="12" t="inlineStr">
        <is>
          <t>★</t>
        </is>
      </c>
      <c r="I2104" s="11" t="inlineStr">
        <is>
          <t>Not started</t>
        </is>
      </c>
      <c r="J2104" s="13" t="n"/>
      <c r="K2104" s="10" t="inlineStr"/>
      <c r="L2104" s="14" t="inlineStr">
        <is>
          <t>▶ watch</t>
        </is>
      </c>
      <c r="M2104" s="10" t="inlineStr">
        <is>
          <t>McCoy et al. 2024, PNAS 121:e2322420121 (Embers of Autoregression) · Bubeck et al. 2023, arXiv:2303.12712 (Sparks of AGI)</t>
        </is>
      </c>
      <c r="N2104" s="14" t="inlineStr">
        <is>
          <t>read ↗</t>
        </is>
      </c>
      <c r="O2104" s="11" t="inlineStr">
        <is>
          <t xml:space="preserve">reading for D.7.7 Is reasoning real? - the standing </t>
        </is>
      </c>
      <c r="P2104" s="10" t="inlineStr"/>
    </row>
    <row r="2105">
      <c r="A2105" s="17" t="n">
        <v>2104</v>
      </c>
      <c r="B2105" s="17" t="inlineStr">
        <is>
          <t>Part III - Upstream AI Research</t>
        </is>
      </c>
      <c r="C2105" s="18" t="inlineStr">
        <is>
          <t>1. Mechanistic interpretability</t>
        </is>
      </c>
      <c r="D2105" s="10" t="inlineStr">
        <is>
          <t>Implementing GPT-2 From Scratch (Transformer Walkthrough Part 2/2</t>
        </is>
      </c>
      <c r="E2105" s="10" t="inlineStr"/>
      <c r="F2105" s="11" t="inlineStr">
        <is>
          <t>1:19:25</t>
        </is>
      </c>
      <c r="G2105" s="11" t="n">
        <v>1.32</v>
      </c>
      <c r="H2105" s="12" t="inlineStr">
        <is>
          <t>★</t>
        </is>
      </c>
      <c r="I2105" s="11" t="inlineStr">
        <is>
          <t>Not started</t>
        </is>
      </c>
      <c r="J2105" s="13" t="n"/>
      <c r="K2105" s="10" t="inlineStr"/>
      <c r="L2105" s="14" t="inlineStr">
        <is>
          <t>▶ watch</t>
        </is>
      </c>
      <c r="M2105" s="10" t="inlineStr">
        <is>
          <t>McCoy et al. 2024, PNAS 121:e2322420121 (Embers of Autoregression) · Bubeck et al. 2023, arXiv:2303.12712 (Sparks of AGI)</t>
        </is>
      </c>
      <c r="N2105" s="14" t="inlineStr">
        <is>
          <t>read ↗</t>
        </is>
      </c>
      <c r="O2105" s="11" t="inlineStr">
        <is>
          <t xml:space="preserve">reading for D.7.7 Is reasoning real? - the standing </t>
        </is>
      </c>
      <c r="P2105" s="10" t="inlineStr"/>
    </row>
    <row r="2106">
      <c r="A2106" s="17" t="n">
        <v>2105</v>
      </c>
      <c r="B2106" s="17" t="inlineStr">
        <is>
          <t>Part III - Upstream AI Research</t>
        </is>
      </c>
      <c r="C2106" s="18" t="inlineStr">
        <is>
          <t>1. Mechanistic interpretability</t>
        </is>
      </c>
      <c r="D2106" s="10" t="inlineStr">
        <is>
          <t>Towards Monosemanticity: Decomposing Language Models Into Understandable Components</t>
        </is>
      </c>
      <c r="E2106" s="10" t="inlineStr"/>
      <c r="F2106" s="11" t="inlineStr">
        <is>
          <t>43:39</t>
        </is>
      </c>
      <c r="G2106" s="11" t="n">
        <v>0.73</v>
      </c>
      <c r="H2106" s="12" t="inlineStr">
        <is>
          <t>★</t>
        </is>
      </c>
      <c r="I2106" s="11" t="inlineStr">
        <is>
          <t>Not started</t>
        </is>
      </c>
      <c r="J2106" s="13" t="n"/>
      <c r="K2106" s="10" t="inlineStr"/>
      <c r="L2106" s="14" t="inlineStr">
        <is>
          <t>▶ watch</t>
        </is>
      </c>
      <c r="M2106" s="10" t="inlineStr">
        <is>
          <t>Bricken et al. 2023. 11. Scaling interpretability</t>
        </is>
      </c>
      <c r="N2106" s="14" t="inlineStr">
        <is>
          <t>read ↗</t>
        </is>
      </c>
      <c r="O2106" s="11" t="inlineStr">
        <is>
          <t>stated with the talk</t>
        </is>
      </c>
      <c r="P2106" s="10" t="inlineStr"/>
    </row>
    <row r="2107">
      <c r="A2107" s="17" t="n">
        <v>2106</v>
      </c>
      <c r="B2107" s="17" t="inlineStr">
        <is>
          <t>Part III - Upstream AI Research</t>
        </is>
      </c>
      <c r="C2107" s="18" t="inlineStr">
        <is>
          <t>1. Mechanistic interpretability</t>
        </is>
      </c>
      <c r="D2107" s="10" t="inlineStr">
        <is>
          <t>Scaling interpretability</t>
        </is>
      </c>
      <c r="E2107" s="10" t="inlineStr"/>
      <c r="F2107" s="11" t="inlineStr">
        <is>
          <t>53:18</t>
        </is>
      </c>
      <c r="G2107" s="11" t="n">
        <v>0.89</v>
      </c>
      <c r="H2107" s="12" t="inlineStr">
        <is>
          <t>★</t>
        </is>
      </c>
      <c r="I2107" s="11" t="inlineStr">
        <is>
          <t>Not started</t>
        </is>
      </c>
      <c r="J2107" s="13" t="n"/>
      <c r="K2107" s="10" t="inlineStr"/>
      <c r="L2107" s="14" t="inlineStr">
        <is>
          <t>▶ watch</t>
        </is>
      </c>
      <c r="M2107" s="10" t="inlineStr">
        <is>
          <t>Scaling Monosemanticity (Templeton et al. 2024). 12. Hoagy Cunningham - Finding distributed features in LLMs with sparse autoencoders [TAIS 2024]</t>
        </is>
      </c>
      <c r="N2107" s="14" t="inlineStr">
        <is>
          <t>read ↗</t>
        </is>
      </c>
      <c r="O2107" s="11" t="inlineStr">
        <is>
          <t>stated with the talk</t>
        </is>
      </c>
      <c r="P2107" s="10" t="inlineStr"/>
    </row>
    <row r="2108">
      <c r="A2108" s="17" t="n">
        <v>2107</v>
      </c>
      <c r="B2108" s="17" t="inlineStr">
        <is>
          <t>Part III - Upstream AI Research</t>
        </is>
      </c>
      <c r="C2108" s="18" t="inlineStr">
        <is>
          <t>1. Mechanistic interpretability</t>
        </is>
      </c>
      <c r="D2108" s="10" t="inlineStr">
        <is>
          <t>Hoagy Cunningham - Finding distributed features in LLMs with sparse autoencoders [TAIS 2024</t>
        </is>
      </c>
      <c r="E2108" s="10" t="inlineStr"/>
      <c r="F2108" s="11" t="inlineStr">
        <is>
          <t>28:49</t>
        </is>
      </c>
      <c r="G2108" s="11" t="n">
        <v>0.48</v>
      </c>
      <c r="H2108" s="12" t="inlineStr">
        <is>
          <t>★</t>
        </is>
      </c>
      <c r="I2108" s="11" t="inlineStr">
        <is>
          <t>Not started</t>
        </is>
      </c>
      <c r="J2108" s="13" t="n"/>
      <c r="K2108" s="10" t="inlineStr"/>
      <c r="L2108" s="14" t="inlineStr">
        <is>
          <t>▶ watch</t>
        </is>
      </c>
      <c r="M2108" s="10" t="inlineStr">
        <is>
          <t>Sparse Autoencoders Find Highly Interpretable Features in Language Models (2023). 13. Sparse Autoencoders: Progress &amp; Limitations with Joshua Engels</t>
        </is>
      </c>
      <c r="N2108" s="14" t="inlineStr">
        <is>
          <t>read ↗</t>
        </is>
      </c>
      <c r="O2108" s="11" t="inlineStr">
        <is>
          <t>stated with the talk</t>
        </is>
      </c>
      <c r="P2108" s="10" t="inlineStr"/>
    </row>
    <row r="2109">
      <c r="A2109" s="17" t="n">
        <v>2108</v>
      </c>
      <c r="B2109" s="17" t="inlineStr">
        <is>
          <t>Part III - Upstream AI Research</t>
        </is>
      </c>
      <c r="C2109" s="18" t="inlineStr">
        <is>
          <t>1. Mechanistic interpretability</t>
        </is>
      </c>
      <c r="D2109" s="10" t="inlineStr">
        <is>
          <t>Sparse Autoencoders: Progress &amp; Limitations with Joshua Engels</t>
        </is>
      </c>
      <c r="E2109" s="10" t="inlineStr"/>
      <c r="F2109" s="11" t="inlineStr">
        <is>
          <t>1:03:47</t>
        </is>
      </c>
      <c r="G2109" s="11" t="n">
        <v>1.06</v>
      </c>
      <c r="H2109" s="12" t="inlineStr">
        <is>
          <t>★</t>
        </is>
      </c>
      <c r="I2109" s="11" t="inlineStr">
        <is>
          <t>Not started</t>
        </is>
      </c>
      <c r="J2109" s="13" t="n"/>
      <c r="K2109" s="10" t="inlineStr"/>
      <c r="L2109" s="14" t="inlineStr">
        <is>
          <t>▶ watch</t>
        </is>
      </c>
      <c r="M2109" s="10" t="inlineStr">
        <is>
          <t>Not All Language Model Features Are Linear (2024). 14. What Happened With Sparse Autoencoders?</t>
        </is>
      </c>
      <c r="N2109" s="14" t="inlineStr">
        <is>
          <t>read ↗</t>
        </is>
      </c>
      <c r="O2109" s="11" t="inlineStr">
        <is>
          <t>stated with the talk</t>
        </is>
      </c>
      <c r="P2109" s="10" t="inlineStr"/>
    </row>
    <row r="2110">
      <c r="A2110" s="17" t="n">
        <v>2109</v>
      </c>
      <c r="B2110" s="17" t="inlineStr">
        <is>
          <t>Part III - Upstream AI Research</t>
        </is>
      </c>
      <c r="C2110" s="18" t="inlineStr">
        <is>
          <t>1. Mechanistic interpretability</t>
        </is>
      </c>
      <c r="D2110" s="10" t="inlineStr">
        <is>
          <t>What Happened With Sparse Autoencoders?</t>
        </is>
      </c>
      <c r="E2110" s="10" t="inlineStr"/>
      <c r="F2110" s="11" t="inlineStr">
        <is>
          <t>2:49:15</t>
        </is>
      </c>
      <c r="G2110" s="11" t="n">
        <v>2.82</v>
      </c>
      <c r="H2110" s="12" t="inlineStr">
        <is>
          <t>★</t>
        </is>
      </c>
      <c r="I2110" s="11" t="inlineStr">
        <is>
          <t>Not started</t>
        </is>
      </c>
      <c r="J2110" s="13" t="n"/>
      <c r="K2110" s="10" t="inlineStr"/>
      <c r="L2110" s="14" t="inlineStr">
        <is>
          <t>▶ watch</t>
        </is>
      </c>
      <c r="M2110" s="10" t="inlineStr">
        <is>
          <t>McCoy et al. 2024, PNAS 121:e2322420121 (Embers of Autoregression) · Bubeck et al. 2023, arXiv:2303.12712 (Sparks of AGI)</t>
        </is>
      </c>
      <c r="N2110" s="14" t="inlineStr">
        <is>
          <t>read ↗</t>
        </is>
      </c>
      <c r="O2110" s="11" t="inlineStr">
        <is>
          <t xml:space="preserve">reading for D.7.7 Is reasoning real? - the standing </t>
        </is>
      </c>
      <c r="P2110" s="10" t="inlineStr"/>
    </row>
    <row r="2111">
      <c r="A2111" s="17" t="n">
        <v>2110</v>
      </c>
      <c r="B2111" s="17" t="inlineStr">
        <is>
          <t>Part III - Upstream AI Research</t>
        </is>
      </c>
      <c r="C2111" s="18" t="inlineStr">
        <is>
          <t>1. Mechanistic interpretability</t>
        </is>
      </c>
      <c r="D2111" s="10" t="inlineStr">
        <is>
          <t>Bayesian and Dynamical Transitions in a Toy Model of Superposition - SLT Seminar 53</t>
        </is>
      </c>
      <c r="E2111" s="10" t="inlineStr"/>
      <c r="F2111" s="11" t="inlineStr">
        <is>
          <t>1:14:31</t>
        </is>
      </c>
      <c r="G2111" s="11" t="n">
        <v>1.24</v>
      </c>
      <c r="H2111" s="12" t="inlineStr">
        <is>
          <t>★</t>
        </is>
      </c>
      <c r="I2111" s="11" t="inlineStr">
        <is>
          <t>Not started</t>
        </is>
      </c>
      <c r="J2111" s="13" t="n"/>
      <c r="K2111" s="10" t="inlineStr"/>
      <c r="L2111" s="14" t="inlineStr">
        <is>
          <t>▶ watch</t>
        </is>
      </c>
      <c r="M2111" s="10" t="inlineStr">
        <is>
          <t>McCoy et al. 2024, PNAS 121:e2322420121 (Embers of Autoregression) · Bubeck et al. 2023, arXiv:2303.12712 (Sparks of AGI)</t>
        </is>
      </c>
      <c r="N2111" s="14" t="inlineStr">
        <is>
          <t>read ↗</t>
        </is>
      </c>
      <c r="O2111" s="11" t="inlineStr">
        <is>
          <t xml:space="preserve">reading for D.7.7 Is reasoning real? - the standing </t>
        </is>
      </c>
      <c r="P2111" s="10" t="inlineStr"/>
    </row>
    <row r="2112">
      <c r="A2112" s="17" t="n">
        <v>2111</v>
      </c>
      <c r="B2112" s="17" t="inlineStr">
        <is>
          <t>Part III - Upstream AI Research</t>
        </is>
      </c>
      <c r="C2112" s="18" t="inlineStr">
        <is>
          <t>1. Mechanistic interpretability</t>
        </is>
      </c>
      <c r="D2112" s="10" t="inlineStr">
        <is>
          <t>Introduction to Sparse AutoEncoders | ML@P Reading Group | Jinen Setpal</t>
        </is>
      </c>
      <c r="E2112" s="10" t="inlineStr"/>
      <c r="F2112" s="11" t="inlineStr">
        <is>
          <t>1:03:33</t>
        </is>
      </c>
      <c r="G2112" s="11" t="n">
        <v>1.06</v>
      </c>
      <c r="H2112" s="12" t="inlineStr">
        <is>
          <t>★</t>
        </is>
      </c>
      <c r="I2112" s="11" t="inlineStr">
        <is>
          <t>Not started</t>
        </is>
      </c>
      <c r="J2112" s="13" t="n"/>
      <c r="K2112" s="10" t="inlineStr"/>
      <c r="L2112" s="14" t="inlineStr">
        <is>
          <t>▶ watch</t>
        </is>
      </c>
      <c r="M2112" s="10" t="inlineStr">
        <is>
          <t>McCoy et al. 2024, PNAS 121:e2322420121 (Embers of Autoregression) · Bubeck et al. 2023, arXiv:2303.12712 (Sparks of AGI)</t>
        </is>
      </c>
      <c r="N2112" s="14" t="inlineStr">
        <is>
          <t>read ↗</t>
        </is>
      </c>
      <c r="O2112" s="11" t="inlineStr">
        <is>
          <t xml:space="preserve">reading for D.7.7 Is reasoning real? - the standing </t>
        </is>
      </c>
      <c r="P2112" s="10" t="inlineStr"/>
    </row>
    <row r="2113">
      <c r="A2113" s="17" t="n">
        <v>2112</v>
      </c>
      <c r="B2113" s="17" t="inlineStr">
        <is>
          <t>Part III - Upstream AI Research</t>
        </is>
      </c>
      <c r="C2113" s="18" t="inlineStr">
        <is>
          <t>1. Mechanistic interpretability</t>
        </is>
      </c>
      <c r="D2113" s="10" t="inlineStr">
        <is>
          <t>Stanford CS25: V5 I On the Biology of a Large Language Model, Josh Batson of Anthropic</t>
        </is>
      </c>
      <c r="E2113" s="10" t="inlineStr"/>
      <c r="F2113" s="11" t="inlineStr">
        <is>
          <t>1:12:32</t>
        </is>
      </c>
      <c r="G2113" s="11" t="n">
        <v>1.21</v>
      </c>
      <c r="H2113" s="12" t="inlineStr">
        <is>
          <t>★</t>
        </is>
      </c>
      <c r="I2113" s="11" t="inlineStr">
        <is>
          <t>Not started</t>
        </is>
      </c>
      <c r="J2113" s="13" t="n"/>
      <c r="K2113" s="10" t="inlineStr"/>
      <c r="L2113" s="14" t="inlineStr">
        <is>
          <t>▶ watch</t>
        </is>
      </c>
      <c r="M2113" s="10" t="inlineStr">
        <is>
          <t>Circuit Tracing and On the Biology of a Large Language Model (Anthropic 2025). 18. Attribution Graphs for Dummies - 1. What are Attribution Graphs?</t>
        </is>
      </c>
      <c r="N2113" s="14" t="inlineStr">
        <is>
          <t>read ↗</t>
        </is>
      </c>
      <c r="O2113" s="11" t="inlineStr">
        <is>
          <t>stated with the talk</t>
        </is>
      </c>
      <c r="P2113" s="10" t="inlineStr"/>
    </row>
    <row r="2114">
      <c r="A2114" s="17" t="n">
        <v>2113</v>
      </c>
      <c r="B2114" s="17" t="inlineStr">
        <is>
          <t>Part III - Upstream AI Research</t>
        </is>
      </c>
      <c r="C2114" s="18" t="inlineStr">
        <is>
          <t>1. Mechanistic interpretability</t>
        </is>
      </c>
      <c r="D2114" s="10" t="inlineStr">
        <is>
          <t>Attribution Graphs for Dummies - 1. What are Attribution Graphs?</t>
        </is>
      </c>
      <c r="E2114" s="10" t="inlineStr"/>
      <c r="F2114" s="11" t="inlineStr">
        <is>
          <t>49:09</t>
        </is>
      </c>
      <c r="G2114" s="11" t="n">
        <v>0.82</v>
      </c>
      <c r="H2114" s="12" t="inlineStr">
        <is>
          <t>★</t>
        </is>
      </c>
      <c r="I2114" s="11" t="inlineStr">
        <is>
          <t>Not started</t>
        </is>
      </c>
      <c r="J2114" s="13" t="n"/>
      <c r="K2114" s="10" t="inlineStr"/>
      <c r="L2114" s="14" t="inlineStr">
        <is>
          <t>▶ watch</t>
        </is>
      </c>
      <c r="M2114" s="10" t="inlineStr">
        <is>
          <t>McCoy et al. 2024, PNAS 121:e2322420121 (Embers of Autoregression) · Bubeck et al. 2023, arXiv:2303.12712 (Sparks of AGI)</t>
        </is>
      </c>
      <c r="N2114" s="14" t="inlineStr">
        <is>
          <t>read ↗</t>
        </is>
      </c>
      <c r="O2114" s="11" t="inlineStr">
        <is>
          <t xml:space="preserve">reading for D.7.7 Is reasoning real? - the standing </t>
        </is>
      </c>
      <c r="P2114" s="10" t="inlineStr"/>
    </row>
    <row r="2115">
      <c r="A2115" s="17" t="n">
        <v>2114</v>
      </c>
      <c r="B2115" s="17" t="inlineStr">
        <is>
          <t>Part III - Upstream AI Research</t>
        </is>
      </c>
      <c r="C2115" s="18" t="inlineStr">
        <is>
          <t>1. Mechanistic interpretability</t>
        </is>
      </c>
      <c r="D2115" s="10" t="inlineStr">
        <is>
          <t>Attribution Graphs for Dummies - 2. Building and Testing a Circuit</t>
        </is>
      </c>
      <c r="E2115" s="10" t="inlineStr"/>
      <c r="F2115" s="11" t="inlineStr">
        <is>
          <t>1:23:41</t>
        </is>
      </c>
      <c r="G2115" s="11" t="n">
        <v>1.39</v>
      </c>
      <c r="H2115" s="12" t="inlineStr">
        <is>
          <t>★</t>
        </is>
      </c>
      <c r="I2115" s="11" t="inlineStr">
        <is>
          <t>Not started</t>
        </is>
      </c>
      <c r="J2115" s="13" t="n"/>
      <c r="K2115" s="10" t="inlineStr"/>
      <c r="L2115" s="14" t="inlineStr">
        <is>
          <t>▶ watch</t>
        </is>
      </c>
      <c r="M2115" s="10" t="inlineStr">
        <is>
          <t>McCoy et al. 2024, PNAS 121:e2322420121 (Embers of Autoregression) · Bubeck et al. 2023, arXiv:2303.12712 (Sparks of AGI)</t>
        </is>
      </c>
      <c r="N2115" s="14" t="inlineStr">
        <is>
          <t>read ↗</t>
        </is>
      </c>
      <c r="O2115" s="11" t="inlineStr">
        <is>
          <t xml:space="preserve">reading for D.7.7 Is reasoning real? - the standing </t>
        </is>
      </c>
      <c r="P2115" s="10" t="inlineStr"/>
    </row>
    <row r="2116">
      <c r="A2116" s="17" t="n">
        <v>2115</v>
      </c>
      <c r="B2116" s="17" t="inlineStr">
        <is>
          <t>Part III - Upstream AI Research</t>
        </is>
      </c>
      <c r="C2116" s="18" t="inlineStr">
        <is>
          <t>1. Mechanistic interpretability</t>
        </is>
      </c>
      <c r="D2116" s="10" t="inlineStr">
        <is>
          <t>Anthropic: Circuit Tracing + On the Biology of a Large Language Model</t>
        </is>
      </c>
      <c r="E2116" s="10" t="inlineStr"/>
      <c r="F2116" s="11" t="inlineStr">
        <is>
          <t>56:27</t>
        </is>
      </c>
      <c r="G2116" s="11" t="n">
        <v>0.9399999999999999</v>
      </c>
      <c r="H2116" s="12" t="inlineStr">
        <is>
          <t>★</t>
        </is>
      </c>
      <c r="I2116" s="11" t="inlineStr">
        <is>
          <t>Not started</t>
        </is>
      </c>
      <c r="J2116" s="13" t="n"/>
      <c r="K2116" s="10" t="inlineStr"/>
      <c r="L2116" s="14" t="inlineStr">
        <is>
          <t>▶ watch</t>
        </is>
      </c>
      <c r="M2116" s="10" t="inlineStr">
        <is>
          <t>McCoy et al. 2024, PNAS 121:e2322420121 (Embers of Autoregression) · Bubeck et al. 2023, arXiv:2303.12712 (Sparks of AGI)</t>
        </is>
      </c>
      <c r="N2116" s="14" t="inlineStr">
        <is>
          <t>read ↗</t>
        </is>
      </c>
      <c r="O2116" s="11" t="inlineStr">
        <is>
          <t xml:space="preserve">reading for D.7.7 Is reasoning real? - the standing </t>
        </is>
      </c>
      <c r="P2116" s="10" t="inlineStr"/>
    </row>
    <row r="2117">
      <c r="A2117" s="17" t="n">
        <v>2116</v>
      </c>
      <c r="B2117" s="17" t="inlineStr">
        <is>
          <t>Part III - Upstream AI Research</t>
        </is>
      </c>
      <c r="C2117" s="18" t="inlineStr">
        <is>
          <t>1. Mechanistic interpretability</t>
        </is>
      </c>
      <c r="D2117" s="10" t="inlineStr">
        <is>
          <t>Interpretability: Understanding how AI models think</t>
        </is>
      </c>
      <c r="E2117" s="10" t="inlineStr"/>
      <c r="F2117" s="11" t="inlineStr">
        <is>
          <t>59:02</t>
        </is>
      </c>
      <c r="G2117" s="11" t="n">
        <v>0.98</v>
      </c>
      <c r="H2117" s="12" t="inlineStr">
        <is>
          <t>★</t>
        </is>
      </c>
      <c r="I2117" s="11" t="inlineStr">
        <is>
          <t>Not started</t>
        </is>
      </c>
      <c r="J2117" s="13" t="n"/>
      <c r="K2117" s="10" t="inlineStr"/>
      <c r="L2117" s="14" t="inlineStr">
        <is>
          <t>▶ watch</t>
        </is>
      </c>
      <c r="M2117" s="10" t="inlineStr">
        <is>
          <t>McCoy et al. 2024, PNAS 121:e2322420121 (Embers of Autoregression) · Bubeck et al. 2023, arXiv:2303.12712 (Sparks of AGI)</t>
        </is>
      </c>
      <c r="N2117" s="14" t="inlineStr">
        <is>
          <t>read ↗</t>
        </is>
      </c>
      <c r="O2117" s="11" t="inlineStr">
        <is>
          <t xml:space="preserve">reading for D.7.7 Is reasoning real? - the standing </t>
        </is>
      </c>
      <c r="P2117" s="10" t="inlineStr"/>
    </row>
    <row r="2118">
      <c r="A2118" s="17" t="n">
        <v>2117</v>
      </c>
      <c r="B2118" s="17" t="inlineStr">
        <is>
          <t>Part III - Upstream AI Research</t>
        </is>
      </c>
      <c r="C2118" s="18" t="inlineStr">
        <is>
          <t>1. Mechanistic interpretability</t>
        </is>
      </c>
      <c r="D2118" s="10" t="inlineStr">
        <is>
          <t>An Introduction to Mechanistic Interpretability – Neel Nanda | IASEAI 2025</t>
        </is>
      </c>
      <c r="E2118" s="10" t="inlineStr"/>
      <c r="F2118" s="11" t="inlineStr">
        <is>
          <t>25:12</t>
        </is>
      </c>
      <c r="G2118" s="11" t="n">
        <v>0.42</v>
      </c>
      <c r="H2118" s="12" t="inlineStr">
        <is>
          <t>★</t>
        </is>
      </c>
      <c r="I2118" s="11" t="inlineStr">
        <is>
          <t>Not started</t>
        </is>
      </c>
      <c r="J2118" s="13" t="n"/>
      <c r="K2118" s="10" t="inlineStr"/>
      <c r="L2118" s="14" t="inlineStr">
        <is>
          <t>▶ watch</t>
        </is>
      </c>
      <c r="M2118" s="10" t="inlineStr">
        <is>
          <t>McCoy et al. 2024, PNAS 121:e2322420121 (Embers of Autoregression) · Bubeck et al. 2023, arXiv:2303.12712 (Sparks of AGI)</t>
        </is>
      </c>
      <c r="N2118" s="14" t="inlineStr">
        <is>
          <t>read ↗</t>
        </is>
      </c>
      <c r="O2118" s="11" t="inlineStr">
        <is>
          <t xml:space="preserve">reading for D.7.7 Is reasoning real? - the standing </t>
        </is>
      </c>
      <c r="P2118" s="10" t="inlineStr"/>
    </row>
    <row r="2119">
      <c r="A2119" s="17" t="n">
        <v>2118</v>
      </c>
      <c r="B2119" s="17" t="inlineStr">
        <is>
          <t>Part III - Upstream AI Research</t>
        </is>
      </c>
      <c r="C2119" s="18" t="inlineStr">
        <is>
          <t>1. Mechanistic interpretability</t>
        </is>
      </c>
      <c r="D2119" s="10" t="inlineStr">
        <is>
          <t>Neel Nanda – Mechanistic Interpretability: A Whirlwind Tour</t>
        </is>
      </c>
      <c r="E2119" s="10" t="inlineStr"/>
      <c r="F2119" s="11" t="inlineStr">
        <is>
          <t>21:31</t>
        </is>
      </c>
      <c r="G2119" s="11" t="n">
        <v>0.36</v>
      </c>
      <c r="H2119" s="12" t="inlineStr">
        <is>
          <t>★</t>
        </is>
      </c>
      <c r="I2119" s="11" t="inlineStr">
        <is>
          <t>Not started</t>
        </is>
      </c>
      <c r="J2119" s="13" t="n"/>
      <c r="K2119" s="10" t="inlineStr"/>
      <c r="L2119" s="14" t="inlineStr">
        <is>
          <t>▶ watch</t>
        </is>
      </c>
      <c r="M2119" s="10" t="inlineStr">
        <is>
          <t>McCoy et al. 2024, PNAS 121:e2322420121 (Embers of Autoregression) · Bubeck et al. 2023, arXiv:2303.12712 (Sparks of AGI)</t>
        </is>
      </c>
      <c r="N2119" s="14" t="inlineStr">
        <is>
          <t>read ↗</t>
        </is>
      </c>
      <c r="O2119" s="11" t="inlineStr">
        <is>
          <t xml:space="preserve">reading for D.7.7 Is reasoning real? - the standing </t>
        </is>
      </c>
      <c r="P2119" s="10" t="inlineStr"/>
    </row>
    <row r="2120">
      <c r="A2120" s="17" t="n">
        <v>2119</v>
      </c>
      <c r="B2120" s="17" t="inlineStr">
        <is>
          <t>Part III - Upstream AI Research</t>
        </is>
      </c>
      <c r="C2120" s="18" t="inlineStr">
        <is>
          <t>1. Mechanistic interpretability</t>
        </is>
      </c>
      <c r="D2120" s="10" t="inlineStr">
        <is>
          <t>Open Problems in Mechanistic Interpretability: A Whirlwind Tour</t>
        </is>
      </c>
      <c r="E2120" s="10" t="inlineStr"/>
      <c r="F2120" s="11" t="inlineStr">
        <is>
          <t>55:27</t>
        </is>
      </c>
      <c r="G2120" s="11" t="n">
        <v>0.92</v>
      </c>
      <c r="H2120" s="12" t="inlineStr">
        <is>
          <t>★</t>
        </is>
      </c>
      <c r="I2120" s="11" t="inlineStr">
        <is>
          <t>Not started</t>
        </is>
      </c>
      <c r="J2120" s="13" t="n"/>
      <c r="K2120" s="10" t="inlineStr"/>
      <c r="L2120" s="14" t="inlineStr">
        <is>
          <t>▶ watch</t>
        </is>
      </c>
      <c r="M2120" s="10" t="inlineStr">
        <is>
          <t>200 Concrete Open Problems in Mechanistic Interpretability. 26. The Story of Mech Interp</t>
        </is>
      </c>
      <c r="N2120" s="14" t="inlineStr">
        <is>
          <t>read ↗</t>
        </is>
      </c>
      <c r="O2120" s="11" t="inlineStr">
        <is>
          <t>stated with the talk</t>
        </is>
      </c>
      <c r="P2120" s="10" t="inlineStr"/>
    </row>
    <row r="2121">
      <c r="A2121" s="17" t="n">
        <v>2120</v>
      </c>
      <c r="B2121" s="17" t="inlineStr">
        <is>
          <t>Part III - Upstream AI Research</t>
        </is>
      </c>
      <c r="C2121" s="18" t="inlineStr">
        <is>
          <t>1. Mechanistic interpretability</t>
        </is>
      </c>
      <c r="D2121" s="10" t="inlineStr">
        <is>
          <t>Concrete Open Problems in Mechanistic Interpretability: Neel Nanda at SERI MATS</t>
        </is>
      </c>
      <c r="E2121" s="10" t="inlineStr"/>
      <c r="F2121" s="11" t="inlineStr">
        <is>
          <t>1:26:48</t>
        </is>
      </c>
      <c r="G2121" s="11" t="n">
        <v>1.45</v>
      </c>
      <c r="H2121" s="12" t="inlineStr">
        <is>
          <t>★</t>
        </is>
      </c>
      <c r="I2121" s="11" t="inlineStr">
        <is>
          <t>Not started</t>
        </is>
      </c>
      <c r="J2121" s="13" t="n"/>
      <c r="K2121" s="10" t="inlineStr"/>
      <c r="L2121" s="14" t="inlineStr">
        <is>
          <t>▶ watch</t>
        </is>
      </c>
      <c r="M2121" s="10" t="inlineStr">
        <is>
          <t>200 Concrete Open Problems in Mechanistic Interpretability. 26. The Story of Mech Interp</t>
        </is>
      </c>
      <c r="N2121" s="14" t="inlineStr">
        <is>
          <t>read ↗</t>
        </is>
      </c>
      <c r="O2121" s="11" t="inlineStr">
        <is>
          <t>stated with the talk</t>
        </is>
      </c>
      <c r="P2121" s="10" t="inlineStr"/>
    </row>
    <row r="2122">
      <c r="A2122" s="17" t="n">
        <v>2121</v>
      </c>
      <c r="B2122" s="17" t="inlineStr">
        <is>
          <t>Part III - Upstream AI Research</t>
        </is>
      </c>
      <c r="C2122" s="18" t="inlineStr">
        <is>
          <t>1. Mechanistic interpretability</t>
        </is>
      </c>
      <c r="D2122" s="10" t="inlineStr">
        <is>
          <t>The Story of Mech Interp</t>
        </is>
      </c>
      <c r="E2122" s="10" t="inlineStr"/>
      <c r="F2122" s="11" t="inlineStr">
        <is>
          <t>2:06:05</t>
        </is>
      </c>
      <c r="G2122" s="11" t="n">
        <v>2.1</v>
      </c>
      <c r="H2122" s="12" t="inlineStr">
        <is>
          <t>★</t>
        </is>
      </c>
      <c r="I2122" s="11" t="inlineStr">
        <is>
          <t>Not started</t>
        </is>
      </c>
      <c r="J2122" s="13" t="n"/>
      <c r="K2122" s="10" t="inlineStr"/>
      <c r="L2122" s="14" t="inlineStr">
        <is>
          <t>▶ watch</t>
        </is>
      </c>
      <c r="M2122" s="10" t="inlineStr">
        <is>
          <t>McCoy et al. 2024, PNAS 121:e2322420121 (Embers of Autoregression) · Bubeck et al. 2023, arXiv:2303.12712 (Sparks of AGI)</t>
        </is>
      </c>
      <c r="N2122" s="14" t="inlineStr">
        <is>
          <t>read ↗</t>
        </is>
      </c>
      <c r="O2122" s="11" t="inlineStr">
        <is>
          <t xml:space="preserve">reading for D.7.7 Is reasoning real? - the standing </t>
        </is>
      </c>
      <c r="P2122" s="10" t="inlineStr"/>
    </row>
    <row r="2123">
      <c r="A2123" s="17" t="n">
        <v>2122</v>
      </c>
      <c r="B2123" s="17" t="inlineStr">
        <is>
          <t>Part III - Upstream AI Research</t>
        </is>
      </c>
      <c r="C2123" s="18" t="inlineStr">
        <is>
          <t>1. Mechanistic interpretability</t>
        </is>
      </c>
      <c r="D2123" s="10" t="inlineStr">
        <is>
          <t>What Matters Right Now In Mechanistic Interpretability?</t>
        </is>
      </c>
      <c r="E2123" s="10" t="inlineStr"/>
      <c r="F2123" s="11" t="inlineStr">
        <is>
          <t>59:21</t>
        </is>
      </c>
      <c r="G2123" s="11" t="n">
        <v>0.99</v>
      </c>
      <c r="H2123" s="12" t="inlineStr">
        <is>
          <t>★</t>
        </is>
      </c>
      <c r="I2123" s="11" t="inlineStr">
        <is>
          <t>Not started</t>
        </is>
      </c>
      <c r="J2123" s="13" t="n"/>
      <c r="K2123" s="10" t="inlineStr"/>
      <c r="L2123" s="14" t="inlineStr">
        <is>
          <t>▶ watch</t>
        </is>
      </c>
      <c r="M2123" s="10" t="inlineStr">
        <is>
          <t>McCoy et al. 2024, PNAS 121:e2322420121 (Embers of Autoregression) · Bubeck et al. 2023, arXiv:2303.12712 (Sparks of AGI)</t>
        </is>
      </c>
      <c r="N2123" s="14" t="inlineStr">
        <is>
          <t>read ↗</t>
        </is>
      </c>
      <c r="O2123" s="11" t="inlineStr">
        <is>
          <t xml:space="preserve">reading for D.7.7 Is reasoning real? - the standing </t>
        </is>
      </c>
      <c r="P2123" s="10" t="inlineStr"/>
    </row>
    <row r="2124">
      <c r="A2124" s="17" t="n">
        <v>2123</v>
      </c>
      <c r="B2124" s="17" t="inlineStr">
        <is>
          <t>Part III - Upstream AI Research</t>
        </is>
      </c>
      <c r="C2124" s="18" t="inlineStr">
        <is>
          <t>1. Mechanistic interpretability</t>
        </is>
      </c>
      <c r="D2124" s="10" t="inlineStr">
        <is>
          <t>How Reasoning Models Break Mechanistic Interpretability Techniques</t>
        </is>
      </c>
      <c r="E2124" s="10" t="inlineStr"/>
      <c r="F2124" s="11" t="inlineStr">
        <is>
          <t>42:21</t>
        </is>
      </c>
      <c r="G2124" s="11" t="n">
        <v>0.71</v>
      </c>
      <c r="H2124" s="12" t="inlineStr">
        <is>
          <t>★</t>
        </is>
      </c>
      <c r="I2124" s="11" t="inlineStr">
        <is>
          <t>Not started</t>
        </is>
      </c>
      <c r="J2124" s="13" t="n"/>
      <c r="K2124" s="10" t="inlineStr"/>
      <c r="L2124" s="14" t="inlineStr">
        <is>
          <t>▶ watch</t>
        </is>
      </c>
      <c r="M2124" s="10" t="inlineStr">
        <is>
          <t>McCoy et al. 2024, PNAS 121:e2322420121 (Embers of Autoregression) · Bubeck et al. 2023, arXiv:2303.12712 (Sparks of AGI)</t>
        </is>
      </c>
      <c r="N2124" s="14" t="inlineStr">
        <is>
          <t>read ↗</t>
        </is>
      </c>
      <c r="O2124" s="11" t="inlineStr">
        <is>
          <t xml:space="preserve">reading for D.7.7 Is reasoning real? - the standing </t>
        </is>
      </c>
      <c r="P2124" s="10" t="inlineStr"/>
    </row>
    <row r="2125">
      <c r="A2125" s="17" t="n">
        <v>2124</v>
      </c>
      <c r="B2125" s="17" t="inlineStr">
        <is>
          <t>Part III - Upstream AI Research</t>
        </is>
      </c>
      <c r="C2125" s="18" t="inlineStr">
        <is>
          <t>1. Mechanistic interpretability</t>
        </is>
      </c>
      <c r="D2125" s="10" t="inlineStr">
        <is>
          <t>Neel Nanda: Mechanistic Intepretability (HAAISS 2024</t>
        </is>
      </c>
      <c r="E2125" s="10" t="inlineStr"/>
      <c r="F2125" s="11" t="inlineStr">
        <is>
          <t>1:18:02</t>
        </is>
      </c>
      <c r="G2125" s="11" t="n">
        <v>1.3</v>
      </c>
      <c r="H2125" s="12" t="inlineStr">
        <is>
          <t>★</t>
        </is>
      </c>
      <c r="I2125" s="11" t="inlineStr">
        <is>
          <t>Not started</t>
        </is>
      </c>
      <c r="J2125" s="13" t="n"/>
      <c r="K2125" s="10" t="inlineStr"/>
      <c r="L2125" s="14" t="inlineStr">
        <is>
          <t>▶ watch</t>
        </is>
      </c>
      <c r="M2125" s="10" t="inlineStr">
        <is>
          <t>McCoy et al. 2024, PNAS 121:e2322420121 (Embers of Autoregression) · Bubeck et al. 2023, arXiv:2303.12712 (Sparks of AGI)</t>
        </is>
      </c>
      <c r="N2125" s="14" t="inlineStr">
        <is>
          <t>read ↗</t>
        </is>
      </c>
      <c r="O2125" s="11" t="inlineStr">
        <is>
          <t xml:space="preserve">reading for D.7.7 Is reasoning real? - the standing </t>
        </is>
      </c>
      <c r="P2125" s="10" t="inlineStr"/>
    </row>
    <row r="2126">
      <c r="A2126" s="17" t="n">
        <v>2125</v>
      </c>
      <c r="B2126" s="17" t="inlineStr">
        <is>
          <t>Part III - Upstream AI Research</t>
        </is>
      </c>
      <c r="C2126" s="18" t="inlineStr">
        <is>
          <t>1. Mechanistic interpretability</t>
        </is>
      </c>
      <c r="D2126" s="10" t="inlineStr">
        <is>
          <t>19 - Mechanistic Interpretability with Neel Nanda</t>
        </is>
      </c>
      <c r="E2126" s="10" t="inlineStr"/>
      <c r="F2126" s="11" t="inlineStr">
        <is>
          <t>3:52:47</t>
        </is>
      </c>
      <c r="G2126" s="11" t="n">
        <v>3.88</v>
      </c>
      <c r="H2126" s="12" t="inlineStr">
        <is>
          <t>★</t>
        </is>
      </c>
      <c r="I2126" s="11" t="inlineStr">
        <is>
          <t>Not started</t>
        </is>
      </c>
      <c r="J2126" s="13" t="n"/>
      <c r="K2126" s="10" t="inlineStr"/>
      <c r="L2126" s="14" t="inlineStr">
        <is>
          <t>▶ watch</t>
        </is>
      </c>
      <c r="M2126" s="10" t="inlineStr">
        <is>
          <t>McCoy et al. 2024, PNAS 121:e2322420121 (Embers of Autoregression) · Bubeck et al. 2023, arXiv:2303.12712 (Sparks of AGI)</t>
        </is>
      </c>
      <c r="N2126" s="14" t="inlineStr">
        <is>
          <t>read ↗</t>
        </is>
      </c>
      <c r="O2126" s="11" t="inlineStr">
        <is>
          <t xml:space="preserve">reading for D.7.7 Is reasoning real? - the standing </t>
        </is>
      </c>
      <c r="P2126" s="10" t="inlineStr"/>
    </row>
    <row r="2127">
      <c r="A2127" s="17" t="n">
        <v>2126</v>
      </c>
      <c r="B2127" s="17" t="inlineStr">
        <is>
          <t>Part III - Upstream AI Research</t>
        </is>
      </c>
      <c r="C2127" s="18" t="inlineStr">
        <is>
          <t>1. Mechanistic interpretability</t>
        </is>
      </c>
      <c r="D2127" s="10" t="inlineStr">
        <is>
          <t>A Walkthrough of Interpretability in the Wild Part 1/2: Overview (w/ authors Kevin, Arthur, Alex</t>
        </is>
      </c>
      <c r="E2127" s="10" t="inlineStr"/>
      <c r="F2127" s="11" t="inlineStr">
        <is>
          <t>57:20</t>
        </is>
      </c>
      <c r="G2127" s="11" t="n">
        <v>0.96</v>
      </c>
      <c r="H2127" s="12" t="inlineStr">
        <is>
          <t>★</t>
        </is>
      </c>
      <c r="I2127" s="11" t="inlineStr">
        <is>
          <t>Not started</t>
        </is>
      </c>
      <c r="J2127" s="13" t="n"/>
      <c r="K2127" s="10" t="inlineStr"/>
      <c r="L2127" s="14" t="inlineStr">
        <is>
          <t>▶ watch</t>
        </is>
      </c>
      <c r="M2127" s="10" t="inlineStr">
        <is>
          <t>Interpretability in the Wild (Wang et al. 2022). 32. A Walkthrough of Interpretability in the Wild Part 2/2: Deep Dive (w/ authors Kevin, Arthur &amp; Alex)</t>
        </is>
      </c>
      <c r="N2127" s="14" t="inlineStr">
        <is>
          <t>read ↗</t>
        </is>
      </c>
      <c r="O2127" s="11" t="inlineStr">
        <is>
          <t>stated with the talk</t>
        </is>
      </c>
      <c r="P2127" s="10" t="inlineStr"/>
    </row>
    <row r="2128">
      <c r="A2128" s="17" t="n">
        <v>2127</v>
      </c>
      <c r="B2128" s="17" t="inlineStr">
        <is>
          <t>Part III - Upstream AI Research</t>
        </is>
      </c>
      <c r="C2128" s="18" t="inlineStr">
        <is>
          <t>1. Mechanistic interpretability</t>
        </is>
      </c>
      <c r="D2128" s="10" t="inlineStr">
        <is>
          <t>A Walkthrough of Interpretability in the Wild Part 2/2: Deep Dive (w/ authors Kevin, Arthur &amp; Alex</t>
        </is>
      </c>
      <c r="E2128" s="10" t="inlineStr"/>
      <c r="F2128" s="11" t="inlineStr">
        <is>
          <t>1:46:05</t>
        </is>
      </c>
      <c r="G2128" s="11" t="n">
        <v>1.77</v>
      </c>
      <c r="H2128" s="12" t="inlineStr">
        <is>
          <t>★</t>
        </is>
      </c>
      <c r="I2128" s="11" t="inlineStr">
        <is>
          <t>Not started</t>
        </is>
      </c>
      <c r="J2128" s="13" t="n"/>
      <c r="K2128" s="10" t="inlineStr"/>
      <c r="L2128" s="14" t="inlineStr">
        <is>
          <t>▶ watch</t>
        </is>
      </c>
      <c r="M2128" s="10" t="inlineStr">
        <is>
          <t>Chan et al., Causal Scrubbing (2022). 34. Uncovering and Inducing Interpretable Causal Structure in Deep Learning Models</t>
        </is>
      </c>
      <c r="N2128" s="14" t="inlineStr">
        <is>
          <t>read ↗</t>
        </is>
      </c>
      <c r="O2128" s="11" t="inlineStr">
        <is>
          <t>stated with the talk</t>
        </is>
      </c>
      <c r="P2128" s="10" t="inlineStr"/>
    </row>
    <row r="2129">
      <c r="A2129" s="17" t="n">
        <v>2128</v>
      </c>
      <c r="B2129" s="17" t="inlineStr">
        <is>
          <t>Part III - Upstream AI Research</t>
        </is>
      </c>
      <c r="C2129" s="18" t="inlineStr">
        <is>
          <t>1. Mechanistic interpretability</t>
        </is>
      </c>
      <c r="D2129" s="10" t="inlineStr">
        <is>
          <t>Causal Scrubbing | Intro to Neural Network Interpretability</t>
        </is>
      </c>
      <c r="E2129" s="10" t="inlineStr"/>
      <c r="F2129" s="11" t="inlineStr">
        <is>
          <t>7:27</t>
        </is>
      </c>
      <c r="G2129" s="11" t="n">
        <v>0.12</v>
      </c>
      <c r="H2129" s="12" t="inlineStr">
        <is>
          <t>★</t>
        </is>
      </c>
      <c r="I2129" s="11" t="inlineStr">
        <is>
          <t>Not started</t>
        </is>
      </c>
      <c r="J2129" s="13" t="n"/>
      <c r="K2129" s="10" t="inlineStr"/>
      <c r="L2129" s="14" t="inlineStr">
        <is>
          <t>▶ watch</t>
        </is>
      </c>
      <c r="M2129" s="10" t="inlineStr">
        <is>
          <t>Chan et al., Causal Scrubbing (2022). 34. Uncovering and Inducing Interpretable Causal Structure in Deep Learning Models</t>
        </is>
      </c>
      <c r="N2129" s="14" t="inlineStr">
        <is>
          <t>read ↗</t>
        </is>
      </c>
      <c r="O2129" s="11" t="inlineStr">
        <is>
          <t>stated with the talk</t>
        </is>
      </c>
      <c r="P2129" s="10" t="inlineStr"/>
    </row>
    <row r="2130">
      <c r="A2130" s="17" t="n">
        <v>2129</v>
      </c>
      <c r="B2130" s="17" t="inlineStr">
        <is>
          <t>Part III - Upstream AI Research</t>
        </is>
      </c>
      <c r="C2130" s="18" t="inlineStr">
        <is>
          <t>1. Mechanistic interpretability</t>
        </is>
      </c>
      <c r="D2130" s="10" t="inlineStr">
        <is>
          <t>Uncovering and Inducing Interpretable Causal Structure in Deep Learning Models | Atticus Geiger</t>
        </is>
      </c>
      <c r="E2130" s="10" t="inlineStr"/>
      <c r="F2130" s="11" t="inlineStr">
        <is>
          <t>56:13</t>
        </is>
      </c>
      <c r="G2130" s="11" t="n">
        <v>0.9399999999999999</v>
      </c>
      <c r="H2130" s="12" t="inlineStr">
        <is>
          <t>★</t>
        </is>
      </c>
      <c r="I2130" s="11" t="inlineStr">
        <is>
          <t>Not started</t>
        </is>
      </c>
      <c r="J2130" s="13" t="n"/>
      <c r="K2130" s="10" t="inlineStr"/>
      <c r="L2130" s="14" t="inlineStr">
        <is>
          <t>▶ watch</t>
        </is>
      </c>
      <c r="M2130" s="10" t="inlineStr">
        <is>
          <t>Causal Abstraction: A Theoretical Foundation for Mechanistic Interpretability. 35. A Walkthrough of Aligning Causal Variables and Distributed Representations w/ Atticus Geiger (1/3)</t>
        </is>
      </c>
      <c r="N2130" s="14" t="inlineStr">
        <is>
          <t>read ↗</t>
        </is>
      </c>
      <c r="O2130" s="11" t="inlineStr">
        <is>
          <t>stated with the talk</t>
        </is>
      </c>
      <c r="P2130" s="10" t="inlineStr"/>
    </row>
    <row r="2131">
      <c r="A2131" s="17" t="n">
        <v>2130</v>
      </c>
      <c r="B2131" s="17" t="inlineStr">
        <is>
          <t>Part III - Upstream AI Research</t>
        </is>
      </c>
      <c r="C2131" s="18" t="inlineStr">
        <is>
          <t>1. Mechanistic interpretability</t>
        </is>
      </c>
      <c r="D2131" s="10" t="inlineStr">
        <is>
          <t>A Walkthrough of Aligning Causal Variables and Distributed Representations w/ Atticus Geiger (1/3</t>
        </is>
      </c>
      <c r="E2131" s="10" t="inlineStr"/>
      <c r="F2131" s="11" t="inlineStr">
        <is>
          <t>30:43</t>
        </is>
      </c>
      <c r="G2131" s="11" t="n">
        <v>0.51</v>
      </c>
      <c r="H2131" s="12" t="inlineStr">
        <is>
          <t>★</t>
        </is>
      </c>
      <c r="I2131" s="11" t="inlineStr">
        <is>
          <t>Not started</t>
        </is>
      </c>
      <c r="J2131" s="13" t="n"/>
      <c r="K2131" s="10" t="inlineStr"/>
      <c r="L2131" s="14" t="inlineStr">
        <is>
          <t>▶ watch</t>
        </is>
      </c>
      <c r="M2131" s="10" t="inlineStr">
        <is>
          <t>McCoy et al. 2024, PNAS 121:e2322420121 (Embers of Autoregression) · Bubeck et al. 2023, arXiv:2303.12712 (Sparks of AGI)</t>
        </is>
      </c>
      <c r="N2131" s="14" t="inlineStr">
        <is>
          <t>read ↗</t>
        </is>
      </c>
      <c r="O2131" s="11" t="inlineStr">
        <is>
          <t xml:space="preserve">reading for D.7.7 Is reasoning real? - the standing </t>
        </is>
      </c>
      <c r="P2131" s="10" t="inlineStr"/>
    </row>
    <row r="2132">
      <c r="A2132" s="17" t="n">
        <v>2131</v>
      </c>
      <c r="B2132" s="17" t="inlineStr">
        <is>
          <t>Part III - Upstream AI Research</t>
        </is>
      </c>
      <c r="C2132" s="18" t="inlineStr">
        <is>
          <t>1. Mechanistic interpretability</t>
        </is>
      </c>
      <c r="D2132" s="10" t="inlineStr">
        <is>
          <t>Atticus Geiger - State of Interpretability &amp; Ideas for Scaling Up [Alignment Workshop</t>
        </is>
      </c>
      <c r="E2132" s="10" t="inlineStr"/>
      <c r="F2132" s="11" t="inlineStr">
        <is>
          <t>21:14</t>
        </is>
      </c>
      <c r="G2132" s="11" t="n">
        <v>0.35</v>
      </c>
      <c r="H2132" s="12" t="inlineStr">
        <is>
          <t>★</t>
        </is>
      </c>
      <c r="I2132" s="11" t="inlineStr">
        <is>
          <t>Not started</t>
        </is>
      </c>
      <c r="J2132" s="13" t="n"/>
      <c r="K2132" s="10" t="inlineStr"/>
      <c r="L2132" s="14" t="inlineStr">
        <is>
          <t>▶ watch</t>
        </is>
      </c>
      <c r="M2132" s="10" t="inlineStr">
        <is>
          <t>McCoy et al. 2024, PNAS 121:e2322420121 (Embers of Autoregression) · Bubeck et al. 2023, arXiv:2303.12712 (Sparks of AGI)</t>
        </is>
      </c>
      <c r="N2132" s="14" t="inlineStr">
        <is>
          <t>read ↗</t>
        </is>
      </c>
      <c r="O2132" s="11" t="inlineStr">
        <is>
          <t xml:space="preserve">reading for D.7.7 Is reasoning real? - the standing </t>
        </is>
      </c>
      <c r="P2132" s="10" t="inlineStr"/>
    </row>
    <row r="2133">
      <c r="A2133" s="17" t="n">
        <v>2132</v>
      </c>
      <c r="B2133" s="17" t="inlineStr">
        <is>
          <t>Part III - Upstream AI Research</t>
        </is>
      </c>
      <c r="C2133" s="18" t="inlineStr">
        <is>
          <t>1. Mechanistic interpretability</t>
        </is>
      </c>
      <c r="D2133" s="10" t="inlineStr">
        <is>
          <t>Formalizing Explanations of Neural Network Behaviors</t>
        </is>
      </c>
      <c r="E2133" s="10" t="inlineStr"/>
      <c r="F2133" s="11" t="inlineStr">
        <is>
          <t>59:17</t>
        </is>
      </c>
      <c r="G2133" s="11" t="n">
        <v>0.99</v>
      </c>
      <c r="H2133" s="12" t="inlineStr">
        <is>
          <t>★</t>
        </is>
      </c>
      <c r="I2133" s="11" t="inlineStr">
        <is>
          <t>Not started</t>
        </is>
      </c>
      <c r="J2133" s="13" t="n"/>
      <c r="K2133" s="10" t="inlineStr"/>
      <c r="L2133" s="14" t="inlineStr">
        <is>
          <t>▶ watch</t>
        </is>
      </c>
      <c r="M2133" s="10" t="inlineStr">
        <is>
          <t>McCoy et al. 2024, PNAS 121:e2322420121 (Embers of Autoregression) · Bubeck et al. 2023, arXiv:2303.12712 (Sparks of AGI)</t>
        </is>
      </c>
      <c r="N2133" s="14" t="inlineStr">
        <is>
          <t>read ↗</t>
        </is>
      </c>
      <c r="O2133" s="11" t="inlineStr">
        <is>
          <t xml:space="preserve">reading for D.7.7 Is reasoning real? - the standing </t>
        </is>
      </c>
      <c r="P2133" s="10" t="inlineStr"/>
    </row>
    <row r="2134">
      <c r="A2134" s="17" t="n">
        <v>2133</v>
      </c>
      <c r="B2134" s="17" t="inlineStr">
        <is>
          <t>Part III - Upstream AI Research</t>
        </is>
      </c>
      <c r="C2134" s="18" t="inlineStr">
        <is>
          <t>1. Mechanistic interpretability</t>
        </is>
      </c>
      <c r="D2134" s="10" t="inlineStr">
        <is>
          <t>40 - Jason Gross on Compact Proofs and Interpretability</t>
        </is>
      </c>
      <c r="E2134" s="10" t="inlineStr"/>
      <c r="F2134" s="11" t="inlineStr">
        <is>
          <t>2:36:04</t>
        </is>
      </c>
      <c r="G2134" s="11" t="n">
        <v>2.6</v>
      </c>
      <c r="H2134" s="12" t="inlineStr">
        <is>
          <t>★</t>
        </is>
      </c>
      <c r="I2134" s="11" t="inlineStr">
        <is>
          <t>Not started</t>
        </is>
      </c>
      <c r="J2134" s="13" t="n"/>
      <c r="K2134" s="10" t="inlineStr"/>
      <c r="L2134" s="14" t="inlineStr">
        <is>
          <t>▶ watch</t>
        </is>
      </c>
      <c r="M2134" s="10" t="inlineStr">
        <is>
          <t>McCoy et al. 2024, PNAS 121:e2322420121 (Embers of Autoregression) · Bubeck et al. 2023, arXiv:2303.12712 (Sparks of AGI)</t>
        </is>
      </c>
      <c r="N2134" s="14" t="inlineStr">
        <is>
          <t>read ↗</t>
        </is>
      </c>
      <c r="O2134" s="11" t="inlineStr">
        <is>
          <t xml:space="preserve">reading for D.7.7 Is reasoning real? - the standing </t>
        </is>
      </c>
      <c r="P2134" s="10" t="inlineStr"/>
    </row>
    <row r="2135">
      <c r="A2135" s="17" t="n">
        <v>2134</v>
      </c>
      <c r="B2135" s="17" t="inlineStr">
        <is>
          <t>Part III - Upstream AI Research</t>
        </is>
      </c>
      <c r="C2135" s="18" t="inlineStr">
        <is>
          <t>1. Mechanistic interpretability</t>
        </is>
      </c>
      <c r="D2135" s="10" t="inlineStr">
        <is>
          <t>A Walkthrough of Reverse-Engineering Modular Addition: Model Training (Part 1/3</t>
        </is>
      </c>
      <c r="E2135" s="10" t="inlineStr"/>
      <c r="F2135" s="11" t="inlineStr">
        <is>
          <t>34:37</t>
        </is>
      </c>
      <c r="G2135" s="11" t="n">
        <v>0.58</v>
      </c>
      <c r="H2135" s="12" t="inlineStr">
        <is>
          <t>★</t>
        </is>
      </c>
      <c r="I2135" s="11" t="inlineStr">
        <is>
          <t>Not started</t>
        </is>
      </c>
      <c r="J2135" s="13" t="n"/>
      <c r="K2135" s="10" t="inlineStr"/>
      <c r="L2135" s="14" t="inlineStr">
        <is>
          <t>▶ watch</t>
        </is>
      </c>
      <c r="M2135" s="10" t="inlineStr">
        <is>
          <t>McCoy et al. 2024, PNAS 121:e2322420121 (Embers of Autoregression) · Bubeck et al. 2023, arXiv:2303.12712 (Sparks of AGI)</t>
        </is>
      </c>
      <c r="N2135" s="14" t="inlineStr">
        <is>
          <t>read ↗</t>
        </is>
      </c>
      <c r="O2135" s="11" t="inlineStr">
        <is>
          <t xml:space="preserve">reading for D.7.7 Is reasoning real? - the standing </t>
        </is>
      </c>
      <c r="P2135" s="10" t="inlineStr"/>
    </row>
    <row r="2136">
      <c r="A2136" s="17" t="n">
        <v>2135</v>
      </c>
      <c r="B2136" s="17" t="inlineStr">
        <is>
          <t>Part III - Upstream AI Research</t>
        </is>
      </c>
      <c r="C2136" s="18" t="inlineStr">
        <is>
          <t>1. Mechanistic interpretability</t>
        </is>
      </c>
      <c r="D2136" s="10" t="inlineStr">
        <is>
          <t>ARENA Lecture, Week 1 Day 1: Transformers: Building, Training, Sampling</t>
        </is>
      </c>
      <c r="E2136" s="10" t="inlineStr"/>
      <c r="F2136" s="11" t="inlineStr">
        <is>
          <t>34:09</t>
        </is>
      </c>
      <c r="G2136" s="11" t="n">
        <v>0.57</v>
      </c>
      <c r="H2136" s="12" t="inlineStr">
        <is>
          <t>★</t>
        </is>
      </c>
      <c r="I2136" s="11" t="inlineStr">
        <is>
          <t>Not started</t>
        </is>
      </c>
      <c r="J2136" s="13" t="n"/>
      <c r="K2136" s="10" t="inlineStr"/>
      <c r="L2136" s="14" t="inlineStr">
        <is>
          <t>▶ watch</t>
        </is>
      </c>
      <c r="M2136" s="10" t="inlineStr">
        <is>
          <t>McCoy et al. 2024, PNAS 121:e2322420121 (Embers of Autoregression) · Bubeck et al. 2023, arXiv:2303.12712 (Sparks of AGI)</t>
        </is>
      </c>
      <c r="N2136" s="14" t="inlineStr">
        <is>
          <t>read ↗</t>
        </is>
      </c>
      <c r="O2136" s="11" t="inlineStr">
        <is>
          <t xml:space="preserve">reading for D.7.7 Is reasoning real? - the standing </t>
        </is>
      </c>
      <c r="P2136" s="10" t="inlineStr"/>
    </row>
    <row r="2137">
      <c r="A2137" s="17" t="n">
        <v>2136</v>
      </c>
      <c r="B2137" s="17" t="inlineStr">
        <is>
          <t>Part III - Upstream AI Research</t>
        </is>
      </c>
      <c r="C2137" s="18" t="inlineStr">
        <is>
          <t>1. Mechanistic interpretability</t>
        </is>
      </c>
      <c r="D2137" s="10" t="inlineStr">
        <is>
          <t>ARENA Lecture, Week 1 Day 2: Introduction to Mechanistic Interpretability</t>
        </is>
      </c>
      <c r="E2137" s="10" t="inlineStr"/>
      <c r="F2137" s="11" t="inlineStr">
        <is>
          <t>37:52</t>
        </is>
      </c>
      <c r="G2137" s="11" t="n">
        <v>0.63</v>
      </c>
      <c r="H2137" s="12" t="inlineStr">
        <is>
          <t>★</t>
        </is>
      </c>
      <c r="I2137" s="11" t="inlineStr">
        <is>
          <t>Not started</t>
        </is>
      </c>
      <c r="J2137" s="13" t="n"/>
      <c r="K2137" s="10" t="inlineStr"/>
      <c r="L2137" s="14" t="inlineStr">
        <is>
          <t>▶ watch</t>
        </is>
      </c>
      <c r="M2137" s="10" t="inlineStr">
        <is>
          <t>McCoy et al. 2024, PNAS 121:e2322420121 (Embers of Autoregression) · Bubeck et al. 2023, arXiv:2303.12712 (Sparks of AGI)</t>
        </is>
      </c>
      <c r="N2137" s="14" t="inlineStr">
        <is>
          <t>read ↗</t>
        </is>
      </c>
      <c r="O2137" s="11" t="inlineStr">
        <is>
          <t xml:space="preserve">reading for D.7.7 Is reasoning real? - the standing </t>
        </is>
      </c>
      <c r="P2137" s="10" t="inlineStr"/>
    </row>
    <row r="2138">
      <c r="A2138" s="17" t="n">
        <v>2137</v>
      </c>
      <c r="B2138" s="17" t="inlineStr">
        <is>
          <t>Part III - Upstream AI Research</t>
        </is>
      </c>
      <c r="C2138" s="18" t="inlineStr">
        <is>
          <t>1. Mechanistic interpretability</t>
        </is>
      </c>
      <c r="D2138" s="10" t="inlineStr">
        <is>
          <t>Vision Mechanistic Interpretability - MATS Talk Summer 2024</t>
        </is>
      </c>
      <c r="E2138" s="10" t="inlineStr"/>
      <c r="F2138" s="11" t="inlineStr">
        <is>
          <t>58:31</t>
        </is>
      </c>
      <c r="G2138" s="11" t="n">
        <v>0.98</v>
      </c>
      <c r="H2138" s="12" t="inlineStr">
        <is>
          <t>★</t>
        </is>
      </c>
      <c r="I2138" s="11" t="inlineStr">
        <is>
          <t>Not started</t>
        </is>
      </c>
      <c r="J2138" s="13" t="n"/>
      <c r="K2138" s="10" t="inlineStr"/>
      <c r="L2138" s="14" t="inlineStr">
        <is>
          <t>▶ watch</t>
        </is>
      </c>
      <c r="M2138" s="10" t="inlineStr">
        <is>
          <t>McCoy et al. 2024, PNAS 121:e2322420121 (Embers of Autoregression) · Bubeck et al. 2023, arXiv:2303.12712 (Sparks of AGI)</t>
        </is>
      </c>
      <c r="N2138" s="14" t="inlineStr">
        <is>
          <t>read ↗</t>
        </is>
      </c>
      <c r="O2138" s="11" t="inlineStr">
        <is>
          <t xml:space="preserve">reading for D.7.7 Is reasoning real? - the standing </t>
        </is>
      </c>
      <c r="P2138" s="10" t="inlineStr"/>
    </row>
    <row r="2139">
      <c r="A2139" s="17" t="n">
        <v>2138</v>
      </c>
      <c r="B2139" s="17" t="inlineStr">
        <is>
          <t>Part III - Upstream AI Research</t>
        </is>
      </c>
      <c r="C2139" s="18" t="inlineStr">
        <is>
          <t>1. Mechanistic interpretability</t>
        </is>
      </c>
      <c r="D2139" s="10" t="inlineStr">
        <is>
          <t>What do models learn during finetuning? A model diffing paper walkthrough w/ Clement &amp; Julian</t>
        </is>
      </c>
      <c r="E2139" s="10" t="inlineStr"/>
      <c r="F2139" s="11" t="inlineStr">
        <is>
          <t>2:54:52</t>
        </is>
      </c>
      <c r="G2139" s="11" t="n">
        <v>2.91</v>
      </c>
      <c r="H2139" s="12" t="inlineStr">
        <is>
          <t>★</t>
        </is>
      </c>
      <c r="I2139" s="11" t="inlineStr">
        <is>
          <t>Not started</t>
        </is>
      </c>
      <c r="J2139" s="13" t="n"/>
      <c r="K2139" s="10" t="inlineStr"/>
      <c r="L2139" s="14" t="inlineStr">
        <is>
          <t>▶ watch</t>
        </is>
      </c>
      <c r="M2139" s="10" t="inlineStr">
        <is>
          <t>McCoy et al. 2024, PNAS 121:e2322420121 (Embers of Autoregression) · Bubeck et al. 2023, arXiv:2303.12712 (Sparks of AGI)</t>
        </is>
      </c>
      <c r="N2139" s="14" t="inlineStr">
        <is>
          <t>read ↗</t>
        </is>
      </c>
      <c r="O2139" s="11" t="inlineStr">
        <is>
          <t xml:space="preserve">reading for D.7.7 Is reasoning real? - the standing </t>
        </is>
      </c>
      <c r="P2139" s="10" t="inlineStr"/>
    </row>
    <row r="2140">
      <c r="A2140" s="17" t="n">
        <v>2139</v>
      </c>
      <c r="B2140" s="17" t="inlineStr">
        <is>
          <t>Part III - Upstream AI Research</t>
        </is>
      </c>
      <c r="C2140" s="18" t="inlineStr">
        <is>
          <t>1. Mechanistic interpretability</t>
        </is>
      </c>
      <c r="D2140" s="10" t="inlineStr">
        <is>
          <t>NEURAL NETWORKS ARE WEIRD! - Neel Nanda (DeepMind</t>
        </is>
      </c>
      <c r="E2140" s="10" t="inlineStr"/>
      <c r="F2140" s="11" t="inlineStr">
        <is>
          <t>3:42:37</t>
        </is>
      </c>
      <c r="G2140" s="11" t="n">
        <v>3.71</v>
      </c>
      <c r="H2140" s="12" t="inlineStr">
        <is>
          <t>★</t>
        </is>
      </c>
      <c r="I2140" s="11" t="inlineStr">
        <is>
          <t>Not started</t>
        </is>
      </c>
      <c r="J2140" s="13" t="n"/>
      <c r="K2140" s="10" t="inlineStr"/>
      <c r="L2140" s="14" t="inlineStr">
        <is>
          <t>▶ watch</t>
        </is>
      </c>
      <c r="M2140" s="10" t="inlineStr">
        <is>
          <t>McCoy et al. 2024, PNAS 121:e2322420121 (Embers of Autoregression) · Bubeck et al. 2023, arXiv:2303.12712 (Sparks of AGI)</t>
        </is>
      </c>
      <c r="N2140" s="14" t="inlineStr">
        <is>
          <t>read ↗</t>
        </is>
      </c>
      <c r="O2140" s="11" t="inlineStr">
        <is>
          <t xml:space="preserve">reading for D.7.7 Is reasoning real? - the standing </t>
        </is>
      </c>
      <c r="P2140" s="10" t="inlineStr"/>
    </row>
    <row r="2141">
      <c r="A2141" s="17" t="n">
        <v>2140</v>
      </c>
      <c r="B2141" s="17" t="inlineStr">
        <is>
          <t>Part III - Upstream AI Research</t>
        </is>
      </c>
      <c r="C2141" s="18" t="inlineStr">
        <is>
          <t>2. Representation analysis</t>
        </is>
      </c>
      <c r="D2141" s="10" t="inlineStr">
        <is>
          <t>Probing | Stanford CS224U Natural Language Understanding | Spring 2021</t>
        </is>
      </c>
      <c r="E2141" s="10" t="inlineStr"/>
      <c r="F2141" s="11" t="inlineStr">
        <is>
          <t>11:29</t>
        </is>
      </c>
      <c r="G2141" s="11" t="n">
        <v>0.19</v>
      </c>
      <c r="H2141" s="12" t="inlineStr">
        <is>
          <t>★</t>
        </is>
      </c>
      <c r="I2141" s="11" t="inlineStr">
        <is>
          <t>Not started</t>
        </is>
      </c>
      <c r="J2141" s="13" t="n"/>
      <c r="K2141" s="10" t="inlineStr"/>
      <c r="L2141" s="14" t="inlineStr">
        <is>
          <t>▶ watch</t>
        </is>
      </c>
      <c r="M2141" s="10" t="inlineStr">
        <is>
          <t>McCoy et al. 2024, PNAS 121:e2322420121 (Embers of Autoregression) · Bubeck et al. 2023, arXiv:2303.12712 (Sparks of AGI)</t>
        </is>
      </c>
      <c r="N2141" s="14" t="inlineStr">
        <is>
          <t>read ↗</t>
        </is>
      </c>
      <c r="O2141" s="11" t="inlineStr">
        <is>
          <t xml:space="preserve">reading for D.7.7 Is reasoning real? - the standing </t>
        </is>
      </c>
      <c r="P2141" s="10" t="inlineStr"/>
    </row>
    <row r="2142">
      <c r="A2142" s="17" t="n">
        <v>2141</v>
      </c>
      <c r="B2142" s="17" t="inlineStr">
        <is>
          <t>Part III - Upstream AI Research</t>
        </is>
      </c>
      <c r="C2142" s="18" t="inlineStr">
        <is>
          <t>2. Representation analysis</t>
        </is>
      </c>
      <c r="D2142" s="10" t="inlineStr">
        <is>
          <t>Talk 4: Probing</t>
        </is>
      </c>
      <c r="E2142" s="10" t="inlineStr"/>
      <c r="F2142" s="11" t="inlineStr">
        <is>
          <t>47:23</t>
        </is>
      </c>
      <c r="G2142" s="11" t="n">
        <v>0.79</v>
      </c>
      <c r="H2142" s="12" t="inlineStr">
        <is>
          <t>★</t>
        </is>
      </c>
      <c r="I2142" s="11" t="inlineStr">
        <is>
          <t>Not started</t>
        </is>
      </c>
      <c r="J2142" s="13" t="n"/>
      <c r="K2142" s="10" t="inlineStr"/>
      <c r="L2142" s="14" t="inlineStr">
        <is>
          <t>▶ watch</t>
        </is>
      </c>
      <c r="M2142" s="10" t="inlineStr">
        <is>
          <t>Voita &amp; Titov, EMNLP 2020. See also Hewitt &amp; Liang, Designing and Interpreting Probes with Control Tasks (2019). 49. Interpreting Natu</t>
        </is>
      </c>
      <c r="N2142" s="14" t="inlineStr">
        <is>
          <t>read ↗</t>
        </is>
      </c>
      <c r="O2142" s="11" t="inlineStr">
        <is>
          <t>stated with the talk</t>
        </is>
      </c>
      <c r="P2142" s="10" t="inlineStr"/>
    </row>
    <row r="2143">
      <c r="A2143" s="17" t="n">
        <v>2142</v>
      </c>
      <c r="B2143" s="17" t="inlineStr">
        <is>
          <t>Part III - Upstream AI Research</t>
        </is>
      </c>
      <c r="C2143" s="18" t="inlineStr">
        <is>
          <t>2. Representation analysis</t>
        </is>
      </c>
      <c r="D2143" s="10" t="inlineStr">
        <is>
          <t>INFORMATION-THEORETIC PROBING WITH MINIMUM DESCRIPTION LENGTH</t>
        </is>
      </c>
      <c r="E2143" s="10" t="inlineStr"/>
      <c r="F2143" s="11" t="inlineStr">
        <is>
          <t>1:03:08</t>
        </is>
      </c>
      <c r="G2143" s="11" t="n">
        <v>1.05</v>
      </c>
      <c r="H2143" s="12" t="inlineStr">
        <is>
          <t>★</t>
        </is>
      </c>
      <c r="I2143" s="11" t="inlineStr">
        <is>
          <t>Not started</t>
        </is>
      </c>
      <c r="J2143" s="13" t="n"/>
      <c r="K2143" s="10" t="inlineStr"/>
      <c r="L2143" s="14" t="inlineStr">
        <is>
          <t>▶ watch</t>
        </is>
      </c>
      <c r="M2143" s="10" t="inlineStr">
        <is>
          <t>Voita &amp; Titov, EMNLP 2020. See also Hewitt &amp; Liang, Designing and Interpreting Probes with Control Tasks (2019). 49. Interpreting Natural Language Processing Models</t>
        </is>
      </c>
      <c r="N2143" s="14" t="inlineStr">
        <is>
          <t>read ↗</t>
        </is>
      </c>
      <c r="O2143" s="11" t="inlineStr">
        <is>
          <t>stated with the talk</t>
        </is>
      </c>
      <c r="P2143" s="10" t="inlineStr"/>
    </row>
    <row r="2144">
      <c r="A2144" s="17" t="n">
        <v>2143</v>
      </c>
      <c r="B2144" s="17" t="inlineStr">
        <is>
          <t>Part III - Upstream AI Research</t>
        </is>
      </c>
      <c r="C2144" s="18" t="inlineStr">
        <is>
          <t>2. Representation analysis</t>
        </is>
      </c>
      <c r="D2144" s="10" t="inlineStr">
        <is>
          <t>Interpreting Natural Language Processing Models</t>
        </is>
      </c>
      <c r="E2144" s="10" t="inlineStr"/>
      <c r="F2144" s="11" t="inlineStr">
        <is>
          <t>1:06:48</t>
        </is>
      </c>
      <c r="G2144" s="11" t="n">
        <v>1.11</v>
      </c>
      <c r="H2144" s="12" t="inlineStr">
        <is>
          <t>★</t>
        </is>
      </c>
      <c r="I2144" s="11" t="inlineStr">
        <is>
          <t>Not started</t>
        </is>
      </c>
      <c r="J2144" s="13" t="n"/>
      <c r="K2144" s="10" t="inlineStr"/>
      <c r="L2144" s="14" t="inlineStr">
        <is>
          <t>▶ watch</t>
        </is>
      </c>
      <c r="M2144" s="10" t="inlineStr">
        <is>
          <t>Belinkov, Probing Classifiers: Promises, Shortcomings, and Advances (CL 2022). This is the critique you must read before using a probe. 50. Yonatan Belinkov - Causal Mediation Analysis for Interpreting Neural NLP: The Case of Gender Bias</t>
        </is>
      </c>
      <c r="N2144" s="14" t="inlineStr">
        <is>
          <t>read ↗</t>
        </is>
      </c>
      <c r="O2144" s="11" t="inlineStr">
        <is>
          <t>stated with the talk</t>
        </is>
      </c>
      <c r="P2144" s="10" t="inlineStr"/>
    </row>
    <row r="2145">
      <c r="A2145" s="17" t="n">
        <v>2144</v>
      </c>
      <c r="B2145" s="17" t="inlineStr">
        <is>
          <t>Part III - Upstream AI Research</t>
        </is>
      </c>
      <c r="C2145" s="18" t="inlineStr">
        <is>
          <t>2. Representation analysis</t>
        </is>
      </c>
      <c r="D2145" s="10" t="inlineStr">
        <is>
          <t>Yonatan Belinkov - Causal Mediation Analysis for Interpreting Neural NLP: The Case of Gender Bias</t>
        </is>
      </c>
      <c r="E2145" s="10" t="inlineStr"/>
      <c r="F2145" s="11" t="inlineStr">
        <is>
          <t>1:10:29</t>
        </is>
      </c>
      <c r="G2145" s="11" t="n">
        <v>1.17</v>
      </c>
      <c r="H2145" s="12" t="inlineStr">
        <is>
          <t>★</t>
        </is>
      </c>
      <c r="I2145" s="11" t="inlineStr">
        <is>
          <t>Not started</t>
        </is>
      </c>
      <c r="J2145" s="13" t="n"/>
      <c r="K2145" s="10" t="inlineStr"/>
      <c r="L2145" s="14" t="inlineStr">
        <is>
          <t>▶ watch</t>
        </is>
      </c>
      <c r="M2145" s="10" t="inlineStr">
        <is>
          <t>Vig et al., Investigating Gender Bias in Language Models Using Causal Mediation Analysis (NeurIPS 2020). 51. Feature learning &amp; the linear representation hypothesis for steering &amp; monitoring LLMs</t>
        </is>
      </c>
      <c r="N2145" s="14" t="inlineStr">
        <is>
          <t>read ↗</t>
        </is>
      </c>
      <c r="O2145" s="11" t="inlineStr">
        <is>
          <t>stated with the talk</t>
        </is>
      </c>
      <c r="P2145" s="10" t="inlineStr"/>
    </row>
    <row r="2146">
      <c r="A2146" s="17" t="n">
        <v>2145</v>
      </c>
      <c r="B2146" s="17" t="inlineStr">
        <is>
          <t>Part III - Upstream AI Research</t>
        </is>
      </c>
      <c r="C2146" s="18" t="inlineStr">
        <is>
          <t>2. Representation analysis</t>
        </is>
      </c>
      <c r="D2146" s="10" t="inlineStr">
        <is>
          <t>Feature learning &amp; the linear representation hypothesis for steering &amp; monitoring LLMs</t>
        </is>
      </c>
      <c r="E2146" s="10" t="inlineStr"/>
      <c r="F2146" s="11" t="inlineStr">
        <is>
          <t>29:52</t>
        </is>
      </c>
      <c r="G2146" s="11" t="n">
        <v>0.5</v>
      </c>
      <c r="H2146" s="12" t="inlineStr">
        <is>
          <t>★</t>
        </is>
      </c>
      <c r="I2146" s="11" t="inlineStr">
        <is>
          <t>Not started</t>
        </is>
      </c>
      <c r="J2146" s="13" t="n"/>
      <c r="K2146" s="10" t="inlineStr"/>
      <c r="L2146" s="14" t="inlineStr">
        <is>
          <t>▶ watch</t>
        </is>
      </c>
      <c r="M2146" s="10" t="inlineStr">
        <is>
          <t>Park, Choe &amp; Veitch, The Linear Representation Hypothesis and the Geometry of La</t>
        </is>
      </c>
      <c r="N2146" s="14" t="inlineStr">
        <is>
          <t>read ↗</t>
        </is>
      </c>
      <c r="O2146" s="11" t="inlineStr">
        <is>
          <t>stated with the talk</t>
        </is>
      </c>
      <c r="P2146" s="10" t="inlineStr"/>
    </row>
    <row r="2147">
      <c r="A2147" s="17" t="n">
        <v>2146</v>
      </c>
      <c r="B2147" s="17" t="inlineStr">
        <is>
          <t>Part III - Upstream AI Research</t>
        </is>
      </c>
      <c r="C2147" s="18" t="inlineStr">
        <is>
          <t>2. Representation analysis</t>
        </is>
      </c>
      <c r="D2147" s="10" t="inlineStr">
        <is>
          <t>Linear Structure of High-Level Concepts in Text-Controlled Generative Models | Victor Veitch</t>
        </is>
      </c>
      <c r="E2147" s="10" t="inlineStr"/>
      <c r="F2147" s="11" t="inlineStr">
        <is>
          <t>1:07:59</t>
        </is>
      </c>
      <c r="G2147" s="11" t="n">
        <v>1.13</v>
      </c>
      <c r="H2147" s="12" t="inlineStr">
        <is>
          <t>★</t>
        </is>
      </c>
      <c r="I2147" s="11" t="inlineStr">
        <is>
          <t>Not started</t>
        </is>
      </c>
      <c r="J2147" s="13" t="n"/>
      <c r="K2147" s="10" t="inlineStr"/>
      <c r="L2147" s="14" t="inlineStr">
        <is>
          <t>▶ watch</t>
        </is>
      </c>
      <c r="M2147" s="10" t="inlineStr">
        <is>
          <t>Park, Choe &amp; Veitch, The Linear Representation Hypothesis and the Geometry of Large Language Models (2023). 53. Oskar John Hollinsworth - Linear Representations of Sentiment in Large Language Models [TAIS 2024]</t>
        </is>
      </c>
      <c r="N2147" s="14" t="inlineStr">
        <is>
          <t>read ↗</t>
        </is>
      </c>
      <c r="O2147" s="11" t="inlineStr">
        <is>
          <t>stated with the talk</t>
        </is>
      </c>
      <c r="P2147" s="10" t="inlineStr"/>
    </row>
    <row r="2148">
      <c r="A2148" s="17" t="n">
        <v>2147</v>
      </c>
      <c r="B2148" s="17" t="inlineStr">
        <is>
          <t>Part III - Upstream AI Research</t>
        </is>
      </c>
      <c r="C2148" s="18" t="inlineStr">
        <is>
          <t>2. Representation analysis</t>
        </is>
      </c>
      <c r="D2148" s="10" t="inlineStr">
        <is>
          <t>Oskar John Hollinsworth - Linear Representations of Sentiment in Large Language Models [TAIS 2024</t>
        </is>
      </c>
      <c r="E2148" s="10" t="inlineStr"/>
      <c r="F2148" s="11" t="inlineStr">
        <is>
          <t>29:10</t>
        </is>
      </c>
      <c r="G2148" s="11" t="n">
        <v>0.49</v>
      </c>
      <c r="H2148" s="12" t="inlineStr">
        <is>
          <t>★</t>
        </is>
      </c>
      <c r="I2148" s="11" t="inlineStr">
        <is>
          <t>Not started</t>
        </is>
      </c>
      <c r="J2148" s="13" t="n"/>
      <c r="K2148" s="10" t="inlineStr"/>
      <c r="L2148" s="14" t="inlineStr">
        <is>
          <t>▶ watch</t>
        </is>
      </c>
      <c r="M2148" s="10" t="inlineStr">
        <is>
          <t>Zou et al., Representation Engineering: A Top-Down Approach to AI Transparency (2023). 55. The Platonic Representation Hypothesis</t>
        </is>
      </c>
      <c r="N2148" s="14" t="inlineStr">
        <is>
          <t>read ↗</t>
        </is>
      </c>
      <c r="O2148" s="11" t="inlineStr">
        <is>
          <t>stated with the talk</t>
        </is>
      </c>
      <c r="P2148" s="10" t="inlineStr"/>
    </row>
    <row r="2149">
      <c r="A2149" s="17" t="n">
        <v>2148</v>
      </c>
      <c r="B2149" s="17" t="inlineStr">
        <is>
          <t>Part III - Upstream AI Research</t>
        </is>
      </c>
      <c r="C2149" s="18" t="inlineStr">
        <is>
          <t>2. Representation analysis</t>
        </is>
      </c>
      <c r="D2149" s="10" t="inlineStr">
        <is>
          <t>Andy Zou – Top-Down Interpretability for AI Safety [Alignment Workshop</t>
        </is>
      </c>
      <c r="E2149" s="10" t="inlineStr"/>
      <c r="F2149" s="11" t="inlineStr">
        <is>
          <t>19:07</t>
        </is>
      </c>
      <c r="G2149" s="11" t="n">
        <v>0.32</v>
      </c>
      <c r="H2149" s="12" t="inlineStr">
        <is>
          <t>★</t>
        </is>
      </c>
      <c r="I2149" s="11" t="inlineStr">
        <is>
          <t>Not started</t>
        </is>
      </c>
      <c r="J2149" s="13" t="n"/>
      <c r="K2149" s="10" t="inlineStr"/>
      <c r="L2149" s="14" t="inlineStr">
        <is>
          <t>▶ watch</t>
        </is>
      </c>
      <c r="M2149" s="10" t="inlineStr">
        <is>
          <t>Zou et al., Representation Engineering: A Top-Down Approach to AI Transparency (2023). 55. The Platonic Representation Hypothesis</t>
        </is>
      </c>
      <c r="N2149" s="14" t="inlineStr">
        <is>
          <t>read ↗</t>
        </is>
      </c>
      <c r="O2149" s="11" t="inlineStr">
        <is>
          <t>stated with the talk</t>
        </is>
      </c>
      <c r="P2149" s="10" t="inlineStr"/>
    </row>
    <row r="2150">
      <c r="A2150" s="17" t="n">
        <v>2149</v>
      </c>
      <c r="B2150" s="17" t="inlineStr">
        <is>
          <t>Part III - Upstream AI Research</t>
        </is>
      </c>
      <c r="C2150" s="18" t="inlineStr">
        <is>
          <t>2. Representation analysis</t>
        </is>
      </c>
      <c r="D2150" s="10" t="inlineStr">
        <is>
          <t>The Platonic Representation Hypothesis</t>
        </is>
      </c>
      <c r="E2150" s="10" t="inlineStr"/>
      <c r="F2150" s="11" t="inlineStr">
        <is>
          <t>44:27</t>
        </is>
      </c>
      <c r="G2150" s="11" t="n">
        <v>0.74</v>
      </c>
      <c r="H2150" s="12" t="inlineStr">
        <is>
          <t>★</t>
        </is>
      </c>
      <c r="I2150" s="11" t="inlineStr">
        <is>
          <t>Not started</t>
        </is>
      </c>
      <c r="J2150" s="13" t="n"/>
      <c r="K2150" s="10" t="inlineStr"/>
      <c r="L2150" s="14" t="inlineStr">
        <is>
          <t>▶ watch</t>
        </is>
      </c>
      <c r="M2150" s="10" t="inlineStr">
        <is>
          <t>Huh, Cheung, Wang &amp; Isola, ICML 2024. 56. Kathleen Creel (Northeastern University): 'Against the Platonic Representation Hypothesis'</t>
        </is>
      </c>
      <c r="N2150" s="14" t="inlineStr">
        <is>
          <t>read ↗</t>
        </is>
      </c>
      <c r="O2150" s="11" t="inlineStr">
        <is>
          <t>stated with the talk</t>
        </is>
      </c>
      <c r="P2150" s="10" t="inlineStr"/>
    </row>
    <row r="2151">
      <c r="A2151" s="17" t="n">
        <v>2150</v>
      </c>
      <c r="B2151" s="17" t="inlineStr">
        <is>
          <t>Part III - Upstream AI Research</t>
        </is>
      </c>
      <c r="C2151" s="18" t="inlineStr">
        <is>
          <t>2. Representation analysis</t>
        </is>
      </c>
      <c r="D2151" s="10" t="inlineStr">
        <is>
          <t>Kathleen Creel (Northeastern University): 'Against the Platonic Representation Hypothesis'</t>
        </is>
      </c>
      <c r="E2151" s="10" t="inlineStr"/>
      <c r="F2151" s="11" t="inlineStr">
        <is>
          <t>43:05</t>
        </is>
      </c>
      <c r="G2151" s="11" t="n">
        <v>0.72</v>
      </c>
      <c r="H2151" s="12" t="inlineStr">
        <is>
          <t>★</t>
        </is>
      </c>
      <c r="I2151" s="11" t="inlineStr">
        <is>
          <t>Not started</t>
        </is>
      </c>
      <c r="J2151" s="13" t="n"/>
      <c r="K2151" s="10" t="inlineStr"/>
      <c r="L2151" s="14" t="inlineStr">
        <is>
          <t>▶ watch</t>
        </is>
      </c>
      <c r="M2151" s="10" t="inlineStr">
        <is>
          <t>Kornblith et al., Similarity of Neural Network Representations Revisited (ICML 2019)</t>
        </is>
      </c>
      <c r="N2151" s="14" t="inlineStr">
        <is>
          <t>read ↗</t>
        </is>
      </c>
      <c r="O2151" s="11" t="inlineStr">
        <is>
          <t>stated with the talk</t>
        </is>
      </c>
      <c r="P2151" s="10" t="inlineStr"/>
    </row>
    <row r="2152">
      <c r="A2152" s="17" t="n">
        <v>2151</v>
      </c>
      <c r="B2152" s="17" t="inlineStr">
        <is>
          <t>Part III - Upstream AI Research</t>
        </is>
      </c>
      <c r="C2152" s="18" t="inlineStr">
        <is>
          <t>2. Representation analysis</t>
        </is>
      </c>
      <c r="D2152" s="10" t="inlineStr">
        <is>
          <t>Pekka Marttinen: How to better compare representations learned by neural networks</t>
        </is>
      </c>
      <c r="E2152" s="10" t="inlineStr"/>
      <c r="F2152" s="11" t="inlineStr">
        <is>
          <t>41:45</t>
        </is>
      </c>
      <c r="G2152" s="11" t="n">
        <v>0.7</v>
      </c>
      <c r="H2152" s="12" t="inlineStr">
        <is>
          <t>★</t>
        </is>
      </c>
      <c r="I2152" s="11" t="inlineStr">
        <is>
          <t>Not started</t>
        </is>
      </c>
      <c r="J2152" s="13" t="n"/>
      <c r="K2152" s="10" t="inlineStr"/>
      <c r="L2152" s="14" t="inlineStr">
        <is>
          <t>▶ watch</t>
        </is>
      </c>
      <c r="M2152" s="10" t="inlineStr">
        <is>
          <t>Kornblith et al., Similarity of Neural Network Representations Revisited (ICML 2019). 58. Contributed Talks: "Representational Alignment" - CCN 2025</t>
        </is>
      </c>
      <c r="N2152" s="14" t="inlineStr">
        <is>
          <t>read ↗</t>
        </is>
      </c>
      <c r="O2152" s="11" t="inlineStr">
        <is>
          <t>stated with the talk</t>
        </is>
      </c>
      <c r="P2152" s="10" t="inlineStr"/>
    </row>
    <row r="2153">
      <c r="A2153" s="17" t="n">
        <v>2152</v>
      </c>
      <c r="B2153" s="17" t="inlineStr">
        <is>
          <t>Part III - Upstream AI Research</t>
        </is>
      </c>
      <c r="C2153" s="18" t="inlineStr">
        <is>
          <t>2. Representation analysis</t>
        </is>
      </c>
      <c r="D2153" s="10" t="inlineStr">
        <is>
          <t>Contributed Talks: "Representational Alignment" - CCN 2025</t>
        </is>
      </c>
      <c r="E2153" s="10" t="inlineStr"/>
      <c r="F2153" s="11" t="inlineStr">
        <is>
          <t>57:22</t>
        </is>
      </c>
      <c r="G2153" s="11" t="n">
        <v>0.96</v>
      </c>
      <c r="H2153" s="12" t="inlineStr">
        <is>
          <t>★</t>
        </is>
      </c>
      <c r="I2153" s="11" t="inlineStr">
        <is>
          <t>Not started</t>
        </is>
      </c>
      <c r="J2153" s="13" t="n"/>
      <c r="K2153" s="10" t="inlineStr"/>
      <c r="L2153" s="14" t="inlineStr">
        <is>
          <t>▶ watch</t>
        </is>
      </c>
      <c r="M2153" s="10" t="inlineStr">
        <is>
          <t>McCoy et al. 2024, PNAS 121:e2322420121 (Embers of Autoregression) · Bubeck et al. 2023, arXiv:2303.12712 (Sparks of AGI)</t>
        </is>
      </c>
      <c r="N2153" s="14" t="inlineStr">
        <is>
          <t>read ↗</t>
        </is>
      </c>
      <c r="O2153" s="11" t="inlineStr">
        <is>
          <t xml:space="preserve">reading for D.7.7 Is reasoning real? - the standing </t>
        </is>
      </c>
      <c r="P2153" s="10" t="inlineStr"/>
    </row>
    <row r="2154">
      <c r="A2154" s="17" t="n">
        <v>2153</v>
      </c>
      <c r="B2154" s="17" t="inlineStr">
        <is>
          <t>Part III - Upstream AI Research</t>
        </is>
      </c>
      <c r="C2154" s="18" t="inlineStr">
        <is>
          <t>2. Representation analysis</t>
        </is>
      </c>
      <c r="D2154" s="10" t="inlineStr">
        <is>
          <t>Inspecting Neural Networks with CCA - A Gentle Intro (Explainable AI for Deep Learning</t>
        </is>
      </c>
      <c r="E2154" s="10" t="inlineStr"/>
      <c r="F2154" s="11" t="inlineStr">
        <is>
          <t>19:28</t>
        </is>
      </c>
      <c r="G2154" s="11" t="n">
        <v>0.32</v>
      </c>
      <c r="H2154" s="12" t="inlineStr">
        <is>
          <t>★</t>
        </is>
      </c>
      <c r="I2154" s="11" t="inlineStr">
        <is>
          <t>Not started</t>
        </is>
      </c>
      <c r="J2154" s="13" t="n"/>
      <c r="K2154" s="10" t="inlineStr"/>
      <c r="L2154" s="14" t="inlineStr">
        <is>
          <t>▶ watch</t>
        </is>
      </c>
      <c r="M2154" s="10" t="inlineStr">
        <is>
          <t>Cranmer et al., Discovering Symbolic Models from Deep Learning with Inductive Biases (2020).</t>
        </is>
      </c>
      <c r="N2154" s="14" t="inlineStr">
        <is>
          <t>read ↗</t>
        </is>
      </c>
      <c r="O2154" s="11" t="inlineStr">
        <is>
          <t>stated with the talk</t>
        </is>
      </c>
      <c r="P2154" s="10" t="inlineStr"/>
    </row>
    <row r="2155">
      <c r="A2155" s="17" t="n">
        <v>2154</v>
      </c>
      <c r="B2155" s="17" t="inlineStr">
        <is>
          <t>Part III - Upstream AI Research</t>
        </is>
      </c>
      <c r="C2155" s="18" t="inlineStr">
        <is>
          <t>2. Representation analysis</t>
        </is>
      </c>
      <c r="D2155" s="10" t="inlineStr">
        <is>
          <t>Interpretability via Symbolic Distillation</t>
        </is>
      </c>
      <c r="E2155" s="10" t="inlineStr"/>
      <c r="F2155" s="11" t="inlineStr">
        <is>
          <t>51:04</t>
        </is>
      </c>
      <c r="G2155" s="11" t="n">
        <v>0.85</v>
      </c>
      <c r="H2155" s="12" t="inlineStr">
        <is>
          <t>★</t>
        </is>
      </c>
      <c r="I2155" s="11" t="inlineStr">
        <is>
          <t>Not started</t>
        </is>
      </c>
      <c r="J2155" s="13" t="n"/>
      <c r="K2155" s="10" t="inlineStr"/>
      <c r="L2155" s="14" t="inlineStr">
        <is>
          <t>▶ watch</t>
        </is>
      </c>
      <c r="M2155" s="10" t="inlineStr">
        <is>
          <t>Cranmer et al., Discovering Symbolic Models from Deep Learning with Inductive Biases (2020).</t>
        </is>
      </c>
      <c r="N2155" s="14" t="inlineStr">
        <is>
          <t>read ↗</t>
        </is>
      </c>
      <c r="O2155" s="11" t="inlineStr">
        <is>
          <t>stated with the talk</t>
        </is>
      </c>
      <c r="P2155" s="10" t="inlineStr"/>
    </row>
    <row r="2156">
      <c r="A2156" s="17" t="n">
        <v>2155</v>
      </c>
      <c r="B2156" s="17" t="inlineStr">
        <is>
          <t>Part III - Upstream AI Research</t>
        </is>
      </c>
      <c r="C2156" s="18" t="inlineStr">
        <is>
          <t>3. Classical interpretability and attribution</t>
        </is>
      </c>
      <c r="D2156" s="10" t="inlineStr">
        <is>
          <t>Quantitative Testing with Concept Activation Vectors (TCAV) -- Been Kim (Google) - 2018</t>
        </is>
      </c>
      <c r="E2156" s="10" t="inlineStr"/>
      <c r="F2156" s="11" t="inlineStr">
        <is>
          <t>56:09</t>
        </is>
      </c>
      <c r="G2156" s="11" t="n">
        <v>0.9399999999999999</v>
      </c>
      <c r="H2156" s="12" t="inlineStr">
        <is>
          <t>★</t>
        </is>
      </c>
      <c r="I2156" s="11" t="inlineStr">
        <is>
          <t>Not started</t>
        </is>
      </c>
      <c r="J2156" s="13" t="n"/>
      <c r="K2156" s="10" t="inlineStr"/>
      <c r="L2156" s="14" t="inlineStr">
        <is>
          <t>▶ watch</t>
        </is>
      </c>
      <c r="M2156" s="10" t="inlineStr">
        <is>
          <t>Kim et al., Interpretability Beyond Feature Attribution: Quantitative Testing with Concept Activation Vectors, ICML 2018. 62. Interpretability Beyond Feature Attribution</t>
        </is>
      </c>
      <c r="N2156" s="14" t="inlineStr">
        <is>
          <t>read ↗</t>
        </is>
      </c>
      <c r="O2156" s="11" t="inlineStr">
        <is>
          <t>stated with the talk</t>
        </is>
      </c>
      <c r="P2156" s="10" t="inlineStr"/>
    </row>
    <row r="2157">
      <c r="A2157" s="17" t="n">
        <v>2156</v>
      </c>
      <c r="B2157" s="17" t="inlineStr">
        <is>
          <t>Part III - Upstream AI Research</t>
        </is>
      </c>
      <c r="C2157" s="18" t="inlineStr">
        <is>
          <t>3. Classical interpretability and attribution</t>
        </is>
      </c>
      <c r="D2157" s="10" t="inlineStr">
        <is>
          <t>Interpretability Beyond Feature Attribution</t>
        </is>
      </c>
      <c r="E2157" s="10" t="inlineStr"/>
      <c r="F2157" s="11" t="inlineStr">
        <is>
          <t>27:56</t>
        </is>
      </c>
      <c r="G2157" s="11" t="n">
        <v>0.47</v>
      </c>
      <c r="H2157" s="12" t="inlineStr">
        <is>
          <t>★</t>
        </is>
      </c>
      <c r="I2157" s="11" t="inlineStr">
        <is>
          <t>Not started</t>
        </is>
      </c>
      <c r="J2157" s="13" t="n"/>
      <c r="K2157" s="10" t="inlineStr"/>
      <c r="L2157" s="14" t="inlineStr">
        <is>
          <t>▶ watch</t>
        </is>
      </c>
      <c r="M2157" s="10" t="inlineStr">
        <is>
          <t>Adebayo et al., Sanity Checks for Saliency Maps (NeurIPS 2018); also Kindermans et al., The (Un)reliability of Saliency Methods. 64.</t>
        </is>
      </c>
      <c r="N2157" s="14" t="inlineStr">
        <is>
          <t>read ↗</t>
        </is>
      </c>
      <c r="O2157" s="11" t="inlineStr">
        <is>
          <t>stated with the talk</t>
        </is>
      </c>
      <c r="P2157" s="10" t="inlineStr"/>
    </row>
    <row r="2158">
      <c r="A2158" s="17" t="n">
        <v>2157</v>
      </c>
      <c r="B2158" s="17" t="inlineStr">
        <is>
          <t>Part III - Upstream AI Research</t>
        </is>
      </c>
      <c r="C2158" s="18" t="inlineStr">
        <is>
          <t>3. Classical interpretability and attribution</t>
        </is>
      </c>
      <c r="D2158" s="10" t="inlineStr">
        <is>
          <t>Interpretability - now what?</t>
        </is>
      </c>
      <c r="E2158" s="10" t="inlineStr"/>
      <c r="F2158" s="11" t="inlineStr">
        <is>
          <t>47:37</t>
        </is>
      </c>
      <c r="G2158" s="11" t="n">
        <v>0.79</v>
      </c>
      <c r="H2158" s="12" t="inlineStr">
        <is>
          <t>★</t>
        </is>
      </c>
      <c r="I2158" s="11" t="inlineStr">
        <is>
          <t>Not started</t>
        </is>
      </c>
      <c r="J2158" s="13" t="n"/>
      <c r="K2158" s="10" t="inlineStr"/>
      <c r="L2158" s="14" t="inlineStr">
        <is>
          <t>▶ watch</t>
        </is>
      </c>
      <c r="M2158" s="10" t="inlineStr">
        <is>
          <t>Adebayo et al., Sanity Checks for Saliency Maps (NeurIPS 2018); also Kindermans et al., The (Un)reliability of Saliency Methods. 64. SecML18: Been Kim on Interpretability for when NOT to use machine learning</t>
        </is>
      </c>
      <c r="N2158" s="14" t="inlineStr">
        <is>
          <t>read ↗</t>
        </is>
      </c>
      <c r="O2158" s="11" t="inlineStr">
        <is>
          <t>stated with the talk</t>
        </is>
      </c>
      <c r="P2158" s="10" t="inlineStr"/>
    </row>
    <row r="2159">
      <c r="A2159" s="17" t="n">
        <v>2158</v>
      </c>
      <c r="B2159" s="17" t="inlineStr">
        <is>
          <t>Part III - Upstream AI Research</t>
        </is>
      </c>
      <c r="C2159" s="18" t="inlineStr">
        <is>
          <t>3. Classical interpretability and attribution</t>
        </is>
      </c>
      <c r="D2159" s="10" t="inlineStr">
        <is>
          <t>SecML18: Been Kim on Interpretability for when NOT to use machine learning</t>
        </is>
      </c>
      <c r="E2159" s="10" t="inlineStr"/>
      <c r="F2159" s="11" t="inlineStr">
        <is>
          <t>26:53</t>
        </is>
      </c>
      <c r="G2159" s="11" t="n">
        <v>0.45</v>
      </c>
      <c r="H2159" s="12" t="inlineStr">
        <is>
          <t>★</t>
        </is>
      </c>
      <c r="I2159" s="11" t="inlineStr">
        <is>
          <t>Not started</t>
        </is>
      </c>
      <c r="J2159" s="13" t="n"/>
      <c r="K2159" s="10" t="inlineStr"/>
      <c r="L2159" s="14" t="inlineStr">
        <is>
          <t>▶ watch</t>
        </is>
      </c>
      <c r="M2159" s="10" t="inlineStr">
        <is>
          <t>McCoy et al. 2024, PNAS 121:e2322420121 (Embers of Autoregression) · Bubeck et al. 2023, arXiv:2303.12712 (Sparks of AGI)</t>
        </is>
      </c>
      <c r="N2159" s="14" t="inlineStr">
        <is>
          <t>read ↗</t>
        </is>
      </c>
      <c r="O2159" s="11" t="inlineStr">
        <is>
          <t xml:space="preserve">reading for D.7.7 Is reasoning real? - the standing </t>
        </is>
      </c>
      <c r="P2159" s="10" t="inlineStr"/>
    </row>
    <row r="2160">
      <c r="A2160" s="17" t="n">
        <v>2159</v>
      </c>
      <c r="B2160" s="17" t="inlineStr">
        <is>
          <t>Part III - Upstream AI Research</t>
        </is>
      </c>
      <c r="C2160" s="18" t="inlineStr">
        <is>
          <t>3. Classical interpretability and attribution</t>
        </is>
      </c>
      <c r="D2160" s="10" t="inlineStr">
        <is>
          <t>Been Kim wants interpretability for everyone</t>
        </is>
      </c>
      <c r="E2160" s="10" t="inlineStr"/>
      <c r="F2160" s="11" t="inlineStr">
        <is>
          <t>6:53</t>
        </is>
      </c>
      <c r="G2160" s="11" t="n">
        <v>0.11</v>
      </c>
      <c r="H2160" s="12" t="inlineStr">
        <is>
          <t>★</t>
        </is>
      </c>
      <c r="I2160" s="11" t="inlineStr">
        <is>
          <t>Not started</t>
        </is>
      </c>
      <c r="J2160" s="13" t="n"/>
      <c r="K2160" s="10" t="inlineStr"/>
      <c r="L2160" s="14" t="inlineStr">
        <is>
          <t>▶ watch</t>
        </is>
      </c>
      <c r="M2160" s="10" t="inlineStr">
        <is>
          <t>McCoy et al. 2024, PNAS 121:e2322420121 (Embers of Autoregression) · Bubeck et al. 2023, arXiv:2303.12712 (Sparks of AGI)</t>
        </is>
      </c>
      <c r="N2160" s="14" t="inlineStr">
        <is>
          <t>read ↗</t>
        </is>
      </c>
      <c r="O2160" s="11" t="inlineStr">
        <is>
          <t xml:space="preserve">reading for D.7.7 Is reasoning real? - the standing </t>
        </is>
      </c>
      <c r="P2160" s="10" t="inlineStr"/>
    </row>
    <row r="2161">
      <c r="A2161" s="17" t="n">
        <v>2160</v>
      </c>
      <c r="B2161" s="17" t="inlineStr">
        <is>
          <t>Part III - Upstream AI Research</t>
        </is>
      </c>
      <c r="C2161" s="18" t="inlineStr">
        <is>
          <t>3. Classical interpretability and attribution</t>
        </is>
      </c>
      <c r="D2161" s="10" t="inlineStr">
        <is>
          <t>Alignment and Interpretability: How We Might Get It Right | Been Kim (Google DeepMind</t>
        </is>
      </c>
      <c r="E2161" s="10" t="inlineStr"/>
      <c r="F2161" s="11" t="inlineStr">
        <is>
          <t>33:21</t>
        </is>
      </c>
      <c r="G2161" s="11" t="n">
        <v>0.5600000000000001</v>
      </c>
      <c r="H2161" s="12" t="inlineStr">
        <is>
          <t>★</t>
        </is>
      </c>
      <c r="I2161" s="11" t="inlineStr">
        <is>
          <t>Not started</t>
        </is>
      </c>
      <c r="J2161" s="13" t="n"/>
      <c r="K2161" s="10" t="inlineStr"/>
      <c r="L2161" s="14" t="inlineStr">
        <is>
          <t>▶ watch</t>
        </is>
      </c>
      <c r="M2161" s="10" t="inlineStr">
        <is>
          <t>Sundararajan, Taly &amp; Yan, Axiomatic Attribution for</t>
        </is>
      </c>
      <c r="N2161" s="14" t="inlineStr">
        <is>
          <t>read ↗</t>
        </is>
      </c>
      <c r="O2161" s="11" t="inlineStr">
        <is>
          <t>stated with the talk</t>
        </is>
      </c>
      <c r="P2161" s="10" t="inlineStr"/>
    </row>
    <row r="2162">
      <c r="A2162" s="17" t="n">
        <v>2161</v>
      </c>
      <c r="B2162" s="17" t="inlineStr">
        <is>
          <t>Part III - Upstream AI Research</t>
        </is>
      </c>
      <c r="C2162" s="18" t="inlineStr">
        <is>
          <t>3. Classical interpretability and attribution</t>
        </is>
      </c>
      <c r="D2162" s="10" t="inlineStr">
        <is>
          <t>Feature Attribution | Stanford CS224U Natural Language Understanding | Spring 2021</t>
        </is>
      </c>
      <c r="E2162" s="10" t="inlineStr"/>
      <c r="F2162" s="11" t="inlineStr">
        <is>
          <t>15:32</t>
        </is>
      </c>
      <c r="G2162" s="11" t="n">
        <v>0.26</v>
      </c>
      <c r="H2162" s="12" t="inlineStr">
        <is>
          <t>★</t>
        </is>
      </c>
      <c r="I2162" s="11" t="inlineStr">
        <is>
          <t>Not started</t>
        </is>
      </c>
      <c r="J2162" s="13" t="n"/>
      <c r="K2162" s="10" t="inlineStr"/>
      <c r="L2162" s="14" t="inlineStr">
        <is>
          <t>▶ watch</t>
        </is>
      </c>
      <c r="M2162" s="10" t="inlineStr">
        <is>
          <t>Sundararajan, Taly &amp; Yan, Axiomatic Attribution for Deep Networks (ICML 2017). 68. Scott Lundberg, Microsoft Research - Explainable Machine Learning with Shapley Values</t>
        </is>
      </c>
      <c r="N2162" s="14" t="inlineStr">
        <is>
          <t>read ↗</t>
        </is>
      </c>
      <c r="O2162" s="11" t="inlineStr">
        <is>
          <t>stated with the talk</t>
        </is>
      </c>
      <c r="P2162" s="10" t="inlineStr"/>
    </row>
    <row r="2163">
      <c r="A2163" s="17" t="n">
        <v>2162</v>
      </c>
      <c r="B2163" s="17" t="inlineStr">
        <is>
          <t>Part III - Upstream AI Research</t>
        </is>
      </c>
      <c r="C2163" s="18" t="inlineStr">
        <is>
          <t>3. Classical interpretability and attribution</t>
        </is>
      </c>
      <c r="D2163" s="10" t="inlineStr">
        <is>
          <t>Scott Lundberg, Microsoft Research - Explainable Machine Learning with Shapley Values</t>
        </is>
      </c>
      <c r="E2163" s="10" t="inlineStr"/>
      <c r="F2163" s="11" t="inlineStr">
        <is>
          <t>18:34</t>
        </is>
      </c>
      <c r="G2163" s="11" t="n">
        <v>0.31</v>
      </c>
      <c r="H2163" s="12" t="inlineStr">
        <is>
          <t>★</t>
        </is>
      </c>
      <c r="I2163" s="11" t="inlineStr">
        <is>
          <t>Not started</t>
        </is>
      </c>
      <c r="J2163" s="13" t="n"/>
      <c r="K2163" s="10" t="inlineStr"/>
      <c r="L2163" s="14" t="inlineStr">
        <is>
          <t>▶ watch</t>
        </is>
      </c>
      <c r="M2163" s="10" t="inlineStr">
        <is>
          <t>Lundberg &amp; Lee, NeurIPS 2017. 69. Explainable AI explained!</t>
        </is>
      </c>
      <c r="N2163" s="14" t="inlineStr">
        <is>
          <t>read ↗</t>
        </is>
      </c>
      <c r="O2163" s="11" t="inlineStr">
        <is>
          <t>stated with the talk</t>
        </is>
      </c>
      <c r="P2163" s="10" t="inlineStr"/>
    </row>
    <row r="2164">
      <c r="A2164" s="17" t="n">
        <v>2163</v>
      </c>
      <c r="B2164" s="17" t="inlineStr">
        <is>
          <t>Part III - Upstream AI Research</t>
        </is>
      </c>
      <c r="C2164" s="18" t="inlineStr">
        <is>
          <t>3. Classical interpretability and attribution</t>
        </is>
      </c>
      <c r="D2164" s="10" t="inlineStr">
        <is>
          <t>Explainable AI explained! | #4 SHAP</t>
        </is>
      </c>
      <c r="E2164" s="10" t="inlineStr"/>
      <c r="F2164" s="11" t="inlineStr">
        <is>
          <t>15:50</t>
        </is>
      </c>
      <c r="G2164" s="11" t="n">
        <v>0.26</v>
      </c>
      <c r="H2164" s="12" t="inlineStr">
        <is>
          <t>★</t>
        </is>
      </c>
      <c r="I2164" s="11" t="inlineStr">
        <is>
          <t>Not started</t>
        </is>
      </c>
      <c r="J2164" s="13" t="n"/>
      <c r="K2164" s="10" t="inlineStr"/>
      <c r="L2164" s="14" t="inlineStr">
        <is>
          <t>▶ watch</t>
        </is>
      </c>
      <c r="M2164" s="10" t="inlineStr">
        <is>
          <t>Rudin, Stop Explaining Black Box Machine Learning Models for High Stakes Decisions and Use Interpretable Models Instead (Nature MI 2019). 71. Stop explaining black box machine learning model</t>
        </is>
      </c>
      <c r="N2164" s="14" t="inlineStr">
        <is>
          <t>read ↗</t>
        </is>
      </c>
      <c r="O2164" s="11" t="inlineStr">
        <is>
          <t>stated with the talk</t>
        </is>
      </c>
      <c r="P2164" s="10" t="inlineStr"/>
    </row>
    <row r="2165">
      <c r="A2165" s="17" t="n">
        <v>2164</v>
      </c>
      <c r="B2165" s="17" t="inlineStr">
        <is>
          <t>Part III - Upstream AI Research</t>
        </is>
      </c>
      <c r="C2165" s="18" t="inlineStr">
        <is>
          <t>3. Classical interpretability and attribution</t>
        </is>
      </c>
      <c r="D2165" s="10" t="inlineStr">
        <is>
          <t>Stop Explaining Black Box Machine Learning Models - Cynthia Rudin</t>
        </is>
      </c>
      <c r="E2165" s="10" t="inlineStr"/>
      <c r="F2165" s="11" t="inlineStr">
        <is>
          <t>30:15</t>
        </is>
      </c>
      <c r="G2165" s="11" t="n">
        <v>0.5</v>
      </c>
      <c r="H2165" s="12" t="inlineStr">
        <is>
          <t>★</t>
        </is>
      </c>
      <c r="I2165" s="11" t="inlineStr">
        <is>
          <t>Not started</t>
        </is>
      </c>
      <c r="J2165" s="13" t="n"/>
      <c r="K2165" s="10" t="inlineStr"/>
      <c r="L2165" s="14" t="inlineStr">
        <is>
          <t>▶ watch</t>
        </is>
      </c>
      <c r="M2165" s="10" t="inlineStr">
        <is>
          <t>Rudin, Stop Explaining Black Box Machine Learning Models for High Stakes Decisions and Use Interpretable Models Instead (Nature MI 2019). 71. Stop explaining black box machine learning models for high stakes decisions and..... - Cynthia Rudin</t>
        </is>
      </c>
      <c r="N2165" s="14" t="inlineStr">
        <is>
          <t>read ↗</t>
        </is>
      </c>
      <c r="O2165" s="11" t="inlineStr">
        <is>
          <t>stated with the talk</t>
        </is>
      </c>
      <c r="P2165" s="10" t="inlineStr"/>
    </row>
    <row r="2166">
      <c r="A2166" s="17" t="n">
        <v>2165</v>
      </c>
      <c r="B2166" s="17" t="inlineStr">
        <is>
          <t>Part III - Upstream AI Research</t>
        </is>
      </c>
      <c r="C2166" s="18" t="inlineStr">
        <is>
          <t>3. Classical interpretability and attribution</t>
        </is>
      </c>
      <c r="D2166" s="10" t="inlineStr">
        <is>
          <t>Stop explaining black box machine learning models for high stakes decisions and..... - Cynthia Rudin</t>
        </is>
      </c>
      <c r="E2166" s="10" t="inlineStr"/>
      <c r="F2166" s="11" t="inlineStr">
        <is>
          <t>1:04:02</t>
        </is>
      </c>
      <c r="G2166" s="11" t="n">
        <v>1.07</v>
      </c>
      <c r="H2166" s="12" t="inlineStr">
        <is>
          <t>★</t>
        </is>
      </c>
      <c r="I2166" s="11" t="inlineStr">
        <is>
          <t>Not started</t>
        </is>
      </c>
      <c r="J2166" s="13" t="n"/>
      <c r="K2166" s="10" t="inlineStr"/>
      <c r="L2166" s="14" t="inlineStr">
        <is>
          <t>▶ watch</t>
        </is>
      </c>
      <c r="M2166" s="10" t="inlineStr">
        <is>
          <t>Koh &amp; Liang, Un</t>
        </is>
      </c>
      <c r="N2166" s="14" t="inlineStr">
        <is>
          <t>read ↗</t>
        </is>
      </c>
      <c r="O2166" s="11" t="inlineStr">
        <is>
          <t>stated with the talk</t>
        </is>
      </c>
      <c r="P2166" s="10" t="inlineStr"/>
    </row>
    <row r="2167">
      <c r="A2167" s="17" t="n">
        <v>2166</v>
      </c>
      <c r="B2167" s="17" t="inlineStr">
        <is>
          <t>Part III - Upstream AI Research</t>
        </is>
      </c>
      <c r="C2167" s="18" t="inlineStr">
        <is>
          <t>3. Classical interpretability and attribution</t>
        </is>
      </c>
      <c r="D2167" s="10" t="inlineStr">
        <is>
          <t>Interpretable Machine Learning for High-Stakes Decisions - Cynthia Rudin</t>
        </is>
      </c>
      <c r="E2167" s="10" t="inlineStr"/>
      <c r="F2167" s="11" t="inlineStr">
        <is>
          <t>1:05:24</t>
        </is>
      </c>
      <c r="G2167" s="11" t="n">
        <v>1.09</v>
      </c>
      <c r="H2167" s="12" t="inlineStr">
        <is>
          <t>★</t>
        </is>
      </c>
      <c r="I2167" s="11" t="inlineStr">
        <is>
          <t>Not started</t>
        </is>
      </c>
      <c r="J2167" s="13" t="n"/>
      <c r="K2167" s="10" t="inlineStr"/>
      <c r="L2167" s="14" t="inlineStr">
        <is>
          <t>▶ watch</t>
        </is>
      </c>
      <c r="M2167" s="10" t="inlineStr">
        <is>
          <t>Koh &amp; Liang, Understanding Black-box Predictions via Influence Functions (ICML 2017 best paper). 74. Interpreting Deep Neural Networks (DNNs)</t>
        </is>
      </c>
      <c r="N2167" s="14" t="inlineStr">
        <is>
          <t>read ↗</t>
        </is>
      </c>
      <c r="O2167" s="11" t="inlineStr">
        <is>
          <t>stated with the talk</t>
        </is>
      </c>
      <c r="P2167" s="10" t="inlineStr"/>
    </row>
    <row r="2168">
      <c r="A2168" s="17" t="n">
        <v>2167</v>
      </c>
      <c r="B2168" s="17" t="inlineStr">
        <is>
          <t>Part III - Upstream AI Research</t>
        </is>
      </c>
      <c r="C2168" s="18" t="inlineStr">
        <is>
          <t>3. Classical interpretability and attribution</t>
        </is>
      </c>
      <c r="D2168" s="10" t="inlineStr">
        <is>
          <t>Allen School Colloquium: Pang Wei Koh (Stanford University</t>
        </is>
      </c>
      <c r="E2168" s="10" t="inlineStr"/>
      <c r="F2168" s="11" t="inlineStr">
        <is>
          <t>58:49</t>
        </is>
      </c>
      <c r="G2168" s="11" t="n">
        <v>0.98</v>
      </c>
      <c r="H2168" s="12" t="inlineStr">
        <is>
          <t>★</t>
        </is>
      </c>
      <c r="I2168" s="11" t="inlineStr">
        <is>
          <t>Not started</t>
        </is>
      </c>
      <c r="J2168" s="13" t="n"/>
      <c r="K2168" s="10" t="inlineStr"/>
      <c r="L2168" s="14" t="inlineStr">
        <is>
          <t>▶ watch</t>
        </is>
      </c>
      <c r="M2168" s="10" t="inlineStr">
        <is>
          <t>Koh &amp; Liang, Understanding Black-box Predictions via Influence Functions (ICML 2017 best paper). 74. Interpreting Deep Neural Networks (DNNs)</t>
        </is>
      </c>
      <c r="N2168" s="14" t="inlineStr">
        <is>
          <t>read ↗</t>
        </is>
      </c>
      <c r="O2168" s="11" t="inlineStr">
        <is>
          <t>stated with the talk</t>
        </is>
      </c>
      <c r="P2168" s="10" t="inlineStr"/>
    </row>
    <row r="2169">
      <c r="A2169" s="17" t="n">
        <v>2168</v>
      </c>
      <c r="B2169" s="17" t="inlineStr">
        <is>
          <t>Part III - Upstream AI Research</t>
        </is>
      </c>
      <c r="C2169" s="18" t="inlineStr">
        <is>
          <t>3. Classical interpretability and attribution</t>
        </is>
      </c>
      <c r="D2169" s="10" t="inlineStr">
        <is>
          <t>Interpreting Deep Neural Networks (DNNs</t>
        </is>
      </c>
      <c r="E2169" s="10" t="inlineStr"/>
      <c r="F2169" s="11" t="inlineStr">
        <is>
          <t>46:48</t>
        </is>
      </c>
      <c r="G2169" s="11" t="n">
        <v>0.78</v>
      </c>
      <c r="H2169" s="12" t="inlineStr">
        <is>
          <t>★</t>
        </is>
      </c>
      <c r="I2169" s="11" t="inlineStr">
        <is>
          <t>Not started</t>
        </is>
      </c>
      <c r="J2169" s="13" t="n"/>
      <c r="K2169" s="10" t="inlineStr"/>
      <c r="L2169" s="14" t="inlineStr">
        <is>
          <t>▶ watch</t>
        </is>
      </c>
      <c r="M2169" s="10" t="inlineStr">
        <is>
          <t>McCoy et al. 2024, PNAS 121:e2322420121 (Embers of Autoregression) · Bubeck et al. 2023, arXiv:2303.12712 (Sparks of AGI)</t>
        </is>
      </c>
      <c r="N2169" s="14" t="inlineStr">
        <is>
          <t>read ↗</t>
        </is>
      </c>
      <c r="O2169" s="11" t="inlineStr">
        <is>
          <t xml:space="preserve">reading for D.7.7 Is reasoning real? - the standing </t>
        </is>
      </c>
      <c r="P2169" s="10" t="inlineStr"/>
    </row>
    <row r="2170">
      <c r="A2170" s="17" t="n">
        <v>2169</v>
      </c>
      <c r="B2170" s="17" t="inlineStr">
        <is>
          <t>Part III - Upstream AI Research</t>
        </is>
      </c>
      <c r="C2170" s="18" t="inlineStr">
        <is>
          <t>3. Classical interpretability and attribution</t>
        </is>
      </c>
      <c r="D2170" s="10" t="inlineStr">
        <is>
          <t>25. Interpretability</t>
        </is>
      </c>
      <c r="E2170" s="10" t="inlineStr"/>
      <c r="F2170" s="11" t="inlineStr">
        <is>
          <t>1:18:41</t>
        </is>
      </c>
      <c r="G2170" s="11" t="n">
        <v>1.31</v>
      </c>
      <c r="H2170" s="12" t="inlineStr">
        <is>
          <t>★</t>
        </is>
      </c>
      <c r="I2170" s="11" t="inlineStr">
        <is>
          <t>Not started</t>
        </is>
      </c>
      <c r="J2170" s="13" t="n"/>
      <c r="K2170" s="10" t="inlineStr"/>
      <c r="L2170" s="14" t="inlineStr">
        <is>
          <t>▶ watch</t>
        </is>
      </c>
      <c r="M2170" s="10" t="inlineStr">
        <is>
          <t>McCoy et al. 2024, PNAS 121:e2322420121 (Embers of Autoregression) · Bubeck et al. 2023, arXiv:2303.12712 (Sparks of AGI)</t>
        </is>
      </c>
      <c r="N2170" s="14" t="inlineStr">
        <is>
          <t>read ↗</t>
        </is>
      </c>
      <c r="O2170" s="11" t="inlineStr">
        <is>
          <t xml:space="preserve">reading for D.7.7 Is reasoning real? - the standing </t>
        </is>
      </c>
      <c r="P2170" s="10" t="inlineStr"/>
    </row>
    <row r="2171">
      <c r="A2171" s="17" t="n">
        <v>2170</v>
      </c>
      <c r="B2171" s="17" t="inlineStr">
        <is>
          <t>Part III - Upstream AI Research</t>
        </is>
      </c>
      <c r="C2171" s="18" t="inlineStr">
        <is>
          <t>3. Classical interpretability and attribution</t>
        </is>
      </c>
      <c r="D2171" s="10" t="inlineStr">
        <is>
          <t>#047 Interpretable Machine Learning - Christoph Molnar</t>
        </is>
      </c>
      <c r="E2171" s="10" t="inlineStr"/>
      <c r="F2171" s="11" t="inlineStr">
        <is>
          <t>1:40:22</t>
        </is>
      </c>
      <c r="G2171" s="11" t="n">
        <v>1.67</v>
      </c>
      <c r="H2171" s="12" t="inlineStr">
        <is>
          <t>★</t>
        </is>
      </c>
      <c r="I2171" s="11" t="inlineStr">
        <is>
          <t>Not started</t>
        </is>
      </c>
      <c r="J2171" s="13" t="n"/>
      <c r="K2171" s="10" t="inlineStr"/>
      <c r="L2171" s="14" t="inlineStr">
        <is>
          <t>▶ watch</t>
        </is>
      </c>
      <c r="M2171" s="10" t="inlineStr">
        <is>
          <t>McCoy et al. 2024, PNAS 121:e2322420121 (Embers of Autoregression) · Bubeck et al. 2023, arXiv:2303.12712 (Sparks of AGI)</t>
        </is>
      </c>
      <c r="N2171" s="14" t="inlineStr">
        <is>
          <t>read ↗</t>
        </is>
      </c>
      <c r="O2171" s="11" t="inlineStr">
        <is>
          <t xml:space="preserve">reading for D.7.7 Is reasoning real? - the standing </t>
        </is>
      </c>
      <c r="P2171" s="10" t="inlineStr"/>
    </row>
    <row r="2172">
      <c r="A2172" s="17" t="n">
        <v>2171</v>
      </c>
      <c r="B2172" s="17" t="inlineStr">
        <is>
          <t>Part III - Upstream AI Research</t>
        </is>
      </c>
      <c r="C2172" s="18" t="inlineStr">
        <is>
          <t>4. Science of model behavior</t>
        </is>
      </c>
      <c r="D2172" s="10" t="inlineStr">
        <is>
          <t>Datamodels: Predicting Predictions with Training Data</t>
        </is>
      </c>
      <c r="E2172" s="10" t="inlineStr"/>
      <c r="F2172" s="11" t="inlineStr">
        <is>
          <t>1:00:23</t>
        </is>
      </c>
      <c r="G2172" s="11" t="n">
        <v>1.01</v>
      </c>
      <c r="H2172" s="12" t="inlineStr">
        <is>
          <t>★</t>
        </is>
      </c>
      <c r="I2172" s="11" t="inlineStr">
        <is>
          <t>Not started</t>
        </is>
      </c>
      <c r="J2172" s="13" t="n"/>
      <c r="K2172" s="10" t="inlineStr"/>
      <c r="L2172" s="14" t="inlineStr">
        <is>
          <t>▶ watch</t>
        </is>
      </c>
      <c r="M2172" s="10" t="inlineStr">
        <is>
          <t>Ilyas, Park, Engstrom, Leclerc &amp; Mądry, Datamodels (ICML 2022). 78. MedAI #51: Datamodels - Predicting Predictions from Training Data</t>
        </is>
      </c>
      <c r="N2172" s="14" t="inlineStr">
        <is>
          <t>read ↗</t>
        </is>
      </c>
      <c r="O2172" s="11" t="inlineStr">
        <is>
          <t>stated with the talk</t>
        </is>
      </c>
      <c r="P2172" s="10" t="inlineStr"/>
    </row>
    <row r="2173">
      <c r="A2173" s="17" t="n">
        <v>2172</v>
      </c>
      <c r="B2173" s="17" t="inlineStr">
        <is>
          <t>Part III - Upstream AI Research</t>
        </is>
      </c>
      <c r="C2173" s="18" t="inlineStr">
        <is>
          <t>4. Science of model behavior</t>
        </is>
      </c>
      <c r="D2173" s="10" t="inlineStr">
        <is>
          <t>MedAI #51: Datamodels - Predicting Predictions from Training Data | Andrew Ilyas</t>
        </is>
      </c>
      <c r="E2173" s="10" t="inlineStr"/>
      <c r="F2173" s="11" t="inlineStr">
        <is>
          <t>56:56</t>
        </is>
      </c>
      <c r="G2173" s="11" t="n">
        <v>0.95</v>
      </c>
      <c r="H2173" s="12" t="inlineStr">
        <is>
          <t>★</t>
        </is>
      </c>
      <c r="I2173" s="11" t="inlineStr">
        <is>
          <t>Not started</t>
        </is>
      </c>
      <c r="J2173" s="13" t="n"/>
      <c r="K2173" s="10" t="inlineStr"/>
      <c r="L2173" s="14" t="inlineStr">
        <is>
          <t>▶ watch</t>
        </is>
      </c>
      <c r="M2173" s="10" t="inlineStr">
        <is>
          <t>Park, Georgiev, Ilyas, Leclerc &amp; Mądry, TRAK: Attributing Model Behavior at Scale (ICML 2023). 80. What Do Our Models Learn? - Aleksander Mądry</t>
        </is>
      </c>
      <c r="N2173" s="14" t="inlineStr">
        <is>
          <t>read ↗</t>
        </is>
      </c>
      <c r="O2173" s="11" t="inlineStr">
        <is>
          <t>stated with the talk</t>
        </is>
      </c>
      <c r="P2173" s="10" t="inlineStr"/>
    </row>
    <row r="2174">
      <c r="A2174" s="17" t="n">
        <v>2173</v>
      </c>
      <c r="B2174" s="17" t="inlineStr">
        <is>
          <t>Part III - Upstream AI Research</t>
        </is>
      </c>
      <c r="C2174" s="18" t="inlineStr">
        <is>
          <t>4. Science of model behavior</t>
        </is>
      </c>
      <c r="D2174" s="10" t="inlineStr">
        <is>
          <t>ML Robustness &amp; Engineering - Andrew Ilyas (MIT</t>
        </is>
      </c>
      <c r="E2174" s="10" t="inlineStr"/>
      <c r="F2174" s="11" t="inlineStr">
        <is>
          <t>1:28:01</t>
        </is>
      </c>
      <c r="G2174" s="11" t="n">
        <v>1.47</v>
      </c>
      <c r="H2174" s="12" t="inlineStr">
        <is>
          <t>★</t>
        </is>
      </c>
      <c r="I2174" s="11" t="inlineStr">
        <is>
          <t>Not started</t>
        </is>
      </c>
      <c r="J2174" s="13" t="n"/>
      <c r="K2174" s="10" t="inlineStr"/>
      <c r="L2174" s="14" t="inlineStr">
        <is>
          <t>▶ watch</t>
        </is>
      </c>
      <c r="M2174" s="10" t="inlineStr">
        <is>
          <t>Park, Georgiev, Ilyas, Leclerc &amp; Mądry, TRAK: Attributing Model Behavior at Scale (ICML 2023). 80. What Do Our Models Learn? - Aleksander Mądry</t>
        </is>
      </c>
      <c r="N2174" s="14" t="inlineStr">
        <is>
          <t>read ↗</t>
        </is>
      </c>
      <c r="O2174" s="11" t="inlineStr">
        <is>
          <t>stated with the talk</t>
        </is>
      </c>
      <c r="P2174" s="10" t="inlineStr"/>
    </row>
    <row r="2175">
      <c r="A2175" s="17" t="n">
        <v>2174</v>
      </c>
      <c r="B2175" s="17" t="inlineStr">
        <is>
          <t>Part III - Upstream AI Research</t>
        </is>
      </c>
      <c r="C2175" s="18" t="inlineStr">
        <is>
          <t>4. Science of model behavior</t>
        </is>
      </c>
      <c r="D2175" s="10" t="inlineStr">
        <is>
          <t>What Do Our Models Learn? - Aleksander Mądry</t>
        </is>
      </c>
      <c r="E2175" s="10" t="inlineStr"/>
      <c r="F2175" s="11" t="inlineStr">
        <is>
          <t>1:27:40</t>
        </is>
      </c>
      <c r="G2175" s="11" t="n">
        <v>1.46</v>
      </c>
      <c r="H2175" s="12" t="inlineStr">
        <is>
          <t>★</t>
        </is>
      </c>
      <c r="I2175" s="11" t="inlineStr">
        <is>
          <t>Not started</t>
        </is>
      </c>
      <c r="J2175" s="13" t="n"/>
      <c r="K2175" s="10" t="inlineStr"/>
      <c r="L2175" s="14" t="inlineStr">
        <is>
          <t>▶ watch</t>
        </is>
      </c>
      <c r="M2175" s="10" t="inlineStr">
        <is>
          <t>Adversarial Examples Are Not Bugs, They Are Features (2019). 81. Scalable Extraction of Training Data from (Production) Language Models</t>
        </is>
      </c>
      <c r="N2175" s="14" t="inlineStr">
        <is>
          <t>read ↗</t>
        </is>
      </c>
      <c r="O2175" s="11" t="inlineStr">
        <is>
          <t>stated with the talk</t>
        </is>
      </c>
      <c r="P2175" s="10" t="inlineStr"/>
    </row>
    <row r="2176">
      <c r="A2176" s="17" t="n">
        <v>2175</v>
      </c>
      <c r="B2176" s="17" t="inlineStr">
        <is>
          <t>Part III - Upstream AI Research</t>
        </is>
      </c>
      <c r="C2176" s="18" t="inlineStr">
        <is>
          <t>4. Science of model behavior</t>
        </is>
      </c>
      <c r="D2176" s="10" t="inlineStr">
        <is>
          <t>Scalable Extraction of Training Data from (Production) Language Models</t>
        </is>
      </c>
      <c r="E2176" s="10" t="inlineStr"/>
      <c r="F2176" s="11" t="inlineStr">
        <is>
          <t>49:11</t>
        </is>
      </c>
      <c r="G2176" s="11" t="n">
        <v>0.82</v>
      </c>
      <c r="H2176" s="12" t="inlineStr">
        <is>
          <t>★</t>
        </is>
      </c>
      <c r="I2176" s="11" t="inlineStr">
        <is>
          <t>Not started</t>
        </is>
      </c>
      <c r="J2176" s="13" t="n"/>
      <c r="K2176" s="10" t="inlineStr"/>
      <c r="L2176" s="14" t="inlineStr">
        <is>
          <t>▶ watch</t>
        </is>
      </c>
      <c r="M2176" s="10" t="inlineStr">
        <is>
          <t>Nasr, Carlini et al. (2023), the divergence attack on ChatGPT. 82. TrustML Seminar: Nicholas Carlini on "Extracting training data from neural networks"</t>
        </is>
      </c>
      <c r="N2176" s="14" t="inlineStr">
        <is>
          <t>read ↗</t>
        </is>
      </c>
      <c r="O2176" s="11" t="inlineStr">
        <is>
          <t>stated with the talk</t>
        </is>
      </c>
      <c r="P2176" s="10" t="inlineStr"/>
    </row>
    <row r="2177">
      <c r="A2177" s="17" t="n">
        <v>2176</v>
      </c>
      <c r="B2177" s="17" t="inlineStr">
        <is>
          <t>Part III - Upstream AI Research</t>
        </is>
      </c>
      <c r="C2177" s="18" t="inlineStr">
        <is>
          <t>4. Science of model behavior</t>
        </is>
      </c>
      <c r="D2177" s="10" t="inlineStr">
        <is>
          <t>TrustML Seminar: Nicholas Carlini on "Extracting training data from neural networks"</t>
        </is>
      </c>
      <c r="E2177" s="10" t="inlineStr"/>
      <c r="F2177" s="11" t="inlineStr">
        <is>
          <t>1:00:50</t>
        </is>
      </c>
      <c r="G2177" s="11" t="n">
        <v>1.01</v>
      </c>
      <c r="H2177" s="12" t="inlineStr">
        <is>
          <t>★</t>
        </is>
      </c>
      <c r="I2177" s="11" t="inlineStr">
        <is>
          <t>Not started</t>
        </is>
      </c>
      <c r="J2177" s="13" t="n"/>
      <c r="K2177" s="10" t="inlineStr"/>
      <c r="L2177" s="14" t="inlineStr">
        <is>
          <t>▶ watch</t>
        </is>
      </c>
      <c r="M2177" s="10" t="inlineStr">
        <is>
          <t>Carlini et al., Extracting Training Data from Large Language Models (USENIX Security 2021). 83. USENIX Security '19 - The Secret Sharer: Evaluating and Testing Unintended Memorization in Neural Networks</t>
        </is>
      </c>
      <c r="N2177" s="14" t="inlineStr">
        <is>
          <t>read ↗</t>
        </is>
      </c>
      <c r="O2177" s="11" t="inlineStr">
        <is>
          <t>stated with the talk</t>
        </is>
      </c>
      <c r="P2177" s="10" t="inlineStr"/>
    </row>
    <row r="2178">
      <c r="A2178" s="17" t="n">
        <v>2177</v>
      </c>
      <c r="B2178" s="17" t="inlineStr">
        <is>
          <t>Part III - Upstream AI Research</t>
        </is>
      </c>
      <c r="C2178" s="18" t="inlineStr">
        <is>
          <t>4. Science of model behavior</t>
        </is>
      </c>
      <c r="D2178" s="10" t="inlineStr">
        <is>
          <t>USENIX Security '19 - The Secret Sharer: Evaluating and Testing Unintended Memorization in Neural Networks</t>
        </is>
      </c>
      <c r="E2178" s="10" t="inlineStr"/>
      <c r="F2178" s="11" t="inlineStr">
        <is>
          <t>20:36</t>
        </is>
      </c>
      <c r="G2178" s="11" t="n">
        <v>0.34</v>
      </c>
      <c r="H2178" s="12" t="inlineStr">
        <is>
          <t>★</t>
        </is>
      </c>
      <c r="I2178" s="11" t="inlineStr">
        <is>
          <t>Not started</t>
        </is>
      </c>
      <c r="J2178" s="13" t="n"/>
      <c r="K2178" s="10" t="inlineStr"/>
      <c r="L2178" s="14" t="inlineStr">
        <is>
          <t>▶ watch</t>
        </is>
      </c>
      <c r="M2178" s="10" t="inlineStr">
        <is>
          <t>Towards Developmental Interpretability; Lau et al., The Local Learning Coefficient. 85. 31 - Singular Learning Theory with Dani</t>
        </is>
      </c>
      <c r="N2178" s="14" t="inlineStr">
        <is>
          <t>read ↗</t>
        </is>
      </c>
      <c r="O2178" s="11" t="inlineStr">
        <is>
          <t>stated with the talk</t>
        </is>
      </c>
      <c r="P2178" s="10" t="inlineStr"/>
    </row>
    <row r="2179">
      <c r="A2179" s="17" t="n">
        <v>2178</v>
      </c>
      <c r="B2179" s="17" t="inlineStr">
        <is>
          <t>Part III - Upstream AI Research</t>
        </is>
      </c>
      <c r="C2179" s="18" t="inlineStr">
        <is>
          <t>4. Science of model behavior</t>
        </is>
      </c>
      <c r="D2179" s="10" t="inlineStr">
        <is>
          <t>Jesse Hoogland: Singular Learning Theory, Developmental interpretability (HAAISS 2024</t>
        </is>
      </c>
      <c r="E2179" s="10" t="inlineStr"/>
      <c r="F2179" s="11" t="inlineStr">
        <is>
          <t>1:17:19</t>
        </is>
      </c>
      <c r="G2179" s="11" t="n">
        <v>1.29</v>
      </c>
      <c r="H2179" s="12" t="inlineStr">
        <is>
          <t>★</t>
        </is>
      </c>
      <c r="I2179" s="11" t="inlineStr">
        <is>
          <t>Not started</t>
        </is>
      </c>
      <c r="J2179" s="13" t="n"/>
      <c r="K2179" s="10" t="inlineStr"/>
      <c r="L2179" s="14" t="inlineStr">
        <is>
          <t>▶ watch</t>
        </is>
      </c>
      <c r="M2179" s="10" t="inlineStr">
        <is>
          <t>Towards Developmental Interpretability; Lau et al., The Local Learning Coefficient. 85. 31 - Singular Learning Theory with Daniel Murfet</t>
        </is>
      </c>
      <c r="N2179" s="14" t="inlineStr">
        <is>
          <t>read ↗</t>
        </is>
      </c>
      <c r="O2179" s="11" t="inlineStr">
        <is>
          <t>stated with the talk</t>
        </is>
      </c>
      <c r="P2179" s="10" t="inlineStr"/>
    </row>
    <row r="2180">
      <c r="A2180" s="17" t="n">
        <v>2179</v>
      </c>
      <c r="B2180" s="17" t="inlineStr">
        <is>
          <t>Part III - Upstream AI Research</t>
        </is>
      </c>
      <c r="C2180" s="18" t="inlineStr">
        <is>
          <t>4. Science of model behavior</t>
        </is>
      </c>
      <c r="D2180" s="10" t="inlineStr">
        <is>
          <t>31 - Singular Learning Theory with Daniel Murfet</t>
        </is>
      </c>
      <c r="E2180" s="10" t="inlineStr"/>
      <c r="F2180" s="11" t="inlineStr">
        <is>
          <t>2:32:06</t>
        </is>
      </c>
      <c r="G2180" s="11" t="n">
        <v>2.54</v>
      </c>
      <c r="H2180" s="12" t="inlineStr">
        <is>
          <t>★</t>
        </is>
      </c>
      <c r="I2180" s="11" t="inlineStr">
        <is>
          <t>Not started</t>
        </is>
      </c>
      <c r="J2180" s="13" t="n"/>
      <c r="K2180" s="10" t="inlineStr"/>
      <c r="L2180" s="14" t="inlineStr">
        <is>
          <t>▶ watch</t>
        </is>
      </c>
      <c r="M2180" s="10" t="inlineStr">
        <is>
          <t>McCoy et al. 2024, PNAS 121:e2322420121 (Embers of Autoregression) · Bubeck et al. 2023, arXiv:2303.12712 (Sparks of AGI)</t>
        </is>
      </c>
      <c r="N2180" s="14" t="inlineStr">
        <is>
          <t>read ↗</t>
        </is>
      </c>
      <c r="O2180" s="11" t="inlineStr">
        <is>
          <t xml:space="preserve">reading for D.7.7 Is reasoning real? - the standing </t>
        </is>
      </c>
      <c r="P2180" s="10" t="inlineStr"/>
    </row>
    <row r="2181">
      <c r="A2181" s="17" t="n">
        <v>2180</v>
      </c>
      <c r="B2181" s="17" t="inlineStr">
        <is>
          <t>Part III - Upstream AI Research</t>
        </is>
      </c>
      <c r="C2181" s="18" t="inlineStr">
        <is>
          <t>4. Science of model behavior</t>
        </is>
      </c>
      <c r="D2181" s="10" t="inlineStr">
        <is>
          <t>ALIGN Webinar Series #12 Jesse Hoogland Singular Learning Theory for AI Safety</t>
        </is>
      </c>
      <c r="E2181" s="10" t="inlineStr"/>
      <c r="F2181" s="11" t="inlineStr">
        <is>
          <t>1:02:17</t>
        </is>
      </c>
      <c r="G2181" s="11" t="n">
        <v>1.04</v>
      </c>
      <c r="H2181" s="12" t="inlineStr">
        <is>
          <t>★</t>
        </is>
      </c>
      <c r="I2181" s="11" t="inlineStr">
        <is>
          <t>Not started</t>
        </is>
      </c>
      <c r="J2181" s="13" t="n"/>
      <c r="K2181" s="10" t="inlineStr"/>
      <c r="L2181" s="14" t="inlineStr">
        <is>
          <t>▶ watch</t>
        </is>
      </c>
      <c r="M2181" s="10" t="inlineStr">
        <is>
          <t>McCoy et al. 2024, PNAS 121:e2322420121 (Embers of Autoregression) · Bubeck et al. 2023, arXiv:2303.12712 (Sparks of AGI)</t>
        </is>
      </c>
      <c r="N2181" s="14" t="inlineStr">
        <is>
          <t>read ↗</t>
        </is>
      </c>
      <c r="O2181" s="11" t="inlineStr">
        <is>
          <t xml:space="preserve">reading for D.7.7 Is reasoning real? - the standing </t>
        </is>
      </c>
      <c r="P2181" s="10" t="inlineStr"/>
    </row>
    <row r="2182">
      <c r="A2182" s="17" t="n">
        <v>2181</v>
      </c>
      <c r="B2182" s="17" t="inlineStr">
        <is>
          <t>Part III - Upstream AI Research</t>
        </is>
      </c>
      <c r="C2182" s="18" t="inlineStr">
        <is>
          <t>4. Science of model behavior</t>
        </is>
      </c>
      <c r="D2182" s="10" t="inlineStr">
        <is>
          <t>38.2 - Jesse Hoogland on Singular Learning Theory</t>
        </is>
      </c>
      <c r="E2182" s="10" t="inlineStr"/>
      <c r="F2182" s="11" t="inlineStr">
        <is>
          <t>1:02:17</t>
        </is>
      </c>
      <c r="G2182" s="11" t="n">
        <v>1.04</v>
      </c>
      <c r="H2182" s="12" t="inlineStr">
        <is>
          <t>★</t>
        </is>
      </c>
      <c r="I2182" s="11" t="inlineStr">
        <is>
          <t>Not started</t>
        </is>
      </c>
      <c r="J2182" s="13" t="n"/>
      <c r="K2182" s="10" t="inlineStr"/>
      <c r="L2182" s="14" t="inlineStr">
        <is>
          <t>▶ watch</t>
        </is>
      </c>
      <c r="M2182" s="10" t="inlineStr">
        <is>
          <t>McCoy et al. 2024, PNAS 121:e2322420121 (Embers of Autoregression) · Bubeck et al. 2023, arXiv:2303.12712 (Sparks of AGI)</t>
        </is>
      </c>
      <c r="N2182" s="14" t="inlineStr">
        <is>
          <t>read ↗</t>
        </is>
      </c>
      <c r="O2182" s="11" t="inlineStr">
        <is>
          <t xml:space="preserve">reading for D.7.7 Is reasoning real? - the standing </t>
        </is>
      </c>
      <c r="P2182" s="10" t="inlineStr"/>
    </row>
    <row r="2183">
      <c r="A2183" s="17" t="n">
        <v>2182</v>
      </c>
      <c r="B2183" s="17" t="inlineStr">
        <is>
          <t>Part III - Upstream AI Research</t>
        </is>
      </c>
      <c r="C2183" s="18" t="inlineStr">
        <is>
          <t>4. Science of model behavior</t>
        </is>
      </c>
      <c r="D2183" s="10" t="inlineStr">
        <is>
          <t>Training Is Nothing Like Learning with Naomi Saphra (Harvard</t>
        </is>
      </c>
      <c r="E2183" s="10" t="inlineStr"/>
      <c r="F2183" s="11" t="inlineStr">
        <is>
          <t>1:11:34</t>
        </is>
      </c>
      <c r="G2183" s="11" t="n">
        <v>1.19</v>
      </c>
      <c r="H2183" s="12" t="inlineStr">
        <is>
          <t>★</t>
        </is>
      </c>
      <c r="I2183" s="11" t="inlineStr">
        <is>
          <t>Not started</t>
        </is>
      </c>
      <c r="J2183" s="13" t="n"/>
      <c r="K2183" s="10" t="inlineStr"/>
      <c r="L2183" s="14" t="inlineStr">
        <is>
          <t>▶ watch</t>
        </is>
      </c>
      <c r="M2183" s="10" t="inlineStr">
        <is>
          <t>Juneja, Bansal, Cho, Sedoc &amp; Saphra (ICLR 2023). 91. "Dynamics of Concept Learning and Emergent Abilities in Neural Networks" - Ekde</t>
        </is>
      </c>
      <c r="N2183" s="14" t="inlineStr">
        <is>
          <t>read ↗</t>
        </is>
      </c>
      <c r="O2183" s="11" t="inlineStr">
        <is>
          <t>stated with the talk</t>
        </is>
      </c>
      <c r="P2183" s="10" t="inlineStr"/>
    </row>
    <row r="2184">
      <c r="A2184" s="17" t="n">
        <v>2183</v>
      </c>
      <c r="B2184" s="17" t="inlineStr">
        <is>
          <t>Part III - Upstream AI Research</t>
        </is>
      </c>
      <c r="C2184" s="18" t="inlineStr">
        <is>
          <t>4. Science of model behavior</t>
        </is>
      </c>
      <c r="D2184" s="10" t="inlineStr">
        <is>
          <t>Naomi Saphra: Linear Connectivity Reveals Generalization Strategies</t>
        </is>
      </c>
      <c r="E2184" s="10" t="inlineStr"/>
      <c r="F2184" s="11" t="inlineStr">
        <is>
          <t>54:23</t>
        </is>
      </c>
      <c r="G2184" s="11" t="n">
        <v>0.91</v>
      </c>
      <c r="H2184" s="12" t="inlineStr">
        <is>
          <t>★</t>
        </is>
      </c>
      <c r="I2184" s="11" t="inlineStr">
        <is>
          <t>Not started</t>
        </is>
      </c>
      <c r="J2184" s="13" t="n"/>
      <c r="K2184" s="10" t="inlineStr"/>
      <c r="L2184" s="14" t="inlineStr">
        <is>
          <t>▶ watch</t>
        </is>
      </c>
      <c r="M2184" s="10" t="inlineStr">
        <is>
          <t>Juneja, Bansal, Cho, Sedoc &amp; Saphra (ICLR 2023). 91. "Dynamics of Concept Learning and Emergent Abilities in Neural Networks" - Ekdeep Lubana</t>
        </is>
      </c>
      <c r="N2184" s="14" t="inlineStr">
        <is>
          <t>read ↗</t>
        </is>
      </c>
      <c r="O2184" s="11" t="inlineStr">
        <is>
          <t>stated with the talk</t>
        </is>
      </c>
      <c r="P2184" s="10" t="inlineStr"/>
    </row>
    <row r="2185">
      <c r="A2185" s="17" t="n">
        <v>2184</v>
      </c>
      <c r="B2185" s="17" t="inlineStr">
        <is>
          <t>Part III - Upstream AI Research</t>
        </is>
      </c>
      <c r="C2185" s="18" t="inlineStr">
        <is>
          <t>4. Science of model behavior</t>
        </is>
      </c>
      <c r="D2185" s="10" t="inlineStr">
        <is>
          <t>Explaining emergence in NN with model systems analysis - Ekdeep Singh Lubana (PIBBSS Speaker Series</t>
        </is>
      </c>
      <c r="E2185" s="10" t="inlineStr"/>
      <c r="F2185" s="11" t="inlineStr">
        <is>
          <t>1:24:56</t>
        </is>
      </c>
      <c r="G2185" s="11" t="n">
        <v>1.42</v>
      </c>
      <c r="H2185" s="12" t="inlineStr">
        <is>
          <t>★</t>
        </is>
      </c>
      <c r="I2185" s="11" t="inlineStr">
        <is>
          <t>Not started</t>
        </is>
      </c>
      <c r="J2185" s="13" t="n"/>
      <c r="K2185" s="10" t="inlineStr"/>
      <c r="L2185" s="14" t="inlineStr">
        <is>
          <t>▶ watch</t>
        </is>
      </c>
      <c r="M2185" s="10" t="inlineStr">
        <is>
          <t>McCoy et al. 2024, PNAS 121:e2322420121 (Embers of Autoregression) · Bubeck et al. 2023, arXiv:2303.12712 (Sparks of AGI)</t>
        </is>
      </c>
      <c r="N2185" s="14" t="inlineStr">
        <is>
          <t>read ↗</t>
        </is>
      </c>
      <c r="O2185" s="11" t="inlineStr">
        <is>
          <t xml:space="preserve">reading for D.7.7 Is reasoning real? - the standing </t>
        </is>
      </c>
      <c r="P2185" s="10" t="inlineStr"/>
    </row>
    <row r="2186">
      <c r="A2186" s="17" t="n">
        <v>2185</v>
      </c>
      <c r="B2186" s="17" t="inlineStr">
        <is>
          <t>Part III - Upstream AI Research</t>
        </is>
      </c>
      <c r="C2186" s="18" t="inlineStr">
        <is>
          <t>4. Science of model behavior</t>
        </is>
      </c>
      <c r="D2186" s="10" t="inlineStr">
        <is>
          <t>The Surprising Simplicity of the Early-Time Learning Dynamics of Neural Networks in High Dimension</t>
        </is>
      </c>
      <c r="E2186" s="10" t="inlineStr"/>
      <c r="F2186" s="11" t="inlineStr">
        <is>
          <t>47:10</t>
        </is>
      </c>
      <c r="G2186" s="11" t="n">
        <v>0.79</v>
      </c>
      <c r="H2186" s="12" t="inlineStr">
        <is>
          <t>★</t>
        </is>
      </c>
      <c r="I2186" s="11" t="inlineStr">
        <is>
          <t>Not started</t>
        </is>
      </c>
      <c r="J2186" s="13" t="n"/>
      <c r="K2186" s="10" t="inlineStr"/>
      <c r="L2186" s="14" t="inlineStr">
        <is>
          <t>▶ watch</t>
        </is>
      </c>
      <c r="M2186" s="10" t="inlineStr">
        <is>
          <t>McCoy et al. 2024, PNAS 121:e2322420121 (Embers of Autoregression) · Bubeck et al. 2023, arXiv:2303.12712 (Sparks of AGI)</t>
        </is>
      </c>
      <c r="N2186" s="14" t="inlineStr">
        <is>
          <t>read ↗</t>
        </is>
      </c>
      <c r="O2186" s="11" t="inlineStr">
        <is>
          <t xml:space="preserve">reading for D.7.7 Is reasoning real? - the standing </t>
        </is>
      </c>
      <c r="P2186" s="10" t="inlineStr"/>
    </row>
    <row r="2187">
      <c r="A2187" s="17" t="n">
        <v>2186</v>
      </c>
      <c r="B2187" s="17" t="inlineStr">
        <is>
          <t>Part III - Upstream AI Research</t>
        </is>
      </c>
      <c r="C2187" s="18" t="inlineStr">
        <is>
          <t>5. Evaluation as a science</t>
        </is>
      </c>
      <c r="D2187" s="10" t="inlineStr">
        <is>
          <t>Keynote Talk: Sanmi Koyejo - Beyond Benchmarks; Building a Science of AI Measurement</t>
        </is>
      </c>
      <c r="E2187" s="10" t="inlineStr"/>
      <c r="F2187" s="11" t="inlineStr">
        <is>
          <t>53:03</t>
        </is>
      </c>
      <c r="G2187" s="11" t="n">
        <v>0.88</v>
      </c>
      <c r="H2187" s="12" t="inlineStr">
        <is>
          <t>★</t>
        </is>
      </c>
      <c r="I2187" s="11" t="inlineStr">
        <is>
          <t>Not started</t>
        </is>
      </c>
      <c r="J2187" s="13" t="n"/>
      <c r="K2187" s="10" t="inlineStr"/>
      <c r="L2187" s="14" t="inlineStr">
        <is>
          <t>▶ watch</t>
        </is>
      </c>
      <c r="M2187" s="10" t="inlineStr">
        <is>
          <t>Schaeffer, Miranda &amp; Koyejo, Are Emergent Abilities of Large Language Models a Mirage? (NeurIPS 2023 best paper). 95. CITP Special Event: Sayash Kapoor: Final Public Oral (FPO) - The Missing Science of AI Evaluation</t>
        </is>
      </c>
      <c r="N2187" s="14" t="inlineStr">
        <is>
          <t>read ↗</t>
        </is>
      </c>
      <c r="O2187" s="11" t="inlineStr">
        <is>
          <t>stated with the talk</t>
        </is>
      </c>
      <c r="P2187" s="10" t="inlineStr"/>
    </row>
    <row r="2188">
      <c r="A2188" s="17" t="n">
        <v>2187</v>
      </c>
      <c r="B2188" s="17" t="inlineStr">
        <is>
          <t>Part III - Upstream AI Research</t>
        </is>
      </c>
      <c r="C2188" s="18" t="inlineStr">
        <is>
          <t>5. Evaluation as a science</t>
        </is>
      </c>
      <c r="D2188" s="10" t="inlineStr">
        <is>
          <t>CITP Special Event: Sayash Kapoor: Final Public Oral (FPO) - The Missing Science of AI Evaluation</t>
        </is>
      </c>
      <c r="E2188" s="10" t="inlineStr"/>
      <c r="F2188" s="11" t="inlineStr">
        <is>
          <t>1:17:59</t>
        </is>
      </c>
      <c r="G2188" s="11" t="n">
        <v>1.3</v>
      </c>
      <c r="H2188" s="12" t="inlineStr">
        <is>
          <t>★</t>
        </is>
      </c>
      <c r="I2188" s="11" t="inlineStr">
        <is>
          <t>Not started</t>
        </is>
      </c>
      <c r="J2188" s="13" t="n"/>
      <c r="K2188" s="10" t="inlineStr"/>
      <c r="L2188" s="14" t="inlineStr">
        <is>
          <t>▶ watch</t>
        </is>
      </c>
      <c r="M2188" s="10" t="inlineStr">
        <is>
          <t>AI Agents That Matter; Leakage and the Reproducibility Crisis in ML-based Science. 96. Building and evaluating AI Agents - Sayash Kapoor, AI Snake Oil</t>
        </is>
      </c>
      <c r="N2188" s="14" t="inlineStr">
        <is>
          <t>read ↗</t>
        </is>
      </c>
      <c r="O2188" s="11" t="inlineStr">
        <is>
          <t>stated with the talk</t>
        </is>
      </c>
      <c r="P2188" s="10" t="inlineStr"/>
    </row>
    <row r="2189">
      <c r="A2189" s="17" t="n">
        <v>2188</v>
      </c>
      <c r="B2189" s="17" t="inlineStr">
        <is>
          <t>Part III - Upstream AI Research</t>
        </is>
      </c>
      <c r="C2189" s="18" t="inlineStr">
        <is>
          <t>5. Evaluation as a science</t>
        </is>
      </c>
      <c r="D2189" s="10" t="inlineStr">
        <is>
          <t>Building and evaluating AI Agents - Sayash Kapoor, AI Snake Oil</t>
        </is>
      </c>
      <c r="E2189" s="10" t="inlineStr"/>
      <c r="F2189" s="11" t="inlineStr">
        <is>
          <t>19:59</t>
        </is>
      </c>
      <c r="G2189" s="11" t="n">
        <v>0.33</v>
      </c>
      <c r="H2189" s="12" t="inlineStr">
        <is>
          <t>★</t>
        </is>
      </c>
      <c r="I2189" s="11" t="inlineStr">
        <is>
          <t>Not started</t>
        </is>
      </c>
      <c r="J2189" s="13" t="n"/>
      <c r="K2189" s="10" t="inlineStr"/>
      <c r="L2189" s="14" t="inlineStr">
        <is>
          <t>▶ watch</t>
        </is>
      </c>
      <c r="M2189" s="10" t="inlineStr">
        <is>
          <t>McCoy et al. 2024, PNAS 121:e2322420121 (Embers of Autoregression) · Bubeck et al. 2023, arXiv:2303.12712 (Sparks of AGI)</t>
        </is>
      </c>
      <c r="N2189" s="14" t="inlineStr">
        <is>
          <t>read ↗</t>
        </is>
      </c>
      <c r="O2189" s="11" t="inlineStr">
        <is>
          <t xml:space="preserve">reading for D.7.7 Is reasoning real? - the standing </t>
        </is>
      </c>
      <c r="P2189" s="10" t="inlineStr"/>
    </row>
    <row r="2190">
      <c r="A2190" s="17" t="n">
        <v>2189</v>
      </c>
      <c r="B2190" s="17" t="inlineStr">
        <is>
          <t>Part III - Upstream AI Research</t>
        </is>
      </c>
      <c r="C2190" s="18" t="inlineStr">
        <is>
          <t>5. Evaluation as a science</t>
        </is>
      </c>
      <c r="D2190" s="10" t="inlineStr">
        <is>
          <t>The Challenge of Valid Evaluations</t>
        </is>
      </c>
      <c r="E2190" s="10" t="inlineStr"/>
      <c r="F2190" s="11" t="inlineStr">
        <is>
          <t>32:40</t>
        </is>
      </c>
      <c r="G2190" s="11" t="n">
        <v>0.54</v>
      </c>
      <c r="H2190" s="12" t="inlineStr">
        <is>
          <t>★</t>
        </is>
      </c>
      <c r="I2190" s="11" t="inlineStr">
        <is>
          <t>Not started</t>
        </is>
      </c>
      <c r="J2190" s="13" t="n"/>
      <c r="K2190" s="10" t="inlineStr"/>
      <c r="L2190" s="14" t="inlineStr">
        <is>
          <t>▶ watch</t>
        </is>
      </c>
      <c r="M2190" s="10" t="inlineStr">
        <is>
          <t>McCoy et al. 2024, PNAS 121:e2322420121 (Embers of Autoregression) · Bubeck et al. 2023, arXiv:2303.12712 (Sparks of AGI)</t>
        </is>
      </c>
      <c r="N2190" s="14" t="inlineStr">
        <is>
          <t>read ↗</t>
        </is>
      </c>
      <c r="O2190" s="11" t="inlineStr">
        <is>
          <t xml:space="preserve">reading for D.7.7 Is reasoning real? - the standing </t>
        </is>
      </c>
      <c r="P2190" s="10" t="inlineStr"/>
    </row>
    <row r="2191">
      <c r="A2191" s="17" t="n">
        <v>2190</v>
      </c>
      <c r="B2191" s="17" t="inlineStr">
        <is>
          <t>Part III - Upstream AI Research</t>
        </is>
      </c>
      <c r="C2191" s="18" t="inlineStr">
        <is>
          <t>5. Evaluation as a science</t>
        </is>
      </c>
      <c r="D2191" s="10" t="inlineStr">
        <is>
          <t>The Inadequacy of Offline LLM Evaluations: A Need to Account for Personalization in Model Behavior</t>
        </is>
      </c>
      <c r="E2191" s="10" t="inlineStr"/>
      <c r="F2191" s="11" t="inlineStr">
        <is>
          <t>31:57</t>
        </is>
      </c>
      <c r="G2191" s="11" t="n">
        <v>0.53</v>
      </c>
      <c r="H2191" s="12" t="inlineStr">
        <is>
          <t>★</t>
        </is>
      </c>
      <c r="I2191" s="11" t="inlineStr">
        <is>
          <t>Not started</t>
        </is>
      </c>
      <c r="J2191" s="13" t="n"/>
      <c r="K2191" s="10" t="inlineStr"/>
      <c r="L2191" s="14" t="inlineStr">
        <is>
          <t>▶ watch</t>
        </is>
      </c>
      <c r="M2191" s="10" t="inlineStr">
        <is>
          <t>Ethayarajh &amp; Jurafsky, Utility is in the Eye of the User (EMNLP 2020). 10</t>
        </is>
      </c>
      <c r="N2191" s="14" t="inlineStr">
        <is>
          <t>read ↗</t>
        </is>
      </c>
      <c r="O2191" s="11" t="inlineStr">
        <is>
          <t>stated with the talk</t>
        </is>
      </c>
      <c r="P2191" s="10" t="inlineStr"/>
    </row>
    <row r="2192">
      <c r="A2192" s="17" t="n">
        <v>2191</v>
      </c>
      <c r="B2192" s="17" t="inlineStr">
        <is>
          <t>Part III - Upstream AI Research</t>
        </is>
      </c>
      <c r="C2192" s="18" t="inlineStr">
        <is>
          <t>5. Evaluation as a science</t>
        </is>
      </c>
      <c r="D2192" s="10" t="inlineStr">
        <is>
          <t>Leaderboardism in NLP: panel with Kawin Ethayarajh, Jesse Dodge, Rachael Tatman &amp; Anna Rogers</t>
        </is>
      </c>
      <c r="E2192" s="10" t="inlineStr"/>
      <c r="F2192" s="11" t="inlineStr">
        <is>
          <t>1:10:10</t>
        </is>
      </c>
      <c r="G2192" s="11" t="n">
        <v>1.17</v>
      </c>
      <c r="H2192" s="12" t="inlineStr">
        <is>
          <t>★</t>
        </is>
      </c>
      <c r="I2192" s="11" t="inlineStr">
        <is>
          <t>Not started</t>
        </is>
      </c>
      <c r="J2192" s="13" t="n"/>
      <c r="K2192" s="10" t="inlineStr"/>
      <c r="L2192" s="14" t="inlineStr">
        <is>
          <t>▶ watch</t>
        </is>
      </c>
      <c r="M2192" s="10" t="inlineStr">
        <is>
          <t>Ethayarajh &amp; Jurafsky, Utility is in the Eye of the User (EMNLP 2020). 100. Rasa Reading Group: What Will it Take to Fix Benchmarking in Natural Language Understanding (Part 2)</t>
        </is>
      </c>
      <c r="N2192" s="14" t="inlineStr">
        <is>
          <t>read ↗</t>
        </is>
      </c>
      <c r="O2192" s="11" t="inlineStr">
        <is>
          <t>stated with the talk</t>
        </is>
      </c>
      <c r="P2192" s="10" t="inlineStr"/>
    </row>
    <row r="2193">
      <c r="A2193" s="17" t="n">
        <v>2192</v>
      </c>
      <c r="B2193" s="17" t="inlineStr">
        <is>
          <t>Part III - Upstream AI Research</t>
        </is>
      </c>
      <c r="C2193" s="18" t="inlineStr">
        <is>
          <t>5. Evaluation as a science</t>
        </is>
      </c>
      <c r="D2193" s="10" t="inlineStr">
        <is>
          <t>Rasa Reading Group: What Will it Take to Fix Benchmarking in Natural Language Understanding (Part 2</t>
        </is>
      </c>
      <c r="E2193" s="10" t="inlineStr"/>
      <c r="F2193" s="11" t="inlineStr">
        <is>
          <t>1:08:02</t>
        </is>
      </c>
      <c r="G2193" s="11" t="n">
        <v>1.13</v>
      </c>
      <c r="H2193" s="12" t="inlineStr">
        <is>
          <t>★</t>
        </is>
      </c>
      <c r="I2193" s="11" t="inlineStr">
        <is>
          <t>Not started</t>
        </is>
      </c>
      <c r="J2193" s="13" t="n"/>
      <c r="K2193" s="10" t="inlineStr"/>
      <c r="L2193" s="14" t="inlineStr">
        <is>
          <t>▶ watch</t>
        </is>
      </c>
      <c r="M2193" s="10" t="inlineStr">
        <is>
          <t>Bowman &amp; Dahl, NAACL 2021. The four criteria any benchmark must meet. 101. ACL 2022 Talk – The Dangers of Underclaiming</t>
        </is>
      </c>
      <c r="N2193" s="14" t="inlineStr">
        <is>
          <t>read ↗</t>
        </is>
      </c>
      <c r="O2193" s="11" t="inlineStr">
        <is>
          <t>stated with the talk</t>
        </is>
      </c>
      <c r="P2193" s="10" t="inlineStr"/>
    </row>
    <row r="2194">
      <c r="A2194" s="17" t="n">
        <v>2193</v>
      </c>
      <c r="B2194" s="17" t="inlineStr">
        <is>
          <t>Part III - Upstream AI Research</t>
        </is>
      </c>
      <c r="C2194" s="18" t="inlineStr">
        <is>
          <t>5. Evaluation as a science</t>
        </is>
      </c>
      <c r="D2194" s="10" t="inlineStr">
        <is>
          <t>ACL 2022 Talk – The Dangers of Underclaiming</t>
        </is>
      </c>
      <c r="E2194" s="10" t="inlineStr"/>
      <c r="F2194" s="11" t="inlineStr">
        <is>
          <t>12:19</t>
        </is>
      </c>
      <c r="G2194" s="11" t="n">
        <v>0.21</v>
      </c>
      <c r="H2194" s="12" t="inlineStr">
        <is>
          <t>★</t>
        </is>
      </c>
      <c r="I2194" s="11" t="inlineStr">
        <is>
          <t>Not started</t>
        </is>
      </c>
      <c r="J2194" s="13" t="n"/>
      <c r="K2194" s="10" t="inlineStr"/>
      <c r="L2194" s="14" t="inlineStr">
        <is>
          <t>▶ watch</t>
        </is>
      </c>
      <c r="M2194" s="10" t="inlineStr">
        <is>
          <t>McCoy et al. 2024, PNAS 121:e2322420121 (Embers of Autoregression) · Bubeck et al. 2023, arXiv:2303.12712 (Sparks of AGI)</t>
        </is>
      </c>
      <c r="N2194" s="14" t="inlineStr">
        <is>
          <t>read ↗</t>
        </is>
      </c>
      <c r="O2194" s="11" t="inlineStr">
        <is>
          <t xml:space="preserve">reading for D.7.7 Is reasoning real? - the standing </t>
        </is>
      </c>
      <c r="P2194" s="10" t="inlineStr"/>
    </row>
    <row r="2195">
      <c r="A2195" s="17" t="n">
        <v>2194</v>
      </c>
      <c r="B2195" s="17" t="inlineStr">
        <is>
          <t>Part III - Upstream AI Research</t>
        </is>
      </c>
      <c r="C2195" s="18" t="inlineStr">
        <is>
          <t>5. Evaluation as a science</t>
        </is>
      </c>
      <c r="D2195" s="10" t="inlineStr">
        <is>
          <t>Learning Machines Seminar @ Cornell: Sam Bowman (NYU</t>
        </is>
      </c>
      <c r="E2195" s="10" t="inlineStr"/>
      <c r="F2195" s="11" t="inlineStr">
        <is>
          <t>58:13</t>
        </is>
      </c>
      <c r="G2195" s="11" t="n">
        <v>0.97</v>
      </c>
      <c r="H2195" s="12" t="inlineStr">
        <is>
          <t>★</t>
        </is>
      </c>
      <c r="I2195" s="11" t="inlineStr">
        <is>
          <t>Not started</t>
        </is>
      </c>
      <c r="J2195" s="13" t="n"/>
      <c r="K2195" s="10" t="inlineStr"/>
      <c r="L2195" s="14" t="inlineStr">
        <is>
          <t>▶ watch</t>
        </is>
      </c>
      <c r="M2195" s="10" t="inlineStr">
        <is>
          <t>Jain et al., LiveCodeBench (ICLR 2025). 104. Context for Interpreting Benchmark Perfor</t>
        </is>
      </c>
      <c r="N2195" s="14" t="inlineStr">
        <is>
          <t>read ↗</t>
        </is>
      </c>
      <c r="O2195" s="11" t="inlineStr">
        <is>
          <t>stated with the talk</t>
        </is>
      </c>
      <c r="P2195" s="10" t="inlineStr"/>
    </row>
    <row r="2196">
      <c r="A2196" s="17" t="n">
        <v>2195</v>
      </c>
      <c r="B2196" s="17" t="inlineStr">
        <is>
          <t>Part III - Upstream AI Research</t>
        </is>
      </c>
      <c r="C2196" s="18" t="inlineStr">
        <is>
          <t>5. Evaluation as a science</t>
        </is>
      </c>
      <c r="D2196" s="10" t="inlineStr">
        <is>
          <t>Naman Jain - "LiveCodeBench: Holistic and contamination free evaluation of LLMs for code"</t>
        </is>
      </c>
      <c r="E2196" s="10" t="inlineStr"/>
      <c r="F2196" s="11" t="inlineStr">
        <is>
          <t>56:47</t>
        </is>
      </c>
      <c r="G2196" s="11" t="n">
        <v>0.95</v>
      </c>
      <c r="H2196" s="12" t="inlineStr">
        <is>
          <t>★</t>
        </is>
      </c>
      <c r="I2196" s="11" t="inlineStr">
        <is>
          <t>Not started</t>
        </is>
      </c>
      <c r="J2196" s="13" t="n"/>
      <c r="K2196" s="10" t="inlineStr"/>
      <c r="L2196" s="14" t="inlineStr">
        <is>
          <t>▶ watch</t>
        </is>
      </c>
      <c r="M2196" s="10" t="inlineStr">
        <is>
          <t>Jain et al., LiveCodeBench (ICLR 2025). 104. Context for Interpreting Benchmark Performances</t>
        </is>
      </c>
      <c r="N2196" s="14" t="inlineStr">
        <is>
          <t>read ↗</t>
        </is>
      </c>
      <c r="O2196" s="11" t="inlineStr">
        <is>
          <t>stated with the talk</t>
        </is>
      </c>
      <c r="P2196" s="10" t="inlineStr"/>
    </row>
    <row r="2197">
      <c r="A2197" s="17" t="n">
        <v>2196</v>
      </c>
      <c r="B2197" s="17" t="inlineStr">
        <is>
          <t>Part III - Upstream AI Research</t>
        </is>
      </c>
      <c r="C2197" s="18" t="inlineStr">
        <is>
          <t>5. Evaluation as a science</t>
        </is>
      </c>
      <c r="D2197" s="10" t="inlineStr">
        <is>
          <t>Context for Interpreting Benchmark Performances</t>
        </is>
      </c>
      <c r="E2197" s="10" t="inlineStr"/>
      <c r="F2197" s="11" t="inlineStr">
        <is>
          <t>24:35</t>
        </is>
      </c>
      <c r="G2197" s="11" t="n">
        <v>0.41</v>
      </c>
      <c r="H2197" s="12" t="inlineStr">
        <is>
          <t>★</t>
        </is>
      </c>
      <c r="I2197" s="11" t="inlineStr">
        <is>
          <t>Not started</t>
        </is>
      </c>
      <c r="J2197" s="13" t="n"/>
      <c r="K2197" s="10" t="inlineStr"/>
      <c r="L2197" s="14" t="inlineStr">
        <is>
          <t>▶ watch</t>
        </is>
      </c>
      <c r="M2197" s="10" t="inlineStr">
        <is>
          <t>HELM (Liang, Bommasani et al. 2022). 106. Stanford CME295 Transformers &amp; LLMs</t>
        </is>
      </c>
      <c r="N2197" s="14" t="inlineStr">
        <is>
          <t>read ↗</t>
        </is>
      </c>
      <c r="O2197" s="11" t="inlineStr">
        <is>
          <t>stated with the talk</t>
        </is>
      </c>
      <c r="P2197" s="10" t="inlineStr"/>
    </row>
    <row r="2198">
      <c r="A2198" s="17" t="n">
        <v>2197</v>
      </c>
      <c r="B2198" s="17" t="inlineStr">
        <is>
          <t>Part III - Upstream AI Research</t>
        </is>
      </c>
      <c r="C2198" s="18" t="inlineStr">
        <is>
          <t>5. Evaluation as a science</t>
        </is>
      </c>
      <c r="D2198" s="10" t="inlineStr">
        <is>
          <t>Rishi Bommasani -- Holistic Evaluation of Language Models</t>
        </is>
      </c>
      <c r="E2198" s="10" t="inlineStr"/>
      <c r="F2198" s="11" t="inlineStr">
        <is>
          <t>37:47</t>
        </is>
      </c>
      <c r="G2198" s="11" t="n">
        <v>0.63</v>
      </c>
      <c r="H2198" s="12" t="inlineStr">
        <is>
          <t>★</t>
        </is>
      </c>
      <c r="I2198" s="11" t="inlineStr">
        <is>
          <t>Not started</t>
        </is>
      </c>
      <c r="J2198" s="13" t="n"/>
      <c r="K2198" s="10" t="inlineStr"/>
      <c r="L2198" s="14" t="inlineStr">
        <is>
          <t>▶ watch</t>
        </is>
      </c>
      <c r="M2198" s="10" t="inlineStr">
        <is>
          <t>HELM (Liang, Bommasani et al. 2022). 106. Stanford CME295 Transformers &amp; LLMs</t>
        </is>
      </c>
      <c r="N2198" s="14" t="inlineStr">
        <is>
          <t>read ↗</t>
        </is>
      </c>
      <c r="O2198" s="11" t="inlineStr">
        <is>
          <t>stated with the talk</t>
        </is>
      </c>
      <c r="P2198" s="10" t="inlineStr"/>
    </row>
    <row r="2199">
      <c r="A2199" s="17" t="n">
        <v>2198</v>
      </c>
      <c r="B2199" s="17" t="inlineStr">
        <is>
          <t>Part III - Upstream AI Research</t>
        </is>
      </c>
      <c r="C2199" s="18" t="inlineStr">
        <is>
          <t>5. Evaluation as a science</t>
        </is>
      </c>
      <c r="D2199" s="10" t="inlineStr">
        <is>
          <t>Stanford CME295 Transformers &amp; LLMs | Autumn 2025 | Lecture 8 - LLM Evaluation</t>
        </is>
      </c>
      <c r="E2199" s="10" t="inlineStr"/>
      <c r="F2199" s="11" t="inlineStr">
        <is>
          <t>1:49:25</t>
        </is>
      </c>
      <c r="G2199" s="11" t="n">
        <v>1.82</v>
      </c>
      <c r="H2199" s="12" t="inlineStr">
        <is>
          <t>★</t>
        </is>
      </c>
      <c r="I2199" s="11" t="inlineStr">
        <is>
          <t>Not started</t>
        </is>
      </c>
      <c r="J2199" s="13" t="n"/>
      <c r="K2199" s="10" t="inlineStr"/>
      <c r="L2199" s="14" t="inlineStr">
        <is>
          <t>▶ watch</t>
        </is>
      </c>
      <c r="M2199" s="10" t="inlineStr">
        <is>
          <t>Kambhampati et al. 2024, arXiv:2402.01817 (LLM-Modulo)</t>
        </is>
      </c>
      <c r="N2199" s="14" t="inlineStr">
        <is>
          <t>read ↗</t>
        </is>
      </c>
      <c r="O2199" s="11" t="inlineStr">
        <is>
          <t>names LLM</t>
        </is>
      </c>
      <c r="P2199" s="10" t="inlineStr"/>
    </row>
    <row r="2200">
      <c r="A2200" s="17" t="n">
        <v>2199</v>
      </c>
      <c r="B2200" s="17" t="inlineStr">
        <is>
          <t>Part III - Upstream AI Research</t>
        </is>
      </c>
      <c r="C2200" s="18" t="inlineStr">
        <is>
          <t>5. Evaluation as a science</t>
        </is>
      </c>
      <c r="D2200" s="10" t="inlineStr">
        <is>
          <t>LLM-as-a-Judge / Autoraters • Guest Lecture at Northeastern University • March 24, 2026</t>
        </is>
      </c>
      <c r="E2200" s="10" t="inlineStr"/>
      <c r="F2200" s="11" t="inlineStr">
        <is>
          <t>56:39</t>
        </is>
      </c>
      <c r="G2200" s="11" t="n">
        <v>0.9399999999999999</v>
      </c>
      <c r="H2200" s="12" t="inlineStr">
        <is>
          <t>★</t>
        </is>
      </c>
      <c r="I2200" s="11" t="inlineStr">
        <is>
          <t>Not started</t>
        </is>
      </c>
      <c r="J2200" s="13" t="n"/>
      <c r="K2200" s="10" t="inlineStr"/>
      <c r="L2200" s="14" t="inlineStr">
        <is>
          <t>▶ watch</t>
        </is>
      </c>
      <c r="M2200" s="10" t="inlineStr">
        <is>
          <t>Henderson et al., Deep RL That Matters</t>
        </is>
      </c>
      <c r="N2200" s="14" t="inlineStr">
        <is>
          <t>read ↗</t>
        </is>
      </c>
      <c r="O2200" s="11" t="inlineStr">
        <is>
          <t>stated with the talk</t>
        </is>
      </c>
      <c r="P2200" s="10" t="inlineStr"/>
    </row>
    <row r="2201">
      <c r="A2201" s="17" t="n">
        <v>2200</v>
      </c>
      <c r="B2201" s="17" t="inlineStr">
        <is>
          <t>Part III - Upstream AI Research</t>
        </is>
      </c>
      <c r="C2201" s="18" t="inlineStr">
        <is>
          <t>5. Evaluation as a science</t>
        </is>
      </c>
      <c r="D2201" s="10" t="inlineStr">
        <is>
          <t>Joelle Pineau: Reproducibility, Reusability, and Robustness in Deep Reinforcement Learning ICLR 2018</t>
        </is>
      </c>
      <c r="E2201" s="10" t="inlineStr"/>
      <c r="F2201" s="11" t="inlineStr">
        <is>
          <t>49:22</t>
        </is>
      </c>
      <c r="G2201" s="11" t="n">
        <v>0.82</v>
      </c>
      <c r="H2201" s="12" t="inlineStr">
        <is>
          <t>★</t>
        </is>
      </c>
      <c r="I2201" s="11" t="inlineStr">
        <is>
          <t>Not started</t>
        </is>
      </c>
      <c r="J2201" s="13" t="n"/>
      <c r="K2201" s="10" t="inlineStr"/>
      <c r="L2201" s="14" t="inlineStr">
        <is>
          <t>▶ watch</t>
        </is>
      </c>
      <c r="M2201" s="10" t="inlineStr">
        <is>
          <t>Henderson et al., Deep RL That Matters (AAAI 2018).</t>
        </is>
      </c>
      <c r="N2201" s="14" t="inlineStr">
        <is>
          <t>read ↗</t>
        </is>
      </c>
      <c r="O2201" s="11" t="inlineStr">
        <is>
          <t>stated with the talk</t>
        </is>
      </c>
      <c r="P2201" s="10" t="inlineStr"/>
    </row>
    <row r="2202">
      <c r="A2202" s="17" t="n">
        <v>2201</v>
      </c>
      <c r="B2202" s="17" t="inlineStr">
        <is>
          <t>Part III - Upstream AI Research</t>
        </is>
      </c>
      <c r="C2202" s="18" t="inlineStr">
        <is>
          <t>6. NeuroAI and biological inspiration</t>
        </is>
      </c>
      <c r="D2202" s="10" t="inlineStr">
        <is>
          <t>Reverse engineering visual intelligence - James DiCarlo</t>
        </is>
      </c>
      <c r="E2202" s="10" t="inlineStr"/>
      <c r="F2202" s="11" t="inlineStr">
        <is>
          <t>40:59</t>
        </is>
      </c>
      <c r="G2202" s="11" t="n">
        <v>0.68</v>
      </c>
      <c r="H2202" s="12" t="inlineStr">
        <is>
          <t>★</t>
        </is>
      </c>
      <c r="I2202" s="11" t="inlineStr">
        <is>
          <t>Not started</t>
        </is>
      </c>
      <c r="J2202" s="13" t="n"/>
      <c r="K2202" s="10" t="inlineStr"/>
      <c r="L2202" s="14" t="inlineStr">
        <is>
          <t>▶ watch</t>
        </is>
      </c>
      <c r="M2202" s="10" t="inlineStr">
        <is>
          <t>Yamins &amp; DiCarlo, Using goal-driven deep learning models to understand sensory cortex (Nat Neuro 2016). 110. Jim DiCarlo, MIT: Reverse engineering visual intelligence</t>
        </is>
      </c>
      <c r="N2202" s="14" t="inlineStr">
        <is>
          <t>read ↗</t>
        </is>
      </c>
      <c r="O2202" s="11" t="inlineStr">
        <is>
          <t>stated with the talk</t>
        </is>
      </c>
      <c r="P2202" s="10" t="inlineStr"/>
    </row>
    <row r="2203">
      <c r="A2203" s="17" t="n">
        <v>2202</v>
      </c>
      <c r="B2203" s="17" t="inlineStr">
        <is>
          <t>Part III - Upstream AI Research</t>
        </is>
      </c>
      <c r="C2203" s="18" t="inlineStr">
        <is>
          <t>6. NeuroAI and biological inspiration</t>
        </is>
      </c>
      <c r="D2203" s="10" t="inlineStr">
        <is>
          <t>Jim DiCarlo, MIT: Reverse engineering visual intelligence</t>
        </is>
      </c>
      <c r="E2203" s="10" t="inlineStr"/>
      <c r="F2203" s="11" t="inlineStr">
        <is>
          <t>40:54</t>
        </is>
      </c>
      <c r="G2203" s="11" t="n">
        <v>0.68</v>
      </c>
      <c r="H2203" s="12" t="inlineStr">
        <is>
          <t>★</t>
        </is>
      </c>
      <c r="I2203" s="11" t="inlineStr">
        <is>
          <t>Not started</t>
        </is>
      </c>
      <c r="J2203" s="13" t="n"/>
      <c r="K2203" s="10" t="inlineStr"/>
      <c r="L2203" s="14" t="inlineStr">
        <is>
          <t>▶ watch</t>
        </is>
      </c>
      <c r="M2203" s="10" t="inlineStr">
        <is>
          <t>McCoy et al. 2024, PNAS 121:e2322420121 (Embers of Autoregression) · Bubeck et al. 2023, arXiv:2303.12712 (Sparks of AGI)</t>
        </is>
      </c>
      <c r="N2203" s="14" t="inlineStr">
        <is>
          <t>read ↗</t>
        </is>
      </c>
      <c r="O2203" s="11" t="inlineStr">
        <is>
          <t xml:space="preserve">reading for D.7.7 Is reasoning real? - the standing </t>
        </is>
      </c>
      <c r="P2203" s="10" t="inlineStr"/>
    </row>
    <row r="2204">
      <c r="A2204" s="17" t="n">
        <v>2203</v>
      </c>
      <c r="B2204" s="17" t="inlineStr">
        <is>
          <t>Part III - Upstream AI Research</t>
        </is>
      </c>
      <c r="C2204" s="18" t="inlineStr">
        <is>
          <t>6. NeuroAI and biological inspiration</t>
        </is>
      </c>
      <c r="D2204" s="10" t="inlineStr">
        <is>
          <t>Stony Brook University Mind/Brain Lecture 2026 with Dr. James DiCarlo</t>
        </is>
      </c>
      <c r="E2204" s="10" t="inlineStr"/>
      <c r="F2204" s="11" t="inlineStr">
        <is>
          <t>1:03:05</t>
        </is>
      </c>
      <c r="G2204" s="11" t="n">
        <v>1.05</v>
      </c>
      <c r="H2204" s="12" t="inlineStr">
        <is>
          <t>★</t>
        </is>
      </c>
      <c r="I2204" s="11" t="inlineStr">
        <is>
          <t>Not started</t>
        </is>
      </c>
      <c r="J2204" s="13" t="n"/>
      <c r="K2204" s="10" t="inlineStr"/>
      <c r="L2204" s="14" t="inlineStr">
        <is>
          <t>▶ watch</t>
        </is>
      </c>
      <c r="M2204" s="10" t="inlineStr">
        <is>
          <t>McCoy et al. 2024, PNAS 121:e2322420121 (Embers of Autoregression) · Bubeck et al. 2023, arXiv:2303.12712 (Sparks of AGI)</t>
        </is>
      </c>
      <c r="N2204" s="14" t="inlineStr">
        <is>
          <t>read ↗</t>
        </is>
      </c>
      <c r="O2204" s="11" t="inlineStr">
        <is>
          <t xml:space="preserve">reading for D.7.7 Is reasoning real? - the standing </t>
        </is>
      </c>
      <c r="P2204" s="10" t="inlineStr"/>
    </row>
    <row r="2205">
      <c r="A2205" s="17" t="n">
        <v>2204</v>
      </c>
      <c r="B2205" s="17" t="inlineStr">
        <is>
          <t>Part III - Upstream AI Research</t>
        </is>
      </c>
      <c r="C2205" s="18" t="inlineStr">
        <is>
          <t>6. NeuroAI and biological inspiration</t>
        </is>
      </c>
      <c r="D2205" s="10" t="inlineStr">
        <is>
          <t>BI 075 Jim DiCarlo: Reverse Engineering Vision</t>
        </is>
      </c>
      <c r="E2205" s="10" t="inlineStr"/>
      <c r="F2205" s="11" t="inlineStr">
        <is>
          <t>1:16:04</t>
        </is>
      </c>
      <c r="G2205" s="11" t="n">
        <v>1.27</v>
      </c>
      <c r="H2205" s="12" t="inlineStr">
        <is>
          <t>★</t>
        </is>
      </c>
      <c r="I2205" s="11" t="inlineStr">
        <is>
          <t>Not started</t>
        </is>
      </c>
      <c r="J2205" s="13" t="n"/>
      <c r="K2205" s="10" t="inlineStr"/>
      <c r="L2205" s="14" t="inlineStr">
        <is>
          <t>▶ watch</t>
        </is>
      </c>
      <c r="M2205" s="10" t="inlineStr">
        <is>
          <t>Yamins et al., PNAS 2014. 114. A Fruitful Reciprocity: The Neuroscience-AI Connection</t>
        </is>
      </c>
      <c r="N2205" s="14" t="inlineStr">
        <is>
          <t>read ↗</t>
        </is>
      </c>
      <c r="O2205" s="11" t="inlineStr">
        <is>
          <t>stated with the talk</t>
        </is>
      </c>
      <c r="P2205" s="10" t="inlineStr"/>
    </row>
    <row r="2206">
      <c r="A2206" s="17" t="n">
        <v>2205</v>
      </c>
      <c r="B2206" s="17" t="inlineStr">
        <is>
          <t>Part III - Upstream AI Research</t>
        </is>
      </c>
      <c r="C2206" s="18" t="inlineStr">
        <is>
          <t>6. NeuroAI and biological inspiration</t>
        </is>
      </c>
      <c r="D2206" s="10" t="inlineStr">
        <is>
          <t>Deep Learning and the Brain 2019 – Prof. Daniel Yamins</t>
        </is>
      </c>
      <c r="E2206" s="10" t="inlineStr"/>
      <c r="F2206" s="11" t="inlineStr">
        <is>
          <t>59:57</t>
        </is>
      </c>
      <c r="G2206" s="11" t="n">
        <v>1</v>
      </c>
      <c r="H2206" s="12" t="inlineStr">
        <is>
          <t>★</t>
        </is>
      </c>
      <c r="I2206" s="11" t="inlineStr">
        <is>
          <t>Not started</t>
        </is>
      </c>
      <c r="J2206" s="13" t="n"/>
      <c r="K2206" s="10" t="inlineStr"/>
      <c r="L2206" s="14" t="inlineStr">
        <is>
          <t>▶ watch</t>
        </is>
      </c>
      <c r="M2206" s="10" t="inlineStr">
        <is>
          <t>Yamins et al., PNAS 2014. 114. A Fruitful Reciprocity: The Neuroscience-AI Connection</t>
        </is>
      </c>
      <c r="N2206" s="14" t="inlineStr">
        <is>
          <t>read ↗</t>
        </is>
      </c>
      <c r="O2206" s="11" t="inlineStr">
        <is>
          <t>stated with the talk</t>
        </is>
      </c>
      <c r="P2206" s="10" t="inlineStr"/>
    </row>
    <row r="2207">
      <c r="A2207" s="17" t="n">
        <v>2206</v>
      </c>
      <c r="B2207" s="17" t="inlineStr">
        <is>
          <t>Part III - Upstream AI Research</t>
        </is>
      </c>
      <c r="C2207" s="18" t="inlineStr">
        <is>
          <t>6. NeuroAI and biological inspiration</t>
        </is>
      </c>
      <c r="D2207" s="10" t="inlineStr">
        <is>
          <t>A Fruitful Reciprocity: The Neuroscience-AI Connection</t>
        </is>
      </c>
      <c r="E2207" s="10" t="inlineStr"/>
      <c r="F2207" s="11" t="inlineStr">
        <is>
          <t>1:10:35</t>
        </is>
      </c>
      <c r="G2207" s="11" t="n">
        <v>1.18</v>
      </c>
      <c r="H2207" s="12" t="inlineStr">
        <is>
          <t>★</t>
        </is>
      </c>
      <c r="I2207" s="11" t="inlineStr">
        <is>
          <t>Not started</t>
        </is>
      </c>
      <c r="J2207" s="13" t="n"/>
      <c r="K2207" s="10" t="inlineStr"/>
      <c r="L2207" s="14" t="inlineStr">
        <is>
          <t>▶ watch</t>
        </is>
      </c>
      <c r="M2207" s="10" t="inlineStr">
        <is>
          <t>McCoy et al. 2024, PNAS 121:e2322420121 (Embers of Autoregression) · Bubeck et al. 2023, arXiv:2303.12712 (Sparks of AGI)</t>
        </is>
      </c>
      <c r="N2207" s="14" t="inlineStr">
        <is>
          <t>read ↗</t>
        </is>
      </c>
      <c r="O2207" s="11" t="inlineStr">
        <is>
          <t xml:space="preserve">reading for D.7.7 Is reasoning real? - the standing </t>
        </is>
      </c>
      <c r="P2207" s="10" t="inlineStr"/>
    </row>
    <row r="2208">
      <c r="A2208" s="17" t="n">
        <v>2207</v>
      </c>
      <c r="B2208" s="17" t="inlineStr">
        <is>
          <t>Part III - Upstream AI Research</t>
        </is>
      </c>
      <c r="C2208" s="18" t="inlineStr">
        <is>
          <t>6. NeuroAI and biological inspiration</t>
        </is>
      </c>
      <c r="D2208" s="10" t="inlineStr">
        <is>
          <t>CSL seminar: Dan Yamins</t>
        </is>
      </c>
      <c r="E2208" s="10" t="inlineStr"/>
      <c r="F2208" s="11" t="inlineStr">
        <is>
          <t>1:01:05</t>
        </is>
      </c>
      <c r="G2208" s="11" t="n">
        <v>1.02</v>
      </c>
      <c r="H2208" s="12" t="inlineStr">
        <is>
          <t>★</t>
        </is>
      </c>
      <c r="I2208" s="11" t="inlineStr">
        <is>
          <t>Not started</t>
        </is>
      </c>
      <c r="J2208" s="13" t="n"/>
      <c r="K2208" s="10" t="inlineStr"/>
      <c r="L2208" s="14" t="inlineStr">
        <is>
          <t>▶ watch</t>
        </is>
      </c>
      <c r="M2208" s="10" t="inlineStr">
        <is>
          <t>Chang &amp; Tsao, The Code for Facial Identity in the Primate Brain (Cell 2017). The cleanest example anywhere of a decoded neural code; the direct biological analogue of a "feature basis." 117. Doris</t>
        </is>
      </c>
      <c r="N2208" s="14" t="inlineStr">
        <is>
          <t>read ↗</t>
        </is>
      </c>
      <c r="O2208" s="11" t="inlineStr">
        <is>
          <t>stated with the talk</t>
        </is>
      </c>
      <c r="P2208" s="10" t="inlineStr"/>
    </row>
    <row r="2209">
      <c r="A2209" s="17" t="n">
        <v>2208</v>
      </c>
      <c r="B2209" s="17" t="inlineStr">
        <is>
          <t>Part III - Upstream AI Research</t>
        </is>
      </c>
      <c r="C2209" s="18" t="inlineStr">
        <is>
          <t>6. NeuroAI and biological inspiration</t>
        </is>
      </c>
      <c r="D2209" s="10" t="inlineStr">
        <is>
          <t>On the Neural Machinery of Faces</t>
        </is>
      </c>
      <c r="E2209" s="10" t="inlineStr"/>
      <c r="F2209" s="11" t="inlineStr">
        <is>
          <t>1:03:18</t>
        </is>
      </c>
      <c r="G2209" s="11" t="n">
        <v>1.05</v>
      </c>
      <c r="H2209" s="12" t="inlineStr">
        <is>
          <t>★</t>
        </is>
      </c>
      <c r="I2209" s="11" t="inlineStr">
        <is>
          <t>Not started</t>
        </is>
      </c>
      <c r="J2209" s="13" t="n"/>
      <c r="K2209" s="10" t="inlineStr"/>
      <c r="L2209" s="14" t="inlineStr">
        <is>
          <t>▶ watch</t>
        </is>
      </c>
      <c r="M2209" s="10" t="inlineStr">
        <is>
          <t>Chang &amp; Tsao, The Code for Facial Identity in the Primate Brain (Cell 2017). The cleanest example anywhere of a decoded neural code; the direct biological analogue of a "feature basis." 117. Doris Tsao: 2010 Allen Institute for Brain Science Symposium</t>
        </is>
      </c>
      <c r="N2209" s="14" t="inlineStr">
        <is>
          <t>read ↗</t>
        </is>
      </c>
      <c r="O2209" s="11" t="inlineStr">
        <is>
          <t>stated with the talk</t>
        </is>
      </c>
      <c r="P2209" s="10" t="inlineStr"/>
    </row>
    <row r="2210">
      <c r="A2210" s="17" t="n">
        <v>2209</v>
      </c>
      <c r="B2210" s="17" t="inlineStr">
        <is>
          <t>Part III - Upstream AI Research</t>
        </is>
      </c>
      <c r="C2210" s="18" t="inlineStr">
        <is>
          <t>6. NeuroAI and biological inspiration</t>
        </is>
      </c>
      <c r="D2210" s="10" t="inlineStr">
        <is>
          <t>Doris Tsao: 2010 Allen Institute for Brain Science Symposium</t>
        </is>
      </c>
      <c r="E2210" s="10" t="inlineStr"/>
      <c r="F2210" s="11" t="inlineStr">
        <is>
          <t>22:36</t>
        </is>
      </c>
      <c r="G2210" s="11" t="n">
        <v>0.38</v>
      </c>
      <c r="H2210" s="12" t="inlineStr">
        <is>
          <t>★</t>
        </is>
      </c>
      <c r="I2210" s="11" t="inlineStr">
        <is>
          <t>Not started</t>
        </is>
      </c>
      <c r="J2210" s="13" t="n"/>
      <c r="K2210" s="10" t="inlineStr"/>
      <c r="L2210" s="14" t="inlineStr">
        <is>
          <t>▶ watch</t>
        </is>
      </c>
      <c r="M2210" s="10" t="inlineStr">
        <is>
          <t>Saxe, McClelland &amp; Ganguli, Exact solutions to the nonlinear dynamics of learning in deep linear networks (2014). 119. Neural networks and the brain: from the retina to semantic cognition - Surya</t>
        </is>
      </c>
      <c r="N2210" s="14" t="inlineStr">
        <is>
          <t>read ↗</t>
        </is>
      </c>
      <c r="O2210" s="11" t="inlineStr">
        <is>
          <t>stated with the talk</t>
        </is>
      </c>
      <c r="P2210" s="10" t="inlineStr"/>
    </row>
    <row r="2211">
      <c r="A2211" s="17" t="n">
        <v>2210</v>
      </c>
      <c r="B2211" s="17" t="inlineStr">
        <is>
          <t>Part III - Upstream AI Research</t>
        </is>
      </c>
      <c r="C2211" s="18" t="inlineStr">
        <is>
          <t>6. NeuroAI and biological inspiration</t>
        </is>
      </c>
      <c r="D2211" s="10" t="inlineStr">
        <is>
          <t>Surya Ganguli - Deep Learning Theory: From Generalization to the Brain</t>
        </is>
      </c>
      <c r="E2211" s="10" t="inlineStr"/>
      <c r="F2211" s="11" t="inlineStr">
        <is>
          <t>1:00:22</t>
        </is>
      </c>
      <c r="G2211" s="11" t="n">
        <v>1.01</v>
      </c>
      <c r="H2211" s="12" t="inlineStr">
        <is>
          <t>★</t>
        </is>
      </c>
      <c r="I2211" s="11" t="inlineStr">
        <is>
          <t>Not started</t>
        </is>
      </c>
      <c r="J2211" s="13" t="n"/>
      <c r="K2211" s="10" t="inlineStr"/>
      <c r="L2211" s="14" t="inlineStr">
        <is>
          <t>▶ watch</t>
        </is>
      </c>
      <c r="M2211" s="10" t="inlineStr">
        <is>
          <t>Saxe, McClelland &amp; Ganguli, Exact solutions to the nonlinear dynamics of learning in deep linear networks (2014). 119. Neural networks and the brain: from the retina to semantic cognition - Surya Ganguli</t>
        </is>
      </c>
      <c r="N2211" s="14" t="inlineStr">
        <is>
          <t>read ↗</t>
        </is>
      </c>
      <c r="O2211" s="11" t="inlineStr">
        <is>
          <t>stated with the talk</t>
        </is>
      </c>
      <c r="P2211" s="10" t="inlineStr"/>
    </row>
    <row r="2212">
      <c r="A2212" s="17" t="n">
        <v>2211</v>
      </c>
      <c r="B2212" s="17" t="inlineStr">
        <is>
          <t>Part III - Upstream AI Research</t>
        </is>
      </c>
      <c r="C2212" s="18" t="inlineStr">
        <is>
          <t>6. NeuroAI and biological inspiration</t>
        </is>
      </c>
      <c r="D2212" s="10" t="inlineStr">
        <is>
          <t>Neural networks and the brain: from the retina to semantic cognition - Surya Ganguli</t>
        </is>
      </c>
      <c r="E2212" s="10" t="inlineStr"/>
      <c r="F2212" s="11" t="inlineStr">
        <is>
          <t>36:37</t>
        </is>
      </c>
      <c r="G2212" s="11" t="n">
        <v>0.61</v>
      </c>
      <c r="H2212" s="12" t="inlineStr">
        <is>
          <t>★</t>
        </is>
      </c>
      <c r="I2212" s="11" t="inlineStr">
        <is>
          <t>Not started</t>
        </is>
      </c>
      <c r="J2212" s="13" t="n"/>
      <c r="K2212" s="10" t="inlineStr"/>
      <c r="L2212" s="14" t="inlineStr">
        <is>
          <t>▶ watch</t>
        </is>
      </c>
      <c r="M2212" s="10" t="inlineStr">
        <is>
          <t>McCoy et al. 2024, PNAS 121:e2322420121 (Embers of Autoregression) · Bubeck et al. 2023, arXiv:2303.12712 (Sparks of AGI)</t>
        </is>
      </c>
      <c r="N2212" s="14" t="inlineStr">
        <is>
          <t>read ↗</t>
        </is>
      </c>
      <c r="O2212" s="11" t="inlineStr">
        <is>
          <t xml:space="preserve">reading for D.7.7 Is reasoning real? - the standing </t>
        </is>
      </c>
      <c r="P2212" s="10" t="inlineStr"/>
    </row>
    <row r="2213">
      <c r="A2213" s="17" t="n">
        <v>2212</v>
      </c>
      <c r="B2213" s="17" t="inlineStr">
        <is>
          <t>Part III - Upstream AI Research</t>
        </is>
      </c>
      <c r="C2213" s="18" t="inlineStr">
        <is>
          <t>6. NeuroAI and biological inspiration</t>
        </is>
      </c>
      <c r="D2213" s="10" t="inlineStr">
        <is>
          <t>Surya Ganguli, A theory of neural dimensionality: McGovern Institute Symposium</t>
        </is>
      </c>
      <c r="E2213" s="10" t="inlineStr"/>
      <c r="F2213" s="11" t="inlineStr">
        <is>
          <t>40:08</t>
        </is>
      </c>
      <c r="G2213" s="11" t="n">
        <v>0.67</v>
      </c>
      <c r="H2213" s="12" t="inlineStr">
        <is>
          <t>★</t>
        </is>
      </c>
      <c r="I2213" s="11" t="inlineStr">
        <is>
          <t>Not started</t>
        </is>
      </c>
      <c r="J2213" s="13" t="n"/>
      <c r="K2213" s="10" t="inlineStr"/>
      <c r="L2213" s="14" t="inlineStr">
        <is>
          <t>▶ watch</t>
        </is>
      </c>
      <c r="M2213" s="10" t="inlineStr">
        <is>
          <t>Jonas &amp; Kording, Could a Neuroscientist Understand a Microprocessor? (PLoS CB 2017) - arguably the most important methodologica</t>
        </is>
      </c>
      <c r="N2213" s="14" t="inlineStr">
        <is>
          <t>read ↗</t>
        </is>
      </c>
      <c r="O2213" s="11" t="inlineStr">
        <is>
          <t>stated with the talk</t>
        </is>
      </c>
      <c r="P2213" s="10" t="inlineStr"/>
    </row>
    <row r="2214">
      <c r="A2214" s="17" t="n">
        <v>2213</v>
      </c>
      <c r="B2214" s="17" t="inlineStr">
        <is>
          <t>Part III - Upstream AI Research</t>
        </is>
      </c>
      <c r="C2214" s="18" t="inlineStr">
        <is>
          <t>6. NeuroAI and biological inspiration</t>
        </is>
      </c>
      <c r="D2214" s="10" t="inlineStr">
        <is>
          <t>Konrad Kording - Why neuroscience needs deep learning theory</t>
        </is>
      </c>
      <c r="E2214" s="10" t="inlineStr"/>
      <c r="F2214" s="11" t="inlineStr">
        <is>
          <t>14:16</t>
        </is>
      </c>
      <c r="G2214" s="11" t="n">
        <v>0.24</v>
      </c>
      <c r="H2214" s="12" t="inlineStr">
        <is>
          <t>★</t>
        </is>
      </c>
      <c r="I2214" s="11" t="inlineStr">
        <is>
          <t>Not started</t>
        </is>
      </c>
      <c r="J2214" s="13" t="n"/>
      <c r="K2214" s="10" t="inlineStr"/>
      <c r="L2214" s="14" t="inlineStr">
        <is>
          <t>▶ watch</t>
        </is>
      </c>
      <c r="M2214" s="10" t="inlineStr">
        <is>
          <t>Jonas &amp; Kording, Could a Neuroscientist Understand a Microprocessor? (PLoS CB 2017) - arguably the most important methodological critique in this entire curriculum. 122. Michigan Biostatistics presents a seminar with Konrad Körding, PhD</t>
        </is>
      </c>
      <c r="N2214" s="14" t="inlineStr">
        <is>
          <t>read ↗</t>
        </is>
      </c>
      <c r="O2214" s="11" t="inlineStr">
        <is>
          <t>stated with the talk</t>
        </is>
      </c>
      <c r="P2214" s="10" t="inlineStr"/>
    </row>
    <row r="2215">
      <c r="A2215" s="17" t="n">
        <v>2214</v>
      </c>
      <c r="B2215" s="17" t="inlineStr">
        <is>
          <t>Part III - Upstream AI Research</t>
        </is>
      </c>
      <c r="C2215" s="18" t="inlineStr">
        <is>
          <t>6. NeuroAI and biological inspiration</t>
        </is>
      </c>
      <c r="D2215" s="10" t="inlineStr">
        <is>
          <t>Michigan Biostatistics presents a seminar with Konrad Körding, PhD</t>
        </is>
      </c>
      <c r="E2215" s="10" t="inlineStr"/>
      <c r="F2215" s="11" t="inlineStr">
        <is>
          <t>52:03</t>
        </is>
      </c>
      <c r="G2215" s="11" t="n">
        <v>0.87</v>
      </c>
      <c r="H2215" s="12" t="inlineStr">
        <is>
          <t>★</t>
        </is>
      </c>
      <c r="I2215" s="11" t="inlineStr">
        <is>
          <t>Not started</t>
        </is>
      </c>
      <c r="J2215" s="13" t="n"/>
      <c r="K2215" s="10" t="inlineStr"/>
      <c r="L2215" s="14" t="inlineStr">
        <is>
          <t>▶ watch</t>
        </is>
      </c>
      <c r="M2215" s="10" t="inlineStr">
        <is>
          <t>Richards et al., A deep learning framework for neuroscience (Nat Neuro 2019). 124. Fundamentals of deep learning in neuroscience</t>
        </is>
      </c>
      <c r="N2215" s="14" t="inlineStr">
        <is>
          <t>read ↗</t>
        </is>
      </c>
      <c r="O2215" s="11" t="inlineStr">
        <is>
          <t>stated with the talk</t>
        </is>
      </c>
      <c r="P2215" s="10" t="inlineStr"/>
    </row>
    <row r="2216">
      <c r="A2216" s="17" t="n">
        <v>2215</v>
      </c>
      <c r="B2216" s="17" t="inlineStr">
        <is>
          <t>Part III - Upstream AI Research</t>
        </is>
      </c>
      <c r="C2216" s="18" t="inlineStr">
        <is>
          <t>6. NeuroAI and biological inspiration</t>
        </is>
      </c>
      <c r="D2216" s="10" t="inlineStr">
        <is>
          <t>DLRLSS 2019 - Biological DL - Blake Richards</t>
        </is>
      </c>
      <c r="E2216" s="10" t="inlineStr"/>
      <c r="F2216" s="11" t="inlineStr">
        <is>
          <t>1:20:56</t>
        </is>
      </c>
      <c r="G2216" s="11" t="n">
        <v>1.35</v>
      </c>
      <c r="H2216" s="12" t="inlineStr">
        <is>
          <t>★</t>
        </is>
      </c>
      <c r="I2216" s="11" t="inlineStr">
        <is>
          <t>Not started</t>
        </is>
      </c>
      <c r="J2216" s="13" t="n"/>
      <c r="K2216" s="10" t="inlineStr"/>
      <c r="L2216" s="14" t="inlineStr">
        <is>
          <t>▶ watch</t>
        </is>
      </c>
      <c r="M2216" s="10" t="inlineStr">
        <is>
          <t>Richards et al., A deep learning framework for neuroscience (Nat Neuro 2019). 124. Fundamentals of deep learning in neuroscience</t>
        </is>
      </c>
      <c r="N2216" s="14" t="inlineStr">
        <is>
          <t>read ↗</t>
        </is>
      </c>
      <c r="O2216" s="11" t="inlineStr">
        <is>
          <t>stated with the talk</t>
        </is>
      </c>
      <c r="P2216" s="10" t="inlineStr"/>
    </row>
    <row r="2217">
      <c r="A2217" s="17" t="n">
        <v>2216</v>
      </c>
      <c r="B2217" s="17" t="inlineStr">
        <is>
          <t>Part III - Upstream AI Research</t>
        </is>
      </c>
      <c r="C2217" s="18" t="inlineStr">
        <is>
          <t>6. NeuroAI and biological inspiration</t>
        </is>
      </c>
      <c r="D2217" s="10" t="inlineStr">
        <is>
          <t>Fundamentals of deep learning in neuroscience</t>
        </is>
      </c>
      <c r="E2217" s="10" t="inlineStr"/>
      <c r="F2217" s="11" t="inlineStr">
        <is>
          <t>1:35:12</t>
        </is>
      </c>
      <c r="G2217" s="11" t="n">
        <v>1.59</v>
      </c>
      <c r="H2217" s="12" t="inlineStr">
        <is>
          <t>★</t>
        </is>
      </c>
      <c r="I2217" s="11" t="inlineStr">
        <is>
          <t>Not started</t>
        </is>
      </c>
      <c r="J2217" s="13" t="n"/>
      <c r="K2217" s="10" t="inlineStr"/>
      <c r="L2217" s="14" t="inlineStr">
        <is>
          <t>▶ watch</t>
        </is>
      </c>
      <c r="M2217" s="10" t="inlineStr">
        <is>
          <t>Guerguiev, Lillicrap &amp; Richards, Towards deep learning with segregated dendrites (eLife 2017). 126. Backpropagation and Deep Learning in the Brain</t>
        </is>
      </c>
      <c r="N2217" s="14" t="inlineStr">
        <is>
          <t>read ↗</t>
        </is>
      </c>
      <c r="O2217" s="11" t="inlineStr">
        <is>
          <t>stated with the talk</t>
        </is>
      </c>
      <c r="P2217" s="10" t="inlineStr"/>
    </row>
    <row r="2218">
      <c r="A2218" s="17" t="n">
        <v>2217</v>
      </c>
      <c r="B2218" s="17" t="inlineStr">
        <is>
          <t>Part III - Upstream AI Research</t>
        </is>
      </c>
      <c r="C2218" s="18" t="inlineStr">
        <is>
          <t>6. NeuroAI and biological inspiration</t>
        </is>
      </c>
      <c r="D2218" s="10" t="inlineStr">
        <is>
          <t>Deep Learning with Ensembles of Neocortical Microcircuits - Dr. Blake Richards</t>
        </is>
      </c>
      <c r="E2218" s="10" t="inlineStr"/>
      <c r="F2218" s="11" t="inlineStr">
        <is>
          <t>50:14</t>
        </is>
      </c>
      <c r="G2218" s="11" t="n">
        <v>0.84</v>
      </c>
      <c r="H2218" s="12" t="inlineStr">
        <is>
          <t>★</t>
        </is>
      </c>
      <c r="I2218" s="11" t="inlineStr">
        <is>
          <t>Not started</t>
        </is>
      </c>
      <c r="J2218" s="13" t="n"/>
      <c r="K2218" s="10" t="inlineStr"/>
      <c r="L2218" s="14" t="inlineStr">
        <is>
          <t>▶ watch</t>
        </is>
      </c>
      <c r="M2218" s="10" t="inlineStr">
        <is>
          <t>Guerguiev, Lillicrap &amp; Richards, Towards deep learning with segregated dendrites (eLife 2017). 126. Backpropagation and Deep Learning in the Brain</t>
        </is>
      </c>
      <c r="N2218" s="14" t="inlineStr">
        <is>
          <t>read ↗</t>
        </is>
      </c>
      <c r="O2218" s="11" t="inlineStr">
        <is>
          <t>stated with the talk</t>
        </is>
      </c>
      <c r="P2218" s="10" t="inlineStr"/>
    </row>
    <row r="2219">
      <c r="A2219" s="17" t="n">
        <v>2218</v>
      </c>
      <c r="B2219" s="17" t="inlineStr">
        <is>
          <t>Part III - Upstream AI Research</t>
        </is>
      </c>
      <c r="C2219" s="18" t="inlineStr">
        <is>
          <t>6. NeuroAI and biological inspiration</t>
        </is>
      </c>
      <c r="D2219" s="10" t="inlineStr">
        <is>
          <t>Backpropagation and Deep Learning in the Brain</t>
        </is>
      </c>
      <c r="E2219" s="10" t="inlineStr"/>
      <c r="F2219" s="11" t="inlineStr">
        <is>
          <t>59:43</t>
        </is>
      </c>
      <c r="G2219" s="11" t="n">
        <v>1</v>
      </c>
      <c r="H2219" s="12" t="inlineStr">
        <is>
          <t>★</t>
        </is>
      </c>
      <c r="I2219" s="11" t="inlineStr">
        <is>
          <t>Not started</t>
        </is>
      </c>
      <c r="J2219" s="13" t="n"/>
      <c r="K2219" s="10" t="inlineStr"/>
      <c r="L2219" s="14" t="inlineStr">
        <is>
          <t>▶ watch</t>
        </is>
      </c>
      <c r="M2219" s="10" t="inlineStr">
        <is>
          <t>Lillicrap, Santoro, Marris, Akerman &amp; Hinton, Backpropagation and the brain (Nat Rev Neuro 2020). The central reference for this debate. 127. Stanford Seminar - Can the brain do back-propagation? Geoffrey Hinton</t>
        </is>
      </c>
      <c r="N2219" s="14" t="inlineStr">
        <is>
          <t>read ↗</t>
        </is>
      </c>
      <c r="O2219" s="11" t="inlineStr">
        <is>
          <t>stated with the talk</t>
        </is>
      </c>
      <c r="P2219" s="10" t="inlineStr"/>
    </row>
    <row r="2220">
      <c r="A2220" s="17" t="n">
        <v>2219</v>
      </c>
      <c r="B2220" s="17" t="inlineStr">
        <is>
          <t>Part III - Upstream AI Research</t>
        </is>
      </c>
      <c r="C2220" s="18" t="inlineStr">
        <is>
          <t>6. NeuroAI and biological inspiration</t>
        </is>
      </c>
      <c r="D2220" s="10" t="inlineStr">
        <is>
          <t>Stanford Seminar - Can the brain do back-propagation? Geoffrey Hinton</t>
        </is>
      </c>
      <c r="E2220" s="10" t="inlineStr"/>
      <c r="F2220" s="11" t="inlineStr">
        <is>
          <t>1:25:13</t>
        </is>
      </c>
      <c r="G2220" s="11" t="n">
        <v>1.42</v>
      </c>
      <c r="H2220" s="12" t="inlineStr">
        <is>
          <t>★</t>
        </is>
      </c>
      <c r="I2220" s="11" t="inlineStr">
        <is>
          <t>Not started</t>
        </is>
      </c>
      <c r="J2220" s="13" t="n"/>
      <c r="K2220" s="10" t="inlineStr"/>
      <c r="L2220" s="14" t="inlineStr">
        <is>
          <t>▶ watch</t>
        </is>
      </c>
      <c r="M2220" s="10" t="inlineStr">
        <is>
          <t>McCoy et al. 2024, PNAS 121:e2322420121 (Embers of Autoregression) · Bubeck et al. 2023, arXiv:2303.12712 (Sparks of AGI)</t>
        </is>
      </c>
      <c r="N2220" s="14" t="inlineStr">
        <is>
          <t>read ↗</t>
        </is>
      </c>
      <c r="O2220" s="11" t="inlineStr">
        <is>
          <t xml:space="preserve">reading for D.7.7 Is reasoning real? - the standing </t>
        </is>
      </c>
      <c r="P2220" s="10" t="inlineStr"/>
    </row>
    <row r="2221">
      <c r="A2221" s="17" t="n">
        <v>2220</v>
      </c>
      <c r="B2221" s="17" t="inlineStr">
        <is>
          <t>Part III - Upstream AI Research</t>
        </is>
      </c>
      <c r="C2221" s="18" t="inlineStr">
        <is>
          <t>6. NeuroAI and biological inspiration</t>
        </is>
      </c>
      <c r="D2221" s="10" t="inlineStr">
        <is>
          <t>Does the brain do backpropagation? CAN Public Lecture - Geoffrey Hinton - May 21, 2019</t>
        </is>
      </c>
      <c r="E2221" s="10" t="inlineStr"/>
      <c r="F2221" s="11" t="inlineStr">
        <is>
          <t>1:22:03</t>
        </is>
      </c>
      <c r="G2221" s="11" t="n">
        <v>1.37</v>
      </c>
      <c r="H2221" s="12" t="inlineStr">
        <is>
          <t>★</t>
        </is>
      </c>
      <c r="I2221" s="11" t="inlineStr">
        <is>
          <t>Not started</t>
        </is>
      </c>
      <c r="J2221" s="13" t="n"/>
      <c r="K2221" s="10" t="inlineStr"/>
      <c r="L2221" s="14" t="inlineStr">
        <is>
          <t>▶ watch</t>
        </is>
      </c>
      <c r="M2221" s="10" t="inlineStr">
        <is>
          <t>Hinton, The Forward-Forward Algorithm: Some Preliminary Investigations (2022). 130. Geoffrey Hinton Unpacks The Forward-Forward Algorithm</t>
        </is>
      </c>
      <c r="N2221" s="14" t="inlineStr">
        <is>
          <t>read ↗</t>
        </is>
      </c>
      <c r="O2221" s="11" t="inlineStr">
        <is>
          <t>stated with the talk</t>
        </is>
      </c>
      <c r="P2221" s="10" t="inlineStr"/>
    </row>
    <row r="2222">
      <c r="A2222" s="17" t="n">
        <v>2221</v>
      </c>
      <c r="B2222" s="17" t="inlineStr">
        <is>
          <t>Part III - Upstream AI Research</t>
        </is>
      </c>
      <c r="C2222" s="18" t="inlineStr">
        <is>
          <t>6. NeuroAI and biological inspiration</t>
        </is>
      </c>
      <c r="D2222" s="10" t="inlineStr">
        <is>
          <t>MoroccoAI Conference 2022 Honorary Keynote Prof. Geoffrey Hinton - The Forward-Forward Algorithm</t>
        </is>
      </c>
      <c r="E2222" s="10" t="inlineStr"/>
      <c r="F2222" s="11" t="inlineStr">
        <is>
          <t>49:48</t>
        </is>
      </c>
      <c r="G2222" s="11" t="n">
        <v>0.83</v>
      </c>
      <c r="H2222" s="12" t="inlineStr">
        <is>
          <t>★</t>
        </is>
      </c>
      <c r="I2222" s="11" t="inlineStr">
        <is>
          <t>Not started</t>
        </is>
      </c>
      <c r="J2222" s="13" t="n"/>
      <c r="K2222" s="10" t="inlineStr"/>
      <c r="L2222" s="14" t="inlineStr">
        <is>
          <t>▶ watch</t>
        </is>
      </c>
      <c r="M2222" s="10" t="inlineStr">
        <is>
          <t>Hinton, The Forward-Forward Algorithm: Some Preliminary Investigations (2022). 130. Geoffrey Hinton Unpacks The Forward-Forward Algorithm</t>
        </is>
      </c>
      <c r="N2222" s="14" t="inlineStr">
        <is>
          <t>read ↗</t>
        </is>
      </c>
      <c r="O2222" s="11" t="inlineStr">
        <is>
          <t>stated with the talk</t>
        </is>
      </c>
      <c r="P2222" s="10" t="inlineStr"/>
    </row>
    <row r="2223">
      <c r="A2223" s="17" t="n">
        <v>2222</v>
      </c>
      <c r="B2223" s="17" t="inlineStr">
        <is>
          <t>Part III - Upstream AI Research</t>
        </is>
      </c>
      <c r="C2223" s="18" t="inlineStr">
        <is>
          <t>6. NeuroAI and biological inspiration</t>
        </is>
      </c>
      <c r="D2223" s="10" t="inlineStr">
        <is>
          <t>Geoffrey Hinton Unpacks The Forward-Forward Algorithm</t>
        </is>
      </c>
      <c r="E2223" s="10" t="inlineStr"/>
      <c r="F2223" s="11" t="inlineStr">
        <is>
          <t>58:55</t>
        </is>
      </c>
      <c r="G2223" s="11" t="n">
        <v>0.98</v>
      </c>
      <c r="H2223" s="12" t="inlineStr">
        <is>
          <t>★</t>
        </is>
      </c>
      <c r="I2223" s="11" t="inlineStr">
        <is>
          <t>Not started</t>
        </is>
      </c>
      <c r="J2223" s="13" t="n"/>
      <c r="K2223" s="10" t="inlineStr"/>
      <c r="L2223" s="14" t="inlineStr">
        <is>
          <t>▶ watch</t>
        </is>
      </c>
      <c r="M2223" s="10" t="inlineStr">
        <is>
          <t>Hopfield, PNAS 1982. 132. Nobel Prize lecture: Geoffrey Hinton, Nobel Prize in Physics</t>
        </is>
      </c>
      <c r="N2223" s="14" t="inlineStr">
        <is>
          <t>read ↗</t>
        </is>
      </c>
      <c r="O2223" s="11" t="inlineStr">
        <is>
          <t>stated with the talk</t>
        </is>
      </c>
      <c r="P2223" s="10" t="inlineStr"/>
    </row>
    <row r="2224">
      <c r="A2224" s="17" t="n">
        <v>2223</v>
      </c>
      <c r="B2224" s="17" t="inlineStr">
        <is>
          <t>Part III - Upstream AI Research</t>
        </is>
      </c>
      <c r="C2224" s="18" t="inlineStr">
        <is>
          <t>6. NeuroAI and biological inspiration</t>
        </is>
      </c>
      <c r="D2224" s="10" t="inlineStr">
        <is>
          <t>Nobel Prize lecture: John J. Hopfield, Nobel Prize in Physics 2024</t>
        </is>
      </c>
      <c r="E2224" s="10" t="inlineStr"/>
      <c r="F2224" s="11" t="inlineStr">
        <is>
          <t>40:01</t>
        </is>
      </c>
      <c r="G2224" s="11" t="n">
        <v>0.67</v>
      </c>
      <c r="H2224" s="12" t="inlineStr">
        <is>
          <t>★</t>
        </is>
      </c>
      <c r="I2224" s="11" t="inlineStr">
        <is>
          <t>Not started</t>
        </is>
      </c>
      <c r="J2224" s="13" t="n"/>
      <c r="K2224" s="10" t="inlineStr"/>
      <c r="L2224" s="14" t="inlineStr">
        <is>
          <t>▶ watch</t>
        </is>
      </c>
      <c r="M2224" s="10" t="inlineStr">
        <is>
          <t>Hopfield, PNAS 1982. 132. Nobel Prize lecture: Geoffrey Hinton, Nobel Prize in Physics</t>
        </is>
      </c>
      <c r="N2224" s="14" t="inlineStr">
        <is>
          <t>read ↗</t>
        </is>
      </c>
      <c r="O2224" s="11" t="inlineStr">
        <is>
          <t>stated with the talk</t>
        </is>
      </c>
      <c r="P2224" s="10" t="inlineStr"/>
    </row>
    <row r="2225">
      <c r="A2225" s="17" t="n">
        <v>2224</v>
      </c>
      <c r="B2225" s="17" t="inlineStr">
        <is>
          <t>Part III - Upstream AI Research</t>
        </is>
      </c>
      <c r="C2225" s="18" t="inlineStr">
        <is>
          <t>6. NeuroAI and biological inspiration</t>
        </is>
      </c>
      <c r="D2225" s="10" t="inlineStr">
        <is>
          <t>Nobel Prize lecture: Geoffrey Hinton, Nobel Prize in Physics</t>
        </is>
      </c>
      <c r="E2225" s="10" t="inlineStr"/>
      <c r="F2225" s="11" t="inlineStr">
        <is>
          <t>31:53</t>
        </is>
      </c>
      <c r="G2225" s="11" t="n">
        <v>0.53</v>
      </c>
      <c r="H2225" s="12" t="inlineStr">
        <is>
          <t>★</t>
        </is>
      </c>
      <c r="I2225" s="11" t="inlineStr">
        <is>
          <t>Not started</t>
        </is>
      </c>
      <c r="J2225" s="13" t="n"/>
      <c r="K2225" s="10" t="inlineStr"/>
      <c r="L2225" s="14" t="inlineStr">
        <is>
          <t>▶ watch</t>
        </is>
      </c>
      <c r="M2225" s="10" t="inlineStr">
        <is>
          <t>Ackley, Hinton &amp; Sejnowski, A Learning Algorithm for Boltzmann Machines (1985). 133. 2024 Nobel Prize lectures in physics</t>
        </is>
      </c>
      <c r="N2225" s="14" t="inlineStr">
        <is>
          <t>read ↗</t>
        </is>
      </c>
      <c r="O2225" s="11" t="inlineStr">
        <is>
          <t>stated with the talk</t>
        </is>
      </c>
      <c r="P2225" s="10" t="inlineStr"/>
    </row>
    <row r="2226">
      <c r="A2226" s="17" t="n">
        <v>2225</v>
      </c>
      <c r="B2226" s="17" t="inlineStr">
        <is>
          <t>Part III - Upstream AI Research</t>
        </is>
      </c>
      <c r="C2226" s="18" t="inlineStr">
        <is>
          <t>6. NeuroAI and biological inspiration</t>
        </is>
      </c>
      <c r="D2226" s="10" t="inlineStr">
        <is>
          <t>2024 Nobel Prize lectures in physics | John Hopfield and Geoffrey Hinton</t>
        </is>
      </c>
      <c r="E2226" s="10" t="inlineStr"/>
      <c r="F2226" s="11" t="inlineStr">
        <is>
          <t>1:18:57</t>
        </is>
      </c>
      <c r="G2226" s="11" t="n">
        <v>1.32</v>
      </c>
      <c r="H2226" s="12" t="inlineStr">
        <is>
          <t>★</t>
        </is>
      </c>
      <c r="I2226" s="11" t="inlineStr">
        <is>
          <t>Not started</t>
        </is>
      </c>
      <c r="J2226" s="13" t="n"/>
      <c r="K2226" s="10" t="inlineStr"/>
      <c r="L2226" s="14" t="inlineStr">
        <is>
          <t>▶ watch</t>
        </is>
      </c>
      <c r="M2226" s="10" t="inlineStr">
        <is>
          <t>Ramsauer et al., Hopfield Networks is All You Need (ICLR 2021) - the attention/associative-memory equivalence. 135. Hopfield Networks in 2021 - Fireside chat between Sepp Hochreiter and Dmitry Krotov</t>
        </is>
      </c>
      <c r="N2226" s="14" t="inlineStr">
        <is>
          <t>read ↗</t>
        </is>
      </c>
      <c r="O2226" s="11" t="inlineStr">
        <is>
          <t>stated with the talk</t>
        </is>
      </c>
      <c r="P2226" s="10" t="inlineStr"/>
    </row>
    <row r="2227">
      <c r="A2227" s="17" t="n">
        <v>2226</v>
      </c>
      <c r="B2227" s="17" t="inlineStr">
        <is>
          <t>Part III - Upstream AI Research</t>
        </is>
      </c>
      <c r="C2227" s="18" t="inlineStr">
        <is>
          <t>6. NeuroAI and biological inspiration</t>
        </is>
      </c>
      <c r="D2227" s="10" t="inlineStr">
        <is>
          <t>Modern Hopfield Networks - Dr Sepp Hochreiter</t>
        </is>
      </c>
      <c r="E2227" s="10" t="inlineStr"/>
      <c r="F2227" s="11" t="inlineStr">
        <is>
          <t>1:26:33</t>
        </is>
      </c>
      <c r="G2227" s="11" t="n">
        <v>1.44</v>
      </c>
      <c r="H2227" s="12" t="inlineStr">
        <is>
          <t>★</t>
        </is>
      </c>
      <c r="I2227" s="11" t="inlineStr">
        <is>
          <t>Not started</t>
        </is>
      </c>
      <c r="J2227" s="13" t="n"/>
      <c r="K2227" s="10" t="inlineStr"/>
      <c r="L2227" s="14" t="inlineStr">
        <is>
          <t>▶ watch</t>
        </is>
      </c>
      <c r="M2227" s="10" t="inlineStr">
        <is>
          <t>Ramsauer et al., Hopfield Networks is All You Need (ICLR 2021) - the attention/associative-memory equivalence. 135. Hopfield Networks in 2021 - Fireside chat between Sepp Hochreiter and Dmitry Krotov</t>
        </is>
      </c>
      <c r="N2227" s="14" t="inlineStr">
        <is>
          <t>read ↗</t>
        </is>
      </c>
      <c r="O2227" s="11" t="inlineStr">
        <is>
          <t>stated with the talk</t>
        </is>
      </c>
      <c r="P2227" s="10" t="inlineStr"/>
    </row>
    <row r="2228">
      <c r="A2228" s="17" t="n">
        <v>2227</v>
      </c>
      <c r="B2228" s="17" t="inlineStr">
        <is>
          <t>Part III - Upstream AI Research</t>
        </is>
      </c>
      <c r="C2228" s="18" t="inlineStr">
        <is>
          <t>6. NeuroAI and biological inspiration</t>
        </is>
      </c>
      <c r="D2228" s="10" t="inlineStr">
        <is>
          <t>Hopfield Networks in 2021 - Fireside chat between Sepp Hochreiter and Dmitry Krotov | NeurIPS 2020</t>
        </is>
      </c>
      <c r="E2228" s="10" t="inlineStr"/>
      <c r="F2228" s="11" t="inlineStr">
        <is>
          <t>1:15:53</t>
        </is>
      </c>
      <c r="G2228" s="11" t="n">
        <v>1.26</v>
      </c>
      <c r="H2228" s="12" t="inlineStr">
        <is>
          <t>★</t>
        </is>
      </c>
      <c r="I2228" s="11" t="inlineStr">
        <is>
          <t>Not started</t>
        </is>
      </c>
      <c r="J2228" s="13" t="n"/>
      <c r="K2228" s="10" t="inlineStr"/>
      <c r="L2228" s="14" t="inlineStr">
        <is>
          <t>▶ watch</t>
        </is>
      </c>
      <c r="M2228" s="10" t="inlineStr">
        <is>
          <t>Krotov &amp; Hopfield, Dense Associative Memory for Pattern Recognition (NeurIPS 2016). 137. Dmitry Krotov - Generative AI models through the lens of Dense Associative Memory</t>
        </is>
      </c>
      <c r="N2228" s="14" t="inlineStr">
        <is>
          <t>read ↗</t>
        </is>
      </c>
      <c r="O2228" s="11" t="inlineStr">
        <is>
          <t>stated with the talk</t>
        </is>
      </c>
      <c r="P2228" s="10" t="inlineStr"/>
    </row>
    <row r="2229">
      <c r="A2229" s="17" t="n">
        <v>2228</v>
      </c>
      <c r="B2229" s="17" t="inlineStr">
        <is>
          <t>Part III - Upstream AI Research</t>
        </is>
      </c>
      <c r="C2229" s="18" t="inlineStr">
        <is>
          <t>6. NeuroAI and biological inspiration</t>
        </is>
      </c>
      <c r="D2229" s="10" t="inlineStr">
        <is>
          <t>Dmitry Krotov | Modern Hopfield Networks for Novel Transformer Architectures</t>
        </is>
      </c>
      <c r="E2229" s="10" t="inlineStr"/>
      <c r="F2229" s="11" t="inlineStr">
        <is>
          <t>1:05:07</t>
        </is>
      </c>
      <c r="G2229" s="11" t="n">
        <v>1.09</v>
      </c>
      <c r="H2229" s="12" t="inlineStr">
        <is>
          <t>★</t>
        </is>
      </c>
      <c r="I2229" s="11" t="inlineStr">
        <is>
          <t>Not started</t>
        </is>
      </c>
      <c r="J2229" s="13" t="n"/>
      <c r="K2229" s="10" t="inlineStr"/>
      <c r="L2229" s="14" t="inlineStr">
        <is>
          <t>▶ watch</t>
        </is>
      </c>
      <c r="M2229" s="10" t="inlineStr">
        <is>
          <t>Krotov &amp; Hopfield, Dense Associative Memory for Pattern Recognition (NeurIPS 2016). 137. Dmitry Krotov - Generative AI models through the lens of Dense Associative Memory - IPAM at UCLA</t>
        </is>
      </c>
      <c r="N2229" s="14" t="inlineStr">
        <is>
          <t>read ↗</t>
        </is>
      </c>
      <c r="O2229" s="11" t="inlineStr">
        <is>
          <t>stated with the talk</t>
        </is>
      </c>
      <c r="P2229" s="10" t="inlineStr"/>
    </row>
    <row r="2230">
      <c r="A2230" s="17" t="n">
        <v>2229</v>
      </c>
      <c r="B2230" s="17" t="inlineStr">
        <is>
          <t>Part III - Upstream AI Research</t>
        </is>
      </c>
      <c r="C2230" s="18" t="inlineStr">
        <is>
          <t>6. NeuroAI and biological inspiration</t>
        </is>
      </c>
      <c r="D2230" s="10" t="inlineStr">
        <is>
          <t>Dmitry Krotov - Generative AI models through the lens of Dense Associative Memory - IPAM at UCLA</t>
        </is>
      </c>
      <c r="E2230" s="10" t="inlineStr"/>
      <c r="F2230" s="11" t="inlineStr">
        <is>
          <t>1:10:15</t>
        </is>
      </c>
      <c r="G2230" s="11" t="n">
        <v>1.17</v>
      </c>
      <c r="H2230" s="12" t="inlineStr">
        <is>
          <t>★</t>
        </is>
      </c>
      <c r="I2230" s="11" t="inlineStr">
        <is>
          <t>Not started</t>
        </is>
      </c>
      <c r="J2230" s="13" t="n"/>
      <c r="K2230" s="10" t="inlineStr"/>
      <c r="L2230" s="14" t="inlineStr">
        <is>
          <t>▶ watch</t>
        </is>
      </c>
      <c r="M2230" s="10" t="inlineStr">
        <is>
          <t>LeCun et al., A Tutorial on Energy-Based Learning (2006). 139. Yann LeCun</t>
        </is>
      </c>
      <c r="N2230" s="14" t="inlineStr">
        <is>
          <t>read ↗</t>
        </is>
      </c>
      <c r="O2230" s="11" t="inlineStr">
        <is>
          <t>stated with the talk</t>
        </is>
      </c>
      <c r="P2230" s="10" t="inlineStr"/>
    </row>
    <row r="2231">
      <c r="A2231" s="17" t="n">
        <v>2230</v>
      </c>
      <c r="B2231" s="17" t="inlineStr">
        <is>
          <t>Part III - Upstream AI Research</t>
        </is>
      </c>
      <c r="C2231" s="18" t="inlineStr">
        <is>
          <t>6. NeuroAI and biological inspiration</t>
        </is>
      </c>
      <c r="D2231" s="10" t="inlineStr">
        <is>
          <t>Energy-based Approaches to Representation Learning - Yann LeCun</t>
        </is>
      </c>
      <c r="E2231" s="10" t="inlineStr"/>
      <c r="F2231" s="11" t="inlineStr">
        <is>
          <t>39:54</t>
        </is>
      </c>
      <c r="G2231" s="11" t="n">
        <v>0.67</v>
      </c>
      <c r="H2231" s="12" t="inlineStr">
        <is>
          <t>★</t>
        </is>
      </c>
      <c r="I2231" s="11" t="inlineStr">
        <is>
          <t>Not started</t>
        </is>
      </c>
      <c r="J2231" s="13" t="n"/>
      <c r="K2231" s="10" t="inlineStr"/>
      <c r="L2231" s="14" t="inlineStr">
        <is>
          <t>▶ watch</t>
        </is>
      </c>
      <c r="M2231" s="10" t="inlineStr">
        <is>
          <t>LeCun et al., A Tutorial on Energy-Based Learning (2006). 139. Yann LeCun</t>
        </is>
      </c>
      <c r="N2231" s="14" t="inlineStr">
        <is>
          <t>read ↗</t>
        </is>
      </c>
      <c r="O2231" s="11" t="inlineStr">
        <is>
          <t>stated with the talk</t>
        </is>
      </c>
      <c r="P2231" s="10" t="inlineStr"/>
    </row>
    <row r="2232">
      <c r="A2232" s="17" t="n">
        <v>2231</v>
      </c>
      <c r="B2232" s="17" t="inlineStr">
        <is>
          <t>Part III - Upstream AI Research</t>
        </is>
      </c>
      <c r="C2232" s="18" t="inlineStr">
        <is>
          <t>6. NeuroAI and biological inspiration</t>
        </is>
      </c>
      <c r="D2232" s="10" t="inlineStr">
        <is>
          <t>Yann LeCun | May 18, 2021 | The Energy-Based Learning Model</t>
        </is>
      </c>
      <c r="E2232" s="10" t="inlineStr"/>
      <c r="F2232" s="11" t="inlineStr">
        <is>
          <t>1:15:52</t>
        </is>
      </c>
      <c r="G2232" s="11" t="n">
        <v>1.26</v>
      </c>
      <c r="H2232" s="12" t="inlineStr">
        <is>
          <t>★</t>
        </is>
      </c>
      <c r="I2232" s="11" t="inlineStr">
        <is>
          <t>Not started</t>
        </is>
      </c>
      <c r="J2232" s="13" t="n"/>
      <c r="K2232" s="10" t="inlineStr"/>
      <c r="L2232" s="14" t="inlineStr">
        <is>
          <t>▶ watch</t>
        </is>
      </c>
      <c r="M2232" s="10" t="inlineStr">
        <is>
          <t>Rao &amp; Ballard, Nat Neuro 1999; Heeger, PNAS 2017. 141. The</t>
        </is>
      </c>
      <c r="N2232" s="14" t="inlineStr">
        <is>
          <t>read ↗</t>
        </is>
      </c>
      <c r="O2232" s="11" t="inlineStr">
        <is>
          <t>stated with the talk</t>
        </is>
      </c>
      <c r="P2232" s="10" t="inlineStr"/>
    </row>
    <row r="2233">
      <c r="A2233" s="17" t="n">
        <v>2232</v>
      </c>
      <c r="B2233" s="17" t="inlineStr">
        <is>
          <t>Part III - Upstream AI Research</t>
        </is>
      </c>
      <c r="C2233" s="18" t="inlineStr">
        <is>
          <t>6. NeuroAI and biological inspiration</t>
        </is>
      </c>
      <c r="D2233" s="10" t="inlineStr">
        <is>
          <t>Debate: "Does Hierarchical Predictive Coding Explain Perception?" (Clark, Heeger, Melloni, Rescorla</t>
        </is>
      </c>
      <c r="E2233" s="10" t="inlineStr"/>
      <c r="F2233" s="11" t="inlineStr">
        <is>
          <t>2:00:33</t>
        </is>
      </c>
      <c r="G2233" s="11" t="n">
        <v>2.01</v>
      </c>
      <c r="H2233" s="12" t="inlineStr">
        <is>
          <t>★</t>
        </is>
      </c>
      <c r="I2233" s="11" t="inlineStr">
        <is>
          <t>Not started</t>
        </is>
      </c>
      <c r="J2233" s="13" t="n"/>
      <c r="K2233" s="10" t="inlineStr"/>
      <c r="L2233" s="14" t="inlineStr">
        <is>
          <t>▶ watch</t>
        </is>
      </c>
      <c r="M2233" s="10" t="inlineStr">
        <is>
          <t>Rao &amp; Ballard, Nat Neuro 1999; Heeger, PNAS 2017. 141. The Predictive Brain: Michael Pollan, Celeste Kidd, Christos Papadimitriou, and Bruno Olshausen</t>
        </is>
      </c>
      <c r="N2233" s="14" t="inlineStr">
        <is>
          <t>read ↗</t>
        </is>
      </c>
      <c r="O2233" s="11" t="inlineStr">
        <is>
          <t>stated with the talk</t>
        </is>
      </c>
      <c r="P2233" s="10" t="inlineStr"/>
    </row>
    <row r="2234">
      <c r="A2234" s="17" t="n">
        <v>2233</v>
      </c>
      <c r="B2234" s="17" t="inlineStr">
        <is>
          <t>Part III - Upstream AI Research</t>
        </is>
      </c>
      <c r="C2234" s="18" t="inlineStr">
        <is>
          <t>6. NeuroAI and biological inspiration</t>
        </is>
      </c>
      <c r="D2234" s="10" t="inlineStr">
        <is>
          <t>The Predictive Brain: Michael Pollan, Celeste Kidd, Christos Papadimitriou, and Bruno Olshausen</t>
        </is>
      </c>
      <c r="E2234" s="10" t="inlineStr"/>
      <c r="F2234" s="11" t="inlineStr">
        <is>
          <t>1:25:39</t>
        </is>
      </c>
      <c r="G2234" s="11" t="n">
        <v>1.43</v>
      </c>
      <c r="H2234" s="12" t="inlineStr">
        <is>
          <t>★</t>
        </is>
      </c>
      <c r="I2234" s="11" t="inlineStr">
        <is>
          <t>Not started</t>
        </is>
      </c>
      <c r="J2234" s="13" t="n"/>
      <c r="K2234" s="10" t="inlineStr"/>
      <c r="L2234" s="14" t="inlineStr">
        <is>
          <t>▶ watch</t>
        </is>
      </c>
      <c r="M2234" s="10" t="inlineStr">
        <is>
          <t>Olshausen &amp; Field, Nature 1996. 142. A New Framework for Modeling Brain Information Processing - Nikolaus Kriegeskorte</t>
        </is>
      </c>
      <c r="N2234" s="14" t="inlineStr">
        <is>
          <t>read ↗</t>
        </is>
      </c>
      <c r="O2234" s="11" t="inlineStr">
        <is>
          <t>stated with the talk</t>
        </is>
      </c>
      <c r="P2234" s="10" t="inlineStr"/>
    </row>
    <row r="2235">
      <c r="A2235" s="17" t="n">
        <v>2234</v>
      </c>
      <c r="B2235" s="17" t="inlineStr">
        <is>
          <t>Part III - Upstream AI Research</t>
        </is>
      </c>
      <c r="C2235" s="18" t="inlineStr">
        <is>
          <t>6. NeuroAI and biological inspiration</t>
        </is>
      </c>
      <c r="D2235" s="10" t="inlineStr">
        <is>
          <t>A New Framework for Modeling Brain Information Processing - Nikolaus Kriegeskorte</t>
        </is>
      </c>
      <c r="E2235" s="10" t="inlineStr"/>
      <c r="F2235" s="11" t="inlineStr">
        <is>
          <t>49:50</t>
        </is>
      </c>
      <c r="G2235" s="11" t="n">
        <v>0.83</v>
      </c>
      <c r="H2235" s="12" t="inlineStr">
        <is>
          <t>★</t>
        </is>
      </c>
      <c r="I2235" s="11" t="inlineStr">
        <is>
          <t>Not started</t>
        </is>
      </c>
      <c r="J2235" s="13" t="n"/>
      <c r="K2235" s="10" t="inlineStr"/>
      <c r="L2235" s="14" t="inlineStr">
        <is>
          <t>▶ watch</t>
        </is>
      </c>
      <c r="M2235" s="10" t="inlineStr">
        <is>
          <t>Kriegeskorte, Mur &amp; Bandettini (2008). 143. BI 163 Ellie Pavlick: The Mind of a Language Model</t>
        </is>
      </c>
      <c r="N2235" s="14" t="inlineStr">
        <is>
          <t>read ↗</t>
        </is>
      </c>
      <c r="O2235" s="11" t="inlineStr">
        <is>
          <t>stated with the talk</t>
        </is>
      </c>
      <c r="P2235" s="10" t="inlineStr"/>
    </row>
    <row r="2236">
      <c r="A2236" s="17" t="n">
        <v>2235</v>
      </c>
      <c r="B2236" s="17" t="inlineStr">
        <is>
          <t>Part III - Upstream AI Research</t>
        </is>
      </c>
      <c r="C2236" s="18" t="inlineStr">
        <is>
          <t>6. NeuroAI and biological inspiration</t>
        </is>
      </c>
      <c r="D2236" s="10" t="inlineStr">
        <is>
          <t>BI 163 Ellie Pavlick: The Mind of a Language Model</t>
        </is>
      </c>
      <c r="E2236" s="10" t="inlineStr"/>
      <c r="F2236" s="11" t="inlineStr">
        <is>
          <t>1:21:35</t>
        </is>
      </c>
      <c r="G2236" s="11" t="n">
        <v>1.36</v>
      </c>
      <c r="H2236" s="12" t="inlineStr">
        <is>
          <t>★</t>
        </is>
      </c>
      <c r="I2236" s="11" t="inlineStr">
        <is>
          <t>Not started</t>
        </is>
      </c>
      <c r="J2236" s="13" t="n"/>
      <c r="K2236" s="10" t="inlineStr"/>
      <c r="L2236" s="14" t="inlineStr">
        <is>
          <t>▶ watch</t>
        </is>
      </c>
      <c r="M2236" s="10" t="inlineStr">
        <is>
          <t>McCoy et al. 2024, PNAS 121:e2322420121 (Embers of Autoregression) · Bubeck et al. 2023, arXiv:2303.12712 (Sparks of AGI)</t>
        </is>
      </c>
      <c r="N2236" s="14" t="inlineStr">
        <is>
          <t>read ↗</t>
        </is>
      </c>
      <c r="O2236" s="11" t="inlineStr">
        <is>
          <t xml:space="preserve">reading for D.7.7 Is reasoning real? - the standing </t>
        </is>
      </c>
      <c r="P2236" s="10" t="inlineStr"/>
    </row>
    <row r="2237">
      <c r="A2237" s="17" t="n">
        <v>2236</v>
      </c>
      <c r="B2237" s="17" t="inlineStr">
        <is>
          <t>Part III - Upstream AI Research</t>
        </is>
      </c>
      <c r="C2237" s="18" t="inlineStr">
        <is>
          <t>6. NeuroAI and biological inspiration</t>
        </is>
      </c>
      <c r="D2237" s="10" t="inlineStr">
        <is>
          <t>Ellie Pavlick, (How) Does AI Think?</t>
        </is>
      </c>
      <c r="E2237" s="10" t="inlineStr"/>
      <c r="F2237" s="11" t="inlineStr">
        <is>
          <t>1:33:50</t>
        </is>
      </c>
      <c r="G2237" s="11" t="n">
        <v>1.56</v>
      </c>
      <c r="H2237" s="12" t="inlineStr">
        <is>
          <t>★</t>
        </is>
      </c>
      <c r="I2237" s="11" t="inlineStr">
        <is>
          <t>Not started</t>
        </is>
      </c>
      <c r="J2237" s="13" t="n"/>
      <c r="K2237" s="10" t="inlineStr"/>
      <c r="L2237" s="14" t="inlineStr">
        <is>
          <t>▶ watch</t>
        </is>
      </c>
      <c r="M2237" s="10" t="inlineStr">
        <is>
          <t>McCoy et al. 2024, PNAS 121:e2322420121 (Embers of Autoregression) · Bubeck et al. 2023, arXiv:2303.12712 (Sparks of AGI)</t>
        </is>
      </c>
      <c r="N2237" s="14" t="inlineStr">
        <is>
          <t>read ↗</t>
        </is>
      </c>
      <c r="O2237" s="11" t="inlineStr">
        <is>
          <t xml:space="preserve">reading for D.7.7 Is reasoning real? - the standing </t>
        </is>
      </c>
      <c r="P2237" s="10" t="inlineStr"/>
    </row>
    <row r="2238">
      <c r="A2238" s="17" t="n">
        <v>2237</v>
      </c>
      <c r="B2238" s="17" t="inlineStr">
        <is>
          <t>Part III - Upstream AI Research</t>
        </is>
      </c>
      <c r="C2238" s="18" t="inlineStr">
        <is>
          <t>7. Technical AI safety research</t>
        </is>
      </c>
      <c r="D2238" s="10" t="inlineStr">
        <is>
          <t>Can We Get Asymptotic Safety Guarantees Based On Scalable Oversight?</t>
        </is>
      </c>
      <c r="E2238" s="10" t="inlineStr"/>
      <c r="F2238" s="11" t="inlineStr">
        <is>
          <t>59:10</t>
        </is>
      </c>
      <c r="G2238" s="11" t="n">
        <v>0.99</v>
      </c>
      <c r="H2238" s="12" t="inlineStr">
        <is>
          <t>★</t>
        </is>
      </c>
      <c r="I2238" s="11" t="inlineStr">
        <is>
          <t>Not started</t>
        </is>
      </c>
      <c r="J2238" s="13" t="n"/>
      <c r="K2238" s="10" t="inlineStr"/>
      <c r="L2238" s="14" t="inlineStr">
        <is>
          <t>▶ watch</t>
        </is>
      </c>
      <c r="M2238" s="10" t="inlineStr">
        <is>
          <t>Irving, Christiano &amp; Amodei, AI Safety via Debate (2018); Prover-Estimator Debate (2025). 146. Sam Bowman - Adversarial Scalable Oversight for Truthfulness: Work in Progress</t>
        </is>
      </c>
      <c r="N2238" s="14" t="inlineStr">
        <is>
          <t>read ↗</t>
        </is>
      </c>
      <c r="O2238" s="11" t="inlineStr">
        <is>
          <t>stated with the talk</t>
        </is>
      </c>
      <c r="P2238" s="10" t="inlineStr"/>
    </row>
    <row r="2239">
      <c r="A2239" s="17" t="n">
        <v>2238</v>
      </c>
      <c r="B2239" s="17" t="inlineStr">
        <is>
          <t>Part III - Upstream AI Research</t>
        </is>
      </c>
      <c r="C2239" s="18" t="inlineStr">
        <is>
          <t>7. Technical AI safety research</t>
        </is>
      </c>
      <c r="D2239" s="10" t="inlineStr">
        <is>
          <t>Sam Bowman - Adversarial Scalable Oversight for Truthfulness: Work in Progress</t>
        </is>
      </c>
      <c r="E2239" s="10" t="inlineStr"/>
      <c r="F2239" s="11" t="inlineStr">
        <is>
          <t>29:11</t>
        </is>
      </c>
      <c r="G2239" s="11" t="n">
        <v>0.49</v>
      </c>
      <c r="H2239" s="12" t="inlineStr">
        <is>
          <t>★</t>
        </is>
      </c>
      <c r="I2239" s="11" t="inlineStr">
        <is>
          <t>Not started</t>
        </is>
      </c>
      <c r="J2239" s="13" t="n"/>
      <c r="K2239" s="10" t="inlineStr"/>
      <c r="L2239" s="14" t="inlineStr">
        <is>
          <t>▶ watch</t>
        </is>
      </c>
      <c r="M2239" s="10" t="inlineStr">
        <is>
          <t>Michael et al., Debate Helps Supervise Unreliable Experts (2023); Bowman et al., Measuring Progress on Scalable Oversight (2022). 147. Collin Burns - Weak-to-Strong Generalization</t>
        </is>
      </c>
      <c r="N2239" s="14" t="inlineStr">
        <is>
          <t>read ↗</t>
        </is>
      </c>
      <c r="O2239" s="11" t="inlineStr">
        <is>
          <t>stated with the talk</t>
        </is>
      </c>
      <c r="P2239" s="10" t="inlineStr"/>
    </row>
    <row r="2240">
      <c r="A2240" s="17" t="n">
        <v>2239</v>
      </c>
      <c r="B2240" s="17" t="inlineStr">
        <is>
          <t>Part III - Upstream AI Research</t>
        </is>
      </c>
      <c r="C2240" s="18" t="inlineStr">
        <is>
          <t>7. Technical AI safety research</t>
        </is>
      </c>
      <c r="D2240" s="10" t="inlineStr">
        <is>
          <t>Collin Burns - Weak-to-Strong Generalization</t>
        </is>
      </c>
      <c r="E2240" s="10" t="inlineStr"/>
      <c r="F2240" s="11" t="inlineStr">
        <is>
          <t>26:54</t>
        </is>
      </c>
      <c r="G2240" s="11" t="n">
        <v>0.45</v>
      </c>
      <c r="H2240" s="12" t="inlineStr">
        <is>
          <t>★</t>
        </is>
      </c>
      <c r="I2240" s="11" t="inlineStr">
        <is>
          <t>Not started</t>
        </is>
      </c>
      <c r="J2240" s="13" t="n"/>
      <c r="K2240" s="10" t="inlineStr"/>
      <c r="L2240" s="14" t="inlineStr">
        <is>
          <t>▶ watch</t>
        </is>
      </c>
      <c r="M2240" s="10" t="inlineStr">
        <is>
          <t>Burns et al., Weak-to-Strong Generalization (ICML 2024). 148. Transfer learning for weak-to-strong generalization</t>
        </is>
      </c>
      <c r="N2240" s="14" t="inlineStr">
        <is>
          <t>read ↗</t>
        </is>
      </c>
      <c r="O2240" s="11" t="inlineStr">
        <is>
          <t>stated with the talk</t>
        </is>
      </c>
      <c r="P2240" s="10" t="inlineStr"/>
    </row>
    <row r="2241">
      <c r="A2241" s="17" t="n">
        <v>2240</v>
      </c>
      <c r="B2241" s="17" t="inlineStr">
        <is>
          <t>Part III - Upstream AI Research</t>
        </is>
      </c>
      <c r="C2241" s="18" t="inlineStr">
        <is>
          <t>7. Technical AI safety research</t>
        </is>
      </c>
      <c r="D2241" s="10" t="inlineStr">
        <is>
          <t>Transfer learning for weak-to-strong generalization</t>
        </is>
      </c>
      <c r="E2241" s="10" t="inlineStr"/>
      <c r="F2241" s="11" t="inlineStr">
        <is>
          <t>42:10</t>
        </is>
      </c>
      <c r="G2241" s="11" t="n">
        <v>0.7</v>
      </c>
      <c r="H2241" s="12" t="inlineStr">
        <is>
          <t>★</t>
        </is>
      </c>
      <c r="I2241" s="11" t="inlineStr">
        <is>
          <t>Not started</t>
        </is>
      </c>
      <c r="J2241" s="13" t="n"/>
      <c r="K2241" s="10" t="inlineStr"/>
      <c r="L2241" s="14" t="inlineStr">
        <is>
          <t>▶ watch</t>
        </is>
      </c>
      <c r="M2241" s="10" t="inlineStr">
        <is>
          <t>Christiano, Cotra &amp; Xu, Eliciting Latent Knowledge (ARC 2021). 150. 23 - Mechanistic Anomaly Detection with Mark Xu</t>
        </is>
      </c>
      <c r="N2241" s="14" t="inlineStr">
        <is>
          <t>read ↗</t>
        </is>
      </c>
      <c r="O2241" s="11" t="inlineStr">
        <is>
          <t>stated with the talk</t>
        </is>
      </c>
      <c r="P2241" s="10" t="inlineStr"/>
    </row>
    <row r="2242">
      <c r="A2242" s="17" t="n">
        <v>2241</v>
      </c>
      <c r="B2242" s="17" t="inlineStr">
        <is>
          <t>Part III - Upstream AI Research</t>
        </is>
      </c>
      <c r="C2242" s="18" t="inlineStr">
        <is>
          <t>7. Technical AI safety research</t>
        </is>
      </c>
      <c r="D2242" s="10" t="inlineStr">
        <is>
          <t>Aligning ML objectives with human values</t>
        </is>
      </c>
      <c r="E2242" s="10" t="inlineStr"/>
      <c r="F2242" s="11" t="inlineStr">
        <is>
          <t>47:00</t>
        </is>
      </c>
      <c r="G2242" s="11" t="n">
        <v>0.78</v>
      </c>
      <c r="H2242" s="12" t="inlineStr">
        <is>
          <t>★</t>
        </is>
      </c>
      <c r="I2242" s="11" t="inlineStr">
        <is>
          <t>Not started</t>
        </is>
      </c>
      <c r="J2242" s="13" t="n"/>
      <c r="K2242" s="10" t="inlineStr"/>
      <c r="L2242" s="14" t="inlineStr">
        <is>
          <t>▶ watch</t>
        </is>
      </c>
      <c r="M2242" s="10" t="inlineStr">
        <is>
          <t>Christiano, Cotra &amp; Xu, Eliciting Latent Knowledge (ARC 2021). 150. 23 - Mechanistic Anomaly Detection with Mark Xu</t>
        </is>
      </c>
      <c r="N2242" s="14" t="inlineStr">
        <is>
          <t>read ↗</t>
        </is>
      </c>
      <c r="O2242" s="11" t="inlineStr">
        <is>
          <t>stated with the talk</t>
        </is>
      </c>
      <c r="P2242" s="10" t="inlineStr"/>
    </row>
    <row r="2243">
      <c r="A2243" s="17" t="n">
        <v>2242</v>
      </c>
      <c r="B2243" s="17" t="inlineStr">
        <is>
          <t>Part III - Upstream AI Research</t>
        </is>
      </c>
      <c r="C2243" s="18" t="inlineStr">
        <is>
          <t>7. Technical AI safety research</t>
        </is>
      </c>
      <c r="D2243" s="10" t="inlineStr">
        <is>
          <t>23 - Mechanistic Anomaly Detection with Mark Xu</t>
        </is>
      </c>
      <c r="E2243" s="10" t="inlineStr"/>
      <c r="F2243" s="11" t="inlineStr">
        <is>
          <t>2:05:53</t>
        </is>
      </c>
      <c r="G2243" s="11" t="n">
        <v>2.1</v>
      </c>
      <c r="H2243" s="12" t="inlineStr">
        <is>
          <t>★</t>
        </is>
      </c>
      <c r="I2243" s="11" t="inlineStr">
        <is>
          <t>Not started</t>
        </is>
      </c>
      <c r="J2243" s="13" t="n"/>
      <c r="K2243" s="10" t="inlineStr"/>
      <c r="L2243" s="14" t="inlineStr">
        <is>
          <t>▶ watch</t>
        </is>
      </c>
      <c r="M2243" s="10" t="inlineStr">
        <is>
          <t>Phuong et al., Evaluating Frontier Models for Dangerous Capabilities (2024). 152. David Duvenaud</t>
        </is>
      </c>
      <c r="N2243" s="14" t="inlineStr">
        <is>
          <t>read ↗</t>
        </is>
      </c>
      <c r="O2243" s="11" t="inlineStr">
        <is>
          <t>stated with the talk</t>
        </is>
      </c>
      <c r="P2243" s="10" t="inlineStr"/>
    </row>
    <row r="2244">
      <c r="A2244" s="17" t="n">
        <v>2243</v>
      </c>
      <c r="B2244" s="17" t="inlineStr">
        <is>
          <t>Part III - Upstream AI Research</t>
        </is>
      </c>
      <c r="C2244" s="18" t="inlineStr">
        <is>
          <t>7. Technical AI safety research</t>
        </is>
      </c>
      <c r="D2244" s="10" t="inlineStr">
        <is>
          <t>Dangerous Capability Evals: Basis for Frontier Safety | Mary Phuong (Google DeepMind</t>
        </is>
      </c>
      <c r="E2244" s="10" t="inlineStr"/>
      <c r="F2244" s="11" t="inlineStr">
        <is>
          <t>15:15</t>
        </is>
      </c>
      <c r="G2244" s="11" t="n">
        <v>0.25</v>
      </c>
      <c r="H2244" s="12" t="inlineStr">
        <is>
          <t>★</t>
        </is>
      </c>
      <c r="I2244" s="11" t="inlineStr">
        <is>
          <t>Not started</t>
        </is>
      </c>
      <c r="J2244" s="13" t="n"/>
      <c r="K2244" s="10" t="inlineStr"/>
      <c r="L2244" s="14" t="inlineStr">
        <is>
          <t>▶ watch</t>
        </is>
      </c>
      <c r="M2244" s="10" t="inlineStr">
        <is>
          <t>Phuong et al., Evaluating Frontier Models for Dangerous Capabilities (2024). 152. David Duvenaud</t>
        </is>
      </c>
      <c r="N2244" s="14" t="inlineStr">
        <is>
          <t>read ↗</t>
        </is>
      </c>
      <c r="O2244" s="11" t="inlineStr">
        <is>
          <t>stated with the talk</t>
        </is>
      </c>
      <c r="P2244" s="10" t="inlineStr"/>
    </row>
    <row r="2245">
      <c r="A2245" s="17" t="n">
        <v>2244</v>
      </c>
      <c r="B2245" s="17" t="inlineStr">
        <is>
          <t>Part III - Upstream AI Research</t>
        </is>
      </c>
      <c r="C2245" s="18" t="inlineStr">
        <is>
          <t>7. Technical AI safety research</t>
        </is>
      </c>
      <c r="D2245" s="10" t="inlineStr">
        <is>
          <t>David Duvenaud | The big picture of LLM dangerous capability evals</t>
        </is>
      </c>
      <c r="E2245" s="10" t="inlineStr"/>
      <c r="F2245" s="11" t="inlineStr">
        <is>
          <t>1:19:50</t>
        </is>
      </c>
      <c r="G2245" s="11" t="n">
        <v>1.33</v>
      </c>
      <c r="H2245" s="12" t="inlineStr">
        <is>
          <t>★</t>
        </is>
      </c>
      <c r="I2245" s="11" t="inlineStr">
        <is>
          <t>Not started</t>
        </is>
      </c>
      <c r="J2245" s="13" t="n"/>
      <c r="K2245" s="10" t="inlineStr"/>
      <c r="L2245" s="14" t="inlineStr">
        <is>
          <t>▶ watch</t>
        </is>
      </c>
      <c r="M2245" s="10" t="inlineStr">
        <is>
          <t>Greenblatt et al. (2024). 154. 27 - AI Control with Buck Shlegeris and Ryan</t>
        </is>
      </c>
      <c r="N2245" s="14" t="inlineStr">
        <is>
          <t>read ↗</t>
        </is>
      </c>
      <c r="O2245" s="11" t="inlineStr">
        <is>
          <t>stated with the talk</t>
        </is>
      </c>
      <c r="P2245" s="10" t="inlineStr"/>
    </row>
    <row r="2246">
      <c r="A2246" s="17" t="n">
        <v>2245</v>
      </c>
      <c r="B2246" s="17" t="inlineStr">
        <is>
          <t>Part III - Upstream AI Research</t>
        </is>
      </c>
      <c r="C2246" s="18" t="inlineStr">
        <is>
          <t>7. Technical AI safety research</t>
        </is>
      </c>
      <c r="D2246" s="10" t="inlineStr">
        <is>
          <t>Alignment faking in large language models</t>
        </is>
      </c>
      <c r="E2246" s="10" t="inlineStr"/>
      <c r="F2246" s="11" t="inlineStr">
        <is>
          <t>1:30:19</t>
        </is>
      </c>
      <c r="G2246" s="11" t="n">
        <v>1.51</v>
      </c>
      <c r="H2246" s="12" t="inlineStr">
        <is>
          <t>★</t>
        </is>
      </c>
      <c r="I2246" s="11" t="inlineStr">
        <is>
          <t>Not started</t>
        </is>
      </c>
      <c r="J2246" s="13" t="n"/>
      <c r="K2246" s="10" t="inlineStr"/>
      <c r="L2246" s="14" t="inlineStr">
        <is>
          <t>▶ watch</t>
        </is>
      </c>
      <c r="M2246" s="10" t="inlineStr">
        <is>
          <t>Greenblatt et al. (2024). 154. 27 - AI Control with Buck Shlegeris and Ryan Greenblatt</t>
        </is>
      </c>
      <c r="N2246" s="14" t="inlineStr">
        <is>
          <t>read ↗</t>
        </is>
      </c>
      <c r="O2246" s="11" t="inlineStr">
        <is>
          <t>stated with the talk</t>
        </is>
      </c>
      <c r="P2246" s="10" t="inlineStr"/>
    </row>
    <row r="2247">
      <c r="A2247" s="17" t="n">
        <v>2246</v>
      </c>
      <c r="B2247" s="17" t="inlineStr">
        <is>
          <t>Part III - Upstream AI Research</t>
        </is>
      </c>
      <c r="C2247" s="18" t="inlineStr">
        <is>
          <t>7. Technical AI safety research</t>
        </is>
      </c>
      <c r="D2247" s="10" t="inlineStr">
        <is>
          <t>27 - AI Control with Buck Shlegeris and Ryan Greenblatt</t>
        </is>
      </c>
      <c r="E2247" s="10" t="inlineStr"/>
      <c r="F2247" s="11" t="inlineStr">
        <is>
          <t>2:56:04</t>
        </is>
      </c>
      <c r="G2247" s="11" t="n">
        <v>2.93</v>
      </c>
      <c r="H2247" s="12" t="inlineStr">
        <is>
          <t>★</t>
        </is>
      </c>
      <c r="I2247" s="11" t="inlineStr">
        <is>
          <t>Not started</t>
        </is>
      </c>
      <c r="J2247" s="13" t="n"/>
      <c r="K2247" s="10" t="inlineStr"/>
      <c r="L2247" s="14" t="inlineStr">
        <is>
          <t>▶ watch</t>
        </is>
      </c>
      <c r="M2247" s="10" t="inlineStr">
        <is>
          <t>Greenblatt et al., AI Control: Improving Safety Despite Intentional Subversion (ICML 2024). 155. Interpretability Agents</t>
        </is>
      </c>
      <c r="N2247" s="14" t="inlineStr">
        <is>
          <t>read ↗</t>
        </is>
      </c>
      <c r="O2247" s="11" t="inlineStr">
        <is>
          <t>stated with the talk</t>
        </is>
      </c>
      <c r="P2247" s="10" t="inlineStr"/>
    </row>
    <row r="2248">
      <c r="A2248" s="17" t="n">
        <v>2247</v>
      </c>
      <c r="B2248" s="17" t="inlineStr">
        <is>
          <t>Part III - Upstream AI Research</t>
        </is>
      </c>
      <c r="C2248" s="18" t="inlineStr">
        <is>
          <t>7. Technical AI safety research</t>
        </is>
      </c>
      <c r="D2248" s="10" t="inlineStr">
        <is>
          <t>Interpretability Agents</t>
        </is>
      </c>
      <c r="E2248" s="10" t="inlineStr"/>
      <c r="F2248" s="11" t="inlineStr">
        <is>
          <t>42:07</t>
        </is>
      </c>
      <c r="G2248" s="11" t="n">
        <v>0.7</v>
      </c>
      <c r="H2248" s="12" t="inlineStr">
        <is>
          <t>★</t>
        </is>
      </c>
      <c r="I2248" s="11" t="inlineStr">
        <is>
          <t>Not started</t>
        </is>
      </c>
      <c r="J2248" s="13" t="n"/>
      <c r="K2248" s="10" t="inlineStr"/>
      <c r="L2248" s="14" t="inlineStr">
        <is>
          <t>▶ watch</t>
        </is>
      </c>
      <c r="M2248" s="10" t="inlineStr">
        <is>
          <t>Shaham, Schwettmann et al., A Multimodal Automated Interpretability Agent (MAIA) (ICML 2024). 156. Sarah Schwettmann - Scalable Oversight and Understanding [Alignment Workshop]</t>
        </is>
      </c>
      <c r="N2248" s="14" t="inlineStr">
        <is>
          <t>read ↗</t>
        </is>
      </c>
      <c r="O2248" s="11" t="inlineStr">
        <is>
          <t>stated with the talk</t>
        </is>
      </c>
      <c r="P2248" s="10" t="inlineStr"/>
    </row>
    <row r="2249">
      <c r="A2249" s="17" t="n">
        <v>2248</v>
      </c>
      <c r="B2249" s="17" t="inlineStr">
        <is>
          <t>Part III - Upstream AI Research</t>
        </is>
      </c>
      <c r="C2249" s="18" t="inlineStr">
        <is>
          <t>7. Technical AI safety research</t>
        </is>
      </c>
      <c r="D2249" s="10" t="inlineStr">
        <is>
          <t>Sarah Schwettmann - Scalable Oversight and Understanding [Alignment Workshop</t>
        </is>
      </c>
      <c r="E2249" s="10" t="inlineStr"/>
      <c r="F2249" s="11" t="inlineStr">
        <is>
          <t>5:41</t>
        </is>
      </c>
      <c r="G2249" s="11" t="n">
        <v>0.09</v>
      </c>
      <c r="H2249" s="12" t="inlineStr">
        <is>
          <t>★</t>
        </is>
      </c>
      <c r="I2249" s="11" t="inlineStr">
        <is>
          <t>Not started</t>
        </is>
      </c>
      <c r="J2249" s="13" t="n"/>
      <c r="K2249" s="10" t="inlineStr"/>
      <c r="L2249" s="14" t="inlineStr">
        <is>
          <t>▶ watch</t>
        </is>
      </c>
      <c r="M2249" s="10" t="inlineStr">
        <is>
          <t>McCoy et al. 2024, PNAS 121:e2322420121 (Embers of Autoregression) · Bubeck et al. 2023, arXiv:2303.12712 (Sparks of AGI)</t>
        </is>
      </c>
      <c r="N2249" s="14" t="inlineStr">
        <is>
          <t>read ↗</t>
        </is>
      </c>
      <c r="O2249" s="11" t="inlineStr">
        <is>
          <t xml:space="preserve">reading for D.7.7 Is reasoning real? - the standing </t>
        </is>
      </c>
      <c r="P2249" s="10" t="inlineStr"/>
    </row>
    <row r="2250">
      <c r="A2250" s="17" t="n">
        <v>2249</v>
      </c>
      <c r="B2250" s="17" t="inlineStr">
        <is>
          <t>Part III - Upstream AI Research</t>
        </is>
      </c>
      <c r="C2250" s="18" t="inlineStr">
        <is>
          <t>7. Technical AI safety research</t>
        </is>
      </c>
      <c r="D2250" s="10" t="inlineStr">
        <is>
          <t>Neel Nanda - Our Pivot To Pragmatic Interpretability [Alignment Workshop</t>
        </is>
      </c>
      <c r="E2250" s="10" t="inlineStr"/>
      <c r="F2250" s="11" t="inlineStr">
        <is>
          <t>10:20</t>
        </is>
      </c>
      <c r="G2250" s="11" t="n">
        <v>0.17</v>
      </c>
      <c r="H2250" s="12" t="inlineStr">
        <is>
          <t>★</t>
        </is>
      </c>
      <c r="I2250" s="11" t="inlineStr">
        <is>
          <t>Not started</t>
        </is>
      </c>
      <c r="J2250" s="13" t="n"/>
      <c r="K2250" s="10" t="inlineStr"/>
      <c r="L2250" s="14" t="inlineStr">
        <is>
          <t>▶ watch</t>
        </is>
      </c>
      <c r="M2250" s="10" t="inlineStr">
        <is>
          <t>Hase et al., Does Localization I</t>
        </is>
      </c>
      <c r="N2250" s="14" t="inlineStr">
        <is>
          <t>read ↗</t>
        </is>
      </c>
      <c r="O2250" s="11" t="inlineStr">
        <is>
          <t>stated with the talk</t>
        </is>
      </c>
      <c r="P2250" s="10" t="inlineStr"/>
    </row>
    <row r="2251">
      <c r="A2251" s="17" t="n">
        <v>2250</v>
      </c>
      <c r="B2251" s="17" t="inlineStr">
        <is>
          <t>Part III - Upstream AI Research</t>
        </is>
      </c>
      <c r="C2251" s="18" t="inlineStr">
        <is>
          <t>7. Technical AI safety research</t>
        </is>
      </c>
      <c r="D2251" s="10" t="inlineStr">
        <is>
          <t>"AI Safety Through Interpretable and Controllable Language Models" - Peter Hase, YRSS</t>
        </is>
      </c>
      <c r="E2251" s="10" t="inlineStr"/>
      <c r="F2251" s="11" t="inlineStr">
        <is>
          <t>59:18</t>
        </is>
      </c>
      <c r="G2251" s="11" t="n">
        <v>0.99</v>
      </c>
      <c r="H2251" s="12" t="inlineStr">
        <is>
          <t>★</t>
        </is>
      </c>
      <c r="I2251" s="11" t="inlineStr">
        <is>
          <t>Not started</t>
        </is>
      </c>
      <c r="J2251" s="13" t="n"/>
      <c r="K2251" s="10" t="inlineStr"/>
      <c r="L2251" s="14" t="inlineStr">
        <is>
          <t>▶ watch</t>
        </is>
      </c>
      <c r="M2251" s="10" t="inlineStr">
        <is>
          <t>Hase et al., Does Localization Inform Editing? (NeurIPS 2023). 159. Yoshua Bengio - Disentangling Agency &amp; Predictive Power Without Solving ELK [Alignment Workshop]</t>
        </is>
      </c>
      <c r="N2251" s="14" t="inlineStr">
        <is>
          <t>read ↗</t>
        </is>
      </c>
      <c r="O2251" s="11" t="inlineStr">
        <is>
          <t>stated with the talk</t>
        </is>
      </c>
      <c r="P2251" s="10" t="inlineStr"/>
    </row>
    <row r="2252">
      <c r="A2252" s="17" t="n">
        <v>2251</v>
      </c>
      <c r="B2252" s="17" t="inlineStr">
        <is>
          <t>Part III - Upstream AI Research</t>
        </is>
      </c>
      <c r="C2252" s="18" t="inlineStr">
        <is>
          <t>7. Technical AI safety research</t>
        </is>
      </c>
      <c r="D2252" s="10" t="inlineStr">
        <is>
          <t>Yoshua Bengio - Disentangling Agency &amp; Predictive Power Without Solving ELK [Alignment Workshop</t>
        </is>
      </c>
      <c r="E2252" s="10" t="inlineStr"/>
      <c r="F2252" s="11" t="inlineStr">
        <is>
          <t>30:56</t>
        </is>
      </c>
      <c r="G2252" s="11" t="n">
        <v>0.52</v>
      </c>
      <c r="H2252" s="12" t="inlineStr">
        <is>
          <t>★</t>
        </is>
      </c>
      <c r="I2252" s="11" t="inlineStr">
        <is>
          <t>Not started</t>
        </is>
      </c>
      <c r="J2252" s="13" t="n"/>
      <c r="K2252" s="10" t="inlineStr"/>
      <c r="L2252" s="14" t="inlineStr">
        <is>
          <t>▶ watch</t>
        </is>
      </c>
      <c r="M2252" s="10" t="inlineStr">
        <is>
          <t>Looking Inward; Emergent Misalignment (2025). 161. An Observation on Generalization</t>
        </is>
      </c>
      <c r="N2252" s="14" t="inlineStr">
        <is>
          <t>read ↗</t>
        </is>
      </c>
      <c r="O2252" s="11" t="inlineStr">
        <is>
          <t>stated with the talk</t>
        </is>
      </c>
      <c r="P2252" s="10" t="inlineStr"/>
    </row>
    <row r="2253">
      <c r="A2253" s="17" t="n">
        <v>2252</v>
      </c>
      <c r="B2253" s="17" t="inlineStr">
        <is>
          <t>Part III - Upstream AI Research</t>
        </is>
      </c>
      <c r="C2253" s="18" t="inlineStr">
        <is>
          <t>7. Technical AI safety research</t>
        </is>
      </c>
      <c r="D2253" s="10" t="inlineStr">
        <is>
          <t>42 - Owain Evans on LLM Psychology</t>
        </is>
      </c>
      <c r="E2253" s="10" t="inlineStr"/>
      <c r="F2253" s="11" t="inlineStr">
        <is>
          <t>2:14:26</t>
        </is>
      </c>
      <c r="G2253" s="11" t="n">
        <v>2.24</v>
      </c>
      <c r="H2253" s="12" t="inlineStr">
        <is>
          <t>★</t>
        </is>
      </c>
      <c r="I2253" s="11" t="inlineStr">
        <is>
          <t>Not started</t>
        </is>
      </c>
      <c r="J2253" s="13" t="n"/>
      <c r="K2253" s="10" t="inlineStr"/>
      <c r="L2253" s="14" t="inlineStr">
        <is>
          <t>▶ watch</t>
        </is>
      </c>
      <c r="M2253" s="10" t="inlineStr">
        <is>
          <t>Looking Inward; Emergent Misalignment (2025). 161. An Observation on Generalization</t>
        </is>
      </c>
      <c r="N2253" s="14" t="inlineStr">
        <is>
          <t>read ↗</t>
        </is>
      </c>
      <c r="O2253" s="11" t="inlineStr">
        <is>
          <t>stated with the talk</t>
        </is>
      </c>
      <c r="P2253" s="10" t="inlineStr"/>
    </row>
    <row r="2254">
      <c r="A2254" s="19" t="n">
        <v>2253</v>
      </c>
      <c r="B2254" s="19" t="inlineStr">
        <is>
          <t>Part IV - Performance Engineering</t>
        </is>
      </c>
      <c r="C2254" s="20" t="inlineStr">
        <is>
          <t>E.4.1 Architecture fundamentals</t>
        </is>
      </c>
      <c r="D2254" s="10" t="inlineStr">
        <is>
          <t>CUDA + ThunderKittens, but increasingly drunk</t>
        </is>
      </c>
      <c r="E2254" s="10" t="inlineStr">
        <is>
          <t>Benjamin Spector</t>
        </is>
      </c>
      <c r="F2254" s="11" t="inlineStr">
        <is>
          <t>4:25:26</t>
        </is>
      </c>
      <c r="G2254" s="11" t="n">
        <v>4.42</v>
      </c>
      <c r="H2254" s="12" t="inlineStr"/>
      <c r="I2254" s="11" t="inlineStr">
        <is>
          <t>Not started</t>
        </is>
      </c>
      <c r="J2254" s="13" t="n"/>
      <c r="K2254" s="10" t="inlineStr"/>
      <c r="L2254" s="14" t="inlineStr">
        <is>
          <t>▶ watch</t>
        </is>
      </c>
      <c r="M2254" s="10" t="inlineStr"/>
      <c r="N2254" s="11" t="inlineStr"/>
      <c r="O2254" s="11" t="inlineStr">
        <is>
          <t>course lecture - no single paper</t>
        </is>
      </c>
      <c r="P2254" s="10" t="inlineStr"/>
    </row>
    <row r="2255">
      <c r="A2255" s="19" t="n">
        <v>2254</v>
      </c>
      <c r="B2255" s="19" t="inlineStr">
        <is>
          <t>Part IV - Performance Engineering</t>
        </is>
      </c>
      <c r="C2255" s="20" t="inlineStr">
        <is>
          <t>E.4.1 Architecture fundamentals</t>
        </is>
      </c>
      <c r="D2255" s="10" t="inlineStr">
        <is>
          <t>GPU Programming Fundamentals + ThunderKittens</t>
        </is>
      </c>
      <c r="E2255" s="10" t="inlineStr">
        <is>
          <t>Brandon (Anthropic) &amp; Arora (Stanford</t>
        </is>
      </c>
      <c r="F2255" s="11" t="inlineStr">
        <is>
          <t>2:39:22</t>
        </is>
      </c>
      <c r="G2255" s="11" t="n">
        <v>2.66</v>
      </c>
      <c r="H2255" s="12" t="inlineStr">
        <is>
          <t>★</t>
        </is>
      </c>
      <c r="I2255" s="11" t="inlineStr">
        <is>
          <t>Not started</t>
        </is>
      </c>
      <c r="J2255" s="13" t="n"/>
      <c r="K2255" s="10" t="inlineStr"/>
      <c r="L2255" s="14" t="inlineStr">
        <is>
          <t>▶ watch</t>
        </is>
      </c>
      <c r="M2255" s="10" t="inlineStr"/>
      <c r="N2255" s="11" t="inlineStr"/>
      <c r="O2255" s="11" t="inlineStr">
        <is>
          <t>course lecture - no single paper</t>
        </is>
      </c>
      <c r="P2255" s="10" t="inlineStr">
        <is>
          <t>E.4.3 GPU MODE - 116 lectures, enumerated</t>
        </is>
      </c>
    </row>
    <row r="2256">
      <c r="A2256" s="19" t="n">
        <v>2255</v>
      </c>
      <c r="B2256" s="19" t="inlineStr">
        <is>
          <t>Part IV - Performance Engineering</t>
        </is>
      </c>
      <c r="C2256" s="20" t="inlineStr">
        <is>
          <t>E.4.1 Architecture fundamentals</t>
        </is>
      </c>
      <c r="D2256" s="10" t="inlineStr">
        <is>
          <t>Jack Choquette (H100 chief architect</t>
        </is>
      </c>
      <c r="E2256" s="10" t="inlineStr">
        <is>
          <t>Nvidia's H100 GPU (Stanford Seminar</t>
        </is>
      </c>
      <c r="F2256" s="11" t="inlineStr">
        <is>
          <t>50:05</t>
        </is>
      </c>
      <c r="G2256" s="11" t="n">
        <v>0.83</v>
      </c>
      <c r="H2256" s="12" t="inlineStr">
        <is>
          <t>★</t>
        </is>
      </c>
      <c r="I2256" s="11" t="inlineStr">
        <is>
          <t>Not started</t>
        </is>
      </c>
      <c r="J2256" s="13" t="n"/>
      <c r="K2256" s="10" t="inlineStr"/>
      <c r="L2256" s="14" t="inlineStr">
        <is>
          <t>▶ watch</t>
        </is>
      </c>
      <c r="M2256" s="10" t="inlineStr"/>
      <c r="N2256" s="11" t="inlineStr"/>
      <c r="O2256" s="11" t="inlineStr">
        <is>
          <t>course lecture - no single paper</t>
        </is>
      </c>
      <c r="P2256" s="10" t="inlineStr"/>
    </row>
    <row r="2257">
      <c r="A2257" s="19" t="n">
        <v>2256</v>
      </c>
      <c r="B2257" s="19" t="inlineStr">
        <is>
          <t>Part IV - Performance Engineering</t>
        </is>
      </c>
      <c r="C2257" s="20" t="inlineStr">
        <is>
          <t>E.4.1 Architecture fundamentals</t>
        </is>
      </c>
      <c r="D2257" s="10" t="inlineStr">
        <is>
          <t>Computer Architecture Lecture 26: GPU Programming</t>
        </is>
      </c>
      <c r="E2257" s="10" t="inlineStr">
        <is>
          <t>Onur Mutlu (ETH</t>
        </is>
      </c>
      <c r="F2257" s="11" t="inlineStr">
        <is>
          <t>2:32:38</t>
        </is>
      </c>
      <c r="G2257" s="11" t="n">
        <v>2.54</v>
      </c>
      <c r="H2257" s="12" t="inlineStr">
        <is>
          <t>★</t>
        </is>
      </c>
      <c r="I2257" s="11" t="inlineStr">
        <is>
          <t>Not started</t>
        </is>
      </c>
      <c r="J2257" s="13" t="n"/>
      <c r="K2257" s="10" t="inlineStr"/>
      <c r="L2257" s="14" t="inlineStr">
        <is>
          <t>▶ watch</t>
        </is>
      </c>
      <c r="M2257" s="10" t="inlineStr"/>
      <c r="N2257" s="11" t="inlineStr"/>
      <c r="O2257" s="11" t="inlineStr">
        <is>
          <t>course lecture - no single paper</t>
        </is>
      </c>
      <c r="P2257" s="10" t="inlineStr"/>
    </row>
    <row r="2258">
      <c r="A2258" s="19" t="n">
        <v>2257</v>
      </c>
      <c r="B2258" s="19" t="inlineStr">
        <is>
          <t>Part IV - Performance Engineering</t>
        </is>
      </c>
      <c r="C2258" s="20" t="inlineStr">
        <is>
          <t>E.4.1 Architecture fundamentals</t>
        </is>
      </c>
      <c r="D2258" s="10" t="inlineStr">
        <is>
          <t>HetSys Lecture 5: GPU Performance Considerations</t>
        </is>
      </c>
      <c r="E2258" s="10" t="inlineStr">
        <is>
          <t>ETH Zürich</t>
        </is>
      </c>
      <c r="F2258" s="11" t="inlineStr">
        <is>
          <t>1:23:30</t>
        </is>
      </c>
      <c r="G2258" s="11" t="n">
        <v>1.39</v>
      </c>
      <c r="H2258" s="12" t="inlineStr">
        <is>
          <t>★</t>
        </is>
      </c>
      <c r="I2258" s="11" t="inlineStr">
        <is>
          <t>Not started</t>
        </is>
      </c>
      <c r="J2258" s="13" t="n"/>
      <c r="K2258" s="10" t="inlineStr"/>
      <c r="L2258" s="14" t="inlineStr">
        <is>
          <t>▶ watch</t>
        </is>
      </c>
      <c r="M2258" s="10" t="inlineStr"/>
      <c r="N2258" s="11" t="inlineStr"/>
      <c r="O2258" s="11" t="inlineStr">
        <is>
          <t>course lecture - no single paper</t>
        </is>
      </c>
      <c r="P2258" s="10" t="inlineStr"/>
    </row>
    <row r="2259">
      <c r="A2259" s="19" t="n">
        <v>2258</v>
      </c>
      <c r="B2259" s="19" t="inlineStr">
        <is>
          <t>Part IV - Performance Engineering</t>
        </is>
      </c>
      <c r="C2259" s="20" t="inlineStr">
        <is>
          <t>E.4.1 Architecture fundamentals</t>
        </is>
      </c>
      <c r="D2259" s="10" t="inlineStr">
        <is>
          <t>Stanford CS149 L7: GPU Architecture and CUDA Programming</t>
        </is>
      </c>
      <c r="E2259" s="10" t="inlineStr">
        <is>
          <t>Stanford</t>
        </is>
      </c>
      <c r="F2259" s="11" t="inlineStr">
        <is>
          <t>1:18:47</t>
        </is>
      </c>
      <c r="G2259" s="11" t="n">
        <v>1.31</v>
      </c>
      <c r="H2259" s="12" t="inlineStr"/>
      <c r="I2259" s="11" t="inlineStr">
        <is>
          <t>Not started</t>
        </is>
      </c>
      <c r="J2259" s="13" t="n"/>
      <c r="K2259" s="10" t="inlineStr"/>
      <c r="L2259" s="14" t="inlineStr">
        <is>
          <t>▶ watch</t>
        </is>
      </c>
      <c r="M2259" s="10" t="inlineStr"/>
      <c r="N2259" s="11" t="inlineStr"/>
      <c r="O2259" s="11" t="inlineStr">
        <is>
          <t>course lecture - no single paper</t>
        </is>
      </c>
      <c r="P2259" s="10" t="inlineStr"/>
    </row>
    <row r="2260">
      <c r="A2260" s="19" t="n">
        <v>2259</v>
      </c>
      <c r="B2260" s="19" t="inlineStr">
        <is>
          <t>Part IV - Performance Engineering</t>
        </is>
      </c>
      <c r="C2260" s="20" t="inlineStr">
        <is>
          <t>E.4.1 Architecture fundamentals</t>
        </is>
      </c>
      <c r="D2260" s="10" t="inlineStr">
        <is>
          <t>Stanford CS149 L8: Data-Parallel Thinking</t>
        </is>
      </c>
      <c r="E2260" s="10" t="inlineStr">
        <is>
          <t>Stanford</t>
        </is>
      </c>
      <c r="F2260" s="11" t="inlineStr">
        <is>
          <t>1:17:49</t>
        </is>
      </c>
      <c r="G2260" s="11" t="n">
        <v>1.3</v>
      </c>
      <c r="H2260" s="12" t="inlineStr"/>
      <c r="I2260" s="11" t="inlineStr">
        <is>
          <t>Not started</t>
        </is>
      </c>
      <c r="J2260" s="13" t="n"/>
      <c r="K2260" s="10" t="inlineStr"/>
      <c r="L2260" s="14" t="inlineStr">
        <is>
          <t>▶ watch</t>
        </is>
      </c>
      <c r="M2260" s="10" t="inlineStr"/>
      <c r="N2260" s="11" t="inlineStr"/>
      <c r="O2260" s="11" t="inlineStr">
        <is>
          <t>course lecture - no single paper</t>
        </is>
      </c>
      <c r="P2260" s="10" t="inlineStr"/>
    </row>
    <row r="2261">
      <c r="A2261" s="19" t="n">
        <v>2260</v>
      </c>
      <c r="B2261" s="19" t="inlineStr">
        <is>
          <t>Part IV - Performance Engineering</t>
        </is>
      </c>
      <c r="C2261" s="20" t="inlineStr">
        <is>
          <t>E.4.1 Architecture fundamentals</t>
        </is>
      </c>
      <c r="D2261" s="10" t="inlineStr">
        <is>
          <t>Introduction to SASS and GPU Microarchitecture</t>
        </is>
      </c>
      <c r="E2261" s="10" t="inlineStr">
        <is>
          <t>Arun Demeure</t>
        </is>
      </c>
      <c r="F2261" s="11" t="inlineStr">
        <is>
          <t>1:50:40</t>
        </is>
      </c>
      <c r="G2261" s="11" t="n">
        <v>1.84</v>
      </c>
      <c r="H2261" s="12" t="inlineStr">
        <is>
          <t>★</t>
        </is>
      </c>
      <c r="I2261" s="11" t="inlineStr">
        <is>
          <t>Not started</t>
        </is>
      </c>
      <c r="J2261" s="13" t="n"/>
      <c r="K2261" s="10" t="inlineStr"/>
      <c r="L2261" s="14" t="inlineStr">
        <is>
          <t>▶ watch</t>
        </is>
      </c>
      <c r="M2261" s="10" t="inlineStr"/>
      <c r="N2261" s="11" t="inlineStr"/>
      <c r="O2261" s="11" t="inlineStr">
        <is>
          <t>course lecture - no single paper</t>
        </is>
      </c>
      <c r="P2261" s="10" t="inlineStr">
        <is>
          <t>E.4.3 GPU MODE - 116 lectures, enumerated</t>
        </is>
      </c>
    </row>
    <row r="2262">
      <c r="A2262" s="19" t="n">
        <v>2261</v>
      </c>
      <c r="B2262" s="19" t="inlineStr">
        <is>
          <t>Part IV - Performance Engineering</t>
        </is>
      </c>
      <c r="C2262" s="20" t="inlineStr">
        <is>
          <t>E.4.1 Architecture fundamentals</t>
        </is>
      </c>
      <c r="D2262" s="10" t="inlineStr">
        <is>
          <t>The One-Decade Task: Putting std::atomic in CUDA</t>
        </is>
      </c>
      <c r="E2262" s="10" t="inlineStr">
        <is>
          <t>Olivier Giroux (NVIDIA memory-model architect</t>
        </is>
      </c>
      <c r="F2262" s="11" t="inlineStr">
        <is>
          <t>1:05:38</t>
        </is>
      </c>
      <c r="G2262" s="11" t="n">
        <v>1.09</v>
      </c>
      <c r="H2262" s="12" t="inlineStr">
        <is>
          <t>★</t>
        </is>
      </c>
      <c r="I2262" s="11" t="inlineStr">
        <is>
          <t>Not started</t>
        </is>
      </c>
      <c r="J2262" s="13" t="n"/>
      <c r="K2262" s="10" t="inlineStr"/>
      <c r="L2262" s="14" t="inlineStr">
        <is>
          <t>▶ watch</t>
        </is>
      </c>
      <c r="M2262" s="10" t="inlineStr"/>
      <c r="N2262" s="11" t="inlineStr"/>
      <c r="O2262" s="11" t="inlineStr">
        <is>
          <t>course lecture - no single paper</t>
        </is>
      </c>
      <c r="P2262" s="10" t="inlineStr"/>
    </row>
    <row r="2263">
      <c r="A2263" s="19" t="n">
        <v>2262</v>
      </c>
      <c r="B2263" s="19" t="inlineStr">
        <is>
          <t>Part IV - Performance Engineering</t>
        </is>
      </c>
      <c r="C2263" s="20" t="inlineStr">
        <is>
          <t>E.4.1 Architecture fundamentals</t>
        </is>
      </c>
      <c r="D2263" s="10" t="inlineStr">
        <is>
          <t>Designing (New) C++ Hardware</t>
        </is>
      </c>
      <c r="E2263" s="10" t="inlineStr">
        <is>
          <t>Olivier Giroux (NVIDIA</t>
        </is>
      </c>
      <c r="F2263" s="11" t="inlineStr">
        <is>
          <t>59:57</t>
        </is>
      </c>
      <c r="G2263" s="11" t="n">
        <v>1</v>
      </c>
      <c r="H2263" s="12" t="inlineStr"/>
      <c r="I2263" s="11" t="inlineStr">
        <is>
          <t>Not started</t>
        </is>
      </c>
      <c r="J2263" s="13" t="n"/>
      <c r="K2263" s="10" t="inlineStr"/>
      <c r="L2263" s="14" t="inlineStr">
        <is>
          <t>▶ watch</t>
        </is>
      </c>
      <c r="M2263" s="10" t="inlineStr"/>
      <c r="N2263" s="11" t="inlineStr"/>
      <c r="O2263" s="11" t="inlineStr">
        <is>
          <t>course lecture - no single paper</t>
        </is>
      </c>
      <c r="P2263" s="10" t="inlineStr"/>
    </row>
    <row r="2264">
      <c r="A2264" s="19" t="n">
        <v>2263</v>
      </c>
      <c r="B2264" s="19" t="inlineStr">
        <is>
          <t>Part IV - Performance Engineering</t>
        </is>
      </c>
      <c r="C2264" s="20" t="inlineStr">
        <is>
          <t>E.4.1 Architecture fundamentals</t>
        </is>
      </c>
      <c r="D2264" s="10" t="inlineStr">
        <is>
          <t>Hardware for Deep Learning (Hot Chips keynote</t>
        </is>
      </c>
      <c r="E2264" s="10" t="inlineStr">
        <is>
          <t>Bill Dally (NVIDIA Chief Scientist</t>
        </is>
      </c>
      <c r="F2264" s="11" t="inlineStr">
        <is>
          <t>1:05:28</t>
        </is>
      </c>
      <c r="G2264" s="11" t="n">
        <v>1.09</v>
      </c>
      <c r="H2264" s="12" t="inlineStr">
        <is>
          <t>★</t>
        </is>
      </c>
      <c r="I2264" s="11" t="inlineStr">
        <is>
          <t>Not started</t>
        </is>
      </c>
      <c r="J2264" s="13" t="n"/>
      <c r="K2264" s="10" t="inlineStr"/>
      <c r="L2264" s="14" t="inlineStr">
        <is>
          <t>▶ watch</t>
        </is>
      </c>
      <c r="M2264" s="10" t="inlineStr"/>
      <c r="N2264" s="11" t="inlineStr"/>
      <c r="O2264" s="11" t="inlineStr">
        <is>
          <t>course lecture - no single paper</t>
        </is>
      </c>
      <c r="P2264" s="10" t="inlineStr">
        <is>
          <t>E.5.4 The codesign argument, and four answers to it</t>
        </is>
      </c>
    </row>
    <row r="2265">
      <c r="A2265" s="19" t="n">
        <v>2264</v>
      </c>
      <c r="B2265" s="19" t="inlineStr">
        <is>
          <t>Part IV - Performance Engineering</t>
        </is>
      </c>
      <c r="C2265" s="20" t="inlineStr">
        <is>
          <t>E.4.1 Architecture fundamentals</t>
        </is>
      </c>
      <c r="D2265" s="10" t="inlineStr">
        <is>
          <t>Trends in Deep Learning Hardware</t>
        </is>
      </c>
      <c r="E2265" s="10" t="inlineStr">
        <is>
          <t>Bill Dally (Berkeley</t>
        </is>
      </c>
      <c r="F2265" s="11" t="inlineStr">
        <is>
          <t>1:13:07</t>
        </is>
      </c>
      <c r="G2265" s="11" t="n">
        <v>1.22</v>
      </c>
      <c r="H2265" s="12" t="inlineStr"/>
      <c r="I2265" s="11" t="inlineStr">
        <is>
          <t>Not started</t>
        </is>
      </c>
      <c r="J2265" s="13" t="n"/>
      <c r="K2265" s="10" t="inlineStr"/>
      <c r="L2265" s="14" t="inlineStr">
        <is>
          <t>▶ watch</t>
        </is>
      </c>
      <c r="M2265" s="10" t="inlineStr"/>
      <c r="N2265" s="11" t="inlineStr"/>
      <c r="O2265" s="11" t="inlineStr">
        <is>
          <t>course lecture - no single paper</t>
        </is>
      </c>
      <c r="P2265" s="10" t="inlineStr"/>
    </row>
    <row r="2266">
      <c r="A2266" s="19" t="n">
        <v>2265</v>
      </c>
      <c r="B2266" s="19" t="inlineStr">
        <is>
          <t>Part IV - Performance Engineering</t>
        </is>
      </c>
      <c r="C2266" s="20" t="inlineStr">
        <is>
          <t>E.4.1 Architecture fundamentals</t>
        </is>
      </c>
      <c r="D2266" s="10" t="inlineStr">
        <is>
          <t>What is the Hardware Lottery? (MLSys #15</t>
        </is>
      </c>
      <c r="E2266" s="10" t="inlineStr">
        <is>
          <t>Sara Hooker (Google Brain</t>
        </is>
      </c>
      <c r="F2266" s="11" t="inlineStr">
        <is>
          <t>1:00:24</t>
        </is>
      </c>
      <c r="G2266" s="11" t="n">
        <v>1.01</v>
      </c>
      <c r="H2266" s="12" t="inlineStr">
        <is>
          <t>★</t>
        </is>
      </c>
      <c r="I2266" s="11" t="inlineStr">
        <is>
          <t>Not started</t>
        </is>
      </c>
      <c r="J2266" s="13" t="n"/>
      <c r="K2266" s="10" t="inlineStr"/>
      <c r="L2266" s="14" t="inlineStr">
        <is>
          <t>▶ watch</t>
        </is>
      </c>
      <c r="M2266" s="10" t="inlineStr"/>
      <c r="N2266" s="11" t="inlineStr"/>
      <c r="O2266" s="11" t="inlineStr">
        <is>
          <t>course lecture - no single paper</t>
        </is>
      </c>
      <c r="P2266" s="10" t="inlineStr"/>
    </row>
    <row r="2267">
      <c r="A2267" s="19" t="n">
        <v>2266</v>
      </c>
      <c r="B2267" s="19" t="inlineStr">
        <is>
          <t>Part IV - Performance Engineering</t>
        </is>
      </c>
      <c r="C2267" s="20" t="inlineStr">
        <is>
          <t>E.4.1 Architecture fundamentals</t>
        </is>
      </c>
      <c r="D2267" s="10" t="inlineStr">
        <is>
          <t>A Performance Engineer's Guide to NVIDIA Blackwell GPUs</t>
        </is>
      </c>
      <c r="E2267" s="10" t="inlineStr">
        <is>
          <t>Chris Sullivan (NVIDIA</t>
        </is>
      </c>
      <c r="F2267" s="11" t="inlineStr">
        <is>
          <t>35:17</t>
        </is>
      </c>
      <c r="G2267" s="11" t="n">
        <v>0.59</v>
      </c>
      <c r="H2267" s="12" t="inlineStr">
        <is>
          <t>★</t>
        </is>
      </c>
      <c r="I2267" s="11" t="inlineStr">
        <is>
          <t>Not started</t>
        </is>
      </c>
      <c r="J2267" s="13" t="n"/>
      <c r="K2267" s="10" t="inlineStr"/>
      <c r="L2267" s="14" t="inlineStr">
        <is>
          <t>▶ watch</t>
        </is>
      </c>
      <c r="M2267" s="10" t="inlineStr"/>
      <c r="N2267" s="11" t="inlineStr"/>
      <c r="O2267" s="11" t="inlineStr">
        <is>
          <t>course lecture - no single paper</t>
        </is>
      </c>
      <c r="P2267" s="10" t="inlineStr">
        <is>
          <t>E.4.4 Triton</t>
        </is>
      </c>
    </row>
    <row r="2268">
      <c r="A2268" s="19" t="n">
        <v>2267</v>
      </c>
      <c r="B2268" s="19" t="inlineStr">
        <is>
          <t>Part IV - Performance Engineering</t>
        </is>
      </c>
      <c r="C2268" s="20" t="inlineStr">
        <is>
          <t>E.4.1 Architecture fundamentals</t>
        </is>
      </c>
      <c r="D2268" s="10" t="inlineStr">
        <is>
          <t>Introduction to GPU Architecture and Programming Models (ATPESC</t>
        </is>
      </c>
      <c r="E2268" s="10" t="inlineStr">
        <is>
          <t>Tim Warburton (Virginia Tech</t>
        </is>
      </c>
      <c r="F2268" s="11" t="inlineStr">
        <is>
          <t>2:14:04</t>
        </is>
      </c>
      <c r="G2268" s="11" t="n">
        <v>2.23</v>
      </c>
      <c r="H2268" s="12" t="inlineStr"/>
      <c r="I2268" s="11" t="inlineStr">
        <is>
          <t>Not started</t>
        </is>
      </c>
      <c r="J2268" s="13" t="n"/>
      <c r="K2268" s="10" t="inlineStr"/>
      <c r="L2268" s="14" t="inlineStr">
        <is>
          <t>▶ watch</t>
        </is>
      </c>
      <c r="M2268" s="10" t="inlineStr"/>
      <c r="N2268" s="11" t="inlineStr"/>
      <c r="O2268" s="11" t="inlineStr">
        <is>
          <t>course lecture - no single paper</t>
        </is>
      </c>
      <c r="P2268" s="10" t="inlineStr"/>
    </row>
    <row r="2269">
      <c r="A2269" s="19" t="n">
        <v>2268</v>
      </c>
      <c r="B2269" s="19" t="inlineStr">
        <is>
          <t>Part IV - Performance Engineering</t>
        </is>
      </c>
      <c r="C2269" s="20" t="inlineStr">
        <is>
          <t>E.4.1 Architecture fundamentals</t>
        </is>
      </c>
      <c r="D2269" s="10" t="inlineStr">
        <is>
          <t>GPU optimization workshop (OpenAI, NVIDIA, PyTorch</t>
        </is>
      </c>
      <c r="E2269" s="10" t="inlineStr">
        <is>
          <t>Saroufim, Chetlur, Tillet</t>
        </is>
      </c>
      <c r="F2269" s="11" t="inlineStr">
        <is>
          <t>2:33:53</t>
        </is>
      </c>
      <c r="G2269" s="11" t="n">
        <v>2.56</v>
      </c>
      <c r="H2269" s="12" t="inlineStr">
        <is>
          <t>★</t>
        </is>
      </c>
      <c r="I2269" s="11" t="inlineStr">
        <is>
          <t>Not started</t>
        </is>
      </c>
      <c r="J2269" s="13" t="n"/>
      <c r="K2269" s="10" t="inlineStr"/>
      <c r="L2269" s="14" t="inlineStr">
        <is>
          <t>▶ watch</t>
        </is>
      </c>
      <c r="M2269" s="10" t="inlineStr"/>
      <c r="N2269" s="11" t="inlineStr"/>
      <c r="O2269" s="11" t="inlineStr">
        <is>
          <t>course lecture - no single paper</t>
        </is>
      </c>
      <c r="P2269" s="10" t="inlineStr"/>
    </row>
    <row r="2270">
      <c r="A2270" s="19" t="n">
        <v>2269</v>
      </c>
      <c r="B2270" s="19" t="inlineStr">
        <is>
          <t>Part IV - Performance Engineering</t>
        </is>
      </c>
      <c r="C2270" s="20" t="inlineStr">
        <is>
          <t>The Stephen Jones sequence - and a caveat about where it lives</t>
        </is>
      </c>
      <c r="D2270" s="10" t="inlineStr">
        <is>
          <t>How GPU Computing Works - latency hiding and arithmetic intensity from first principles</t>
        </is>
      </c>
      <c r="E2270" s="10" t="inlineStr"/>
      <c r="F2270" s="11" t="inlineStr">
        <is>
          <t>39:36</t>
        </is>
      </c>
      <c r="G2270" s="11" t="n">
        <v>0.66</v>
      </c>
      <c r="H2270" s="12" t="inlineStr">
        <is>
          <t>★</t>
        </is>
      </c>
      <c r="I2270" s="11" t="inlineStr">
        <is>
          <t>Not started</t>
        </is>
      </c>
      <c r="J2270" s="13" t="n"/>
      <c r="K2270" s="10" t="inlineStr"/>
      <c r="L2270" s="14" t="inlineStr">
        <is>
          <t>▶ watch</t>
        </is>
      </c>
      <c r="M2270" s="10" t="inlineStr">
        <is>
          <t>Jia et al., Dissecting the NVIDIA Volta GPU Architecture via Microbenchmarking, arXiv:1804.06826 (Turing sequel arXiv:1903.07486) · the Hopper and Blackwell architecture whitepapers</t>
        </is>
      </c>
      <c r="N2270" s="14" t="inlineStr">
        <is>
          <t>read ↗</t>
        </is>
      </c>
      <c r="O2270" s="11" t="inlineStr">
        <is>
          <t>section reading (2 of 3)</t>
        </is>
      </c>
      <c r="P2270" s="10" t="inlineStr"/>
    </row>
    <row r="2271">
      <c r="A2271" s="19" t="n">
        <v>2270</v>
      </c>
      <c r="B2271" s="19" t="inlineStr">
        <is>
          <t>Part IV - Performance Engineering</t>
        </is>
      </c>
      <c r="C2271" s="20" t="inlineStr">
        <is>
          <t>The Stephen Jones sequence - and a caveat about where it lives</t>
        </is>
      </c>
      <c r="D2271" s="10" t="inlineStr">
        <is>
          <t>How CUDA Programming Works - coalescing, occupancy, caches, and why the hardware rewards specific access patterns</t>
        </is>
      </c>
      <c r="E2271" s="10" t="inlineStr"/>
      <c r="F2271" s="11" t="inlineStr">
        <is>
          <t>41:15</t>
        </is>
      </c>
      <c r="G2271" s="11" t="n">
        <v>0.6899999999999999</v>
      </c>
      <c r="H2271" s="12" t="inlineStr">
        <is>
          <t>★</t>
        </is>
      </c>
      <c r="I2271" s="11" t="inlineStr">
        <is>
          <t>Not started</t>
        </is>
      </c>
      <c r="J2271" s="13" t="n"/>
      <c r="K2271" s="10" t="inlineStr"/>
      <c r="L2271" s="14" t="inlineStr">
        <is>
          <t>▶ watch</t>
        </is>
      </c>
      <c r="M2271" s="10" t="inlineStr">
        <is>
          <t>the CUDA C++ Programming Guide memory-model chapter</t>
        </is>
      </c>
      <c r="N2271" s="14" t="inlineStr">
        <is>
          <t>read ↗</t>
        </is>
      </c>
      <c r="O2271" s="11" t="inlineStr">
        <is>
          <t>names CUDA</t>
        </is>
      </c>
      <c r="P2271" s="10" t="inlineStr"/>
    </row>
    <row r="2272">
      <c r="A2272" s="19" t="n">
        <v>2271</v>
      </c>
      <c r="B2272" s="19" t="inlineStr">
        <is>
          <t>Part IV - Performance Engineering</t>
        </is>
      </c>
      <c r="C2272" s="20" t="inlineStr">
        <is>
          <t>The Stephen Jones sequence - and a caveat about where it lives</t>
        </is>
      </c>
      <c r="D2272" s="10" t="inlineStr">
        <is>
          <t>CUDA: New Features and Beyond, GTC 2024 (official NVIDIA upload</t>
        </is>
      </c>
      <c r="E2272" s="10" t="inlineStr"/>
      <c r="F2272" s="11" t="inlineStr">
        <is>
          <t>50:08</t>
        </is>
      </c>
      <c r="G2272" s="11" t="n">
        <v>0.84</v>
      </c>
      <c r="H2272" s="12" t="inlineStr"/>
      <c r="I2272" s="11" t="inlineStr">
        <is>
          <t>Not started</t>
        </is>
      </c>
      <c r="J2272" s="13" t="n"/>
      <c r="K2272" s="10" t="inlineStr"/>
      <c r="L2272" s="14" t="inlineStr">
        <is>
          <t>▶ watch</t>
        </is>
      </c>
      <c r="M2272" s="10" t="inlineStr">
        <is>
          <t>Jia et al., Dissecting the NVIDIA Volta GPU Architecture via Microbenchmarking, arXiv:1804.06826 (Turing sequel arXiv:1903.07486)</t>
        </is>
      </c>
      <c r="N2272" s="14" t="inlineStr">
        <is>
          <t>read ↗</t>
        </is>
      </c>
      <c r="O2272" s="11" t="inlineStr">
        <is>
          <t>names NVIDIA</t>
        </is>
      </c>
      <c r="P2272" s="10" t="inlineStr"/>
    </row>
    <row r="2273">
      <c r="A2273" s="19" t="n">
        <v>2272</v>
      </c>
      <c r="B2273" s="19" t="inlineStr">
        <is>
          <t>Part IV - Performance Engineering</t>
        </is>
      </c>
      <c r="C2273" s="20" t="inlineStr">
        <is>
          <t>The Stephen Jones sequence - and a caveat about where it lives</t>
        </is>
      </c>
      <c r="D2273" s="10" t="inlineStr">
        <is>
          <t>CUDA: New Features and Beyond, GTC 2025 (official</t>
        </is>
      </c>
      <c r="E2273" s="10" t="inlineStr"/>
      <c r="F2273" s="11" t="inlineStr">
        <is>
          <t>44:04</t>
        </is>
      </c>
      <c r="G2273" s="11" t="n">
        <v>0.73</v>
      </c>
      <c r="H2273" s="12" t="inlineStr"/>
      <c r="I2273" s="11" t="inlineStr">
        <is>
          <t>Not started</t>
        </is>
      </c>
      <c r="J2273" s="13" t="n"/>
      <c r="K2273" s="10" t="inlineStr"/>
      <c r="L2273" s="14" t="inlineStr">
        <is>
          <t>▶ watch</t>
        </is>
      </c>
      <c r="M2273" s="10" t="inlineStr">
        <is>
          <t>the CUDA C++ Programming Guide memory-model chapter</t>
        </is>
      </c>
      <c r="N2273" s="14" t="inlineStr">
        <is>
          <t>read ↗</t>
        </is>
      </c>
      <c r="O2273" s="11" t="inlineStr">
        <is>
          <t>names CUDA</t>
        </is>
      </c>
      <c r="P2273" s="10" t="inlineStr"/>
    </row>
    <row r="2274">
      <c r="A2274" s="19" t="n">
        <v>2273</v>
      </c>
      <c r="B2274" s="19" t="inlineStr">
        <is>
          <t>Part IV - Performance Engineering</t>
        </is>
      </c>
      <c r="C2274" s="20" t="inlineStr">
        <is>
          <t>The Stephen Jones sequence - and a caveat about where it lives</t>
        </is>
      </c>
      <c r="D2274" s="10" t="inlineStr">
        <is>
          <t>CUDA: New Features and Beyond, GTC 2026 (official, most current</t>
        </is>
      </c>
      <c r="E2274" s="10" t="inlineStr"/>
      <c r="F2274" s="11" t="inlineStr">
        <is>
          <t>44:27</t>
        </is>
      </c>
      <c r="G2274" s="11" t="n">
        <v>0.74</v>
      </c>
      <c r="H2274" s="12" t="inlineStr"/>
      <c r="I2274" s="11" t="inlineStr">
        <is>
          <t>Not started</t>
        </is>
      </c>
      <c r="J2274" s="13" t="n"/>
      <c r="K2274" s="10" t="inlineStr"/>
      <c r="L2274" s="14" t="inlineStr">
        <is>
          <t>▶ watch</t>
        </is>
      </c>
      <c r="M2274" s="10" t="inlineStr">
        <is>
          <t>the CUDA C++ Programming Guide memory-model chapter</t>
        </is>
      </c>
      <c r="N2274" s="14" t="inlineStr">
        <is>
          <t>read ↗</t>
        </is>
      </c>
      <c r="O2274" s="11" t="inlineStr">
        <is>
          <t>names CUDA</t>
        </is>
      </c>
      <c r="P2274" s="10" t="inlineStr"/>
    </row>
    <row r="2275">
      <c r="A2275" s="19" t="n">
        <v>2274</v>
      </c>
      <c r="B2275" s="19" t="inlineStr">
        <is>
          <t>Part IV - Performance Engineering</t>
        </is>
      </c>
      <c r="C2275" s="20" t="inlineStr">
        <is>
          <t>The Stephen Jones sequence - and a caveat about where it lives</t>
        </is>
      </c>
      <c r="D2275" s="10" t="inlineStr">
        <is>
          <t>Interview with CUDA Architect Stephen Jones - CUDA's design history</t>
        </is>
      </c>
      <c r="E2275" s="10" t="inlineStr"/>
      <c r="F2275" s="11" t="inlineStr">
        <is>
          <t>1:01:50</t>
        </is>
      </c>
      <c r="G2275" s="11" t="n">
        <v>1.03</v>
      </c>
      <c r="H2275" s="12" t="inlineStr"/>
      <c r="I2275" s="11" t="inlineStr">
        <is>
          <t>Not started</t>
        </is>
      </c>
      <c r="J2275" s="13" t="n"/>
      <c r="K2275" s="10" t="inlineStr"/>
      <c r="L2275" s="14" t="inlineStr">
        <is>
          <t>▶ watch</t>
        </is>
      </c>
      <c r="M2275" s="10" t="inlineStr">
        <is>
          <t>the CUDA C++ Programming Guide memory-model chapter</t>
        </is>
      </c>
      <c r="N2275" s="14" t="inlineStr">
        <is>
          <t>read ↗</t>
        </is>
      </c>
      <c r="O2275" s="11" t="inlineStr">
        <is>
          <t>names CUDA</t>
        </is>
      </c>
      <c r="P2275" s="10" t="inlineStr"/>
    </row>
    <row r="2276">
      <c r="A2276" s="19" t="n">
        <v>2275</v>
      </c>
      <c r="B2276" s="19" t="inlineStr">
        <is>
          <t>Part IV - Performance Engineering</t>
        </is>
      </c>
      <c r="C2276" s="20" t="inlineStr">
        <is>
          <t>The Stephen Jones sequence - and a caveat about where it lives</t>
        </is>
      </c>
      <c r="D2276" s="10" t="inlineStr">
        <is>
          <t>(see curriculum section)</t>
        </is>
      </c>
      <c r="E2276" s="10" t="inlineStr"/>
      <c r="F2276" s="11" t="inlineStr"/>
      <c r="G2276" s="11" t="n">
        <v>0</v>
      </c>
      <c r="H2276" s="12" t="inlineStr"/>
      <c r="I2276" s="11" t="inlineStr">
        <is>
          <t>Not started</t>
        </is>
      </c>
      <c r="J2276" s="13" t="n"/>
      <c r="K2276" s="10" t="inlineStr"/>
      <c r="L2276" s="14" t="inlineStr">
        <is>
          <t>▶ watch</t>
        </is>
      </c>
      <c r="M2276" s="10" t="inlineStr">
        <is>
          <t>Jia et al., Dissecting the NVIDIA Volta GPU Architecture via Microbenchmarking, arXiv:1804.06826 (Turing sequel arXiv:1903.07486) · the Hopper and Blackwell architecture whitepapers</t>
        </is>
      </c>
      <c r="N2276" s="14" t="inlineStr">
        <is>
          <t>read ↗</t>
        </is>
      </c>
      <c r="O2276" s="11" t="inlineStr">
        <is>
          <t>section reading (2 of 3)</t>
        </is>
      </c>
      <c r="P2276" s="10" t="inlineStr"/>
    </row>
    <row r="2277">
      <c r="A2277" s="19" t="n">
        <v>2276</v>
      </c>
      <c r="B2277" s="19" t="inlineStr">
        <is>
          <t>Part IV - Performance Engineering</t>
        </is>
      </c>
      <c r="C2277" s="20" t="inlineStr">
        <is>
          <t>The Stephen Jones sequence - and a caveat about where it lives</t>
        </is>
      </c>
      <c r="D2277" s="10" t="inlineStr">
        <is>
          <t>Asynchrony and CUDA Streams</t>
        </is>
      </c>
      <c r="E2277" s="10" t="inlineStr"/>
      <c r="F2277" s="11" t="inlineStr">
        <is>
          <t>47:43</t>
        </is>
      </c>
      <c r="G2277" s="11" t="n">
        <v>0.8</v>
      </c>
      <c r="H2277" s="12" t="inlineStr"/>
      <c r="I2277" s="11" t="inlineStr">
        <is>
          <t>Not started</t>
        </is>
      </c>
      <c r="J2277" s="13" t="n"/>
      <c r="K2277" s="10" t="inlineStr"/>
      <c r="L2277" s="14" t="inlineStr">
        <is>
          <t>▶ watch</t>
        </is>
      </c>
      <c r="M2277" s="10" t="inlineStr">
        <is>
          <t>the CUDA C++ Programming Guide memory-model chapter</t>
        </is>
      </c>
      <c r="N2277" s="14" t="inlineStr">
        <is>
          <t>read ↗</t>
        </is>
      </c>
      <c r="O2277" s="11" t="inlineStr">
        <is>
          <t>names CUDA</t>
        </is>
      </c>
      <c r="P2277" s="10" t="inlineStr"/>
    </row>
    <row r="2278">
      <c r="A2278" s="19" t="n">
        <v>2277</v>
      </c>
      <c r="B2278" s="19" t="inlineStr">
        <is>
          <t>Part IV - Performance Engineering</t>
        </is>
      </c>
      <c r="C2278" s="20" t="inlineStr">
        <is>
          <t>The Stephen Jones sequence - and a caveat about where it lives</t>
        </is>
      </c>
      <c r="D2278" s="10" t="inlineStr">
        <is>
          <t>Implementing New Algorithms with CUDA Kernels</t>
        </is>
      </c>
      <c r="E2278" s="10" t="inlineStr"/>
      <c r="F2278" s="11" t="inlineStr">
        <is>
          <t>47:43</t>
        </is>
      </c>
      <c r="G2278" s="11" t="n">
        <v>0.8</v>
      </c>
      <c r="H2278" s="12" t="inlineStr"/>
      <c r="I2278" s="11" t="inlineStr">
        <is>
          <t>Not started</t>
        </is>
      </c>
      <c r="J2278" s="13" t="n"/>
      <c r="K2278" s="10" t="inlineStr"/>
      <c r="L2278" s="14" t="inlineStr">
        <is>
          <t>▶ watch</t>
        </is>
      </c>
      <c r="M2278" s="10" t="inlineStr">
        <is>
          <t>the CUDA C++ Programming Guide memory-model chapter</t>
        </is>
      </c>
      <c r="N2278" s="14" t="inlineStr">
        <is>
          <t>read ↗</t>
        </is>
      </c>
      <c r="O2278" s="11" t="inlineStr">
        <is>
          <t>names CUDA</t>
        </is>
      </c>
      <c r="P2278" s="10" t="inlineStr"/>
    </row>
    <row r="2279">
      <c r="A2279" s="19" t="n">
        <v>2278</v>
      </c>
      <c r="B2279" s="19" t="inlineStr">
        <is>
          <t>Part IV - Performance Engineering</t>
        </is>
      </c>
      <c r="C2279" s="20" t="inlineStr">
        <is>
          <t>E.4.2 Programming Massively Parallel Processors - the complete course</t>
        </is>
      </c>
      <c r="D2279" s="10" t="inlineStr">
        <is>
          <t>Introduction</t>
        </is>
      </c>
      <c r="E2279" s="10" t="inlineStr"/>
      <c r="F2279" s="11" t="inlineStr">
        <is>
          <t>42:34</t>
        </is>
      </c>
      <c r="G2279" s="11" t="n">
        <v>0.71</v>
      </c>
      <c r="H2279" s="12" t="inlineStr"/>
      <c r="I2279" s="11" t="inlineStr">
        <is>
          <t>Not started</t>
        </is>
      </c>
      <c r="J2279" s="13" t="n"/>
      <c r="K2279" s="10" t="inlineStr"/>
      <c r="L2279" s="14" t="inlineStr">
        <is>
          <t>▶ watch</t>
        </is>
      </c>
      <c r="M2279" s="10" t="inlineStr">
        <is>
          <t>Jia et al., Dissecting the NVIDIA Volta GPU Architecture via Microbenchmarking, arXiv:1804.06826 (Turing sequel arXiv:1903.07486) · the Hopper and Blackwell architecture whitepapers</t>
        </is>
      </c>
      <c r="N2279" s="14" t="inlineStr">
        <is>
          <t>read ↗</t>
        </is>
      </c>
      <c r="O2279" s="11" t="inlineStr">
        <is>
          <t>reading for The Stephen Jones sequence - and a cavea</t>
        </is>
      </c>
      <c r="P2279" s="10" t="inlineStr"/>
    </row>
    <row r="2280">
      <c r="A2280" s="19" t="n">
        <v>2279</v>
      </c>
      <c r="B2280" s="19" t="inlineStr">
        <is>
          <t>Part IV - Performance Engineering</t>
        </is>
      </c>
      <c r="C2280" s="20" t="inlineStr">
        <is>
          <t>E.4.2 Programming Massively Parallel Processors - the complete course</t>
        </is>
      </c>
      <c r="D2280" s="10" t="inlineStr">
        <is>
          <t>Data Parallel Programming</t>
        </is>
      </c>
      <c r="E2280" s="10" t="inlineStr"/>
      <c r="F2280" s="11" t="inlineStr">
        <is>
          <t>1:19:18</t>
        </is>
      </c>
      <c r="G2280" s="11" t="n">
        <v>1.32</v>
      </c>
      <c r="H2280" s="12" t="inlineStr"/>
      <c r="I2280" s="11" t="inlineStr">
        <is>
          <t>Not started</t>
        </is>
      </c>
      <c r="J2280" s="13" t="n"/>
      <c r="K2280" s="10" t="inlineStr"/>
      <c r="L2280" s="14" t="inlineStr">
        <is>
          <t>▶ watch</t>
        </is>
      </c>
      <c r="M2280" s="10" t="inlineStr">
        <is>
          <t>Jia et al., Dissecting the NVIDIA Volta GPU Architecture via Microbenchmarking, arXiv:1804.06826 (Turing sequel arXiv:1903.07486) · the Hopper and Blackwell architecture whitepapers</t>
        </is>
      </c>
      <c r="N2280" s="14" t="inlineStr">
        <is>
          <t>read ↗</t>
        </is>
      </c>
      <c r="O2280" s="11" t="inlineStr">
        <is>
          <t>reading for The Stephen Jones sequence - and a cavea</t>
        </is>
      </c>
      <c r="P2280" s="10" t="inlineStr"/>
    </row>
    <row r="2281">
      <c r="A2281" s="19" t="n">
        <v>2280</v>
      </c>
      <c r="B2281" s="19" t="inlineStr">
        <is>
          <t>Part IV - Performance Engineering</t>
        </is>
      </c>
      <c r="C2281" s="20" t="inlineStr">
        <is>
          <t>E.4.2 Programming Massively Parallel Processors - the complete course</t>
        </is>
      </c>
      <c r="D2281" s="10" t="inlineStr">
        <is>
          <t>Multidimensional Grids and Data</t>
        </is>
      </c>
      <c r="E2281" s="10" t="inlineStr"/>
      <c r="F2281" s="11" t="inlineStr">
        <is>
          <t>1:11:09</t>
        </is>
      </c>
      <c r="G2281" s="11" t="n">
        <v>1.19</v>
      </c>
      <c r="H2281" s="12" t="inlineStr"/>
      <c r="I2281" s="11" t="inlineStr">
        <is>
          <t>Not started</t>
        </is>
      </c>
      <c r="J2281" s="13" t="n"/>
      <c r="K2281" s="10" t="inlineStr"/>
      <c r="L2281" s="14" t="inlineStr">
        <is>
          <t>▶ watch</t>
        </is>
      </c>
      <c r="M2281" s="10" t="inlineStr">
        <is>
          <t>Jia et al., Dissecting the NVIDIA Volta GPU Architecture via Microbenchmarking, arXiv:1804.06826 (Turing sequel arXiv:1903.07486) · the Hopper and Blackwell architecture whitepapers</t>
        </is>
      </c>
      <c r="N2281" s="14" t="inlineStr">
        <is>
          <t>read ↗</t>
        </is>
      </c>
      <c r="O2281" s="11" t="inlineStr">
        <is>
          <t>reading for The Stephen Jones sequence - and a cavea</t>
        </is>
      </c>
      <c r="P2281" s="10" t="inlineStr"/>
    </row>
    <row r="2282">
      <c r="A2282" s="19" t="n">
        <v>2281</v>
      </c>
      <c r="B2282" s="19" t="inlineStr">
        <is>
          <t>Part IV - Performance Engineering</t>
        </is>
      </c>
      <c r="C2282" s="20" t="inlineStr">
        <is>
          <t>E.4.2 Programming Massively Parallel Processors - the complete course</t>
        </is>
      </c>
      <c r="D2282" s="10" t="inlineStr">
        <is>
          <t>GPU Architecture</t>
        </is>
      </c>
      <c r="E2282" s="10" t="inlineStr"/>
      <c r="F2282" s="11" t="inlineStr">
        <is>
          <t>1:23:57</t>
        </is>
      </c>
      <c r="G2282" s="11" t="n">
        <v>1.4</v>
      </c>
      <c r="H2282" s="12" t="inlineStr">
        <is>
          <t>★</t>
        </is>
      </c>
      <c r="I2282" s="11" t="inlineStr">
        <is>
          <t>Not started</t>
        </is>
      </c>
      <c r="J2282" s="13" t="n"/>
      <c r="K2282" s="10" t="inlineStr"/>
      <c r="L2282" s="14" t="inlineStr">
        <is>
          <t>▶ watch</t>
        </is>
      </c>
      <c r="M2282" s="10" t="inlineStr">
        <is>
          <t>Jia et al., Dissecting the NVIDIA Volta GPU Architecture via Microbenchmarking, arXiv:1804.06826 (Turing sequel arXiv:1903.07486) · the Hopper and Blackwell architecture whitepapers</t>
        </is>
      </c>
      <c r="N2282" s="14" t="inlineStr">
        <is>
          <t>read ↗</t>
        </is>
      </c>
      <c r="O2282" s="11" t="inlineStr">
        <is>
          <t>reading for The Stephen Jones sequence - and a cavea</t>
        </is>
      </c>
      <c r="P2282" s="10" t="inlineStr"/>
    </row>
    <row r="2283">
      <c r="A2283" s="19" t="n">
        <v>2282</v>
      </c>
      <c r="B2283" s="19" t="inlineStr">
        <is>
          <t>Part IV - Performance Engineering</t>
        </is>
      </c>
      <c r="C2283" s="20" t="inlineStr">
        <is>
          <t>E.4.2 Programming Massively Parallel Processors - the complete course</t>
        </is>
      </c>
      <c r="D2283" s="10" t="inlineStr">
        <is>
          <t>Memory and Tiling</t>
        </is>
      </c>
      <c r="E2283" s="10" t="inlineStr"/>
      <c r="F2283" s="11" t="inlineStr">
        <is>
          <t>1:24:26</t>
        </is>
      </c>
      <c r="G2283" s="11" t="n">
        <v>1.41</v>
      </c>
      <c r="H2283" s="12" t="inlineStr">
        <is>
          <t>★</t>
        </is>
      </c>
      <c r="I2283" s="11" t="inlineStr">
        <is>
          <t>Not started</t>
        </is>
      </c>
      <c r="J2283" s="13" t="n"/>
      <c r="K2283" s="10" t="inlineStr"/>
      <c r="L2283" s="14" t="inlineStr">
        <is>
          <t>▶ watch</t>
        </is>
      </c>
      <c r="M2283" s="10" t="inlineStr">
        <is>
          <t>Jia et al., Dissecting the NVIDIA Volta GPU Architecture via Microbenchmarking, arXiv:1804.06826 (Turing sequel arXiv:1903.07486) · the Hopper and Blackwell architecture whitepapers</t>
        </is>
      </c>
      <c r="N2283" s="14" t="inlineStr">
        <is>
          <t>read ↗</t>
        </is>
      </c>
      <c r="O2283" s="11" t="inlineStr">
        <is>
          <t>reading for The Stephen Jones sequence - and a cavea</t>
        </is>
      </c>
      <c r="P2283" s="10" t="inlineStr"/>
    </row>
    <row r="2284">
      <c r="A2284" s="19" t="n">
        <v>2283</v>
      </c>
      <c r="B2284" s="19" t="inlineStr">
        <is>
          <t>Part IV - Performance Engineering</t>
        </is>
      </c>
      <c r="C2284" s="20" t="inlineStr">
        <is>
          <t>E.4.2 Programming Massively Parallel Processors - the complete course</t>
        </is>
      </c>
      <c r="D2284" s="10" t="inlineStr">
        <is>
          <t>Performance Considerations</t>
        </is>
      </c>
      <c r="E2284" s="10" t="inlineStr"/>
      <c r="F2284" s="11" t="inlineStr">
        <is>
          <t>1:08:05</t>
        </is>
      </c>
      <c r="G2284" s="11" t="n">
        <v>1.13</v>
      </c>
      <c r="H2284" s="12" t="inlineStr">
        <is>
          <t>★</t>
        </is>
      </c>
      <c r="I2284" s="11" t="inlineStr">
        <is>
          <t>Not started</t>
        </is>
      </c>
      <c r="J2284" s="13" t="n"/>
      <c r="K2284" s="10" t="inlineStr"/>
      <c r="L2284" s="14" t="inlineStr">
        <is>
          <t>▶ watch</t>
        </is>
      </c>
      <c r="M2284" s="10" t="inlineStr">
        <is>
          <t>Jia et al., Dissecting the NVIDIA Volta GPU Architecture via Microbenchmarking, arXiv:1804.06826 (Turing sequel arXiv:1903.07486) · the Hopper and Blackwell architecture whitepapers</t>
        </is>
      </c>
      <c r="N2284" s="14" t="inlineStr">
        <is>
          <t>read ↗</t>
        </is>
      </c>
      <c r="O2284" s="11" t="inlineStr">
        <is>
          <t>reading for The Stephen Jones sequence - and a cavea</t>
        </is>
      </c>
      <c r="P2284" s="10" t="inlineStr"/>
    </row>
    <row r="2285">
      <c r="A2285" s="19" t="n">
        <v>2284</v>
      </c>
      <c r="B2285" s="19" t="inlineStr">
        <is>
          <t>Part IV - Performance Engineering</t>
        </is>
      </c>
      <c r="C2285" s="20" t="inlineStr">
        <is>
          <t>E.4.2 Programming Massively Parallel Processors - the complete course</t>
        </is>
      </c>
      <c r="D2285" s="10" t="inlineStr">
        <is>
          <t>Profiling</t>
        </is>
      </c>
      <c r="E2285" s="10" t="inlineStr"/>
      <c r="F2285" s="11" t="inlineStr">
        <is>
          <t>1:00:59</t>
        </is>
      </c>
      <c r="G2285" s="11" t="n">
        <v>1.02</v>
      </c>
      <c r="H2285" s="12" t="inlineStr">
        <is>
          <t>★</t>
        </is>
      </c>
      <c r="I2285" s="11" t="inlineStr">
        <is>
          <t>Not started</t>
        </is>
      </c>
      <c r="J2285" s="13" t="n"/>
      <c r="K2285" s="10" t="inlineStr"/>
      <c r="L2285" s="14" t="inlineStr">
        <is>
          <t>▶ watch</t>
        </is>
      </c>
      <c r="M2285" s="10" t="inlineStr">
        <is>
          <t>Jia et al., Dissecting the NVIDIA Volta GPU Architecture via Microbenchmarking, arXiv:1804.06826 (Turing sequel arXiv:1903.07486) · the Hopper and Blackwell architecture whitepapers</t>
        </is>
      </c>
      <c r="N2285" s="14" t="inlineStr">
        <is>
          <t>read ↗</t>
        </is>
      </c>
      <c r="O2285" s="11" t="inlineStr">
        <is>
          <t>reading for The Stephen Jones sequence - and a cavea</t>
        </is>
      </c>
      <c r="P2285" s="10" t="inlineStr"/>
    </row>
    <row r="2286">
      <c r="A2286" s="19" t="n">
        <v>2285</v>
      </c>
      <c r="B2286" s="19" t="inlineStr">
        <is>
          <t>Part IV - Performance Engineering</t>
        </is>
      </c>
      <c r="C2286" s="20" t="inlineStr">
        <is>
          <t>E.4.2 Programming Massively Parallel Processors - the complete course</t>
        </is>
      </c>
      <c r="D2286" s="10" t="inlineStr">
        <is>
          <t>Convolution</t>
        </is>
      </c>
      <c r="E2286" s="10" t="inlineStr"/>
      <c r="F2286" s="11" t="inlineStr">
        <is>
          <t>1:06:06</t>
        </is>
      </c>
      <c r="G2286" s="11" t="n">
        <v>1.1</v>
      </c>
      <c r="H2286" s="12" t="inlineStr"/>
      <c r="I2286" s="11" t="inlineStr">
        <is>
          <t>Not started</t>
        </is>
      </c>
      <c r="J2286" s="13" t="n"/>
      <c r="K2286" s="10" t="inlineStr"/>
      <c r="L2286" s="14" t="inlineStr">
        <is>
          <t>▶ watch</t>
        </is>
      </c>
      <c r="M2286" s="10" t="inlineStr">
        <is>
          <t>Jia et al., Dissecting the NVIDIA Volta GPU Architecture via Microbenchmarking, arXiv:1804.06826 (Turing sequel arXiv:1903.07486) · the Hopper and Blackwell architecture whitepapers</t>
        </is>
      </c>
      <c r="N2286" s="14" t="inlineStr">
        <is>
          <t>read ↗</t>
        </is>
      </c>
      <c r="O2286" s="11" t="inlineStr">
        <is>
          <t>reading for The Stephen Jones sequence - and a cavea</t>
        </is>
      </c>
      <c r="P2286" s="10" t="inlineStr"/>
    </row>
    <row r="2287">
      <c r="A2287" s="19" t="n">
        <v>2286</v>
      </c>
      <c r="B2287" s="19" t="inlineStr">
        <is>
          <t>Part IV - Performance Engineering</t>
        </is>
      </c>
      <c r="C2287" s="20" t="inlineStr">
        <is>
          <t>E.4.2 Programming Massively Parallel Processors - the complete course</t>
        </is>
      </c>
      <c r="D2287" s="10" t="inlineStr">
        <is>
          <t>Stencil</t>
        </is>
      </c>
      <c r="E2287" s="10" t="inlineStr"/>
      <c r="F2287" s="11" t="inlineStr">
        <is>
          <t>1:23:20</t>
        </is>
      </c>
      <c r="G2287" s="11" t="n">
        <v>1.39</v>
      </c>
      <c r="H2287" s="12" t="inlineStr"/>
      <c r="I2287" s="11" t="inlineStr">
        <is>
          <t>Not started</t>
        </is>
      </c>
      <c r="J2287" s="13" t="n"/>
      <c r="K2287" s="10" t="inlineStr"/>
      <c r="L2287" s="14" t="inlineStr">
        <is>
          <t>▶ watch</t>
        </is>
      </c>
      <c r="M2287" s="10" t="inlineStr">
        <is>
          <t>Jia et al., Dissecting the NVIDIA Volta GPU Architecture via Microbenchmarking, arXiv:1804.06826 (Turing sequel arXiv:1903.07486) · the Hopper and Blackwell architecture whitepapers</t>
        </is>
      </c>
      <c r="N2287" s="14" t="inlineStr">
        <is>
          <t>read ↗</t>
        </is>
      </c>
      <c r="O2287" s="11" t="inlineStr">
        <is>
          <t>reading for The Stephen Jones sequence - and a cavea</t>
        </is>
      </c>
      <c r="P2287" s="10" t="inlineStr"/>
    </row>
    <row r="2288">
      <c r="A2288" s="19" t="n">
        <v>2287</v>
      </c>
      <c r="B2288" s="19" t="inlineStr">
        <is>
          <t>Part IV - Performance Engineering</t>
        </is>
      </c>
      <c r="C2288" s="20" t="inlineStr">
        <is>
          <t>E.4.2 Programming Massively Parallel Processors - the complete course</t>
        </is>
      </c>
      <c r="D2288" s="10" t="inlineStr">
        <is>
          <t>Reduction</t>
        </is>
      </c>
      <c r="E2288" s="10" t="inlineStr"/>
      <c r="F2288" s="11" t="inlineStr">
        <is>
          <t>1:21:26</t>
        </is>
      </c>
      <c r="G2288" s="11" t="n">
        <v>1.36</v>
      </c>
      <c r="H2288" s="12" t="inlineStr"/>
      <c r="I2288" s="11" t="inlineStr">
        <is>
          <t>Not started</t>
        </is>
      </c>
      <c r="J2288" s="13" t="n"/>
      <c r="K2288" s="10" t="inlineStr"/>
      <c r="L2288" s="14" t="inlineStr">
        <is>
          <t>▶ watch</t>
        </is>
      </c>
      <c r="M2288" s="10" t="inlineStr">
        <is>
          <t>Jia et al., Dissecting the NVIDIA Volta GPU Architecture via Microbenchmarking, arXiv:1804.06826 (Turing sequel arXiv:1903.07486) · the Hopper and Blackwell architecture whitepapers</t>
        </is>
      </c>
      <c r="N2288" s="14" t="inlineStr">
        <is>
          <t>read ↗</t>
        </is>
      </c>
      <c r="O2288" s="11" t="inlineStr">
        <is>
          <t>reading for The Stephen Jones sequence - and a cavea</t>
        </is>
      </c>
      <c r="P2288" s="10" t="inlineStr"/>
    </row>
    <row r="2289">
      <c r="A2289" s="19" t="n">
        <v>2288</v>
      </c>
      <c r="B2289" s="19" t="inlineStr">
        <is>
          <t>Part IV - Performance Engineering</t>
        </is>
      </c>
      <c r="C2289" s="20" t="inlineStr">
        <is>
          <t>E.4.2 Programming Massively Parallel Processors - the complete course</t>
        </is>
      </c>
      <c r="D2289" s="10" t="inlineStr">
        <is>
          <t>Scan (Kogge-Stone</t>
        </is>
      </c>
      <c r="E2289" s="10" t="inlineStr"/>
      <c r="F2289" s="11" t="inlineStr">
        <is>
          <t>1:12:15</t>
        </is>
      </c>
      <c r="G2289" s="11" t="n">
        <v>1.2</v>
      </c>
      <c r="H2289" s="12" t="inlineStr"/>
      <c r="I2289" s="11" t="inlineStr">
        <is>
          <t>Not started</t>
        </is>
      </c>
      <c r="J2289" s="13" t="n"/>
      <c r="K2289" s="10" t="inlineStr"/>
      <c r="L2289" s="14" t="inlineStr">
        <is>
          <t>▶ watch</t>
        </is>
      </c>
      <c r="M2289" s="10" t="inlineStr">
        <is>
          <t>Jia et al., Dissecting the NVIDIA Volta GPU Architecture via Microbenchmarking, arXiv:1804.06826 (Turing sequel arXiv:1903.07486) · the Hopper and Blackwell architecture whitepapers</t>
        </is>
      </c>
      <c r="N2289" s="14" t="inlineStr">
        <is>
          <t>read ↗</t>
        </is>
      </c>
      <c r="O2289" s="11" t="inlineStr">
        <is>
          <t>reading for The Stephen Jones sequence - and a cavea</t>
        </is>
      </c>
      <c r="P2289" s="10" t="inlineStr"/>
    </row>
    <row r="2290">
      <c r="A2290" s="19" t="n">
        <v>2289</v>
      </c>
      <c r="B2290" s="19" t="inlineStr">
        <is>
          <t>Part IV - Performance Engineering</t>
        </is>
      </c>
      <c r="C2290" s="20" t="inlineStr">
        <is>
          <t>E.4.2 Programming Massively Parallel Processors - the complete course</t>
        </is>
      </c>
      <c r="D2290" s="10" t="inlineStr">
        <is>
          <t>Scan (Brent-Kung</t>
        </is>
      </c>
      <c r="E2290" s="10" t="inlineStr"/>
      <c r="F2290" s="11" t="inlineStr">
        <is>
          <t>1:26:07</t>
        </is>
      </c>
      <c r="G2290" s="11" t="n">
        <v>1.44</v>
      </c>
      <c r="H2290" s="12" t="inlineStr"/>
      <c r="I2290" s="11" t="inlineStr">
        <is>
          <t>Not started</t>
        </is>
      </c>
      <c r="J2290" s="13" t="n"/>
      <c r="K2290" s="10" t="inlineStr"/>
      <c r="L2290" s="14" t="inlineStr">
        <is>
          <t>▶ watch</t>
        </is>
      </c>
      <c r="M2290" s="10" t="inlineStr">
        <is>
          <t>Jia et al., Dissecting the NVIDIA Volta GPU Architecture via Microbenchmarking, arXiv:1804.06826 (Turing sequel arXiv:1903.07486) · the Hopper and Blackwell architecture whitepapers</t>
        </is>
      </c>
      <c r="N2290" s="14" t="inlineStr">
        <is>
          <t>read ↗</t>
        </is>
      </c>
      <c r="O2290" s="11" t="inlineStr">
        <is>
          <t>reading for The Stephen Jones sequence - and a cavea</t>
        </is>
      </c>
      <c r="P2290" s="10" t="inlineStr"/>
    </row>
    <row r="2291">
      <c r="A2291" s="19" t="n">
        <v>2290</v>
      </c>
      <c r="B2291" s="19" t="inlineStr">
        <is>
          <t>Part IV - Performance Engineering</t>
        </is>
      </c>
      <c r="C2291" s="20" t="inlineStr">
        <is>
          <t>E.4.2 Programming Massively Parallel Processors - the complete course</t>
        </is>
      </c>
      <c r="D2291" s="10" t="inlineStr">
        <is>
          <t>Histogram</t>
        </is>
      </c>
      <c r="E2291" s="10" t="inlineStr"/>
      <c r="F2291" s="11" t="inlineStr">
        <is>
          <t>1:06:00</t>
        </is>
      </c>
      <c r="G2291" s="11" t="n">
        <v>1.1</v>
      </c>
      <c r="H2291" s="12" t="inlineStr"/>
      <c r="I2291" s="11" t="inlineStr">
        <is>
          <t>Not started</t>
        </is>
      </c>
      <c r="J2291" s="13" t="n"/>
      <c r="K2291" s="10" t="inlineStr"/>
      <c r="L2291" s="14" t="inlineStr">
        <is>
          <t>▶ watch</t>
        </is>
      </c>
      <c r="M2291" s="10" t="inlineStr">
        <is>
          <t>Jia et al., Dissecting the NVIDIA Volta GPU Architecture via Microbenchmarking, arXiv:1804.06826 (Turing sequel arXiv:1903.07486) · the Hopper and Blackwell architecture whitepapers</t>
        </is>
      </c>
      <c r="N2291" s="14" t="inlineStr">
        <is>
          <t>read ↗</t>
        </is>
      </c>
      <c r="O2291" s="11" t="inlineStr">
        <is>
          <t>reading for The Stephen Jones sequence - and a cavea</t>
        </is>
      </c>
      <c r="P2291" s="10" t="inlineStr"/>
    </row>
    <row r="2292">
      <c r="A2292" s="19" t="n">
        <v>2291</v>
      </c>
      <c r="B2292" s="19" t="inlineStr">
        <is>
          <t>Part IV - Performance Engineering</t>
        </is>
      </c>
      <c r="C2292" s="20" t="inlineStr">
        <is>
          <t>E.4.2 Programming Massively Parallel Processors - the complete course</t>
        </is>
      </c>
      <c r="D2292" s="10" t="inlineStr">
        <is>
          <t>Merge</t>
        </is>
      </c>
      <c r="E2292" s="10" t="inlineStr"/>
      <c r="F2292" s="11" t="inlineStr">
        <is>
          <t>1:08:36</t>
        </is>
      </c>
      <c r="G2292" s="11" t="n">
        <v>1.14</v>
      </c>
      <c r="H2292" s="12" t="inlineStr"/>
      <c r="I2292" s="11" t="inlineStr">
        <is>
          <t>Not started</t>
        </is>
      </c>
      <c r="J2292" s="13" t="n"/>
      <c r="K2292" s="10" t="inlineStr"/>
      <c r="L2292" s="14" t="inlineStr">
        <is>
          <t>▶ watch</t>
        </is>
      </c>
      <c r="M2292" s="10" t="inlineStr">
        <is>
          <t>Jia et al., Dissecting the NVIDIA Volta GPU Architecture via Microbenchmarking, arXiv:1804.06826 (Turing sequel arXiv:1903.07486) · the Hopper and Blackwell architecture whitepapers</t>
        </is>
      </c>
      <c r="N2292" s="14" t="inlineStr">
        <is>
          <t>read ↗</t>
        </is>
      </c>
      <c r="O2292" s="11" t="inlineStr">
        <is>
          <t>reading for The Stephen Jones sequence - and a cavea</t>
        </is>
      </c>
      <c r="P2292" s="10" t="inlineStr"/>
    </row>
    <row r="2293">
      <c r="A2293" s="19" t="n">
        <v>2292</v>
      </c>
      <c r="B2293" s="19" t="inlineStr">
        <is>
          <t>Part IV - Performance Engineering</t>
        </is>
      </c>
      <c r="C2293" s="20" t="inlineStr">
        <is>
          <t>E.4.2 Programming Massively Parallel Processors - the complete course</t>
        </is>
      </c>
      <c r="D2293" s="10" t="inlineStr">
        <is>
          <t>Sort</t>
        </is>
      </c>
      <c r="E2293" s="10" t="inlineStr"/>
      <c r="F2293" s="11" t="inlineStr">
        <is>
          <t>1:15:39</t>
        </is>
      </c>
      <c r="G2293" s="11" t="n">
        <v>1.26</v>
      </c>
      <c r="H2293" s="12" t="inlineStr"/>
      <c r="I2293" s="11" t="inlineStr">
        <is>
          <t>Not started</t>
        </is>
      </c>
      <c r="J2293" s="13" t="n"/>
      <c r="K2293" s="10" t="inlineStr"/>
      <c r="L2293" s="14" t="inlineStr">
        <is>
          <t>▶ watch</t>
        </is>
      </c>
      <c r="M2293" s="10" t="inlineStr">
        <is>
          <t>Jia et al., Dissecting the NVIDIA Volta GPU Architecture via Microbenchmarking, arXiv:1804.06826 (Turing sequel arXiv:1903.07486) · the Hopper and Blackwell architecture whitepapers</t>
        </is>
      </c>
      <c r="N2293" s="14" t="inlineStr">
        <is>
          <t>read ↗</t>
        </is>
      </c>
      <c r="O2293" s="11" t="inlineStr">
        <is>
          <t>reading for The Stephen Jones sequence - and a cavea</t>
        </is>
      </c>
      <c r="P2293" s="10" t="inlineStr"/>
    </row>
    <row r="2294">
      <c r="A2294" s="19" t="n">
        <v>2293</v>
      </c>
      <c r="B2294" s="19" t="inlineStr">
        <is>
          <t>Part IV - Performance Engineering</t>
        </is>
      </c>
      <c r="C2294" s="20" t="inlineStr">
        <is>
          <t>E.4.2 Programming Massively Parallel Processors - the complete course</t>
        </is>
      </c>
      <c r="D2294" s="10" t="inlineStr">
        <is>
          <t>Sparse Matrix Computation (COO, CSR</t>
        </is>
      </c>
      <c r="E2294" s="10" t="inlineStr"/>
      <c r="F2294" s="11" t="inlineStr">
        <is>
          <t>1:03:21</t>
        </is>
      </c>
      <c r="G2294" s="11" t="n">
        <v>1.06</v>
      </c>
      <c r="H2294" s="12" t="inlineStr"/>
      <c r="I2294" s="11" t="inlineStr">
        <is>
          <t>Not started</t>
        </is>
      </c>
      <c r="J2294" s="13" t="n"/>
      <c r="K2294" s="10" t="inlineStr"/>
      <c r="L2294" s="14" t="inlineStr">
        <is>
          <t>▶ watch</t>
        </is>
      </c>
      <c r="M2294" s="10" t="inlineStr">
        <is>
          <t>Jia et al., Dissecting the NVIDIA Volta GPU Architecture via Microbenchmarking, arXiv:1804.06826 (Turing sequel arXiv:1903.07486) · the Hopper and Blackwell architecture whitepapers</t>
        </is>
      </c>
      <c r="N2294" s="14" t="inlineStr">
        <is>
          <t>read ↗</t>
        </is>
      </c>
      <c r="O2294" s="11" t="inlineStr">
        <is>
          <t>reading for The Stephen Jones sequence - and a cavea</t>
        </is>
      </c>
      <c r="P2294" s="10" t="inlineStr"/>
    </row>
    <row r="2295">
      <c r="A2295" s="19" t="n">
        <v>2294</v>
      </c>
      <c r="B2295" s="19" t="inlineStr">
        <is>
          <t>Part IV - Performance Engineering</t>
        </is>
      </c>
      <c r="C2295" s="20" t="inlineStr">
        <is>
          <t>E.4.2 Programming Massively Parallel Processors - the complete course</t>
        </is>
      </c>
      <c r="D2295" s="10" t="inlineStr">
        <is>
          <t>Sparse Matrix Computation (ELL, JDS</t>
        </is>
      </c>
      <c r="E2295" s="10" t="inlineStr"/>
      <c r="F2295" s="11" t="inlineStr">
        <is>
          <t>1:07:28</t>
        </is>
      </c>
      <c r="G2295" s="11" t="n">
        <v>1.12</v>
      </c>
      <c r="H2295" s="12" t="inlineStr"/>
      <c r="I2295" s="11" t="inlineStr">
        <is>
          <t>Not started</t>
        </is>
      </c>
      <c r="J2295" s="13" t="n"/>
      <c r="K2295" s="10" t="inlineStr"/>
      <c r="L2295" s="14" t="inlineStr">
        <is>
          <t>▶ watch</t>
        </is>
      </c>
      <c r="M2295" s="10" t="inlineStr">
        <is>
          <t>Jia et al., Dissecting the NVIDIA Volta GPU Architecture via Microbenchmarking, arXiv:1804.06826 (Turing sequel arXiv:1903.07486) · the Hopper and Blackwell architecture whitepapers</t>
        </is>
      </c>
      <c r="N2295" s="14" t="inlineStr">
        <is>
          <t>read ↗</t>
        </is>
      </c>
      <c r="O2295" s="11" t="inlineStr">
        <is>
          <t>reading for The Stephen Jones sequence - and a cavea</t>
        </is>
      </c>
      <c r="P2295" s="10" t="inlineStr"/>
    </row>
    <row r="2296">
      <c r="A2296" s="19" t="n">
        <v>2295</v>
      </c>
      <c r="B2296" s="19" t="inlineStr">
        <is>
          <t>Part IV - Performance Engineering</t>
        </is>
      </c>
      <c r="C2296" s="20" t="inlineStr">
        <is>
          <t>E.4.2 Programming Massively Parallel Processors - the complete course</t>
        </is>
      </c>
      <c r="D2296" s="10" t="inlineStr">
        <is>
          <t>Graph Processing</t>
        </is>
      </c>
      <c r="E2296" s="10" t="inlineStr"/>
      <c r="F2296" s="11" t="inlineStr">
        <is>
          <t>1:14:12</t>
        </is>
      </c>
      <c r="G2296" s="11" t="n">
        <v>1.24</v>
      </c>
      <c r="H2296" s="12" t="inlineStr"/>
      <c r="I2296" s="11" t="inlineStr">
        <is>
          <t>Not started</t>
        </is>
      </c>
      <c r="J2296" s="13" t="n"/>
      <c r="K2296" s="10" t="inlineStr"/>
      <c r="L2296" s="14" t="inlineStr">
        <is>
          <t>▶ watch</t>
        </is>
      </c>
      <c r="M2296" s="10" t="inlineStr">
        <is>
          <t>Jia et al., Dissecting the NVIDIA Volta GPU Architecture via Microbenchmarking, arXiv:1804.06826 (Turing sequel arXiv:1903.07486) · the Hopper and Blackwell architecture whitepapers</t>
        </is>
      </c>
      <c r="N2296" s="14" t="inlineStr">
        <is>
          <t>read ↗</t>
        </is>
      </c>
      <c r="O2296" s="11" t="inlineStr">
        <is>
          <t>reading for The Stephen Jones sequence - and a cavea</t>
        </is>
      </c>
      <c r="P2296" s="10" t="inlineStr"/>
    </row>
    <row r="2297">
      <c r="A2297" s="19" t="n">
        <v>2296</v>
      </c>
      <c r="B2297" s="19" t="inlineStr">
        <is>
          <t>Part IV - Performance Engineering</t>
        </is>
      </c>
      <c r="C2297" s="20" t="inlineStr">
        <is>
          <t>E.4.2 Programming Massively Parallel Processors - the complete course</t>
        </is>
      </c>
      <c r="D2297" s="10" t="inlineStr">
        <is>
          <t>Graph Processing, Part 2</t>
        </is>
      </c>
      <c r="E2297" s="10" t="inlineStr"/>
      <c r="F2297" s="11" t="inlineStr">
        <is>
          <t>1:11:39</t>
        </is>
      </c>
      <c r="G2297" s="11" t="n">
        <v>1.19</v>
      </c>
      <c r="H2297" s="12" t="inlineStr"/>
      <c r="I2297" s="11" t="inlineStr">
        <is>
          <t>Not started</t>
        </is>
      </c>
      <c r="J2297" s="13" t="n"/>
      <c r="K2297" s="10" t="inlineStr"/>
      <c r="L2297" s="14" t="inlineStr">
        <is>
          <t>▶ watch</t>
        </is>
      </c>
      <c r="M2297" s="10" t="inlineStr">
        <is>
          <t>Jia et al., Dissecting the NVIDIA Volta GPU Architecture via Microbenchmarking, arXiv:1804.06826 (Turing sequel arXiv:1903.07486) · the Hopper and Blackwell architecture whitepapers</t>
        </is>
      </c>
      <c r="N2297" s="14" t="inlineStr">
        <is>
          <t>read ↗</t>
        </is>
      </c>
      <c r="O2297" s="11" t="inlineStr">
        <is>
          <t>reading for The Stephen Jones sequence - and a cavea</t>
        </is>
      </c>
      <c r="P2297" s="10" t="inlineStr"/>
    </row>
    <row r="2298">
      <c r="A2298" s="19" t="n">
        <v>2297</v>
      </c>
      <c r="B2298" s="19" t="inlineStr">
        <is>
          <t>Part IV - Performance Engineering</t>
        </is>
      </c>
      <c r="C2298" s="20" t="inlineStr">
        <is>
          <t>E.4.2 Programming Massively Parallel Processors - the complete course</t>
        </is>
      </c>
      <c r="D2298" s="10" t="inlineStr">
        <is>
          <t>Intra-Warp Synchronization</t>
        </is>
      </c>
      <c r="E2298" s="10" t="inlineStr"/>
      <c r="F2298" s="11" t="inlineStr">
        <is>
          <t>1:04:26</t>
        </is>
      </c>
      <c r="G2298" s="11" t="n">
        <v>1.07</v>
      </c>
      <c r="H2298" s="12" t="inlineStr">
        <is>
          <t>★</t>
        </is>
      </c>
      <c r="I2298" s="11" t="inlineStr">
        <is>
          <t>Not started</t>
        </is>
      </c>
      <c r="J2298" s="13" t="n"/>
      <c r="K2298" s="10" t="inlineStr"/>
      <c r="L2298" s="14" t="inlineStr">
        <is>
          <t>▶ watch</t>
        </is>
      </c>
      <c r="M2298" s="10" t="inlineStr">
        <is>
          <t>Jia et al., Dissecting the NVIDIA Volta GPU Architecture via Microbenchmarking, arXiv:1804.06826 (Turing sequel arXiv:1903.07486) · the Hopper and Blackwell architecture whitepapers</t>
        </is>
      </c>
      <c r="N2298" s="14" t="inlineStr">
        <is>
          <t>read ↗</t>
        </is>
      </c>
      <c r="O2298" s="11" t="inlineStr">
        <is>
          <t>reading for The Stephen Jones sequence - and a cavea</t>
        </is>
      </c>
      <c r="P2298" s="10" t="inlineStr"/>
    </row>
    <row r="2299">
      <c r="A2299" s="19" t="n">
        <v>2298</v>
      </c>
      <c r="B2299" s="19" t="inlineStr">
        <is>
          <t>Part IV - Performance Engineering</t>
        </is>
      </c>
      <c r="C2299" s="20" t="inlineStr">
        <is>
          <t>E.4.2 Programming Massively Parallel Processors - the complete course</t>
        </is>
      </c>
      <c r="D2299" s="10" t="inlineStr">
        <is>
          <t>Pinned Memory and Streams</t>
        </is>
      </c>
      <c r="E2299" s="10" t="inlineStr"/>
      <c r="F2299" s="11" t="inlineStr">
        <is>
          <t>1:12:12</t>
        </is>
      </c>
      <c r="G2299" s="11" t="n">
        <v>1.2</v>
      </c>
      <c r="H2299" s="12" t="inlineStr"/>
      <c r="I2299" s="11" t="inlineStr">
        <is>
          <t>Not started</t>
        </is>
      </c>
      <c r="J2299" s="13" t="n"/>
      <c r="K2299" s="10" t="inlineStr"/>
      <c r="L2299" s="14" t="inlineStr">
        <is>
          <t>▶ watch</t>
        </is>
      </c>
      <c r="M2299" s="10" t="inlineStr">
        <is>
          <t>Jia et al., Dissecting the NVIDIA Volta GPU Architecture via Microbenchmarking, arXiv:1804.06826 (Turing sequel arXiv:1903.07486) · the Hopper and Blackwell architecture whitepapers</t>
        </is>
      </c>
      <c r="N2299" s="14" t="inlineStr">
        <is>
          <t>read ↗</t>
        </is>
      </c>
      <c r="O2299" s="11" t="inlineStr">
        <is>
          <t>reading for The Stephen Jones sequence - and a cavea</t>
        </is>
      </c>
      <c r="P2299" s="10" t="inlineStr"/>
    </row>
    <row r="2300">
      <c r="A2300" s="19" t="n">
        <v>2299</v>
      </c>
      <c r="B2300" s="19" t="inlineStr">
        <is>
          <t>Part IV - Performance Engineering</t>
        </is>
      </c>
      <c r="C2300" s="20" t="inlineStr">
        <is>
          <t>E.4.2 Programming Massively Parallel Processors - the complete course</t>
        </is>
      </c>
      <c r="D2300" s="10" t="inlineStr">
        <is>
          <t>Dynamic Parallelism</t>
        </is>
      </c>
      <c r="E2300" s="10" t="inlineStr"/>
      <c r="F2300" s="11" t="inlineStr">
        <is>
          <t>1:01:48</t>
        </is>
      </c>
      <c r="G2300" s="11" t="n">
        <v>1.03</v>
      </c>
      <c r="H2300" s="12" t="inlineStr"/>
      <c r="I2300" s="11" t="inlineStr">
        <is>
          <t>Not started</t>
        </is>
      </c>
      <c r="J2300" s="13" t="n"/>
      <c r="K2300" s="10" t="inlineStr"/>
      <c r="L2300" s="14" t="inlineStr">
        <is>
          <t>▶ watch</t>
        </is>
      </c>
      <c r="M2300" s="10" t="inlineStr">
        <is>
          <t>Jia et al., Dissecting the NVIDIA Volta GPU Architecture via Microbenchmarking, arXiv:1804.06826 (Turing sequel arXiv:1903.07486) · the Hopper and Blackwell architecture whitepapers</t>
        </is>
      </c>
      <c r="N2300" s="14" t="inlineStr">
        <is>
          <t>read ↗</t>
        </is>
      </c>
      <c r="O2300" s="11" t="inlineStr">
        <is>
          <t>reading for The Stephen Jones sequence - and a cavea</t>
        </is>
      </c>
      <c r="P2300" s="10" t="inlineStr"/>
    </row>
    <row r="2301">
      <c r="A2301" s="19" t="n">
        <v>2300</v>
      </c>
      <c r="B2301" s="19" t="inlineStr">
        <is>
          <t>Part IV - Performance Engineering</t>
        </is>
      </c>
      <c r="C2301" s="20" t="inlineStr">
        <is>
          <t>E.4.2 Programming Massively Parallel Processors - the complete course</t>
        </is>
      </c>
      <c r="D2301" s="10" t="inlineStr">
        <is>
          <t>Potpourri</t>
        </is>
      </c>
      <c r="E2301" s="10" t="inlineStr"/>
      <c r="F2301" s="11" t="inlineStr">
        <is>
          <t>50:11</t>
        </is>
      </c>
      <c r="G2301" s="11" t="n">
        <v>0.84</v>
      </c>
      <c r="H2301" s="12" t="inlineStr"/>
      <c r="I2301" s="11" t="inlineStr">
        <is>
          <t>Not started</t>
        </is>
      </c>
      <c r="J2301" s="13" t="n"/>
      <c r="K2301" s="10" t="inlineStr"/>
      <c r="L2301" s="14" t="inlineStr">
        <is>
          <t>▶ watch</t>
        </is>
      </c>
      <c r="M2301" s="10" t="inlineStr">
        <is>
          <t>Jia et al., Dissecting the NVIDIA Volta GPU Architecture via Microbenchmarking, arXiv:1804.06826 (Turing sequel arXiv:1903.07486) · the Hopper and Blackwell architecture whitepapers</t>
        </is>
      </c>
      <c r="N2301" s="14" t="inlineStr">
        <is>
          <t>read ↗</t>
        </is>
      </c>
      <c r="O2301" s="11" t="inlineStr">
        <is>
          <t>reading for The Stephen Jones sequence - and a cavea</t>
        </is>
      </c>
      <c r="P2301" s="10" t="inlineStr"/>
    </row>
    <row r="2302">
      <c r="A2302" s="19" t="n">
        <v>2301</v>
      </c>
      <c r="B2302" s="19" t="inlineStr">
        <is>
          <t>Part IV - Performance Engineering</t>
        </is>
      </c>
      <c r="C2302" s="20" t="inlineStr">
        <is>
          <t>E.4.2 Programming Massively Parallel Processors - the complete course</t>
        </is>
      </c>
      <c r="D2302" s="10" t="inlineStr">
        <is>
          <t>Advanced Optimizations for Matrix Multiplication (2026</t>
        </is>
      </c>
      <c r="E2302" s="10" t="inlineStr"/>
      <c r="F2302" s="11" t="inlineStr">
        <is>
          <t>1:23:11</t>
        </is>
      </c>
      <c r="G2302" s="11" t="n">
        <v>1.39</v>
      </c>
      <c r="H2302" s="12" t="inlineStr">
        <is>
          <t>★</t>
        </is>
      </c>
      <c r="I2302" s="11" t="inlineStr">
        <is>
          <t>Not started</t>
        </is>
      </c>
      <c r="J2302" s="13" t="n"/>
      <c r="K2302" s="10" t="inlineStr"/>
      <c r="L2302" s="14" t="inlineStr">
        <is>
          <t>▶ watch</t>
        </is>
      </c>
      <c r="M2302" s="10" t="inlineStr">
        <is>
          <t>Jia et al., Dissecting the NVIDIA Volta GPU Architecture via Microbenchmarking, arXiv:1804.06826 (Turing sequel arXiv:1903.07486) · the Hopper and Blackwell architecture whitepapers</t>
        </is>
      </c>
      <c r="N2302" s="14" t="inlineStr">
        <is>
          <t>read ↗</t>
        </is>
      </c>
      <c r="O2302" s="11" t="inlineStr">
        <is>
          <t>reading for The Stephen Jones sequence - and a cavea</t>
        </is>
      </c>
      <c r="P2302" s="10" t="inlineStr"/>
    </row>
    <row r="2303">
      <c r="A2303" s="19" t="n">
        <v>2302</v>
      </c>
      <c r="B2303" s="19" t="inlineStr">
        <is>
          <t>Part IV - Performance Engineering</t>
        </is>
      </c>
      <c r="C2303" s="20" t="inlineStr">
        <is>
          <t>E.4.2 Programming Massively Parallel Processors - the complete course</t>
        </is>
      </c>
      <c r="D2303" s="10" t="inlineStr">
        <is>
          <t>L1 Introduction</t>
        </is>
      </c>
      <c r="E2303" s="10" t="inlineStr"/>
      <c r="F2303" s="11" t="inlineStr"/>
      <c r="G2303" s="11" t="n">
        <v>0</v>
      </c>
      <c r="H2303" s="12" t="inlineStr"/>
      <c r="I2303" s="11" t="inlineStr">
        <is>
          <t>Not started</t>
        </is>
      </c>
      <c r="J2303" s="13" t="n"/>
      <c r="K2303" s="10" t="inlineStr"/>
      <c r="L2303" s="14" t="inlineStr">
        <is>
          <t>▶ watch</t>
        </is>
      </c>
      <c r="M2303" s="10" t="inlineStr">
        <is>
          <t>Jia et al., Dissecting the NVIDIA Volta GPU Architecture via Microbenchmarking, arXiv:1804.06826 (Turing sequel arXiv:1903.07486) · the Hopper and Blackwell architecture whitepapers</t>
        </is>
      </c>
      <c r="N2303" s="14" t="inlineStr">
        <is>
          <t>read ↗</t>
        </is>
      </c>
      <c r="O2303" s="11" t="inlineStr">
        <is>
          <t>reading for The Stephen Jones sequence - and a cavea</t>
        </is>
      </c>
      <c r="P2303" s="10" t="inlineStr"/>
    </row>
    <row r="2304">
      <c r="A2304" s="19" t="n">
        <v>2303</v>
      </c>
      <c r="B2304" s="19" t="inlineStr">
        <is>
          <t>Part IV - Performance Engineering</t>
        </is>
      </c>
      <c r="C2304" s="20" t="inlineStr">
        <is>
          <t>E.4.2 Programming Massively Parallel Processors - the complete course</t>
        </is>
      </c>
      <c r="D2304" s="10" t="inlineStr">
        <is>
          <t>L2 Scatter-to-Gather</t>
        </is>
      </c>
      <c r="E2304" s="10" t="inlineStr"/>
      <c r="F2304" s="11" t="inlineStr"/>
      <c r="G2304" s="11" t="n">
        <v>0</v>
      </c>
      <c r="H2304" s="12" t="inlineStr"/>
      <c r="I2304" s="11" t="inlineStr">
        <is>
          <t>Not started</t>
        </is>
      </c>
      <c r="J2304" s="13" t="n"/>
      <c r="K2304" s="10" t="inlineStr"/>
      <c r="L2304" s="14" t="inlineStr">
        <is>
          <t>▶ watch</t>
        </is>
      </c>
      <c r="M2304" s="10" t="inlineStr">
        <is>
          <t>Jia et al., Dissecting the NVIDIA Volta GPU Architecture via Microbenchmarking, arXiv:1804.06826 (Turing sequel arXiv:1903.07486) · the Hopper and Blackwell architecture whitepapers</t>
        </is>
      </c>
      <c r="N2304" s="14" t="inlineStr">
        <is>
          <t>read ↗</t>
        </is>
      </c>
      <c r="O2304" s="11" t="inlineStr">
        <is>
          <t>reading for The Stephen Jones sequence - and a cavea</t>
        </is>
      </c>
      <c r="P2304" s="10" t="inlineStr"/>
    </row>
    <row r="2305">
      <c r="A2305" s="19" t="n">
        <v>2304</v>
      </c>
      <c r="B2305" s="19" t="inlineStr">
        <is>
          <t>Part IV - Performance Engineering</t>
        </is>
      </c>
      <c r="C2305" s="20" t="inlineStr">
        <is>
          <t>E.4.2 Programming Massively Parallel Processors - the complete course</t>
        </is>
      </c>
      <c r="D2305" s="10" t="inlineStr">
        <is>
          <t>L3 Thread Coarsening and Register Tiling</t>
        </is>
      </c>
      <c r="E2305" s="10" t="inlineStr"/>
      <c r="F2305" s="11" t="inlineStr"/>
      <c r="G2305" s="11" t="n">
        <v>0</v>
      </c>
      <c r="H2305" s="12" t="inlineStr">
        <is>
          <t>★</t>
        </is>
      </c>
      <c r="I2305" s="11" t="inlineStr">
        <is>
          <t>Not started</t>
        </is>
      </c>
      <c r="J2305" s="13" t="n"/>
      <c r="K2305" s="10" t="inlineStr"/>
      <c r="L2305" s="14" t="inlineStr">
        <is>
          <t>▶ watch</t>
        </is>
      </c>
      <c r="M2305" s="10" t="inlineStr">
        <is>
          <t>Jia et al., Dissecting the NVIDIA Volta GPU Architecture via Microbenchmarking, arXiv:1804.06826 (Turing sequel arXiv:1903.07486) · the Hopper and Blackwell architecture whitepapers</t>
        </is>
      </c>
      <c r="N2305" s="14" t="inlineStr">
        <is>
          <t>read ↗</t>
        </is>
      </c>
      <c r="O2305" s="11" t="inlineStr">
        <is>
          <t>reading for The Stephen Jones sequence - and a cavea</t>
        </is>
      </c>
      <c r="P2305" s="10" t="inlineStr"/>
    </row>
    <row r="2306">
      <c r="A2306" s="19" t="n">
        <v>2305</v>
      </c>
      <c r="B2306" s="19" t="inlineStr">
        <is>
          <t>Part IV - Performance Engineering</t>
        </is>
      </c>
      <c r="C2306" s="20" t="inlineStr">
        <is>
          <t>E.4.2 Programming Massively Parallel Processors - the complete course</t>
        </is>
      </c>
      <c r="D2306" s="10" t="inlineStr">
        <is>
          <t>L3 Thread Coarsening and Register Tiling</t>
        </is>
      </c>
      <c r="E2306" s="10" t="inlineStr"/>
      <c r="F2306" s="11" t="inlineStr"/>
      <c r="G2306" s="11" t="n">
        <v>0</v>
      </c>
      <c r="H2306" s="12" t="inlineStr">
        <is>
          <t>★</t>
        </is>
      </c>
      <c r="I2306" s="11" t="inlineStr">
        <is>
          <t>Not started</t>
        </is>
      </c>
      <c r="J2306" s="13" t="n"/>
      <c r="K2306" s="10" t="inlineStr"/>
      <c r="L2306" s="14" t="inlineStr">
        <is>
          <t>▶ watch</t>
        </is>
      </c>
      <c r="M2306" s="10" t="inlineStr">
        <is>
          <t>Jia et al., Dissecting the NVIDIA Volta GPU Architecture via Microbenchmarking, arXiv:1804.06826 (Turing sequel arXiv:1903.07486) · the Hopper and Blackwell architecture whitepapers</t>
        </is>
      </c>
      <c r="N2306" s="14" t="inlineStr">
        <is>
          <t>read ↗</t>
        </is>
      </c>
      <c r="O2306" s="11" t="inlineStr">
        <is>
          <t>reading for The Stephen Jones sequence - and a cavea</t>
        </is>
      </c>
      <c r="P2306" s="10" t="inlineStr"/>
    </row>
    <row r="2307">
      <c r="A2307" s="19" t="n">
        <v>2306</v>
      </c>
      <c r="B2307" s="19" t="inlineStr">
        <is>
          <t>Part IV - Performance Engineering</t>
        </is>
      </c>
      <c r="C2307" s="20" t="inlineStr">
        <is>
          <t>E.4.2 Programming Massively Parallel Processors - the complete course</t>
        </is>
      </c>
      <c r="D2307" s="10" t="inlineStr">
        <is>
          <t>L3 Thread Coarsening and Register Tiling</t>
        </is>
      </c>
      <c r="E2307" s="10" t="inlineStr"/>
      <c r="F2307" s="11" t="inlineStr"/>
      <c r="G2307" s="11" t="n">
        <v>0</v>
      </c>
      <c r="H2307" s="12" t="inlineStr">
        <is>
          <t>★</t>
        </is>
      </c>
      <c r="I2307" s="11" t="inlineStr">
        <is>
          <t>Not started</t>
        </is>
      </c>
      <c r="J2307" s="13" t="n"/>
      <c r="K2307" s="10" t="inlineStr"/>
      <c r="L2307" s="14" t="inlineStr">
        <is>
          <t>▶ watch</t>
        </is>
      </c>
      <c r="M2307" s="10" t="inlineStr">
        <is>
          <t>Jia et al., Dissecting the NVIDIA Volta GPU Architecture via Microbenchmarking, arXiv:1804.06826 (Turing sequel arXiv:1903.07486) · the Hopper and Blackwell architecture whitepapers</t>
        </is>
      </c>
      <c r="N2307" s="14" t="inlineStr">
        <is>
          <t>read ↗</t>
        </is>
      </c>
      <c r="O2307" s="11" t="inlineStr">
        <is>
          <t>reading for The Stephen Jones sequence - and a cavea</t>
        </is>
      </c>
      <c r="P2307" s="10" t="inlineStr"/>
    </row>
    <row r="2308">
      <c r="A2308" s="19" t="n">
        <v>2307</v>
      </c>
      <c r="B2308" s="19" t="inlineStr">
        <is>
          <t>Part IV - Performance Engineering</t>
        </is>
      </c>
      <c r="C2308" s="20" t="inlineStr">
        <is>
          <t>E.4.2 Programming Massively Parallel Processors - the complete course</t>
        </is>
      </c>
      <c r="D2308" s="10" t="inlineStr">
        <is>
          <t>L3 Thread Coarsening and Register Tiling</t>
        </is>
      </c>
      <c r="E2308" s="10" t="inlineStr"/>
      <c r="F2308" s="11" t="inlineStr"/>
      <c r="G2308" s="11" t="n">
        <v>0</v>
      </c>
      <c r="H2308" s="12" t="inlineStr"/>
      <c r="I2308" s="11" t="inlineStr">
        <is>
          <t>Not started</t>
        </is>
      </c>
      <c r="J2308" s="13" t="n"/>
      <c r="K2308" s="10" t="inlineStr"/>
      <c r="L2308" s="14" t="inlineStr">
        <is>
          <t>▶ watch</t>
        </is>
      </c>
      <c r="M2308" s="10" t="inlineStr">
        <is>
          <t>Jia et al., Dissecting the NVIDIA Volta GPU Architecture via Microbenchmarking, arXiv:1804.06826 (Turing sequel arXiv:1903.07486) · the Hopper and Blackwell architecture whitepapers</t>
        </is>
      </c>
      <c r="N2308" s="14" t="inlineStr">
        <is>
          <t>read ↗</t>
        </is>
      </c>
      <c r="O2308" s="11" t="inlineStr">
        <is>
          <t>reading for The Stephen Jones sequence - and a cavea</t>
        </is>
      </c>
      <c r="P2308" s="10" t="inlineStr"/>
    </row>
    <row r="2309">
      <c r="A2309" s="19" t="n">
        <v>2308</v>
      </c>
      <c r="B2309" s="19" t="inlineStr">
        <is>
          <t>Part IV - Performance Engineering</t>
        </is>
      </c>
      <c r="C2309" s="20" t="inlineStr">
        <is>
          <t>E.4.2 Programming Massively Parallel Processors - the complete course</t>
        </is>
      </c>
      <c r="D2309" s="10" t="inlineStr">
        <is>
          <t>L3 Thread Coarsening and Register Tiling</t>
        </is>
      </c>
      <c r="E2309" s="10" t="inlineStr"/>
      <c r="F2309" s="11" t="inlineStr"/>
      <c r="G2309" s="11" t="n">
        <v>0</v>
      </c>
      <c r="H2309" s="12" t="inlineStr"/>
      <c r="I2309" s="11" t="inlineStr">
        <is>
          <t>Not started</t>
        </is>
      </c>
      <c r="J2309" s="13" t="n"/>
      <c r="K2309" s="10" t="inlineStr"/>
      <c r="L2309" s="14" t="inlineStr">
        <is>
          <t>▶ watch</t>
        </is>
      </c>
      <c r="M2309" s="10" t="inlineStr">
        <is>
          <t>Jia et al., Dissecting the NVIDIA Volta GPU Architecture via Microbenchmarking, arXiv:1804.06826 (Turing sequel arXiv:1903.07486) · the Hopper and Blackwell architecture whitepapers</t>
        </is>
      </c>
      <c r="N2309" s="14" t="inlineStr">
        <is>
          <t>read ↗</t>
        </is>
      </c>
      <c r="O2309" s="11" t="inlineStr">
        <is>
          <t>reading for The Stephen Jones sequence - and a cavea</t>
        </is>
      </c>
      <c r="P2309" s="10" t="inlineStr"/>
    </row>
    <row r="2310">
      <c r="A2310" s="19" t="n">
        <v>2309</v>
      </c>
      <c r="B2310" s="19" t="inlineStr">
        <is>
          <t>Part IV - Performance Engineering</t>
        </is>
      </c>
      <c r="C2310" s="20" t="inlineStr">
        <is>
          <t>E.4.3 GPU MODE - 116 lectures, enumerated</t>
        </is>
      </c>
      <c r="D2310" s="10" t="inlineStr">
        <is>
          <t>How to profile CUDA kernels in PyTorch</t>
        </is>
      </c>
      <c r="E2310" s="10" t="inlineStr">
        <is>
          <t>Mark Saroufim</t>
        </is>
      </c>
      <c r="F2310" s="11" t="inlineStr">
        <is>
          <t>56:13</t>
        </is>
      </c>
      <c r="G2310" s="11" t="n">
        <v>0.9399999999999999</v>
      </c>
      <c r="H2310" s="12" t="inlineStr">
        <is>
          <t>★</t>
        </is>
      </c>
      <c r="I2310" s="11" t="inlineStr">
        <is>
          <t>Not started</t>
        </is>
      </c>
      <c r="J2310" s="13" t="n"/>
      <c r="K2310" s="10" t="inlineStr"/>
      <c r="L2310" s="14" t="inlineStr">
        <is>
          <t>▶ watch</t>
        </is>
      </c>
      <c r="M2310" s="10" t="inlineStr">
        <is>
          <t>the CUDA C++ Programming Guide memory-model chapter</t>
        </is>
      </c>
      <c r="N2310" s="14" t="inlineStr">
        <is>
          <t>read ↗</t>
        </is>
      </c>
      <c r="O2310" s="11" t="inlineStr">
        <is>
          <t>names CUDA</t>
        </is>
      </c>
      <c r="P2310" s="10" t="inlineStr"/>
    </row>
    <row r="2311">
      <c r="A2311" s="19" t="n">
        <v>2310</v>
      </c>
      <c r="B2311" s="19" t="inlineStr">
        <is>
          <t>Part IV - Performance Engineering</t>
        </is>
      </c>
      <c r="C2311" s="20" t="inlineStr">
        <is>
          <t>E.4.3 GPU MODE - 116 lectures, enumerated</t>
        </is>
      </c>
      <c r="D2311" s="10" t="inlineStr">
        <is>
          <t>Recap Ch. 1–3, PMPP book</t>
        </is>
      </c>
      <c r="E2311" s="10" t="inlineStr">
        <is>
          <t>Andreas Köpf</t>
        </is>
      </c>
      <c r="F2311" s="11" t="inlineStr">
        <is>
          <t>52:26</t>
        </is>
      </c>
      <c r="G2311" s="11" t="n">
        <v>0.87</v>
      </c>
      <c r="H2311" s="12" t="inlineStr">
        <is>
          <t>★</t>
        </is>
      </c>
      <c r="I2311" s="11" t="inlineStr">
        <is>
          <t>Not started</t>
        </is>
      </c>
      <c r="J2311" s="13" t="n"/>
      <c r="K2311" s="10" t="inlineStr"/>
      <c r="L2311" s="14" t="inlineStr">
        <is>
          <t>▶ watch</t>
        </is>
      </c>
      <c r="M2311" s="10" t="inlineStr">
        <is>
          <t>Jia et al., Dissecting the NVIDIA Volta GPU Architecture via Microbenchmarking, arXiv:1804.06826 (Turing sequel arXiv:1903.07486) · the Hopper and Blackwell architecture whitepapers</t>
        </is>
      </c>
      <c r="N2311" s="14" t="inlineStr">
        <is>
          <t>read ↗</t>
        </is>
      </c>
      <c r="O2311" s="11" t="inlineStr">
        <is>
          <t>reading for The Stephen Jones sequence - and a cavea</t>
        </is>
      </c>
      <c r="P2311" s="10" t="inlineStr"/>
    </row>
    <row r="2312">
      <c r="A2312" s="19" t="n">
        <v>2311</v>
      </c>
      <c r="B2312" s="19" t="inlineStr">
        <is>
          <t>Part IV - Performance Engineering</t>
        </is>
      </c>
      <c r="C2312" s="20" t="inlineStr">
        <is>
          <t>E.4.3 GPU MODE - 116 lectures, enumerated</t>
        </is>
      </c>
      <c r="D2312" s="10" t="inlineStr">
        <is>
          <t>Getting Started With CUDA for Python Programmers</t>
        </is>
      </c>
      <c r="E2312" s="10" t="inlineStr">
        <is>
          <t>Jeremy Howard</t>
        </is>
      </c>
      <c r="F2312" s="11" t="inlineStr">
        <is>
          <t>1:17:56</t>
        </is>
      </c>
      <c r="G2312" s="11" t="n">
        <v>1.3</v>
      </c>
      <c r="H2312" s="12" t="inlineStr">
        <is>
          <t>★</t>
        </is>
      </c>
      <c r="I2312" s="11" t="inlineStr">
        <is>
          <t>Not started</t>
        </is>
      </c>
      <c r="J2312" s="13" t="n"/>
      <c r="K2312" s="10" t="inlineStr"/>
      <c r="L2312" s="14" t="inlineStr">
        <is>
          <t>▶ watch</t>
        </is>
      </c>
      <c r="M2312" s="10" t="inlineStr">
        <is>
          <t>the CUDA C++ Programming Guide memory-model chapter</t>
        </is>
      </c>
      <c r="N2312" s="14" t="inlineStr">
        <is>
          <t>read ↗</t>
        </is>
      </c>
      <c r="O2312" s="11" t="inlineStr">
        <is>
          <t>names CUDA</t>
        </is>
      </c>
      <c r="P2312" s="10" t="inlineStr"/>
    </row>
    <row r="2313">
      <c r="A2313" s="19" t="n">
        <v>2312</v>
      </c>
      <c r="B2313" s="19" t="inlineStr">
        <is>
          <t>Part IV - Performance Engineering</t>
        </is>
      </c>
      <c r="C2313" s="20" t="inlineStr">
        <is>
          <t>E.4.3 GPU MODE - 116 lectures, enumerated</t>
        </is>
      </c>
      <c r="D2313" s="10" t="inlineStr">
        <is>
          <t>Compute and Memory Basics</t>
        </is>
      </c>
      <c r="E2313" s="10" t="inlineStr">
        <is>
          <t>Thomas Viehmann</t>
        </is>
      </c>
      <c r="F2313" s="11" t="inlineStr">
        <is>
          <t>56:55</t>
        </is>
      </c>
      <c r="G2313" s="11" t="n">
        <v>0.95</v>
      </c>
      <c r="H2313" s="12" t="inlineStr">
        <is>
          <t>★</t>
        </is>
      </c>
      <c r="I2313" s="11" t="inlineStr">
        <is>
          <t>Not started</t>
        </is>
      </c>
      <c r="J2313" s="13" t="n"/>
      <c r="K2313" s="10" t="inlineStr"/>
      <c r="L2313" s="14" t="inlineStr">
        <is>
          <t>▶ watch</t>
        </is>
      </c>
      <c r="M2313" s="10" t="inlineStr">
        <is>
          <t>Jia et al., Dissecting the NVIDIA Volta GPU Architecture via Microbenchmarking, arXiv:1804.06826 (Turing sequel arXiv:1903.07486) · the Hopper and Blackwell architecture whitepapers</t>
        </is>
      </c>
      <c r="N2313" s="14" t="inlineStr">
        <is>
          <t>read ↗</t>
        </is>
      </c>
      <c r="O2313" s="11" t="inlineStr">
        <is>
          <t>reading for The Stephen Jones sequence - and a cavea</t>
        </is>
      </c>
      <c r="P2313" s="10" t="inlineStr"/>
    </row>
    <row r="2314">
      <c r="A2314" s="19" t="n">
        <v>2313</v>
      </c>
      <c r="B2314" s="19" t="inlineStr">
        <is>
          <t>Part IV - Performance Engineering</t>
        </is>
      </c>
      <c r="C2314" s="20" t="inlineStr">
        <is>
          <t>E.4.3 GPU MODE - 116 lectures, enumerated</t>
        </is>
      </c>
      <c r="D2314" s="10" t="inlineStr">
        <is>
          <t>Going Further with CUDA for Python Programmers</t>
        </is>
      </c>
      <c r="E2314" s="10" t="inlineStr">
        <is>
          <t>Jeremy Howard</t>
        </is>
      </c>
      <c r="F2314" s="11" t="inlineStr">
        <is>
          <t>1:17:34</t>
        </is>
      </c>
      <c r="G2314" s="11" t="n">
        <v>1.29</v>
      </c>
      <c r="H2314" s="12" t="inlineStr">
        <is>
          <t>★</t>
        </is>
      </c>
      <c r="I2314" s="11" t="inlineStr">
        <is>
          <t>Not started</t>
        </is>
      </c>
      <c r="J2314" s="13" t="n"/>
      <c r="K2314" s="10" t="inlineStr"/>
      <c r="L2314" s="14" t="inlineStr">
        <is>
          <t>▶ watch</t>
        </is>
      </c>
      <c r="M2314" s="10" t="inlineStr">
        <is>
          <t>the CUDA C++ Programming Guide memory-model chapter</t>
        </is>
      </c>
      <c r="N2314" s="14" t="inlineStr">
        <is>
          <t>read ↗</t>
        </is>
      </c>
      <c r="O2314" s="11" t="inlineStr">
        <is>
          <t>names CUDA</t>
        </is>
      </c>
      <c r="P2314" s="10" t="inlineStr"/>
    </row>
    <row r="2315">
      <c r="A2315" s="19" t="n">
        <v>2314</v>
      </c>
      <c r="B2315" s="19" t="inlineStr">
        <is>
          <t>Part IV - Performance Engineering</t>
        </is>
      </c>
      <c r="C2315" s="20" t="inlineStr">
        <is>
          <t>E.4.3 GPU MODE - 116 lectures, enumerated</t>
        </is>
      </c>
      <c r="D2315" s="10" t="inlineStr">
        <is>
          <t>Optimizing PyTorch Optimizers</t>
        </is>
      </c>
      <c r="E2315" s="10" t="inlineStr">
        <is>
          <t>Jane Xu</t>
        </is>
      </c>
      <c r="F2315" s="11" t="inlineStr">
        <is>
          <t>1:06:13</t>
        </is>
      </c>
      <c r="G2315" s="11" t="n">
        <v>1.1</v>
      </c>
      <c r="H2315" s="12" t="inlineStr"/>
      <c r="I2315" s="11" t="inlineStr">
        <is>
          <t>Not started</t>
        </is>
      </c>
      <c r="J2315" s="13" t="n"/>
      <c r="K2315" s="10" t="inlineStr"/>
      <c r="L2315" s="14" t="inlineStr">
        <is>
          <t>▶ watch</t>
        </is>
      </c>
      <c r="M2315" s="10" t="inlineStr">
        <is>
          <t>Jia et al., Dissecting the NVIDIA Volta GPU Architecture via Microbenchmarking, arXiv:1804.06826 (Turing sequel arXiv:1903.07486) · the Hopper and Blackwell architecture whitepapers</t>
        </is>
      </c>
      <c r="N2315" s="14" t="inlineStr">
        <is>
          <t>read ↗</t>
        </is>
      </c>
      <c r="O2315" s="11" t="inlineStr">
        <is>
          <t>reading for The Stephen Jones sequence - and a cavea</t>
        </is>
      </c>
      <c r="P2315" s="10" t="inlineStr"/>
    </row>
    <row r="2316">
      <c r="A2316" s="19" t="n">
        <v>2315</v>
      </c>
      <c r="B2316" s="19" t="inlineStr">
        <is>
          <t>Part IV - Performance Engineering</t>
        </is>
      </c>
      <c r="C2316" s="20" t="inlineStr">
        <is>
          <t>E.4.3 GPU MODE - 116 lectures, enumerated</t>
        </is>
      </c>
      <c r="D2316" s="10" t="inlineStr">
        <is>
          <t>Advanced Quantization</t>
        </is>
      </c>
      <c r="E2316" s="10" t="inlineStr">
        <is>
          <t>Charles Hernandez</t>
        </is>
      </c>
      <c r="F2316" s="11" t="inlineStr">
        <is>
          <t>1:23:26</t>
        </is>
      </c>
      <c r="G2316" s="11" t="n">
        <v>1.39</v>
      </c>
      <c r="H2316" s="12" t="inlineStr">
        <is>
          <t>★</t>
        </is>
      </c>
      <c r="I2316" s="11" t="inlineStr">
        <is>
          <t>Not started</t>
        </is>
      </c>
      <c r="J2316" s="13" t="n"/>
      <c r="K2316" s="10" t="inlineStr"/>
      <c r="L2316" s="14" t="inlineStr">
        <is>
          <t>▶ watch</t>
        </is>
      </c>
      <c r="M2316" s="10" t="inlineStr">
        <is>
          <t>Jia et al., Dissecting the NVIDIA Volta GPU Architecture via Microbenchmarking, arXiv:1804.06826 (Turing sequel arXiv:1903.07486) · the Hopper and Blackwell architecture whitepapers</t>
        </is>
      </c>
      <c r="N2316" s="14" t="inlineStr">
        <is>
          <t>read ↗</t>
        </is>
      </c>
      <c r="O2316" s="11" t="inlineStr">
        <is>
          <t>reading for The Stephen Jones sequence - and a cavea</t>
        </is>
      </c>
      <c r="P2316" s="10" t="inlineStr"/>
    </row>
    <row r="2317">
      <c r="A2317" s="19" t="n">
        <v>2316</v>
      </c>
      <c r="B2317" s="19" t="inlineStr">
        <is>
          <t>Part IV - Performance Engineering</t>
        </is>
      </c>
      <c r="C2317" s="20" t="inlineStr">
        <is>
          <t>E.4.3 GPU MODE - 116 lectures, enumerated</t>
        </is>
      </c>
      <c r="D2317" s="10" t="inlineStr">
        <is>
          <t>CUDA Performance Checklist</t>
        </is>
      </c>
      <c r="E2317" s="10" t="inlineStr">
        <is>
          <t>Mark Saroufim</t>
        </is>
      </c>
      <c r="F2317" s="11" t="inlineStr">
        <is>
          <t>1:08:10</t>
        </is>
      </c>
      <c r="G2317" s="11" t="n">
        <v>1.14</v>
      </c>
      <c r="H2317" s="12" t="inlineStr">
        <is>
          <t>★</t>
        </is>
      </c>
      <c r="I2317" s="11" t="inlineStr">
        <is>
          <t>Not started</t>
        </is>
      </c>
      <c r="J2317" s="13" t="n"/>
      <c r="K2317" s="10" t="inlineStr"/>
      <c r="L2317" s="14" t="inlineStr">
        <is>
          <t>▶ watch</t>
        </is>
      </c>
      <c r="M2317" s="10" t="inlineStr">
        <is>
          <t>the CUDA C++ Programming Guide memory-model chapter</t>
        </is>
      </c>
      <c r="N2317" s="14" t="inlineStr">
        <is>
          <t>read ↗</t>
        </is>
      </c>
      <c r="O2317" s="11" t="inlineStr">
        <is>
          <t>names CUDA</t>
        </is>
      </c>
      <c r="P2317" s="10" t="inlineStr"/>
    </row>
    <row r="2318">
      <c r="A2318" s="19" t="n">
        <v>2317</v>
      </c>
      <c r="B2318" s="19" t="inlineStr">
        <is>
          <t>Part IV - Performance Engineering</t>
        </is>
      </c>
      <c r="C2318" s="20" t="inlineStr">
        <is>
          <t>E.4.3 GPU MODE - 116 lectures, enumerated</t>
        </is>
      </c>
      <c r="D2318" s="10" t="inlineStr">
        <is>
          <t>Mark Saroufim</t>
        </is>
      </c>
      <c r="E2318" s="10" t="inlineStr">
        <is>
          <t>Reductions</t>
        </is>
      </c>
      <c r="F2318" s="11" t="inlineStr">
        <is>
          <t>46:42</t>
        </is>
      </c>
      <c r="G2318" s="11" t="n">
        <v>0.78</v>
      </c>
      <c r="H2318" s="12" t="inlineStr">
        <is>
          <t>★</t>
        </is>
      </c>
      <c r="I2318" s="11" t="inlineStr">
        <is>
          <t>Not started</t>
        </is>
      </c>
      <c r="J2318" s="13" t="n"/>
      <c r="K2318" s="10" t="inlineStr"/>
      <c r="L2318" s="14" t="inlineStr">
        <is>
          <t>▶ watch</t>
        </is>
      </c>
      <c r="M2318" s="10" t="inlineStr">
        <is>
          <t>Jia et al., Dissecting the NVIDIA Volta GPU Architecture via Microbenchmarking, arXiv:1804.06826 (Turing sequel arXiv:1903.07486) · the Hopper and Blackwell architecture whitepapers</t>
        </is>
      </c>
      <c r="N2318" s="14" t="inlineStr">
        <is>
          <t>read ↗</t>
        </is>
      </c>
      <c r="O2318" s="11" t="inlineStr">
        <is>
          <t>reading for The Stephen Jones sequence - and a cavea</t>
        </is>
      </c>
      <c r="P2318" s="10" t="inlineStr"/>
    </row>
    <row r="2319">
      <c r="A2319" s="19" t="n">
        <v>2318</v>
      </c>
      <c r="B2319" s="19" t="inlineStr">
        <is>
          <t>Part IV - Performance Engineering</t>
        </is>
      </c>
      <c r="C2319" s="20" t="inlineStr">
        <is>
          <t>E.4.3 GPU MODE - 116 lectures, enumerated</t>
        </is>
      </c>
      <c r="D2319" s="10" t="inlineStr">
        <is>
          <t>Build a Prod Ready CUDA Library</t>
        </is>
      </c>
      <c r="E2319" s="10" t="inlineStr">
        <is>
          <t>Oscar Amoros Huguet</t>
        </is>
      </c>
      <c r="F2319" s="11" t="inlineStr">
        <is>
          <t>1:25:17</t>
        </is>
      </c>
      <c r="G2319" s="11" t="n">
        <v>1.42</v>
      </c>
      <c r="H2319" s="12" t="inlineStr"/>
      <c r="I2319" s="11" t="inlineStr">
        <is>
          <t>Not started</t>
        </is>
      </c>
      <c r="J2319" s="13" t="n"/>
      <c r="K2319" s="10" t="inlineStr"/>
      <c r="L2319" s="14" t="inlineStr">
        <is>
          <t>▶ watch</t>
        </is>
      </c>
      <c r="M2319" s="10" t="inlineStr">
        <is>
          <t>the CUDA C++ Programming Guide memory-model chapter</t>
        </is>
      </c>
      <c r="N2319" s="14" t="inlineStr">
        <is>
          <t>read ↗</t>
        </is>
      </c>
      <c r="O2319" s="11" t="inlineStr">
        <is>
          <t>names CUDA</t>
        </is>
      </c>
      <c r="P2319" s="10" t="inlineStr"/>
    </row>
    <row r="2320">
      <c r="A2320" s="19" t="n">
        <v>2319</v>
      </c>
      <c r="B2320" s="19" t="inlineStr">
        <is>
          <t>Part IV - Performance Engineering</t>
        </is>
      </c>
      <c r="C2320" s="20" t="inlineStr">
        <is>
          <t>E.4.3 GPU MODE - 116 lectures, enumerated</t>
        </is>
      </c>
      <c r="D2320" s="10" t="inlineStr">
        <is>
          <t>Jesse Cai</t>
        </is>
      </c>
      <c r="E2320" s="10" t="inlineStr">
        <is>
          <t>Sparsity</t>
        </is>
      </c>
      <c r="F2320" s="11" t="inlineStr">
        <is>
          <t>56:43</t>
        </is>
      </c>
      <c r="G2320" s="11" t="n">
        <v>0.95</v>
      </c>
      <c r="H2320" s="12" t="inlineStr">
        <is>
          <t>★</t>
        </is>
      </c>
      <c r="I2320" s="11" t="inlineStr">
        <is>
          <t>Not started</t>
        </is>
      </c>
      <c r="J2320" s="13" t="n"/>
      <c r="K2320" s="10" t="inlineStr"/>
      <c r="L2320" s="14" t="inlineStr">
        <is>
          <t>▶ watch</t>
        </is>
      </c>
      <c r="M2320" s="10" t="inlineStr">
        <is>
          <t>Jia et al., Dissecting the NVIDIA Volta GPU Architecture via Microbenchmarking, arXiv:1804.06826 (Turing sequel arXiv:1903.07486) · the Hopper and Blackwell architecture whitepapers</t>
        </is>
      </c>
      <c r="N2320" s="14" t="inlineStr">
        <is>
          <t>read ↗</t>
        </is>
      </c>
      <c r="O2320" s="11" t="inlineStr">
        <is>
          <t>reading for The Stephen Jones sequence - and a cavea</t>
        </is>
      </c>
      <c r="P2320" s="10" t="inlineStr"/>
    </row>
    <row r="2321">
      <c r="A2321" s="19" t="n">
        <v>2320</v>
      </c>
      <c r="B2321" s="19" t="inlineStr">
        <is>
          <t>Part IV - Performance Engineering</t>
        </is>
      </c>
      <c r="C2321" s="20" t="inlineStr">
        <is>
          <t>E.4.3 GPU MODE - 116 lectures, enumerated</t>
        </is>
      </c>
      <c r="D2321" s="10" t="inlineStr">
        <is>
          <t>A Practitioner's Guide to Triton</t>
        </is>
      </c>
      <c r="E2321" s="10" t="inlineStr">
        <is>
          <t>Umer Adil</t>
        </is>
      </c>
      <c r="F2321" s="11" t="inlineStr">
        <is>
          <t>1:21:43</t>
        </is>
      </c>
      <c r="G2321" s="11" t="n">
        <v>1.36</v>
      </c>
      <c r="H2321" s="12" t="inlineStr">
        <is>
          <t>★</t>
        </is>
      </c>
      <c r="I2321" s="11" t="inlineStr">
        <is>
          <t>Not started</t>
        </is>
      </c>
      <c r="J2321" s="13" t="n"/>
      <c r="K2321" s="10" t="inlineStr"/>
      <c r="L2321" s="14" t="inlineStr">
        <is>
          <t>▶ watch</t>
        </is>
      </c>
      <c r="M2321" s="10" t="inlineStr">
        <is>
          <t>Jia et al., Dissecting the NVIDIA Volta GPU Architecture via Microbenchmarking, arXiv:1804.06826 (Turing sequel arXiv:1903.07486) · the Hopper and Blackwell architecture whitepapers</t>
        </is>
      </c>
      <c r="N2321" s="14" t="inlineStr">
        <is>
          <t>read ↗</t>
        </is>
      </c>
      <c r="O2321" s="11" t="inlineStr">
        <is>
          <t>reading for The Stephen Jones sequence - and a cavea</t>
        </is>
      </c>
      <c r="P2321" s="10" t="inlineStr"/>
    </row>
    <row r="2322">
      <c r="A2322" s="19" t="n">
        <v>2321</v>
      </c>
      <c r="B2322" s="19" t="inlineStr">
        <is>
          <t>Part IV - Performance Engineering</t>
        </is>
      </c>
      <c r="C2322" s="20" t="inlineStr">
        <is>
          <t>E.4.3 GPU MODE - 116 lectures, enumerated</t>
        </is>
      </c>
      <c r="D2322" s="10" t="inlineStr">
        <is>
          <t>Eric Auld</t>
        </is>
      </c>
      <c r="E2322" s="10" t="inlineStr">
        <is>
          <t>CUTLASS</t>
        </is>
      </c>
      <c r="F2322" s="11" t="inlineStr">
        <is>
          <t>1:34:24</t>
        </is>
      </c>
      <c r="G2322" s="11" t="n">
        <v>1.57</v>
      </c>
      <c r="H2322" s="12" t="inlineStr">
        <is>
          <t>★</t>
        </is>
      </c>
      <c r="I2322" s="11" t="inlineStr">
        <is>
          <t>Not started</t>
        </is>
      </c>
      <c r="J2322" s="13" t="n"/>
      <c r="K2322" s="10" t="inlineStr"/>
      <c r="L2322" s="14" t="inlineStr">
        <is>
          <t>▶ watch</t>
        </is>
      </c>
      <c r="M2322" s="10" t="inlineStr">
        <is>
          <t>Jia et al., Dissecting the NVIDIA Volta GPU Architecture via Microbenchmarking, arXiv:1804.06826 (Turing sequel arXiv:1903.07486) · the Hopper and Blackwell architecture whitepapers</t>
        </is>
      </c>
      <c r="N2322" s="14" t="inlineStr">
        <is>
          <t>read ↗</t>
        </is>
      </c>
      <c r="O2322" s="11" t="inlineStr">
        <is>
          <t>reading for The Stephen Jones sequence - and a cavea</t>
        </is>
      </c>
      <c r="P2322" s="10" t="inlineStr">
        <is>
          <t>E.4.5 CUTLASS and CuTe</t>
        </is>
      </c>
    </row>
    <row r="2323">
      <c r="A2323" s="19" t="n">
        <v>2322</v>
      </c>
      <c r="B2323" s="19" t="inlineStr">
        <is>
          <t>Part IV - Performance Engineering</t>
        </is>
      </c>
      <c r="C2323" s="20" t="inlineStr">
        <is>
          <t>E.4.3 GPU MODE - 116 lectures, enumerated</t>
        </is>
      </c>
      <c r="D2323" s="10" t="inlineStr">
        <is>
          <t>On-Hands Profiling</t>
        </is>
      </c>
      <c r="E2323" s="10" t="inlineStr">
        <is>
          <t>Taylor Robie</t>
        </is>
      </c>
      <c r="F2323" s="11" t="inlineStr">
        <is>
          <t>55:41</t>
        </is>
      </c>
      <c r="G2323" s="11" t="n">
        <v>0.93</v>
      </c>
      <c r="H2323" s="12" t="inlineStr">
        <is>
          <t>★</t>
        </is>
      </c>
      <c r="I2323" s="11" t="inlineStr">
        <is>
          <t>Not started</t>
        </is>
      </c>
      <c r="J2323" s="13" t="n"/>
      <c r="K2323" s="10" t="inlineStr"/>
      <c r="L2323" s="14" t="inlineStr">
        <is>
          <t>▶ watch</t>
        </is>
      </c>
      <c r="M2323" s="10" t="inlineStr">
        <is>
          <t>Jia et al., Dissecting the NVIDIA Volta GPU Architecture via Microbenchmarking, arXiv:1804.06826 (Turing sequel arXiv:1903.07486) · the Hopper and Blackwell architecture whitepapers</t>
        </is>
      </c>
      <c r="N2323" s="14" t="inlineStr">
        <is>
          <t>read ↗</t>
        </is>
      </c>
      <c r="O2323" s="11" t="inlineStr">
        <is>
          <t>reading for The Stephen Jones sequence - and a cavea</t>
        </is>
      </c>
      <c r="P2323" s="10" t="inlineStr"/>
    </row>
    <row r="2324">
      <c r="A2324" s="19" t="n">
        <v>2323</v>
      </c>
      <c r="B2324" s="19" t="inlineStr">
        <is>
          <t>Part IV - Performance Engineering</t>
        </is>
      </c>
      <c r="C2324" s="20" t="inlineStr">
        <is>
          <t>E.4.3 GPU MODE - 116 lectures, enumerated</t>
        </is>
      </c>
      <c r="D2324" s="10" t="inlineStr">
        <is>
          <t>GPU Collective Communication (NCCL</t>
        </is>
      </c>
      <c r="E2324" s="10" t="inlineStr">
        <is>
          <t>Dan Johnson</t>
        </is>
      </c>
      <c r="F2324" s="11" t="inlineStr">
        <is>
          <t>59:43</t>
        </is>
      </c>
      <c r="G2324" s="11" t="n">
        <v>1</v>
      </c>
      <c r="H2324" s="12" t="inlineStr">
        <is>
          <t>★</t>
        </is>
      </c>
      <c r="I2324" s="11" t="inlineStr">
        <is>
          <t>Not started</t>
        </is>
      </c>
      <c r="J2324" s="13" t="n"/>
      <c r="K2324" s="10" t="inlineStr"/>
      <c r="L2324" s="14" t="inlineStr">
        <is>
          <t>▶ watch</t>
        </is>
      </c>
      <c r="M2324" s="10" t="inlineStr">
        <is>
          <t>Jia et al., Dissecting the NVIDIA Volta GPU Architecture via Microbenchmarking, arXiv:1804.06826 (Turing sequel arXiv:1903.07486) · the Hopper and Blackwell architecture whitepapers</t>
        </is>
      </c>
      <c r="N2324" s="14" t="inlineStr">
        <is>
          <t>read ↗</t>
        </is>
      </c>
      <c r="O2324" s="11" t="inlineStr">
        <is>
          <t>reading for The Stephen Jones sequence - and a cavea</t>
        </is>
      </c>
      <c r="P2324" s="10" t="inlineStr">
        <is>
          <t>E.4.9 Multi-GPU and collectives</t>
        </is>
      </c>
    </row>
    <row r="2325">
      <c r="A2325" s="19" t="n">
        <v>2324</v>
      </c>
      <c r="B2325" s="19" t="inlineStr">
        <is>
          <t>Part IV - Performance Engineering</t>
        </is>
      </c>
      <c r="C2325" s="20" t="inlineStr">
        <is>
          <t>E.4.3 GPU MODE - 116 lectures, enumerated</t>
        </is>
      </c>
      <c r="D2325" s="10" t="inlineStr">
        <is>
          <t>Fusing Kernels</t>
        </is>
      </c>
      <c r="E2325" s="10" t="inlineStr">
        <is>
          <t>Kapil Sharma</t>
        </is>
      </c>
      <c r="F2325" s="11" t="inlineStr">
        <is>
          <t>1:23:22</t>
        </is>
      </c>
      <c r="G2325" s="11" t="n">
        <v>1.39</v>
      </c>
      <c r="H2325" s="12" t="inlineStr">
        <is>
          <t>★</t>
        </is>
      </c>
      <c r="I2325" s="11" t="inlineStr">
        <is>
          <t>Not started</t>
        </is>
      </c>
      <c r="J2325" s="13" t="n"/>
      <c r="K2325" s="10" t="inlineStr"/>
      <c r="L2325" s="14" t="inlineStr">
        <is>
          <t>▶ watch</t>
        </is>
      </c>
      <c r="M2325" s="10" t="inlineStr">
        <is>
          <t>Jia et al., Dissecting the NVIDIA Volta GPU Architecture via Microbenchmarking, arXiv:1804.06826 (Turing sequel arXiv:1903.07486) · the Hopper and Blackwell architecture whitepapers</t>
        </is>
      </c>
      <c r="N2325" s="14" t="inlineStr">
        <is>
          <t>read ↗</t>
        </is>
      </c>
      <c r="O2325" s="11" t="inlineStr">
        <is>
          <t>reading for The Stephen Jones sequence - and a cavea</t>
        </is>
      </c>
      <c r="P2325" s="10" t="inlineStr"/>
    </row>
    <row r="2326">
      <c r="A2326" s="19" t="n">
        <v>2325</v>
      </c>
      <c r="B2326" s="19" t="inlineStr">
        <is>
          <t>Part IV - Performance Engineering</t>
        </is>
      </c>
      <c r="C2326" s="20" t="inlineStr">
        <is>
          <t>E.4.3 GPU MODE - 116 lectures, enumerated</t>
        </is>
      </c>
      <c r="D2326" s="10" t="inlineStr">
        <is>
          <t>Data Processing on GPUs</t>
        </is>
      </c>
      <c r="E2326" s="10" t="inlineStr">
        <is>
          <t>Devavret Makkar</t>
        </is>
      </c>
      <c r="F2326" s="11" t="inlineStr">
        <is>
          <t>59:09</t>
        </is>
      </c>
      <c r="G2326" s="11" t="n">
        <v>0.99</v>
      </c>
      <c r="H2326" s="12" t="inlineStr"/>
      <c r="I2326" s="11" t="inlineStr">
        <is>
          <t>Not started</t>
        </is>
      </c>
      <c r="J2326" s="13" t="n"/>
      <c r="K2326" s="10" t="inlineStr"/>
      <c r="L2326" s="14" t="inlineStr">
        <is>
          <t>▶ watch</t>
        </is>
      </c>
      <c r="M2326" s="10" t="inlineStr">
        <is>
          <t>Jia et al., Dissecting the NVIDIA Volta GPU Architecture via Microbenchmarking, arXiv:1804.06826 (Turing sequel arXiv:1903.07486) · the Hopper and Blackwell architecture whitepapers</t>
        </is>
      </c>
      <c r="N2326" s="14" t="inlineStr">
        <is>
          <t>read ↗</t>
        </is>
      </c>
      <c r="O2326" s="11" t="inlineStr">
        <is>
          <t>reading for The Stephen Jones sequence - and a cavea</t>
        </is>
      </c>
      <c r="P2326" s="10" t="inlineStr"/>
    </row>
    <row r="2327">
      <c r="A2327" s="19" t="n">
        <v>2326</v>
      </c>
      <c r="B2327" s="19" t="inlineStr">
        <is>
          <t>Part IV - Performance Engineering</t>
        </is>
      </c>
      <c r="C2327" s="20" t="inlineStr">
        <is>
          <t>E.4.3 GPU MODE - 116 lectures, enumerated</t>
        </is>
      </c>
      <c r="D2327" s="10" t="inlineStr">
        <is>
          <t>Scan Algorithm</t>
        </is>
      </c>
      <c r="E2327" s="10" t="inlineStr">
        <is>
          <t>Izzat El Hajj</t>
        </is>
      </c>
      <c r="F2327" s="11" t="inlineStr">
        <is>
          <t>1:02:20</t>
        </is>
      </c>
      <c r="G2327" s="11" t="n">
        <v>1.04</v>
      </c>
      <c r="H2327" s="12" t="inlineStr"/>
      <c r="I2327" s="11" t="inlineStr">
        <is>
          <t>Not started</t>
        </is>
      </c>
      <c r="J2327" s="13" t="n"/>
      <c r="K2327" s="10" t="inlineStr"/>
      <c r="L2327" s="14" t="inlineStr">
        <is>
          <t>▶ watch</t>
        </is>
      </c>
      <c r="M2327" s="10" t="inlineStr">
        <is>
          <t>Jia et al., Dissecting the NVIDIA Volta GPU Architecture via Microbenchmarking, arXiv:1804.06826 (Turing sequel arXiv:1903.07486) · the Hopper and Blackwell architecture whitepapers</t>
        </is>
      </c>
      <c r="N2327" s="14" t="inlineStr">
        <is>
          <t>read ↗</t>
        </is>
      </c>
      <c r="O2327" s="11" t="inlineStr">
        <is>
          <t>reading for The Stephen Jones sequence - and a cavea</t>
        </is>
      </c>
      <c r="P2327" s="10" t="inlineStr"/>
    </row>
    <row r="2328">
      <c r="A2328" s="19" t="n">
        <v>2327</v>
      </c>
      <c r="B2328" s="19" t="inlineStr">
        <is>
          <t>Part IV - Performance Engineering</t>
        </is>
      </c>
      <c r="C2328" s="20" t="inlineStr">
        <is>
          <t>E.4.3 GPU MODE - 116 lectures, enumerated</t>
        </is>
      </c>
      <c r="D2328" s="10" t="inlineStr">
        <is>
          <t>Scan Algorithm, Part 2</t>
        </is>
      </c>
      <c r="E2328" s="10" t="inlineStr">
        <is>
          <t>Izzat El Hajj</t>
        </is>
      </c>
      <c r="F2328" s="11" t="inlineStr">
        <is>
          <t>1:04:41</t>
        </is>
      </c>
      <c r="G2328" s="11" t="n">
        <v>1.08</v>
      </c>
      <c r="H2328" s="12" t="inlineStr"/>
      <c r="I2328" s="11" t="inlineStr">
        <is>
          <t>Not started</t>
        </is>
      </c>
      <c r="J2328" s="13" t="n"/>
      <c r="K2328" s="10" t="inlineStr"/>
      <c r="L2328" s="14" t="inlineStr">
        <is>
          <t>▶ watch</t>
        </is>
      </c>
      <c r="M2328" s="10" t="inlineStr">
        <is>
          <t>Jia et al., Dissecting the NVIDIA Volta GPU Architecture via Microbenchmarking, arXiv:1804.06826 (Turing sequel arXiv:1903.07486) · the Hopper and Blackwell architecture whitepapers</t>
        </is>
      </c>
      <c r="N2328" s="14" t="inlineStr">
        <is>
          <t>read ↗</t>
        </is>
      </c>
      <c r="O2328" s="11" t="inlineStr">
        <is>
          <t>reading for The Stephen Jones sequence - and a cavea</t>
        </is>
      </c>
      <c r="P2328" s="10" t="inlineStr"/>
    </row>
    <row r="2329">
      <c r="A2329" s="19" t="n">
        <v>2328</v>
      </c>
      <c r="B2329" s="19" t="inlineStr">
        <is>
          <t>Part IV - Performance Engineering</t>
        </is>
      </c>
      <c r="C2329" s="20" t="inlineStr">
        <is>
          <t>E.4.3 GPU MODE - 116 lectures, enumerated</t>
        </is>
      </c>
      <c r="D2329" s="10" t="inlineStr">
        <is>
          <t>Speculative Decoding in vLLM</t>
        </is>
      </c>
      <c r="E2329" s="10" t="inlineStr">
        <is>
          <t>Cade Daniel</t>
        </is>
      </c>
      <c r="F2329" s="11" t="inlineStr">
        <is>
          <t>1:09:25</t>
        </is>
      </c>
      <c r="G2329" s="11" t="n">
        <v>1.16</v>
      </c>
      <c r="H2329" s="12" t="inlineStr"/>
      <c r="I2329" s="11" t="inlineStr">
        <is>
          <t>Not started</t>
        </is>
      </c>
      <c r="J2329" s="13" t="n"/>
      <c r="K2329" s="10" t="inlineStr"/>
      <c r="L2329" s="14" t="inlineStr">
        <is>
          <t>▶ watch</t>
        </is>
      </c>
      <c r="M2329" s="10" t="inlineStr">
        <is>
          <t>Jia et al., Dissecting the NVIDIA Volta GPU Architecture via Microbenchmarking, arXiv:1804.06826 (Turing sequel arXiv:1903.07486) · the Hopper and Blackwell architecture whitepapers</t>
        </is>
      </c>
      <c r="N2329" s="14" t="inlineStr">
        <is>
          <t>read ↗</t>
        </is>
      </c>
      <c r="O2329" s="11" t="inlineStr">
        <is>
          <t>reading for The Stephen Jones sequence - and a cavea</t>
        </is>
      </c>
      <c r="P2329" s="10" t="inlineStr"/>
    </row>
    <row r="2330">
      <c r="A2330" s="19" t="n">
        <v>2329</v>
      </c>
      <c r="B2330" s="19" t="inlineStr">
        <is>
          <t>Part IV - Performance Engineering</t>
        </is>
      </c>
      <c r="C2330" s="20" t="inlineStr">
        <is>
          <t>E.4.3 GPU MODE - 116 lectures, enumerated</t>
        </is>
      </c>
      <c r="D2330" s="10" t="inlineStr">
        <is>
          <t>Thakkar &amp; Ramani (NVIDIA</t>
        </is>
      </c>
      <c r="E2330" s="10" t="inlineStr">
        <is>
          <t>Tensor Cores</t>
        </is>
      </c>
      <c r="F2330" s="11" t="inlineStr">
        <is>
          <t>1:47:50</t>
        </is>
      </c>
      <c r="G2330" s="11" t="n">
        <v>1.8</v>
      </c>
      <c r="H2330" s="12" t="inlineStr">
        <is>
          <t>★</t>
        </is>
      </c>
      <c r="I2330" s="11" t="inlineStr">
        <is>
          <t>Not started</t>
        </is>
      </c>
      <c r="J2330" s="13" t="n"/>
      <c r="K2330" s="10" t="inlineStr"/>
      <c r="L2330" s="14" t="inlineStr">
        <is>
          <t>▶ watch</t>
        </is>
      </c>
      <c r="M2330" s="10" t="inlineStr">
        <is>
          <t>Jia et al., Dissecting the NVIDIA Volta GPU Architecture via Microbenchmarking, arXiv:1804.06826 (Turing sequel arXiv:1903.07486)</t>
        </is>
      </c>
      <c r="N2330" s="14" t="inlineStr">
        <is>
          <t>read ↗</t>
        </is>
      </c>
      <c r="O2330" s="11" t="inlineStr">
        <is>
          <t>names NVIDIA</t>
        </is>
      </c>
      <c r="P2330" s="10" t="inlineStr">
        <is>
          <t>E.4.5 CUTLASS and CuTe</t>
        </is>
      </c>
    </row>
    <row r="2331">
      <c r="A2331" s="19" t="n">
        <v>2330</v>
      </c>
      <c r="B2331" s="19" t="inlineStr">
        <is>
          <t>Part IV - Performance Engineering</t>
        </is>
      </c>
      <c r="C2331" s="20" t="inlineStr">
        <is>
          <t>E.4.3 GPU MODE - 116 lectures, enumerated</t>
        </is>
      </c>
      <c r="D2331" s="10" t="inlineStr">
        <is>
          <t>Hemstad &amp; Evtushenko (NVIDIA</t>
        </is>
      </c>
      <c r="E2331" s="10" t="inlineStr">
        <is>
          <t>Scan at the Speed of Light</t>
        </is>
      </c>
      <c r="F2331" s="11" t="inlineStr">
        <is>
          <t>1:06:19</t>
        </is>
      </c>
      <c r="G2331" s="11" t="n">
        <v>1.11</v>
      </c>
      <c r="H2331" s="12" t="inlineStr"/>
      <c r="I2331" s="11" t="inlineStr">
        <is>
          <t>Not started</t>
        </is>
      </c>
      <c r="J2331" s="13" t="n"/>
      <c r="K2331" s="10" t="inlineStr"/>
      <c r="L2331" s="14" t="inlineStr">
        <is>
          <t>▶ watch</t>
        </is>
      </c>
      <c r="M2331" s="10" t="inlineStr">
        <is>
          <t>Jia et al., Dissecting the NVIDIA Volta GPU Architecture via Microbenchmarking, arXiv:1804.06826 (Turing sequel arXiv:1903.07486)</t>
        </is>
      </c>
      <c r="N2331" s="14" t="inlineStr">
        <is>
          <t>read ↗</t>
        </is>
      </c>
      <c r="O2331" s="11" t="inlineStr">
        <is>
          <t>names NVIDIA</t>
        </is>
      </c>
      <c r="P2331" s="10" t="inlineStr"/>
    </row>
    <row r="2332">
      <c r="A2332" s="19" t="n">
        <v>2331</v>
      </c>
      <c r="B2332" s="19" t="inlineStr">
        <is>
          <t>Part IV - Performance Engineering</t>
        </is>
      </c>
      <c r="C2332" s="20" t="inlineStr">
        <is>
          <t>E.4.3 GPU MODE - 116 lectures, enumerated</t>
        </is>
      </c>
      <c r="D2332" s="10" t="inlineStr">
        <is>
          <t>Composable Kernel (CK</t>
        </is>
      </c>
      <c r="E2332" s="10" t="inlineStr">
        <is>
          <t>Haocong Wang (AMD</t>
        </is>
      </c>
      <c r="F2332" s="11" t="inlineStr">
        <is>
          <t>1:30:52</t>
        </is>
      </c>
      <c r="G2332" s="11" t="n">
        <v>1.51</v>
      </c>
      <c r="H2332" s="12" t="inlineStr"/>
      <c r="I2332" s="11" t="inlineStr">
        <is>
          <t>Not started</t>
        </is>
      </c>
      <c r="J2332" s="13" t="n"/>
      <c r="K2332" s="10" t="inlineStr"/>
      <c r="L2332" s="14" t="inlineStr">
        <is>
          <t>▶ watch</t>
        </is>
      </c>
      <c r="M2332" s="10" t="inlineStr">
        <is>
          <t>Jia et al., Dissecting the NVIDIA Volta GPU Architecture via Microbenchmarking, arXiv:1804.06826 (Turing sequel arXiv:1903.07486) · the Hopper and Blackwell architecture whitepapers</t>
        </is>
      </c>
      <c r="N2332" s="14" t="inlineStr">
        <is>
          <t>read ↗</t>
        </is>
      </c>
      <c r="O2332" s="11" t="inlineStr">
        <is>
          <t>reading for The Stephen Jones sequence - and a cavea</t>
        </is>
      </c>
      <c r="P2332" s="10" t="inlineStr"/>
    </row>
    <row r="2333">
      <c r="A2333" s="19" t="n">
        <v>2332</v>
      </c>
      <c r="B2333" s="19" t="inlineStr">
        <is>
          <t>Part IV - Performance Engineering</t>
        </is>
      </c>
      <c r="C2333" s="20" t="inlineStr">
        <is>
          <t>E.4.3 GPU MODE - 116 lectures, enumerated</t>
        </is>
      </c>
      <c r="D2333" s="10" t="inlineStr">
        <is>
          <t>SYCL Mode (Intel GPU</t>
        </is>
      </c>
      <c r="E2333" s="10" t="inlineStr">
        <is>
          <t>Patric Zhao</t>
        </is>
      </c>
      <c r="F2333" s="11" t="inlineStr">
        <is>
          <t>1:18:35</t>
        </is>
      </c>
      <c r="G2333" s="11" t="n">
        <v>1.31</v>
      </c>
      <c r="H2333" s="12" t="inlineStr"/>
      <c r="I2333" s="11" t="inlineStr">
        <is>
          <t>Not started</t>
        </is>
      </c>
      <c r="J2333" s="13" t="n"/>
      <c r="K2333" s="10" t="inlineStr"/>
      <c r="L2333" s="14" t="inlineStr">
        <is>
          <t>▶ watch</t>
        </is>
      </c>
      <c r="M2333" s="10" t="inlineStr">
        <is>
          <t>Jia et al., Dissecting the NVIDIA Volta GPU Architecture via Microbenchmarking, arXiv:1804.06826 (Turing sequel arXiv:1903.07486) · the Hopper and Blackwell architecture whitepapers</t>
        </is>
      </c>
      <c r="N2333" s="14" t="inlineStr">
        <is>
          <t>read ↗</t>
        </is>
      </c>
      <c r="O2333" s="11" t="inlineStr">
        <is>
          <t>reading for The Stephen Jones sequence - and a cavea</t>
        </is>
      </c>
      <c r="P2333" s="10" t="inlineStr"/>
    </row>
    <row r="2334">
      <c r="A2334" s="19" t="n">
        <v>2333</v>
      </c>
      <c r="B2334" s="19" t="inlineStr">
        <is>
          <t>Part IV - Performance Engineering</t>
        </is>
      </c>
      <c r="C2334" s="20" t="inlineStr">
        <is>
          <t>E.4.3 GPU MODE - 116 lectures, enumerated</t>
        </is>
      </c>
      <c r="D2334" s="10" t="inlineStr">
        <is>
          <t>gpu.cpp - portable compute via WebGPU</t>
        </is>
      </c>
      <c r="E2334" s="10" t="inlineStr">
        <is>
          <t>Austin Huang</t>
        </is>
      </c>
      <c r="F2334" s="11" t="inlineStr">
        <is>
          <t>58:12</t>
        </is>
      </c>
      <c r="G2334" s="11" t="n">
        <v>0.97</v>
      </c>
      <c r="H2334" s="12" t="inlineStr"/>
      <c r="I2334" s="11" t="inlineStr">
        <is>
          <t>Not started</t>
        </is>
      </c>
      <c r="J2334" s="13" t="n"/>
      <c r="K2334" s="10" t="inlineStr"/>
      <c r="L2334" s="14" t="inlineStr">
        <is>
          <t>▶ watch</t>
        </is>
      </c>
      <c r="M2334" s="10" t="inlineStr">
        <is>
          <t>Jia et al., Dissecting the NVIDIA Volta GPU Architecture via Microbenchmarking, arXiv:1804.06826 (Turing sequel arXiv:1903.07486) · the Hopper and Blackwell architecture whitepapers</t>
        </is>
      </c>
      <c r="N2334" s="14" t="inlineStr">
        <is>
          <t>read ↗</t>
        </is>
      </c>
      <c r="O2334" s="11" t="inlineStr">
        <is>
          <t>reading for The Stephen Jones sequence - and a cavea</t>
        </is>
      </c>
      <c r="P2334" s="10" t="inlineStr"/>
    </row>
    <row r="2335">
      <c r="A2335" s="19" t="n">
        <v>2334</v>
      </c>
      <c r="B2335" s="19" t="inlineStr">
        <is>
          <t>Part IV - Performance Engineering</t>
        </is>
      </c>
      <c r="C2335" s="20" t="inlineStr">
        <is>
          <t>E.4.3 GPU MODE - 116 lectures, enumerated</t>
        </is>
      </c>
      <c r="D2335" s="10" t="inlineStr">
        <is>
          <t>Liger Kernel - Efficient Triton Kernels</t>
        </is>
      </c>
      <c r="E2335" s="10" t="inlineStr">
        <is>
          <t>Byron Hsu</t>
        </is>
      </c>
      <c r="F2335" s="11" t="inlineStr">
        <is>
          <t>1:11:27</t>
        </is>
      </c>
      <c r="G2335" s="11" t="n">
        <v>1.19</v>
      </c>
      <c r="H2335" s="12" t="inlineStr">
        <is>
          <t>★</t>
        </is>
      </c>
      <c r="I2335" s="11" t="inlineStr">
        <is>
          <t>Not started</t>
        </is>
      </c>
      <c r="J2335" s="13" t="n"/>
      <c r="K2335" s="10" t="inlineStr"/>
      <c r="L2335" s="14" t="inlineStr">
        <is>
          <t>▶ watch</t>
        </is>
      </c>
      <c r="M2335" s="10" t="inlineStr">
        <is>
          <t>Jia et al., Dissecting the NVIDIA Volta GPU Architecture via Microbenchmarking, arXiv:1804.06826 (Turing sequel arXiv:1903.07486) · the Hopper and Blackwell architecture whitepapers</t>
        </is>
      </c>
      <c r="N2335" s="14" t="inlineStr">
        <is>
          <t>read ↗</t>
        </is>
      </c>
      <c r="O2335" s="11" t="inlineStr">
        <is>
          <t>reading for The Stephen Jones sequence - and a cavea</t>
        </is>
      </c>
      <c r="P2335" s="10" t="inlineStr"/>
    </row>
    <row r="2336">
      <c r="A2336" s="19" t="n">
        <v>2335</v>
      </c>
      <c r="B2336" s="19" t="inlineStr">
        <is>
          <t>Part IV - Performance Engineering</t>
        </is>
      </c>
      <c r="C2336" s="20" t="inlineStr">
        <is>
          <t>E.4.3 GPU MODE - 116 lectures, enumerated</t>
        </is>
      </c>
      <c r="D2336" s="10" t="inlineStr">
        <is>
          <t>Triton Internals</t>
        </is>
      </c>
      <c r="E2336" s="10" t="inlineStr">
        <is>
          <t>Kapil Sharma</t>
        </is>
      </c>
      <c r="F2336" s="11" t="inlineStr">
        <is>
          <t>1:04:49</t>
        </is>
      </c>
      <c r="G2336" s="11" t="n">
        <v>1.08</v>
      </c>
      <c r="H2336" s="12" t="inlineStr">
        <is>
          <t>★</t>
        </is>
      </c>
      <c r="I2336" s="11" t="inlineStr">
        <is>
          <t>Not started</t>
        </is>
      </c>
      <c r="J2336" s="13" t="n"/>
      <c r="K2336" s="10" t="inlineStr"/>
      <c r="L2336" s="14" t="inlineStr">
        <is>
          <t>▶ watch</t>
        </is>
      </c>
      <c r="M2336" s="10" t="inlineStr">
        <is>
          <t>Jia et al., Dissecting the NVIDIA Volta GPU Architecture via Microbenchmarking, arXiv:1804.06826 (Turing sequel arXiv:1903.07486) · the Hopper and Blackwell architecture whitepapers</t>
        </is>
      </c>
      <c r="N2336" s="14" t="inlineStr">
        <is>
          <t>read ↗</t>
        </is>
      </c>
      <c r="O2336" s="11" t="inlineStr">
        <is>
          <t>reading for The Stephen Jones sequence - and a cavea</t>
        </is>
      </c>
      <c r="P2336" s="10" t="inlineStr">
        <is>
          <t>E.5.2 XLA, MLIR and the compiler layer</t>
        </is>
      </c>
    </row>
    <row r="2337">
      <c r="A2337" s="19" t="n">
        <v>2336</v>
      </c>
      <c r="B2337" s="19" t="inlineStr">
        <is>
          <t>Part IV - Performance Engineering</t>
        </is>
      </c>
      <c r="C2337" s="20" t="inlineStr">
        <is>
          <t>E.4.3 GPU MODE - 116 lectures, enumerated</t>
        </is>
      </c>
      <c r="D2337" s="10" t="inlineStr">
        <is>
          <t>Quantized Training</t>
        </is>
      </c>
      <c r="E2337" s="10" t="inlineStr">
        <is>
          <t>Thien Tran</t>
        </is>
      </c>
      <c r="F2337" s="11" t="inlineStr">
        <is>
          <t>1:16:40</t>
        </is>
      </c>
      <c r="G2337" s="11" t="n">
        <v>1.28</v>
      </c>
      <c r="H2337" s="12" t="inlineStr">
        <is>
          <t>★</t>
        </is>
      </c>
      <c r="I2337" s="11" t="inlineStr">
        <is>
          <t>Not started</t>
        </is>
      </c>
      <c r="J2337" s="13" t="n"/>
      <c r="K2337" s="10" t="inlineStr"/>
      <c r="L2337" s="14" t="inlineStr">
        <is>
          <t>▶ watch</t>
        </is>
      </c>
      <c r="M2337" s="10" t="inlineStr">
        <is>
          <t>Jia et al., Dissecting the NVIDIA Volta GPU Architecture via Microbenchmarking, arXiv:1804.06826 (Turing sequel arXiv:1903.07486) · the Hopper and Blackwell architecture whitepapers</t>
        </is>
      </c>
      <c r="N2337" s="14" t="inlineStr">
        <is>
          <t>read ↗</t>
        </is>
      </c>
      <c r="O2337" s="11" t="inlineStr">
        <is>
          <t>reading for The Stephen Jones sequence - and a cavea</t>
        </is>
      </c>
      <c r="P2337" s="10" t="inlineStr"/>
    </row>
    <row r="2338">
      <c r="A2338" s="19" t="n">
        <v>2337</v>
      </c>
      <c r="B2338" s="19" t="inlineStr">
        <is>
          <t>Part IV - Performance Engineering</t>
        </is>
      </c>
      <c r="C2338" s="20" t="inlineStr">
        <is>
          <t>E.4.3 GPU MODE - 116 lectures, enumerated</t>
        </is>
      </c>
      <c r="D2338" s="10" t="inlineStr">
        <is>
          <t>Beginner's Guide to Metal Kernels</t>
        </is>
      </c>
      <c r="E2338" s="10" t="inlineStr">
        <is>
          <t>Nikita Shulga</t>
        </is>
      </c>
      <c r="F2338" s="11" t="inlineStr">
        <is>
          <t>1:32:08</t>
        </is>
      </c>
      <c r="G2338" s="11" t="n">
        <v>1.54</v>
      </c>
      <c r="H2338" s="12" t="inlineStr"/>
      <c r="I2338" s="11" t="inlineStr">
        <is>
          <t>Not started</t>
        </is>
      </c>
      <c r="J2338" s="13" t="n"/>
      <c r="K2338" s="10" t="inlineStr"/>
      <c r="L2338" s="14" t="inlineStr">
        <is>
          <t>▶ watch</t>
        </is>
      </c>
      <c r="M2338" s="10" t="inlineStr">
        <is>
          <t>Jia et al., Dissecting the NVIDIA Volta GPU Architecture via Microbenchmarking, arXiv:1804.06826 (Turing sequel arXiv:1903.07486) · the Hopper and Blackwell architecture whitepapers</t>
        </is>
      </c>
      <c r="N2338" s="14" t="inlineStr">
        <is>
          <t>read ↗</t>
        </is>
      </c>
      <c r="O2338" s="11" t="inlineStr">
        <is>
          <t>reading for The Stephen Jones sequence - and a cavea</t>
        </is>
      </c>
      <c r="P2338" s="10" t="inlineStr"/>
    </row>
    <row r="2339">
      <c r="A2339" s="19" t="n">
        <v>2338</v>
      </c>
      <c r="B2339" s="19" t="inlineStr">
        <is>
          <t>Part IV - Performance Engineering</t>
        </is>
      </c>
      <c r="C2339" s="20" t="inlineStr">
        <is>
          <t>E.4.3 GPU MODE - 116 lectures, enumerated</t>
        </is>
      </c>
      <c r="D2339" s="10" t="inlineStr">
        <is>
          <t>Unsloth - LLM Systems Engineering</t>
        </is>
      </c>
      <c r="E2339" s="10" t="inlineStr">
        <is>
          <t>Daniel Han</t>
        </is>
      </c>
      <c r="F2339" s="11" t="inlineStr">
        <is>
          <t>1:24:54</t>
        </is>
      </c>
      <c r="G2339" s="11" t="n">
        <v>1.42</v>
      </c>
      <c r="H2339" s="12" t="inlineStr"/>
      <c r="I2339" s="11" t="inlineStr">
        <is>
          <t>Not started</t>
        </is>
      </c>
      <c r="J2339" s="13" t="n"/>
      <c r="K2339" s="10" t="inlineStr"/>
      <c r="L2339" s="14" t="inlineStr">
        <is>
          <t>▶ watch</t>
        </is>
      </c>
      <c r="M2339" s="10" t="inlineStr">
        <is>
          <t>Jia et al., Dissecting the NVIDIA Volta GPU Architecture via Microbenchmarking, arXiv:1804.06826 (Turing sequel arXiv:1903.07486) · the Hopper and Blackwell architecture whitepapers</t>
        </is>
      </c>
      <c r="N2339" s="14" t="inlineStr">
        <is>
          <t>read ↗</t>
        </is>
      </c>
      <c r="O2339" s="11" t="inlineStr">
        <is>
          <t>reading for The Stephen Jones sequence - and a cavea</t>
        </is>
      </c>
      <c r="P2339" s="10" t="inlineStr"/>
    </row>
    <row r="2340">
      <c r="A2340" s="19" t="n">
        <v>2339</v>
      </c>
      <c r="B2340" s="19" t="inlineStr">
        <is>
          <t>Part IV - Performance Engineering</t>
        </is>
      </c>
      <c r="C2340" s="20" t="inlineStr">
        <is>
          <t>E.4.3 GPU MODE - 116 lectures, enumerated</t>
        </is>
      </c>
      <c r="D2340" s="10" t="inlineStr">
        <is>
          <t>Lei Wang (MSRA</t>
        </is>
      </c>
      <c r="E2340" s="10" t="inlineStr">
        <is>
          <t>BitBLAS</t>
        </is>
      </c>
      <c r="F2340" s="11" t="inlineStr">
        <is>
          <t>1:01:48</t>
        </is>
      </c>
      <c r="G2340" s="11" t="n">
        <v>1.03</v>
      </c>
      <c r="H2340" s="12" t="inlineStr">
        <is>
          <t>★</t>
        </is>
      </c>
      <c r="I2340" s="11" t="inlineStr">
        <is>
          <t>Not started</t>
        </is>
      </c>
      <c r="J2340" s="13" t="n"/>
      <c r="K2340" s="10" t="inlineStr"/>
      <c r="L2340" s="14" t="inlineStr">
        <is>
          <t>▶ watch</t>
        </is>
      </c>
      <c r="M2340" s="10" t="inlineStr">
        <is>
          <t>Jia et al., Dissecting the NVIDIA Volta GPU Architecture via Microbenchmarking, arXiv:1804.06826 (Turing sequel arXiv:1903.07486) · the Hopper and Blackwell architecture whitepapers</t>
        </is>
      </c>
      <c r="N2340" s="14" t="inlineStr">
        <is>
          <t>read ↗</t>
        </is>
      </c>
      <c r="O2340" s="11" t="inlineStr">
        <is>
          <t>reading for The Stephen Jones sequence - and a cavea</t>
        </is>
      </c>
      <c r="P2340" s="10" t="inlineStr"/>
    </row>
    <row r="2341">
      <c r="A2341" s="19" t="n">
        <v>2340</v>
      </c>
      <c r="B2341" s="19" t="inlineStr">
        <is>
          <t>Part IV - Performance Engineering</t>
        </is>
      </c>
      <c r="C2341" s="20" t="inlineStr">
        <is>
          <t>E.4.3 GPU MODE - 116 lectures, enumerated</t>
        </is>
      </c>
      <c r="D2341" s="10" t="inlineStr">
        <is>
          <t>Low-Bit Triton Kernels</t>
        </is>
      </c>
      <c r="E2341" s="10" t="inlineStr">
        <is>
          <t>Hicham Badri</t>
        </is>
      </c>
      <c r="F2341" s="11" t="inlineStr">
        <is>
          <t>1:45:31</t>
        </is>
      </c>
      <c r="G2341" s="11" t="n">
        <v>1.76</v>
      </c>
      <c r="H2341" s="12" t="inlineStr">
        <is>
          <t>★</t>
        </is>
      </c>
      <c r="I2341" s="11" t="inlineStr">
        <is>
          <t>Not started</t>
        </is>
      </c>
      <c r="J2341" s="13" t="n"/>
      <c r="K2341" s="10" t="inlineStr"/>
      <c r="L2341" s="14" t="inlineStr">
        <is>
          <t>▶ watch</t>
        </is>
      </c>
      <c r="M2341" s="10" t="inlineStr">
        <is>
          <t>Jia et al., Dissecting the NVIDIA Volta GPU Architecture via Microbenchmarking, arXiv:1804.06826 (Turing sequel arXiv:1903.07486) · the Hopper and Blackwell architecture whitepapers</t>
        </is>
      </c>
      <c r="N2341" s="14" t="inlineStr">
        <is>
          <t>read ↗</t>
        </is>
      </c>
      <c r="O2341" s="11" t="inlineStr">
        <is>
          <t>reading for The Stephen Jones sequence - and a cavea</t>
        </is>
      </c>
      <c r="P2341" s="10" t="inlineStr"/>
    </row>
    <row r="2342">
      <c r="A2342" s="19" t="n">
        <v>2341</v>
      </c>
      <c r="B2342" s="19" t="inlineStr">
        <is>
          <t>Part IV - Performance Engineering</t>
        </is>
      </c>
      <c r="C2342" s="20" t="inlineStr">
        <is>
          <t>E.4.3 GPU MODE - 116 lectures, enumerated</t>
        </is>
      </c>
      <c r="D2342" s="10" t="inlineStr">
        <is>
          <t>SGLang Performance Optimization</t>
        </is>
      </c>
      <c r="E2342" s="10" t="inlineStr">
        <is>
          <t>Yineng Zhang</t>
        </is>
      </c>
      <c r="F2342" s="11" t="inlineStr">
        <is>
          <t>45:19</t>
        </is>
      </c>
      <c r="G2342" s="11" t="n">
        <v>0.76</v>
      </c>
      <c r="H2342" s="12" t="inlineStr"/>
      <c r="I2342" s="11" t="inlineStr">
        <is>
          <t>Not started</t>
        </is>
      </c>
      <c r="J2342" s="13" t="n"/>
      <c r="K2342" s="10" t="inlineStr"/>
      <c r="L2342" s="14" t="inlineStr">
        <is>
          <t>▶ watch</t>
        </is>
      </c>
      <c r="M2342" s="10" t="inlineStr">
        <is>
          <t>Jia et al., Dissecting the NVIDIA Volta GPU Architecture via Microbenchmarking, arXiv:1804.06826 (Turing sequel arXiv:1903.07486) · the Hopper and Blackwell architecture whitepapers</t>
        </is>
      </c>
      <c r="N2342" s="14" t="inlineStr">
        <is>
          <t>read ↗</t>
        </is>
      </c>
      <c r="O2342" s="11" t="inlineStr">
        <is>
          <t>reading for The Stephen Jones sequence - and a cavea</t>
        </is>
      </c>
      <c r="P2342" s="10" t="inlineStr"/>
    </row>
    <row r="2343">
      <c r="A2343" s="19" t="n">
        <v>2342</v>
      </c>
      <c r="B2343" s="19" t="inlineStr">
        <is>
          <t>Part IV - Performance Engineering</t>
        </is>
      </c>
      <c r="C2343" s="20" t="inlineStr">
        <is>
          <t>E.4.3 GPU MODE - 116 lectures, enumerated</t>
        </is>
      </c>
      <c r="D2343" s="10" t="inlineStr">
        <is>
          <t>Low-Bit Kernels for ARM CPU</t>
        </is>
      </c>
      <c r="E2343" s="10" t="inlineStr">
        <is>
          <t>Scott Roy</t>
        </is>
      </c>
      <c r="F2343" s="11" t="inlineStr">
        <is>
          <t>1:03:41</t>
        </is>
      </c>
      <c r="G2343" s="11" t="n">
        <v>1.06</v>
      </c>
      <c r="H2343" s="12" t="inlineStr"/>
      <c r="I2343" s="11" t="inlineStr">
        <is>
          <t>Not started</t>
        </is>
      </c>
      <c r="J2343" s="13" t="n"/>
      <c r="K2343" s="10" t="inlineStr"/>
      <c r="L2343" s="14" t="inlineStr">
        <is>
          <t>▶ watch</t>
        </is>
      </c>
      <c r="M2343" s="10" t="inlineStr">
        <is>
          <t>Jia et al., Dissecting the NVIDIA Volta GPU Architecture via Microbenchmarking, arXiv:1804.06826 (Turing sequel arXiv:1903.07486) · the Hopper and Blackwell architecture whitepapers</t>
        </is>
      </c>
      <c r="N2343" s="14" t="inlineStr">
        <is>
          <t>read ↗</t>
        </is>
      </c>
      <c r="O2343" s="11" t="inlineStr">
        <is>
          <t>reading for The Stephen Jones sequence - and a cavea</t>
        </is>
      </c>
      <c r="P2343" s="10" t="inlineStr"/>
    </row>
    <row r="2344">
      <c r="A2344" s="19" t="n">
        <v>2343</v>
      </c>
      <c r="B2344" s="19" t="inlineStr">
        <is>
          <t>Part IV - Performance Engineering</t>
        </is>
      </c>
      <c r="C2344" s="20" t="inlineStr">
        <is>
          <t>E.4.3 GPU MODE - 116 lectures, enumerated</t>
        </is>
      </c>
      <c r="D2344" s="10" t="inlineStr">
        <is>
          <t>TorchTitan (FSDP2 / DTensor internals</t>
        </is>
      </c>
      <c r="E2344" s="10" t="inlineStr">
        <is>
          <t>Saroufim &amp; Liu</t>
        </is>
      </c>
      <c r="F2344" s="11" t="inlineStr">
        <is>
          <t>1:23:38</t>
        </is>
      </c>
      <c r="G2344" s="11" t="n">
        <v>1.39</v>
      </c>
      <c r="H2344" s="12" t="inlineStr">
        <is>
          <t>★</t>
        </is>
      </c>
      <c r="I2344" s="11" t="inlineStr">
        <is>
          <t>Not started</t>
        </is>
      </c>
      <c r="J2344" s="13" t="n"/>
      <c r="K2344" s="10" t="inlineStr"/>
      <c r="L2344" s="14" t="inlineStr">
        <is>
          <t>▶ watch</t>
        </is>
      </c>
      <c r="M2344" s="10" t="inlineStr">
        <is>
          <t>Jia et al., Dissecting the NVIDIA Volta GPU Architecture via Microbenchmarking, arXiv:1804.06826 (Turing sequel arXiv:1903.07486) · the Hopper and Blackwell architecture whitepapers</t>
        </is>
      </c>
      <c r="N2344" s="14" t="inlineStr">
        <is>
          <t>read ↗</t>
        </is>
      </c>
      <c r="O2344" s="11" t="inlineStr">
        <is>
          <t>reading for The Stephen Jones sequence - and a cavea</t>
        </is>
      </c>
      <c r="P2344" s="10" t="inlineStr"/>
    </row>
    <row r="2345">
      <c r="A2345" s="19" t="n">
        <v>2344</v>
      </c>
      <c r="B2345" s="19" t="inlineStr">
        <is>
          <t>Part IV - Performance Engineering</t>
        </is>
      </c>
      <c r="C2345" s="20" t="inlineStr">
        <is>
          <t>E.4.3 GPU MODE - 116 lectures, enumerated</t>
        </is>
      </c>
      <c r="D2345" s="10" t="inlineStr">
        <is>
          <t>CUDA Docs for Humans</t>
        </is>
      </c>
      <c r="E2345" s="10" t="inlineStr">
        <is>
          <t>Charles Frye (Modal</t>
        </is>
      </c>
      <c r="F2345" s="11" t="inlineStr">
        <is>
          <t>51:07</t>
        </is>
      </c>
      <c r="G2345" s="11" t="n">
        <v>0.85</v>
      </c>
      <c r="H2345" s="12" t="inlineStr">
        <is>
          <t>★</t>
        </is>
      </c>
      <c r="I2345" s="11" t="inlineStr">
        <is>
          <t>Not started</t>
        </is>
      </c>
      <c r="J2345" s="13" t="n"/>
      <c r="K2345" s="10" t="inlineStr"/>
      <c r="L2345" s="14" t="inlineStr">
        <is>
          <t>▶ watch</t>
        </is>
      </c>
      <c r="M2345" s="10" t="inlineStr">
        <is>
          <t>the CUDA C++ Programming Guide memory-model chapter</t>
        </is>
      </c>
      <c r="N2345" s="14" t="inlineStr">
        <is>
          <t>read ↗</t>
        </is>
      </c>
      <c r="O2345" s="11" t="inlineStr">
        <is>
          <t>names CUDA</t>
        </is>
      </c>
      <c r="P2345" s="10" t="inlineStr"/>
    </row>
    <row r="2346">
      <c r="A2346" s="19" t="n">
        <v>2345</v>
      </c>
      <c r="B2346" s="19" t="inlineStr">
        <is>
          <t>Part IV - Performance Engineering</t>
        </is>
      </c>
      <c r="C2346" s="20" t="inlineStr">
        <is>
          <t>E.4.3 GPU MODE - 116 lectures, enumerated</t>
        </is>
      </c>
      <c r="D2346" s="10" t="inlineStr">
        <is>
          <t>Zihao Ye (UW</t>
        </is>
      </c>
      <c r="E2346" s="10" t="inlineStr">
        <is>
          <t>FlashInfer</t>
        </is>
      </c>
      <c r="F2346" s="11" t="inlineStr">
        <is>
          <t>1:08:51</t>
        </is>
      </c>
      <c r="G2346" s="11" t="n">
        <v>1.15</v>
      </c>
      <c r="H2346" s="12" t="inlineStr"/>
      <c r="I2346" s="11" t="inlineStr">
        <is>
          <t>Not started</t>
        </is>
      </c>
      <c r="J2346" s="13" t="n"/>
      <c r="K2346" s="10" t="inlineStr"/>
      <c r="L2346" s="14" t="inlineStr">
        <is>
          <t>▶ watch</t>
        </is>
      </c>
      <c r="M2346" s="10" t="inlineStr">
        <is>
          <t>Jia et al., Dissecting the NVIDIA Volta GPU Architecture via Microbenchmarking, arXiv:1804.06826 (Turing sequel arXiv:1903.07486) · the Hopper and Blackwell architecture whitepapers</t>
        </is>
      </c>
      <c r="N2346" s="14" t="inlineStr">
        <is>
          <t>read ↗</t>
        </is>
      </c>
      <c r="O2346" s="11" t="inlineStr">
        <is>
          <t>reading for The Stephen Jones sequence - and a cavea</t>
        </is>
      </c>
      <c r="P2346" s="10" t="inlineStr"/>
    </row>
    <row r="2347">
      <c r="A2347" s="19" t="n">
        <v>2346</v>
      </c>
      <c r="B2347" s="19" t="inlineStr">
        <is>
          <t>Part IV - Performance Engineering</t>
        </is>
      </c>
      <c r="C2347" s="20" t="inlineStr">
        <is>
          <t>E.4.3 GPU MODE - 116 lectures, enumerated</t>
        </is>
      </c>
      <c r="D2347" s="10" t="inlineStr">
        <is>
          <t>Adam Paszke (Google</t>
        </is>
      </c>
      <c r="E2347" s="10" t="inlineStr">
        <is>
          <t>Mosaic GPU</t>
        </is>
      </c>
      <c r="F2347" s="11" t="inlineStr">
        <is>
          <t>1:26:25</t>
        </is>
      </c>
      <c r="G2347" s="11" t="n">
        <v>1.44</v>
      </c>
      <c r="H2347" s="12" t="inlineStr"/>
      <c r="I2347" s="11" t="inlineStr">
        <is>
          <t>Not started</t>
        </is>
      </c>
      <c r="J2347" s="13" t="n"/>
      <c r="K2347" s="10" t="inlineStr"/>
      <c r="L2347" s="14" t="inlineStr">
        <is>
          <t>▶ watch</t>
        </is>
      </c>
      <c r="M2347" s="10" t="inlineStr">
        <is>
          <t>Jia et al., Dissecting the NVIDIA Volta GPU Architecture via Microbenchmarking, arXiv:1804.06826 (Turing sequel arXiv:1903.07486) · the Hopper and Blackwell architecture whitepapers</t>
        </is>
      </c>
      <c r="N2347" s="14" t="inlineStr">
        <is>
          <t>read ↗</t>
        </is>
      </c>
      <c r="O2347" s="11" t="inlineStr">
        <is>
          <t>reading for The Stephen Jones sequence - and a cavea</t>
        </is>
      </c>
      <c r="P2347" s="10" t="inlineStr"/>
    </row>
    <row r="2348">
      <c r="A2348" s="19" t="n">
        <v>2347</v>
      </c>
      <c r="B2348" s="19" t="inlineStr">
        <is>
          <t>Part IV - Performance Engineering</t>
        </is>
      </c>
      <c r="C2348" s="20" t="inlineStr">
        <is>
          <t>E.4.3 GPU MODE - 116 lectures, enumerated</t>
        </is>
      </c>
      <c r="D2348" s="10" t="inlineStr">
        <is>
          <t>int8 Tensor-Core Matmul for Turing</t>
        </is>
      </c>
      <c r="E2348" s="10" t="inlineStr">
        <is>
          <t>Erik Schultheis</t>
        </is>
      </c>
      <c r="F2348" s="11" t="inlineStr">
        <is>
          <t>1:17:11</t>
        </is>
      </c>
      <c r="G2348" s="11" t="n">
        <v>1.29</v>
      </c>
      <c r="H2348" s="12" t="inlineStr">
        <is>
          <t>★</t>
        </is>
      </c>
      <c r="I2348" s="11" t="inlineStr">
        <is>
          <t>Not started</t>
        </is>
      </c>
      <c r="J2348" s="13" t="n"/>
      <c r="K2348" s="10" t="inlineStr"/>
      <c r="L2348" s="14" t="inlineStr">
        <is>
          <t>▶ watch</t>
        </is>
      </c>
      <c r="M2348" s="10" t="inlineStr">
        <is>
          <t>Jia et al., Dissecting the NVIDIA Volta GPU Architecture via Microbenchmarking, arXiv:1804.06826 (Turing sequel arXiv:1903.07486) · the Hopper and Blackwell architecture whitepapers</t>
        </is>
      </c>
      <c r="N2348" s="14" t="inlineStr">
        <is>
          <t>read ↗</t>
        </is>
      </c>
      <c r="O2348" s="11" t="inlineStr">
        <is>
          <t>reading for The Stephen Jones sequence - and a cavea</t>
        </is>
      </c>
      <c r="P2348" s="10" t="inlineStr"/>
    </row>
    <row r="2349">
      <c r="A2349" s="19" t="n">
        <v>2348</v>
      </c>
      <c r="B2349" s="19" t="inlineStr">
        <is>
          <t>Part IV - Performance Engineering</t>
        </is>
      </c>
      <c r="C2349" s="20" t="inlineStr">
        <is>
          <t>E.4.3 GPU MODE - 116 lectures, enumerated</t>
        </is>
      </c>
      <c r="D2349" s="10" t="inlineStr">
        <is>
          <t>NVIDIA Profiling (2h deep dive</t>
        </is>
      </c>
      <c r="E2349" s="10" t="inlineStr">
        <is>
          <t>NVIDIA tools engineers</t>
        </is>
      </c>
      <c r="F2349" s="11" t="inlineStr">
        <is>
          <t>2:07:16</t>
        </is>
      </c>
      <c r="G2349" s="11" t="n">
        <v>2.12</v>
      </c>
      <c r="H2349" s="12" t="inlineStr">
        <is>
          <t>★</t>
        </is>
      </c>
      <c r="I2349" s="11" t="inlineStr">
        <is>
          <t>Not started</t>
        </is>
      </c>
      <c r="J2349" s="13" t="n"/>
      <c r="K2349" s="10" t="inlineStr"/>
      <c r="L2349" s="14" t="inlineStr">
        <is>
          <t>▶ watch</t>
        </is>
      </c>
      <c r="M2349" s="10" t="inlineStr">
        <is>
          <t>Jia et al., Dissecting the NVIDIA Volta GPU Architecture via Microbenchmarking, arXiv:1804.06826 (Turing sequel arXiv:1903.07486)</t>
        </is>
      </c>
      <c r="N2349" s="14" t="inlineStr">
        <is>
          <t>read ↗</t>
        </is>
      </c>
      <c r="O2349" s="11" t="inlineStr">
        <is>
          <t>names NVIDIA</t>
        </is>
      </c>
      <c r="P2349" s="10" t="inlineStr">
        <is>
          <t>E.4.6 Profiling - finding the actual bottleneck</t>
        </is>
      </c>
    </row>
    <row r="2350">
      <c r="A2350" s="19" t="n">
        <v>2349</v>
      </c>
      <c r="B2350" s="19" t="inlineStr">
        <is>
          <t>Part IV - Performance Engineering</t>
        </is>
      </c>
      <c r="C2350" s="20" t="inlineStr">
        <is>
          <t>E.4.3 GPU MODE - 116 lectures, enumerated</t>
        </is>
      </c>
      <c r="D2350" s="10" t="inlineStr">
        <is>
          <t>Outperforming cuBLAS on H100</t>
        </is>
      </c>
      <c r="E2350" s="10" t="inlineStr">
        <is>
          <t>pranjalssh</t>
        </is>
      </c>
      <c r="F2350" s="11" t="inlineStr">
        <is>
          <t>1:16:01</t>
        </is>
      </c>
      <c r="G2350" s="11" t="n">
        <v>1.27</v>
      </c>
      <c r="H2350" s="12" t="inlineStr">
        <is>
          <t>★</t>
        </is>
      </c>
      <c r="I2350" s="11" t="inlineStr">
        <is>
          <t>Not started</t>
        </is>
      </c>
      <c r="J2350" s="13" t="n"/>
      <c r="K2350" s="10" t="inlineStr"/>
      <c r="L2350" s="14" t="inlineStr">
        <is>
          <t>▶ watch</t>
        </is>
      </c>
      <c r="M2350" s="10" t="inlineStr">
        <is>
          <t>Jia et al., Dissecting the NVIDIA Volta GPU Architecture via Microbenchmarking, arXiv:1804.06826 (Turing sequel arXiv:1903.07486) · the Hopper and Blackwell architecture whitepapers</t>
        </is>
      </c>
      <c r="N2350" s="14" t="inlineStr">
        <is>
          <t>read ↗</t>
        </is>
      </c>
      <c r="O2350" s="11" t="inlineStr">
        <is>
          <t>reading for The Stephen Jones sequence - and a cavea</t>
        </is>
      </c>
      <c r="P2350" s="10" t="inlineStr"/>
    </row>
    <row r="2351">
      <c r="A2351" s="19" t="n">
        <v>2350</v>
      </c>
      <c r="B2351" s="19" t="inlineStr">
        <is>
          <t>Part IV - Performance Engineering</t>
        </is>
      </c>
      <c r="C2351" s="20" t="inlineStr">
        <is>
          <t>E.4.3 GPU MODE - 116 lectures, enumerated</t>
        </is>
      </c>
      <c r="D2351" s="10" t="inlineStr">
        <is>
          <t>Distributed GEMM</t>
        </is>
      </c>
      <c r="E2351" s="10" t="inlineStr">
        <is>
          <t>Ali Hassani</t>
        </is>
      </c>
      <c r="F2351" s="11" t="inlineStr">
        <is>
          <t>1:27:29</t>
        </is>
      </c>
      <c r="G2351" s="11" t="n">
        <v>1.46</v>
      </c>
      <c r="H2351" s="12" t="inlineStr">
        <is>
          <t>★</t>
        </is>
      </c>
      <c r="I2351" s="11" t="inlineStr">
        <is>
          <t>Not started</t>
        </is>
      </c>
      <c r="J2351" s="13" t="n"/>
      <c r="K2351" s="10" t="inlineStr"/>
      <c r="L2351" s="14" t="inlineStr">
        <is>
          <t>▶ watch</t>
        </is>
      </c>
      <c r="M2351" s="10" t="inlineStr">
        <is>
          <t>Jia et al., Dissecting the NVIDIA Volta GPU Architecture via Microbenchmarking, arXiv:1804.06826 (Turing sequel arXiv:1903.07486) · the Hopper and Blackwell architecture whitepapers</t>
        </is>
      </c>
      <c r="N2351" s="14" t="inlineStr">
        <is>
          <t>read ↗</t>
        </is>
      </c>
      <c r="O2351" s="11" t="inlineStr">
        <is>
          <t>reading for The Stephen Jones sequence - and a cavea</t>
        </is>
      </c>
      <c r="P2351" s="10" t="inlineStr"/>
    </row>
    <row r="2352">
      <c r="A2352" s="19" t="n">
        <v>2351</v>
      </c>
      <c r="B2352" s="19" t="inlineStr">
        <is>
          <t>Part IV - Performance Engineering</t>
        </is>
      </c>
      <c r="C2352" s="20" t="inlineStr">
        <is>
          <t>E.4.3 GPU MODE - 116 lectures, enumerated</t>
        </is>
      </c>
      <c r="D2352" s="10" t="inlineStr">
        <is>
          <t>KernelBot</t>
        </is>
      </c>
      <c r="E2352" s="10" t="inlineStr"/>
      <c r="F2352" s="11" t="inlineStr">
        <is>
          <t>1:02:23</t>
        </is>
      </c>
      <c r="G2352" s="11" t="n">
        <v>1.04</v>
      </c>
      <c r="H2352" s="12" t="inlineStr"/>
      <c r="I2352" s="11" t="inlineStr">
        <is>
          <t>Not started</t>
        </is>
      </c>
      <c r="J2352" s="13" t="n"/>
      <c r="K2352" s="10" t="inlineStr"/>
      <c r="L2352" s="14" t="inlineStr">
        <is>
          <t>▶ watch</t>
        </is>
      </c>
      <c r="M2352" s="10" t="inlineStr">
        <is>
          <t>Jia et al., Dissecting the NVIDIA Volta GPU Architecture via Microbenchmarking, arXiv:1804.06826 (Turing sequel arXiv:1903.07486) · the Hopper and Blackwell architecture whitepapers</t>
        </is>
      </c>
      <c r="N2352" s="14" t="inlineStr">
        <is>
          <t>read ↗</t>
        </is>
      </c>
      <c r="O2352" s="11" t="inlineStr">
        <is>
          <t>reading for The Stephen Jones sequence - and a cavea</t>
        </is>
      </c>
      <c r="P2352" s="10" t="inlineStr"/>
    </row>
    <row r="2353">
      <c r="A2353" s="19" t="n">
        <v>2352</v>
      </c>
      <c r="B2353" s="19" t="inlineStr">
        <is>
          <t>Part IV - Performance Engineering</t>
        </is>
      </c>
      <c r="C2353" s="20" t="inlineStr">
        <is>
          <t>E.4.3 GPU MODE - 116 lectures, enumerated</t>
        </is>
      </c>
      <c r="D2353" s="10" t="inlineStr">
        <is>
          <t>Low-Bit Metal Kernels</t>
        </is>
      </c>
      <c r="E2353" s="10" t="inlineStr">
        <is>
          <t>Manuel Candales</t>
        </is>
      </c>
      <c r="F2353" s="11" t="inlineStr">
        <is>
          <t>1:31:55</t>
        </is>
      </c>
      <c r="G2353" s="11" t="n">
        <v>1.53</v>
      </c>
      <c r="H2353" s="12" t="inlineStr"/>
      <c r="I2353" s="11" t="inlineStr">
        <is>
          <t>Not started</t>
        </is>
      </c>
      <c r="J2353" s="13" t="n"/>
      <c r="K2353" s="10" t="inlineStr"/>
      <c r="L2353" s="14" t="inlineStr">
        <is>
          <t>▶ watch</t>
        </is>
      </c>
      <c r="M2353" s="10" t="inlineStr">
        <is>
          <t>Jia et al., Dissecting the NVIDIA Volta GPU Architecture via Microbenchmarking, arXiv:1804.06826 (Turing sequel arXiv:1903.07486) · the Hopper and Blackwell architecture whitepapers</t>
        </is>
      </c>
      <c r="N2353" s="14" t="inlineStr">
        <is>
          <t>read ↗</t>
        </is>
      </c>
      <c r="O2353" s="11" t="inlineStr">
        <is>
          <t>reading for The Stephen Jones sequence - and a cavea</t>
        </is>
      </c>
      <c r="P2353" s="10" t="inlineStr"/>
    </row>
    <row r="2354">
      <c r="A2354" s="19" t="n">
        <v>2353</v>
      </c>
      <c r="B2354" s="19" t="inlineStr">
        <is>
          <t>Part IV - Performance Engineering</t>
        </is>
      </c>
      <c r="C2354" s="20" t="inlineStr">
        <is>
          <t>E.4.3 GPU MODE - 116 lectures, enumerated</t>
        </is>
      </c>
      <c r="D2354" s="10" t="inlineStr">
        <is>
          <t>A Learning Journey: CUDA, Triton, Flash Attention</t>
        </is>
      </c>
      <c r="E2354" s="10" t="inlineStr">
        <is>
          <t>Umar Jamil</t>
        </is>
      </c>
      <c r="F2354" s="11" t="inlineStr">
        <is>
          <t>1:20:43</t>
        </is>
      </c>
      <c r="G2354" s="11" t="n">
        <v>1.35</v>
      </c>
      <c r="H2354" s="12" t="inlineStr"/>
      <c r="I2354" s="11" t="inlineStr">
        <is>
          <t>Not started</t>
        </is>
      </c>
      <c r="J2354" s="13" t="n"/>
      <c r="K2354" s="10" t="inlineStr"/>
      <c r="L2354" s="14" t="inlineStr">
        <is>
          <t>▶ watch</t>
        </is>
      </c>
      <c r="M2354" s="10" t="inlineStr">
        <is>
          <t>the CUDA C++ Programming Guide memory-model chapter</t>
        </is>
      </c>
      <c r="N2354" s="14" t="inlineStr">
        <is>
          <t>read ↗</t>
        </is>
      </c>
      <c r="O2354" s="11" t="inlineStr">
        <is>
          <t>names CUDA</t>
        </is>
      </c>
      <c r="P2354" s="10" t="inlineStr"/>
    </row>
    <row r="2355">
      <c r="A2355" s="19" t="n">
        <v>2354</v>
      </c>
      <c r="B2355" s="19" t="inlineStr">
        <is>
          <t>Part IV - Performance Engineering</t>
        </is>
      </c>
      <c r="C2355" s="20" t="inlineStr">
        <is>
          <t>E.4.3 GPU MODE - 116 lectures, enumerated</t>
        </is>
      </c>
      <c r="D2355" s="10" t="inlineStr">
        <is>
          <t>Consumer GPU Performance</t>
        </is>
      </c>
      <c r="E2355" s="10" t="inlineStr">
        <is>
          <t>Jake Cannell</t>
        </is>
      </c>
      <c r="F2355" s="11" t="inlineStr">
        <is>
          <t>1:16:01</t>
        </is>
      </c>
      <c r="G2355" s="11" t="n">
        <v>1.27</v>
      </c>
      <c r="H2355" s="12" t="inlineStr"/>
      <c r="I2355" s="11" t="inlineStr">
        <is>
          <t>Not started</t>
        </is>
      </c>
      <c r="J2355" s="13" t="n"/>
      <c r="K2355" s="10" t="inlineStr"/>
      <c r="L2355" s="14" t="inlineStr">
        <is>
          <t>▶ watch</t>
        </is>
      </c>
      <c r="M2355" s="10" t="inlineStr">
        <is>
          <t>Jia et al., Dissecting the NVIDIA Volta GPU Architecture via Microbenchmarking, arXiv:1804.06826 (Turing sequel arXiv:1903.07486) · the Hopper and Blackwell architecture whitepapers</t>
        </is>
      </c>
      <c r="N2355" s="14" t="inlineStr">
        <is>
          <t>read ↗</t>
        </is>
      </c>
      <c r="O2355" s="11" t="inlineStr">
        <is>
          <t>reading for The Stephen Jones sequence - and a cavea</t>
        </is>
      </c>
      <c r="P2355" s="10" t="inlineStr"/>
    </row>
    <row r="2356">
      <c r="A2356" s="19" t="n">
        <v>2355</v>
      </c>
      <c r="B2356" s="19" t="inlineStr">
        <is>
          <t>Part IV - Performance Engineering</t>
        </is>
      </c>
      <c r="C2356" s="20" t="inlineStr">
        <is>
          <t>E.4.3 GPU MODE - 116 lectures, enumerated</t>
        </is>
      </c>
      <c r="D2356" s="10" t="inlineStr">
        <is>
          <t>torch.compile Q&amp;A</t>
        </is>
      </c>
      <c r="E2356" s="10" t="inlineStr">
        <is>
          <t>Richard Zou (Meta</t>
        </is>
      </c>
      <c r="F2356" s="11" t="inlineStr">
        <is>
          <t>1:26:51</t>
        </is>
      </c>
      <c r="G2356" s="11" t="n">
        <v>1.45</v>
      </c>
      <c r="H2356" s="12" t="inlineStr">
        <is>
          <t>★</t>
        </is>
      </c>
      <c r="I2356" s="11" t="inlineStr">
        <is>
          <t>Not started</t>
        </is>
      </c>
      <c r="J2356" s="13" t="n"/>
      <c r="K2356" s="10" t="inlineStr"/>
      <c r="L2356" s="14" t="inlineStr">
        <is>
          <t>▶ watch</t>
        </is>
      </c>
      <c r="M2356" s="10" t="inlineStr">
        <is>
          <t>Jia et al., Dissecting the NVIDIA Volta GPU Architecture via Microbenchmarking, arXiv:1804.06826 (Turing sequel arXiv:1903.07486) · the Hopper and Blackwell architecture whitepapers</t>
        </is>
      </c>
      <c r="N2356" s="14" t="inlineStr">
        <is>
          <t>read ↗</t>
        </is>
      </c>
      <c r="O2356" s="11" t="inlineStr">
        <is>
          <t>reading for The Stephen Jones sequence - and a cavea</t>
        </is>
      </c>
      <c r="P2356" s="10" t="inlineStr"/>
    </row>
    <row r="2357">
      <c r="A2357" s="19" t="n">
        <v>2356</v>
      </c>
      <c r="B2357" s="19" t="inlineStr">
        <is>
          <t>Part IV - Performance Engineering</t>
        </is>
      </c>
      <c r="C2357" s="20" t="inlineStr">
        <is>
          <t>E.4.3 GPU MODE - 116 lectures, enumerated</t>
        </is>
      </c>
      <c r="D2357" s="10" t="inlineStr">
        <is>
          <t>Small RL Models with LeanRL</t>
        </is>
      </c>
      <c r="E2357" s="10" t="inlineStr"/>
      <c r="F2357" s="11" t="inlineStr">
        <is>
          <t>53:49</t>
        </is>
      </c>
      <c r="G2357" s="11" t="n">
        <v>0.9</v>
      </c>
      <c r="H2357" s="12" t="inlineStr"/>
      <c r="I2357" s="11" t="inlineStr">
        <is>
          <t>Not started</t>
        </is>
      </c>
      <c r="J2357" s="13" t="n"/>
      <c r="K2357" s="10" t="inlineStr"/>
      <c r="L2357" s="14" t="inlineStr">
        <is>
          <t>▶ watch</t>
        </is>
      </c>
      <c r="M2357" s="10" t="inlineStr">
        <is>
          <t>Jia et al., Dissecting the NVIDIA Volta GPU Architecture via Microbenchmarking, arXiv:1804.06826 (Turing sequel arXiv:1903.07486) · the Hopper and Blackwell architecture whitepapers</t>
        </is>
      </c>
      <c r="N2357" s="14" t="inlineStr">
        <is>
          <t>read ↗</t>
        </is>
      </c>
      <c r="O2357" s="11" t="inlineStr">
        <is>
          <t>reading for The Stephen Jones sequence - and a cavea</t>
        </is>
      </c>
      <c r="P2357" s="10" t="inlineStr"/>
    </row>
    <row r="2358">
      <c r="A2358" s="19" t="n">
        <v>2357</v>
      </c>
      <c r="B2358" s="19" t="inlineStr">
        <is>
          <t>Part IV - Performance Engineering</t>
        </is>
      </c>
      <c r="C2358" s="20" t="inlineStr">
        <is>
          <t>E.4.3 GPU MODE - 116 lectures, enumerated</t>
        </is>
      </c>
      <c r="D2358" s="10" t="inlineStr">
        <is>
          <t>Modular</t>
        </is>
      </c>
      <c r="E2358" s="10" t="inlineStr">
        <is>
          <t>Mojo</t>
        </is>
      </c>
      <c r="F2358" s="11" t="inlineStr">
        <is>
          <t>2:13:12</t>
        </is>
      </c>
      <c r="G2358" s="11" t="n">
        <v>2.22</v>
      </c>
      <c r="H2358" s="12" t="inlineStr"/>
      <c r="I2358" s="11" t="inlineStr">
        <is>
          <t>Not started</t>
        </is>
      </c>
      <c r="J2358" s="13" t="n"/>
      <c r="K2358" s="10" t="inlineStr"/>
      <c r="L2358" s="14" t="inlineStr">
        <is>
          <t>▶ watch</t>
        </is>
      </c>
      <c r="M2358" s="10" t="inlineStr">
        <is>
          <t>Jia et al., Dissecting the NVIDIA Volta GPU Architecture via Microbenchmarking, arXiv:1804.06826 (Turing sequel arXiv:1903.07486) · the Hopper and Blackwell architecture whitepapers</t>
        </is>
      </c>
      <c r="N2358" s="14" t="inlineStr">
        <is>
          <t>read ↗</t>
        </is>
      </c>
      <c r="O2358" s="11" t="inlineStr">
        <is>
          <t>reading for The Stephen Jones sequence - and a cavea</t>
        </is>
      </c>
      <c r="P2358" s="10" t="inlineStr"/>
    </row>
    <row r="2359">
      <c r="A2359" s="19" t="n">
        <v>2358</v>
      </c>
      <c r="B2359" s="19" t="inlineStr">
        <is>
          <t>Part IV - Performance Engineering</t>
        </is>
      </c>
      <c r="C2359" s="20" t="inlineStr">
        <is>
          <t>E.4.3 GPU MODE - 116 lectures, enumerated</t>
        </is>
      </c>
      <c r="D2359" s="10" t="inlineStr">
        <is>
          <t>Georgii Evtushenko (NVIDIA</t>
        </is>
      </c>
      <c r="E2359" s="10" t="inlineStr">
        <is>
          <t>Kernel Benchmarking Tales</t>
        </is>
      </c>
      <c r="F2359" s="11" t="inlineStr">
        <is>
          <t>1:07:57</t>
        </is>
      </c>
      <c r="G2359" s="11" t="n">
        <v>1.13</v>
      </c>
      <c r="H2359" s="12" t="inlineStr">
        <is>
          <t>★</t>
        </is>
      </c>
      <c r="I2359" s="11" t="inlineStr">
        <is>
          <t>Not started</t>
        </is>
      </c>
      <c r="J2359" s="13" t="n"/>
      <c r="K2359" s="10" t="inlineStr"/>
      <c r="L2359" s="14" t="inlineStr">
        <is>
          <t>▶ watch</t>
        </is>
      </c>
      <c r="M2359" s="10" t="inlineStr">
        <is>
          <t>Jia et al., Dissecting the NVIDIA Volta GPU Architecture via Microbenchmarking, arXiv:1804.06826 (Turing sequel arXiv:1903.07486)</t>
        </is>
      </c>
      <c r="N2359" s="14" t="inlineStr">
        <is>
          <t>read ↗</t>
        </is>
      </c>
      <c r="O2359" s="11" t="inlineStr">
        <is>
          <t>names NVIDIA</t>
        </is>
      </c>
      <c r="P2359" s="10" t="inlineStr"/>
    </row>
    <row r="2360">
      <c r="A2360" s="19" t="n">
        <v>2359</v>
      </c>
      <c r="B2360" s="19" t="inlineStr">
        <is>
          <t>Part IV - Performance Engineering</t>
        </is>
      </c>
      <c r="C2360" s="20" t="inlineStr">
        <is>
          <t>E.4.3 GPU MODE - 116 lectures, enumerated</t>
        </is>
      </c>
      <c r="D2360" s="10" t="inlineStr">
        <is>
          <t>Cris Cecka (NVIDIA, CuTe architect</t>
        </is>
      </c>
      <c r="E2360" s="10" t="inlineStr">
        <is>
          <t>CuTe</t>
        </is>
      </c>
      <c r="F2360" s="11" t="inlineStr">
        <is>
          <t>1:24:33</t>
        </is>
      </c>
      <c r="G2360" s="11" t="n">
        <v>1.41</v>
      </c>
      <c r="H2360" s="12" t="inlineStr">
        <is>
          <t>★</t>
        </is>
      </c>
      <c r="I2360" s="11" t="inlineStr">
        <is>
          <t>Not started</t>
        </is>
      </c>
      <c r="J2360" s="13" t="n"/>
      <c r="K2360" s="10" t="inlineStr"/>
      <c r="L2360" s="14" t="inlineStr">
        <is>
          <t>▶ watch</t>
        </is>
      </c>
      <c r="M2360" s="10" t="inlineStr">
        <is>
          <t>Jia et al., Dissecting the NVIDIA Volta GPU Architecture via Microbenchmarking, arXiv:1804.06826 (Turing sequel arXiv:1903.07486)</t>
        </is>
      </c>
      <c r="N2360" s="14" t="inlineStr">
        <is>
          <t>read ↗</t>
        </is>
      </c>
      <c r="O2360" s="11" t="inlineStr">
        <is>
          <t>names NVIDIA</t>
        </is>
      </c>
      <c r="P2360" s="10" t="inlineStr">
        <is>
          <t>E.4.5 CUTLASS and CuTe</t>
        </is>
      </c>
    </row>
    <row r="2361">
      <c r="A2361" s="19" t="n">
        <v>2360</v>
      </c>
      <c r="B2361" s="19" t="inlineStr">
        <is>
          <t>Part IV - Performance Engineering</t>
        </is>
      </c>
      <c r="C2361" s="20" t="inlineStr">
        <is>
          <t>E.4.3 GPU MODE - 116 lectures, enumerated</t>
        </is>
      </c>
      <c r="D2361" s="10" t="inlineStr">
        <is>
          <t>Disaggregated LLM Inference</t>
        </is>
      </c>
      <c r="E2361" s="10" t="inlineStr">
        <is>
          <t>Junda Chen</t>
        </is>
      </c>
      <c r="F2361" s="11" t="inlineStr">
        <is>
          <t>1:15:19</t>
        </is>
      </c>
      <c r="G2361" s="11" t="n">
        <v>1.26</v>
      </c>
      <c r="H2361" s="12" t="inlineStr">
        <is>
          <t>★</t>
        </is>
      </c>
      <c r="I2361" s="11" t="inlineStr">
        <is>
          <t>Not started</t>
        </is>
      </c>
      <c r="J2361" s="13" t="n"/>
      <c r="K2361" s="10" t="inlineStr"/>
      <c r="L2361" s="14" t="inlineStr">
        <is>
          <t>▶ watch</t>
        </is>
      </c>
      <c r="M2361" s="10" t="inlineStr">
        <is>
          <t>Jia et al., Dissecting the NVIDIA Volta GPU Architecture via Microbenchmarking, arXiv:1804.06826 (Turing sequel arXiv:1903.07486) · the Hopper and Blackwell architecture whitepapers</t>
        </is>
      </c>
      <c r="N2361" s="14" t="inlineStr">
        <is>
          <t>read ↗</t>
        </is>
      </c>
      <c r="O2361" s="11" t="inlineStr">
        <is>
          <t>reading for The Stephen Jones sequence - and a cavea</t>
        </is>
      </c>
      <c r="P2361" s="10" t="inlineStr">
        <is>
          <t>E.7.5 Serving, batching and memory</t>
        </is>
      </c>
    </row>
    <row r="2362">
      <c r="A2362" s="19" t="n">
        <v>2361</v>
      </c>
      <c r="B2362" s="19" t="inlineStr">
        <is>
          <t>Part IV - Performance Engineering</t>
        </is>
      </c>
      <c r="C2362" s="20" t="inlineStr">
        <is>
          <t>E.4.3 GPU MODE - 116 lectures, enumerated</t>
        </is>
      </c>
      <c r="D2362" s="10" t="inlineStr">
        <is>
          <t>FastVideo</t>
        </is>
      </c>
      <c r="E2362" s="10" t="inlineStr"/>
      <c r="F2362" s="11" t="inlineStr">
        <is>
          <t>1:04:11</t>
        </is>
      </c>
      <c r="G2362" s="11" t="n">
        <v>1.07</v>
      </c>
      <c r="H2362" s="12" t="inlineStr"/>
      <c r="I2362" s="11" t="inlineStr">
        <is>
          <t>Not started</t>
        </is>
      </c>
      <c r="J2362" s="13" t="n"/>
      <c r="K2362" s="10" t="inlineStr"/>
      <c r="L2362" s="14" t="inlineStr">
        <is>
          <t>▶ watch</t>
        </is>
      </c>
      <c r="M2362" s="10" t="inlineStr">
        <is>
          <t>Jia et al., Dissecting the NVIDIA Volta GPU Architecture via Microbenchmarking, arXiv:1804.06826 (Turing sequel arXiv:1903.07486) · the Hopper and Blackwell architecture whitepapers</t>
        </is>
      </c>
      <c r="N2362" s="14" t="inlineStr">
        <is>
          <t>read ↗</t>
        </is>
      </c>
      <c r="O2362" s="11" t="inlineStr">
        <is>
          <t>reading for The Stephen Jones sequence - and a cavea</t>
        </is>
      </c>
      <c r="P2362" s="10" t="inlineStr"/>
    </row>
    <row r="2363">
      <c r="A2363" s="19" t="n">
        <v>2362</v>
      </c>
      <c r="B2363" s="19" t="inlineStr">
        <is>
          <t>Part IV - Performance Engineering</t>
        </is>
      </c>
      <c r="C2363" s="20" t="inlineStr">
        <is>
          <t>E.4.3 GPU MODE - 116 lectures, enumerated</t>
        </is>
      </c>
      <c r="D2363" s="10" t="inlineStr">
        <is>
          <t>Optimizing Linear Attention</t>
        </is>
      </c>
      <c r="E2363" s="10" t="inlineStr">
        <is>
          <t>Songlin Yang (MIT</t>
        </is>
      </c>
      <c r="F2363" s="11" t="inlineStr">
        <is>
          <t>1:07:39</t>
        </is>
      </c>
      <c r="G2363" s="11" t="n">
        <v>1.13</v>
      </c>
      <c r="H2363" s="12" t="inlineStr">
        <is>
          <t>★</t>
        </is>
      </c>
      <c r="I2363" s="11" t="inlineStr">
        <is>
          <t>Not started</t>
        </is>
      </c>
      <c r="J2363" s="13" t="n"/>
      <c r="K2363" s="10" t="inlineStr"/>
      <c r="L2363" s="14" t="inlineStr">
        <is>
          <t>▶ watch</t>
        </is>
      </c>
      <c r="M2363" s="10" t="inlineStr">
        <is>
          <t>Jia et al., Dissecting the NVIDIA Volta GPU Architecture via Microbenchmarking, arXiv:1804.06826 (Turing sequel arXiv:1903.07486) · the Hopper and Blackwell architecture whitepapers</t>
        </is>
      </c>
      <c r="N2363" s="14" t="inlineStr">
        <is>
          <t>read ↗</t>
        </is>
      </c>
      <c r="O2363" s="11" t="inlineStr">
        <is>
          <t>reading for The Stephen Jones sequence - and a cavea</t>
        </is>
      </c>
      <c r="P2363" s="10" t="inlineStr"/>
    </row>
    <row r="2364">
      <c r="A2364" s="19" t="n">
        <v>2363</v>
      </c>
      <c r="B2364" s="19" t="inlineStr">
        <is>
          <t>Part IV - Performance Engineering</t>
        </is>
      </c>
      <c r="C2364" s="20" t="inlineStr">
        <is>
          <t>E.4.3 GPU MODE - 116 lectures, enumerated</t>
        </is>
      </c>
      <c r="D2364" s="10" t="inlineStr">
        <is>
          <t>Jain, Arunkumar, Srivastava</t>
        </is>
      </c>
      <c r="E2364" s="10" t="inlineStr">
        <is>
          <t>D-Matrix Corsair</t>
        </is>
      </c>
      <c r="F2364" s="11" t="inlineStr">
        <is>
          <t>1:38:09</t>
        </is>
      </c>
      <c r="G2364" s="11" t="n">
        <v>1.64</v>
      </c>
      <c r="H2364" s="12" t="inlineStr"/>
      <c r="I2364" s="11" t="inlineStr">
        <is>
          <t>Not started</t>
        </is>
      </c>
      <c r="J2364" s="13" t="n"/>
      <c r="K2364" s="10" t="inlineStr"/>
      <c r="L2364" s="14" t="inlineStr">
        <is>
          <t>▶ watch</t>
        </is>
      </c>
      <c r="M2364" s="10" t="inlineStr">
        <is>
          <t>Jia et al., Dissecting the NVIDIA Volta GPU Architecture via Microbenchmarking, arXiv:1804.06826 (Turing sequel arXiv:1903.07486) · the Hopper and Blackwell architecture whitepapers</t>
        </is>
      </c>
      <c r="N2364" s="14" t="inlineStr">
        <is>
          <t>read ↗</t>
        </is>
      </c>
      <c r="O2364" s="11" t="inlineStr">
        <is>
          <t>reading for The Stephen Jones sequence - and a cavea</t>
        </is>
      </c>
      <c r="P2364" s="10" t="inlineStr"/>
    </row>
    <row r="2365">
      <c r="A2365" s="19" t="n">
        <v>2364</v>
      </c>
      <c r="B2365" s="19" t="inlineStr">
        <is>
          <t>Part IV - Performance Engineering</t>
        </is>
      </c>
      <c r="C2365" s="20" t="inlineStr">
        <is>
          <t>E.4.3 GPU MODE - 116 lectures, enumerated</t>
        </is>
      </c>
      <c r="D2365" s="10" t="inlineStr">
        <is>
          <t>Exo 2 - Growing a Scheduling Language</t>
        </is>
      </c>
      <c r="E2365" s="10" t="inlineStr">
        <is>
          <t>Yuka Ikarashi (MIT</t>
        </is>
      </c>
      <c r="F2365" s="11" t="inlineStr">
        <is>
          <t>1:08:23</t>
        </is>
      </c>
      <c r="G2365" s="11" t="n">
        <v>1.14</v>
      </c>
      <c r="H2365" s="12" t="inlineStr"/>
      <c r="I2365" s="11" t="inlineStr">
        <is>
          <t>Not started</t>
        </is>
      </c>
      <c r="J2365" s="13" t="n"/>
      <c r="K2365" s="10" t="inlineStr"/>
      <c r="L2365" s="14" t="inlineStr">
        <is>
          <t>▶ watch</t>
        </is>
      </c>
      <c r="M2365" s="10" t="inlineStr">
        <is>
          <t>Jia et al., Dissecting the NVIDIA Volta GPU Architecture via Microbenchmarking, arXiv:1804.06826 (Turing sequel arXiv:1903.07486) · the Hopper and Blackwell architecture whitepapers</t>
        </is>
      </c>
      <c r="N2365" s="14" t="inlineStr">
        <is>
          <t>read ↗</t>
        </is>
      </c>
      <c r="O2365" s="11" t="inlineStr">
        <is>
          <t>reading for The Stephen Jones sequence - and a cavea</t>
        </is>
      </c>
      <c r="P2365" s="10" t="inlineStr"/>
    </row>
    <row r="2366">
      <c r="A2366" s="19" t="n">
        <v>2365</v>
      </c>
      <c r="B2366" s="19" t="inlineStr">
        <is>
          <t>Part IV - Performance Engineering</t>
        </is>
      </c>
      <c r="C2366" s="20" t="inlineStr">
        <is>
          <t>E.4.3 GPU MODE - 116 lectures, enumerated</t>
        </is>
      </c>
      <c r="D2366" s="10" t="inlineStr">
        <is>
          <t>Search-Based DL Compilers (Luminal</t>
        </is>
      </c>
      <c r="E2366" s="10" t="inlineStr">
        <is>
          <t>Joe Fioti</t>
        </is>
      </c>
      <c r="F2366" s="11" t="inlineStr">
        <is>
          <t>1:09:19</t>
        </is>
      </c>
      <c r="G2366" s="11" t="n">
        <v>1.16</v>
      </c>
      <c r="H2366" s="12" t="inlineStr"/>
      <c r="I2366" s="11" t="inlineStr">
        <is>
          <t>Not started</t>
        </is>
      </c>
      <c r="J2366" s="13" t="n"/>
      <c r="K2366" s="10" t="inlineStr"/>
      <c r="L2366" s="14" t="inlineStr">
        <is>
          <t>▶ watch</t>
        </is>
      </c>
      <c r="M2366" s="10" t="inlineStr">
        <is>
          <t>Jia et al., Dissecting the NVIDIA Volta GPU Architecture via Microbenchmarking, arXiv:1804.06826 (Turing sequel arXiv:1903.07486) · the Hopper and Blackwell architecture whitepapers</t>
        </is>
      </c>
      <c r="N2366" s="14" t="inlineStr">
        <is>
          <t>read ↗</t>
        </is>
      </c>
      <c r="O2366" s="11" t="inlineStr">
        <is>
          <t>reading for The Stephen Jones sequence - and a cavea</t>
        </is>
      </c>
      <c r="P2366" s="10" t="inlineStr"/>
    </row>
    <row r="2367">
      <c r="A2367" s="19" t="n">
        <v>2366</v>
      </c>
      <c r="B2367" s="19" t="inlineStr">
        <is>
          <t>Part IV - Performance Engineering</t>
        </is>
      </c>
      <c r="C2367" s="20" t="inlineStr">
        <is>
          <t>E.4.3 GPU MODE - 116 lectures, enumerated</t>
        </is>
      </c>
      <c r="D2367" s="10" t="inlineStr">
        <is>
          <t>Markus Hrywniak (NVIDIA</t>
        </is>
      </c>
      <c r="E2367" s="10" t="inlineStr">
        <is>
          <t>Multi-GPU Programming</t>
        </is>
      </c>
      <c r="F2367" s="11" t="inlineStr">
        <is>
          <t>1:15:23</t>
        </is>
      </c>
      <c r="G2367" s="11" t="n">
        <v>1.26</v>
      </c>
      <c r="H2367" s="12" t="inlineStr">
        <is>
          <t>★</t>
        </is>
      </c>
      <c r="I2367" s="11" t="inlineStr">
        <is>
          <t>Not started</t>
        </is>
      </c>
      <c r="J2367" s="13" t="n"/>
      <c r="K2367" s="10" t="inlineStr"/>
      <c r="L2367" s="14" t="inlineStr">
        <is>
          <t>▶ watch</t>
        </is>
      </c>
      <c r="M2367" s="10" t="inlineStr">
        <is>
          <t>Jia et al., Dissecting the NVIDIA Volta GPU Architecture via Microbenchmarking, arXiv:1804.06826 (Turing sequel arXiv:1903.07486)</t>
        </is>
      </c>
      <c r="N2367" s="14" t="inlineStr">
        <is>
          <t>read ↗</t>
        </is>
      </c>
      <c r="O2367" s="11" t="inlineStr">
        <is>
          <t>names NVIDIA</t>
        </is>
      </c>
      <c r="P2367" s="10" t="inlineStr">
        <is>
          <t>E.4.9 Multi-GPU and collectives</t>
        </is>
      </c>
    </row>
    <row r="2368">
      <c r="A2368" s="19" t="n">
        <v>2367</v>
      </c>
      <c r="B2368" s="19" t="inlineStr">
        <is>
          <t>Part IV - Performance Engineering</t>
        </is>
      </c>
      <c r="C2368" s="20" t="inlineStr">
        <is>
          <t>E.4.3 GPU MODE - 116 lectures, enumerated</t>
        </is>
      </c>
      <c r="D2368" s="10" t="inlineStr">
        <is>
          <t>Neighborhood Attention</t>
        </is>
      </c>
      <c r="E2368" s="10" t="inlineStr">
        <is>
          <t>Ali Hassani</t>
        </is>
      </c>
      <c r="F2368" s="11" t="inlineStr">
        <is>
          <t>1:37:53</t>
        </is>
      </c>
      <c r="G2368" s="11" t="n">
        <v>1.63</v>
      </c>
      <c r="H2368" s="12" t="inlineStr"/>
      <c r="I2368" s="11" t="inlineStr">
        <is>
          <t>Not started</t>
        </is>
      </c>
      <c r="J2368" s="13" t="n"/>
      <c r="K2368" s="10" t="inlineStr"/>
      <c r="L2368" s="14" t="inlineStr">
        <is>
          <t>▶ watch</t>
        </is>
      </c>
      <c r="M2368" s="10" t="inlineStr">
        <is>
          <t>Jia et al., Dissecting the NVIDIA Volta GPU Architecture via Microbenchmarking, arXiv:1804.06826 (Turing sequel arXiv:1903.07486) · the Hopper and Blackwell architecture whitepapers</t>
        </is>
      </c>
      <c r="N2368" s="14" t="inlineStr">
        <is>
          <t>read ↗</t>
        </is>
      </c>
      <c r="O2368" s="11" t="inlineStr">
        <is>
          <t>reading for The Stephen Jones sequence - and a cavea</t>
        </is>
      </c>
      <c r="P2368" s="10" t="inlineStr"/>
    </row>
    <row r="2369">
      <c r="A2369" s="19" t="n">
        <v>2368</v>
      </c>
      <c r="B2369" s="19" t="inlineStr">
        <is>
          <t>Part IV - Performance Engineering</t>
        </is>
      </c>
      <c r="C2369" s="20" t="inlineStr">
        <is>
          <t>E.4.3 GPU MODE - 116 lectures, enumerated</t>
        </is>
      </c>
      <c r="D2369" s="10" t="inlineStr">
        <is>
          <t>Lanxiang Hu</t>
        </is>
      </c>
      <c r="E2369" s="10" t="inlineStr">
        <is>
          <t>Game Arena</t>
        </is>
      </c>
      <c r="F2369" s="11" t="inlineStr">
        <is>
          <t>53:33</t>
        </is>
      </c>
      <c r="G2369" s="11" t="n">
        <v>0.89</v>
      </c>
      <c r="H2369" s="12" t="inlineStr"/>
      <c r="I2369" s="11" t="inlineStr">
        <is>
          <t>Not started</t>
        </is>
      </c>
      <c r="J2369" s="13" t="n"/>
      <c r="K2369" s="10" t="inlineStr"/>
      <c r="L2369" s="14" t="inlineStr">
        <is>
          <t>▶ watch</t>
        </is>
      </c>
      <c r="M2369" s="10" t="inlineStr">
        <is>
          <t>Jia et al., Dissecting the NVIDIA Volta GPU Architecture via Microbenchmarking, arXiv:1804.06826 (Turing sequel arXiv:1903.07486) · the Hopper and Blackwell architecture whitepapers</t>
        </is>
      </c>
      <c r="N2369" s="14" t="inlineStr">
        <is>
          <t>read ↗</t>
        </is>
      </c>
      <c r="O2369" s="11" t="inlineStr">
        <is>
          <t>reading for The Stephen Jones sequence - and a cavea</t>
        </is>
      </c>
      <c r="P2369" s="10" t="inlineStr"/>
    </row>
    <row r="2370">
      <c r="A2370" s="19" t="n">
        <v>2369</v>
      </c>
      <c r="B2370" s="19" t="inlineStr">
        <is>
          <t>Part IV - Performance Engineering</t>
        </is>
      </c>
      <c r="C2370" s="20" t="inlineStr">
        <is>
          <t>E.4.3 GPU MODE - 116 lectures, enumerated</t>
        </is>
      </c>
      <c r="D2370" s="10" t="inlineStr">
        <is>
          <t>Jeff Hammond (NVIDIA</t>
        </is>
      </c>
      <c r="E2370" s="10" t="inlineStr">
        <is>
          <t>NCCL and NVSHMEM</t>
        </is>
      </c>
      <c r="F2370" s="11" t="inlineStr">
        <is>
          <t>1:40:43</t>
        </is>
      </c>
      <c r="G2370" s="11" t="n">
        <v>1.68</v>
      </c>
      <c r="H2370" s="12" t="inlineStr">
        <is>
          <t>★</t>
        </is>
      </c>
      <c r="I2370" s="11" t="inlineStr">
        <is>
          <t>Not started</t>
        </is>
      </c>
      <c r="J2370" s="13" t="n"/>
      <c r="K2370" s="10" t="inlineStr"/>
      <c r="L2370" s="14" t="inlineStr">
        <is>
          <t>▶ watch</t>
        </is>
      </c>
      <c r="M2370" s="10" t="inlineStr">
        <is>
          <t>Jia et al., Dissecting the NVIDIA Volta GPU Architecture via Microbenchmarking, arXiv:1804.06826 (Turing sequel arXiv:1903.07486)</t>
        </is>
      </c>
      <c r="N2370" s="14" t="inlineStr">
        <is>
          <t>read ↗</t>
        </is>
      </c>
      <c r="O2370" s="11" t="inlineStr">
        <is>
          <t>names NVIDIA</t>
        </is>
      </c>
      <c r="P2370" s="10" t="inlineStr">
        <is>
          <t>E.4.9 Multi-GPU and collectives</t>
        </is>
      </c>
    </row>
    <row r="2371">
      <c r="A2371" s="19" t="n">
        <v>2370</v>
      </c>
      <c r="B2371" s="19" t="inlineStr">
        <is>
          <t>Part IV - Performance Engineering</t>
        </is>
      </c>
      <c r="C2371" s="20" t="inlineStr">
        <is>
          <t>E.4.3 GPU MODE - 116 lectures, enumerated</t>
        </is>
      </c>
      <c r="D2371" s="10" t="inlineStr">
        <is>
          <t>Landscape of GPU-Centric Communication</t>
        </is>
      </c>
      <c r="E2371" s="10" t="inlineStr">
        <is>
          <t>Didem Unat (Koç</t>
        </is>
      </c>
      <c r="F2371" s="11" t="inlineStr">
        <is>
          <t>1:00:07</t>
        </is>
      </c>
      <c r="G2371" s="11" t="n">
        <v>1</v>
      </c>
      <c r="H2371" s="12" t="inlineStr">
        <is>
          <t>★</t>
        </is>
      </c>
      <c r="I2371" s="11" t="inlineStr">
        <is>
          <t>Not started</t>
        </is>
      </c>
      <c r="J2371" s="13" t="n"/>
      <c r="K2371" s="10" t="inlineStr"/>
      <c r="L2371" s="14" t="inlineStr">
        <is>
          <t>▶ watch</t>
        </is>
      </c>
      <c r="M2371" s="10" t="inlineStr">
        <is>
          <t>Jia et al., Dissecting the NVIDIA Volta GPU Architecture via Microbenchmarking, arXiv:1804.06826 (Turing sequel arXiv:1903.07486) · the Hopper and Blackwell architecture whitepapers</t>
        </is>
      </c>
      <c r="N2371" s="14" t="inlineStr">
        <is>
          <t>read ↗</t>
        </is>
      </c>
      <c r="O2371" s="11" t="inlineStr">
        <is>
          <t>reading for The Stephen Jones sequence - and a cavea</t>
        </is>
      </c>
      <c r="P2371" s="10" t="inlineStr">
        <is>
          <t>E.4.9 Multi-GPU and collectives</t>
        </is>
      </c>
    </row>
    <row r="2372">
      <c r="A2372" s="19" t="n">
        <v>2371</v>
      </c>
      <c r="B2372" s="19" t="inlineStr">
        <is>
          <t>Part IV - Performance Engineering</t>
        </is>
      </c>
      <c r="C2372" s="20" t="inlineStr">
        <is>
          <t>E.4.3 GPU MODE - 116 lectures, enumerated</t>
        </is>
      </c>
      <c r="D2372" s="10" t="inlineStr">
        <is>
          <t>Quartet - 4-bit Training</t>
        </is>
      </c>
      <c r="E2372" s="10" t="inlineStr">
        <is>
          <t>Castro &amp; Panferov (ISTA</t>
        </is>
      </c>
      <c r="F2372" s="11" t="inlineStr">
        <is>
          <t>1:09:11</t>
        </is>
      </c>
      <c r="G2372" s="11" t="n">
        <v>1.15</v>
      </c>
      <c r="H2372" s="12" t="inlineStr">
        <is>
          <t>★</t>
        </is>
      </c>
      <c r="I2372" s="11" t="inlineStr">
        <is>
          <t>Not started</t>
        </is>
      </c>
      <c r="J2372" s="13" t="n"/>
      <c r="K2372" s="10" t="inlineStr"/>
      <c r="L2372" s="14" t="inlineStr">
        <is>
          <t>▶ watch</t>
        </is>
      </c>
      <c r="M2372" s="10" t="inlineStr">
        <is>
          <t>Jia et al., Dissecting the NVIDIA Volta GPU Architecture via Microbenchmarking, arXiv:1804.06826 (Turing sequel arXiv:1903.07486) · the Hopper and Blackwell architecture whitepapers</t>
        </is>
      </c>
      <c r="N2372" s="14" t="inlineStr">
        <is>
          <t>read ↗</t>
        </is>
      </c>
      <c r="O2372" s="11" t="inlineStr">
        <is>
          <t>reading for The Stephen Jones sequence - and a cavea</t>
        </is>
      </c>
      <c r="P2372" s="10" t="inlineStr"/>
    </row>
    <row r="2373">
      <c r="A2373" s="19" t="n">
        <v>2372</v>
      </c>
      <c r="B2373" s="19" t="inlineStr">
        <is>
          <t>Part IV - Performance Engineering</t>
        </is>
      </c>
      <c r="C2373" s="20" t="inlineStr">
        <is>
          <t>E.4.3 GPU MODE - 116 lectures, enumerated</t>
        </is>
      </c>
      <c r="D2373" s="10" t="inlineStr">
        <is>
          <t>PCCL - Fault-Tolerant Collectives</t>
        </is>
      </c>
      <c r="E2373" s="10" t="inlineStr">
        <is>
          <t>mike64t</t>
        </is>
      </c>
      <c r="F2373" s="11" t="inlineStr">
        <is>
          <t>1:05:23</t>
        </is>
      </c>
      <c r="G2373" s="11" t="n">
        <v>1.09</v>
      </c>
      <c r="H2373" s="12" t="inlineStr">
        <is>
          <t>★</t>
        </is>
      </c>
      <c r="I2373" s="11" t="inlineStr">
        <is>
          <t>Not started</t>
        </is>
      </c>
      <c r="J2373" s="13" t="n"/>
      <c r="K2373" s="10" t="inlineStr"/>
      <c r="L2373" s="14" t="inlineStr">
        <is>
          <t>▶ watch</t>
        </is>
      </c>
      <c r="M2373" s="10" t="inlineStr">
        <is>
          <t>Jia et al., Dissecting the NVIDIA Volta GPU Architecture via Microbenchmarking, arXiv:1804.06826 (Turing sequel arXiv:1903.07486) · the Hopper and Blackwell architecture whitepapers</t>
        </is>
      </c>
      <c r="N2373" s="14" t="inlineStr">
        <is>
          <t>read ↗</t>
        </is>
      </c>
      <c r="O2373" s="11" t="inlineStr">
        <is>
          <t>reading for The Stephen Jones sequence - and a cavea</t>
        </is>
      </c>
      <c r="P2373" s="10" t="inlineStr"/>
    </row>
    <row r="2374">
      <c r="A2374" s="19" t="n">
        <v>2373</v>
      </c>
      <c r="B2374" s="19" t="inlineStr">
        <is>
          <t>Part IV - Performance Engineering</t>
        </is>
      </c>
      <c r="C2374" s="20" t="inlineStr">
        <is>
          <t>E.4.3 GPU MODE - 116 lectures, enumerated</t>
        </is>
      </c>
      <c r="D2374" s="10" t="inlineStr">
        <is>
          <t>Sewon Min (Berkeley</t>
        </is>
      </c>
      <c r="E2374" s="10" t="inlineStr">
        <is>
          <t>ScaleML] FlexOlmo</t>
        </is>
      </c>
      <c r="F2374" s="11" t="inlineStr">
        <is>
          <t>1:24:51</t>
        </is>
      </c>
      <c r="G2374" s="11" t="n">
        <v>1.41</v>
      </c>
      <c r="H2374" s="12" t="inlineStr"/>
      <c r="I2374" s="11" t="inlineStr">
        <is>
          <t>Not started</t>
        </is>
      </c>
      <c r="J2374" s="13" t="n"/>
      <c r="K2374" s="10" t="inlineStr"/>
      <c r="L2374" s="14" t="inlineStr">
        <is>
          <t>▶ watch</t>
        </is>
      </c>
      <c r="M2374" s="10" t="inlineStr">
        <is>
          <t>Jia et al., Dissecting the NVIDIA Volta GPU Architecture via Microbenchmarking, arXiv:1804.06826 (Turing sequel arXiv:1903.07486) · the Hopper and Blackwell architecture whitepapers</t>
        </is>
      </c>
      <c r="N2374" s="14" t="inlineStr">
        <is>
          <t>read ↗</t>
        </is>
      </c>
      <c r="O2374" s="11" t="inlineStr">
        <is>
          <t>reading for The Stephen Jones sequence - and a cavea</t>
        </is>
      </c>
      <c r="P2374" s="10" t="inlineStr"/>
    </row>
    <row r="2375">
      <c r="A2375" s="19" t="n">
        <v>2374</v>
      </c>
      <c r="B2375" s="19" t="inlineStr">
        <is>
          <t>Part IV - Performance Engineering</t>
        </is>
      </c>
      <c r="C2375" s="20" t="inlineStr">
        <is>
          <t>E.4.3 GPU MODE - 116 lectures, enumerated</t>
        </is>
      </c>
      <c r="D2375" s="10" t="inlineStr">
        <is>
          <t>ScaleML] Efficient Long-Context Modeling</t>
        </is>
      </c>
      <c r="E2375" s="10" t="inlineStr">
        <is>
          <t>Guangxuan Xiao (MIT</t>
        </is>
      </c>
      <c r="F2375" s="11" t="inlineStr">
        <is>
          <t>55:18</t>
        </is>
      </c>
      <c r="G2375" s="11" t="n">
        <v>0.92</v>
      </c>
      <c r="H2375" s="12" t="inlineStr"/>
      <c r="I2375" s="11" t="inlineStr">
        <is>
          <t>Not started</t>
        </is>
      </c>
      <c r="J2375" s="13" t="n"/>
      <c r="K2375" s="10" t="inlineStr"/>
      <c r="L2375" s="14" t="inlineStr">
        <is>
          <t>▶ watch</t>
        </is>
      </c>
      <c r="M2375" s="10" t="inlineStr">
        <is>
          <t>Jia et al., Dissecting the NVIDIA Volta GPU Architecture via Microbenchmarking, arXiv:1804.06826 (Turing sequel arXiv:1903.07486) · the Hopper and Blackwell architecture whitepapers</t>
        </is>
      </c>
      <c r="N2375" s="14" t="inlineStr">
        <is>
          <t>read ↗</t>
        </is>
      </c>
      <c r="O2375" s="11" t="inlineStr">
        <is>
          <t>reading for The Stephen Jones sequence - and a cavea</t>
        </is>
      </c>
      <c r="P2375" s="10" t="inlineStr"/>
    </row>
    <row r="2376">
      <c r="A2376" s="19" t="n">
        <v>2375</v>
      </c>
      <c r="B2376" s="19" t="inlineStr">
        <is>
          <t>Part IV - Performance Engineering</t>
        </is>
      </c>
      <c r="C2376" s="20" t="inlineStr">
        <is>
          <t>E.4.3 GPU MODE - 116 lectures, enumerated</t>
        </is>
      </c>
      <c r="D2376" s="10" t="inlineStr">
        <is>
          <t>ScaleML] Quantization in Large Models</t>
        </is>
      </c>
      <c r="E2376" s="10" t="inlineStr">
        <is>
          <t>Chris De Sa (Cornell</t>
        </is>
      </c>
      <c r="F2376" s="11" t="inlineStr">
        <is>
          <t>1:18:26</t>
        </is>
      </c>
      <c r="G2376" s="11" t="n">
        <v>1.31</v>
      </c>
      <c r="H2376" s="12" t="inlineStr">
        <is>
          <t>★</t>
        </is>
      </c>
      <c r="I2376" s="11" t="inlineStr">
        <is>
          <t>Not started</t>
        </is>
      </c>
      <c r="J2376" s="13" t="n"/>
      <c r="K2376" s="10" t="inlineStr"/>
      <c r="L2376" s="14" t="inlineStr">
        <is>
          <t>▶ watch</t>
        </is>
      </c>
      <c r="M2376" s="10" t="inlineStr">
        <is>
          <t>Jia et al., Dissecting the NVIDIA Volta GPU Architecture via Microbenchmarking, arXiv:1804.06826 (Turing sequel arXiv:1903.07486) · the Hopper and Blackwell architecture whitepapers</t>
        </is>
      </c>
      <c r="N2376" s="14" t="inlineStr">
        <is>
          <t>read ↗</t>
        </is>
      </c>
      <c r="O2376" s="11" t="inlineStr">
        <is>
          <t>reading for The Stephen Jones sequence - and a cavea</t>
        </is>
      </c>
      <c r="P2376" s="10" t="inlineStr"/>
    </row>
    <row r="2377">
      <c r="A2377" s="19" t="n">
        <v>2376</v>
      </c>
      <c r="B2377" s="19" t="inlineStr">
        <is>
          <t>Part IV - Performance Engineering</t>
        </is>
      </c>
      <c r="C2377" s="20" t="inlineStr">
        <is>
          <t>E.4.3 GPU MODE - 116 lectures, enumerated</t>
        </is>
      </c>
      <c r="D2377" s="10" t="inlineStr">
        <is>
          <t>ScaleML] Positional Encodings and PaTH Attention</t>
        </is>
      </c>
      <c r="E2377" s="10" t="inlineStr">
        <is>
          <t>Songlin Yang</t>
        </is>
      </c>
      <c r="F2377" s="11" t="inlineStr">
        <is>
          <t>1:40:32</t>
        </is>
      </c>
      <c r="G2377" s="11" t="n">
        <v>1.68</v>
      </c>
      <c r="H2377" s="12" t="inlineStr"/>
      <c r="I2377" s="11" t="inlineStr">
        <is>
          <t>Not started</t>
        </is>
      </c>
      <c r="J2377" s="13" t="n"/>
      <c r="K2377" s="10" t="inlineStr"/>
      <c r="L2377" s="14" t="inlineStr">
        <is>
          <t>▶ watch</t>
        </is>
      </c>
      <c r="M2377" s="10" t="inlineStr">
        <is>
          <t>Jia et al., Dissecting the NVIDIA Volta GPU Architecture via Microbenchmarking, arXiv:1804.06826 (Turing sequel arXiv:1903.07486) · the Hopper and Blackwell architecture whitepapers</t>
        </is>
      </c>
      <c r="N2377" s="14" t="inlineStr">
        <is>
          <t>read ↗</t>
        </is>
      </c>
      <c r="O2377" s="11" t="inlineStr">
        <is>
          <t>reading for The Stephen Jones sequence - and a cavea</t>
        </is>
      </c>
      <c r="P2377" s="10" t="inlineStr"/>
    </row>
    <row r="2378">
      <c r="A2378" s="19" t="n">
        <v>2377</v>
      </c>
      <c r="B2378" s="19" t="inlineStr">
        <is>
          <t>Part IV - Performance Engineering</t>
        </is>
      </c>
      <c r="C2378" s="20" t="inlineStr">
        <is>
          <t>E.4.3 GPU MODE - 116 lectures, enumerated</t>
        </is>
      </c>
      <c r="D2378" s="10" t="inlineStr">
        <is>
          <t>Mark Saroufim</t>
        </is>
      </c>
      <c r="E2378" s="10" t="inlineStr">
        <is>
          <t>BackendBench</t>
        </is>
      </c>
      <c r="F2378" s="11" t="inlineStr">
        <is>
          <t>17:54</t>
        </is>
      </c>
      <c r="G2378" s="11" t="n">
        <v>0.3</v>
      </c>
      <c r="H2378" s="12" t="inlineStr"/>
      <c r="I2378" s="11" t="inlineStr">
        <is>
          <t>Not started</t>
        </is>
      </c>
      <c r="J2378" s="13" t="n"/>
      <c r="K2378" s="10" t="inlineStr"/>
      <c r="L2378" s="14" t="inlineStr">
        <is>
          <t>▶ watch</t>
        </is>
      </c>
      <c r="M2378" s="10" t="inlineStr">
        <is>
          <t>Jia et al., Dissecting the NVIDIA Volta GPU Architecture via Microbenchmarking, arXiv:1804.06826 (Turing sequel arXiv:1903.07486) · the Hopper and Blackwell architecture whitepapers</t>
        </is>
      </c>
      <c r="N2378" s="14" t="inlineStr">
        <is>
          <t>read ↗</t>
        </is>
      </c>
      <c r="O2378" s="11" t="inlineStr">
        <is>
          <t>reading for The Stephen Jones sequence - and a cavea</t>
        </is>
      </c>
      <c r="P2378" s="10" t="inlineStr"/>
    </row>
    <row r="2379">
      <c r="A2379" s="19" t="n">
        <v>2378</v>
      </c>
      <c r="B2379" s="19" t="inlineStr">
        <is>
          <t>Part IV - Performance Engineering</t>
        </is>
      </c>
      <c r="C2379" s="20" t="inlineStr">
        <is>
          <t>E.4.3 GPU MODE - 116 lectures, enumerated</t>
        </is>
      </c>
      <c r="D2379" s="10" t="inlineStr">
        <is>
          <t>Domain-Specific Languages for GPU Kernels</t>
        </is>
      </c>
      <c r="E2379" s="10" t="inlineStr">
        <is>
          <t>Tri Dao</t>
        </is>
      </c>
      <c r="F2379" s="11" t="inlineStr">
        <is>
          <t>23:39</t>
        </is>
      </c>
      <c r="G2379" s="11" t="n">
        <v>0.39</v>
      </c>
      <c r="H2379" s="12" t="inlineStr">
        <is>
          <t>★</t>
        </is>
      </c>
      <c r="I2379" s="11" t="inlineStr">
        <is>
          <t>Not started</t>
        </is>
      </c>
      <c r="J2379" s="13" t="n"/>
      <c r="K2379" s="10" t="inlineStr"/>
      <c r="L2379" s="14" t="inlineStr">
        <is>
          <t>▶ watch</t>
        </is>
      </c>
      <c r="M2379" s="10" t="inlineStr">
        <is>
          <t>Jia et al., Dissecting the NVIDIA Volta GPU Architecture via Microbenchmarking, arXiv:1804.06826 (Turing sequel arXiv:1903.07486) · the Hopper and Blackwell architecture whitepapers</t>
        </is>
      </c>
      <c r="N2379" s="14" t="inlineStr">
        <is>
          <t>read ↗</t>
        </is>
      </c>
      <c r="O2379" s="11" t="inlineStr">
        <is>
          <t>reading for The Stephen Jones sequence - and a cavea</t>
        </is>
      </c>
      <c r="P2379" s="10" t="inlineStr"/>
    </row>
    <row r="2380">
      <c r="A2380" s="19" t="n">
        <v>2379</v>
      </c>
      <c r="B2380" s="19" t="inlineStr">
        <is>
          <t>Part IV - Performance Engineering</t>
        </is>
      </c>
      <c r="C2380" s="20" t="inlineStr">
        <is>
          <t>E.4.3 GPU MODE - 116 lectures, enumerated</t>
        </is>
      </c>
      <c r="D2380" s="10" t="inlineStr">
        <is>
          <t>Iris - Multi-GPU Programming in Triton</t>
        </is>
      </c>
      <c r="E2380" s="10" t="inlineStr">
        <is>
          <t>Awad, Osama, Potter (AMD</t>
        </is>
      </c>
      <c r="F2380" s="11" t="inlineStr">
        <is>
          <t>1:16:38</t>
        </is>
      </c>
      <c r="G2380" s="11" t="n">
        <v>1.28</v>
      </c>
      <c r="H2380" s="12" t="inlineStr">
        <is>
          <t>★</t>
        </is>
      </c>
      <c r="I2380" s="11" t="inlineStr">
        <is>
          <t>Not started</t>
        </is>
      </c>
      <c r="J2380" s="13" t="n"/>
      <c r="K2380" s="10" t="inlineStr"/>
      <c r="L2380" s="14" t="inlineStr">
        <is>
          <t>▶ watch</t>
        </is>
      </c>
      <c r="M2380" s="10" t="inlineStr">
        <is>
          <t>Jia et al., Dissecting the NVIDIA Volta GPU Architecture via Microbenchmarking, arXiv:1804.06826 (Turing sequel arXiv:1903.07486) · the Hopper and Blackwell architecture whitepapers</t>
        </is>
      </c>
      <c r="N2380" s="14" t="inlineStr">
        <is>
          <t>read ↗</t>
        </is>
      </c>
      <c r="O2380" s="11" t="inlineStr">
        <is>
          <t>reading for The Stephen Jones sequence - and a cavea</t>
        </is>
      </c>
      <c r="P2380" s="10" t="inlineStr"/>
    </row>
    <row r="2381">
      <c r="A2381" s="19" t="n">
        <v>2380</v>
      </c>
      <c r="B2381" s="19" t="inlineStr">
        <is>
          <t>Part IV - Performance Engineering</t>
        </is>
      </c>
      <c r="C2381" s="20" t="inlineStr">
        <is>
          <t>E.4.3 GPU MODE - 116 lectures, enumerated</t>
        </is>
      </c>
      <c r="D2381" s="10" t="inlineStr">
        <is>
          <t>Mirage - Compiling LLMs into Megakernels</t>
        </is>
      </c>
      <c r="E2381" s="10" t="inlineStr">
        <is>
          <t>Wu &amp; Cheng (CMU</t>
        </is>
      </c>
      <c r="F2381" s="11" t="inlineStr">
        <is>
          <t>1:12:52</t>
        </is>
      </c>
      <c r="G2381" s="11" t="n">
        <v>1.21</v>
      </c>
      <c r="H2381" s="12" t="inlineStr"/>
      <c r="I2381" s="11" t="inlineStr">
        <is>
          <t>Not started</t>
        </is>
      </c>
      <c r="J2381" s="13" t="n"/>
      <c r="K2381" s="10" t="inlineStr"/>
      <c r="L2381" s="14" t="inlineStr">
        <is>
          <t>▶ watch</t>
        </is>
      </c>
      <c r="M2381" s="10" t="inlineStr">
        <is>
          <t>Jia et al., Dissecting the NVIDIA Volta GPU Architecture via Microbenchmarking, arXiv:1804.06826 (Turing sequel arXiv:1903.07486) · the Hopper and Blackwell architecture whitepapers</t>
        </is>
      </c>
      <c r="N2381" s="14" t="inlineStr">
        <is>
          <t>read ↗</t>
        </is>
      </c>
      <c r="O2381" s="11" t="inlineStr">
        <is>
          <t>reading for The Stephen Jones sequence - and a cavea</t>
        </is>
      </c>
      <c r="P2381" s="10" t="inlineStr"/>
    </row>
    <row r="2382">
      <c r="A2382" s="19" t="n">
        <v>2381</v>
      </c>
      <c r="B2382" s="19" t="inlineStr">
        <is>
          <t>Part IV - Performance Engineering</t>
        </is>
      </c>
      <c r="C2382" s="20" t="inlineStr">
        <is>
          <t>E.4.3 GPU MODE - 116 lectures, enumerated</t>
        </is>
      </c>
      <c r="D2382" s="10" t="inlineStr">
        <is>
          <t>Troels Henriksen</t>
        </is>
      </c>
      <c r="E2382" s="10" t="inlineStr">
        <is>
          <t>Futhark</t>
        </is>
      </c>
      <c r="F2382" s="11" t="inlineStr">
        <is>
          <t>1:11:03</t>
        </is>
      </c>
      <c r="G2382" s="11" t="n">
        <v>1.18</v>
      </c>
      <c r="H2382" s="12" t="inlineStr"/>
      <c r="I2382" s="11" t="inlineStr">
        <is>
          <t>Not started</t>
        </is>
      </c>
      <c r="J2382" s="13" t="n"/>
      <c r="K2382" s="10" t="inlineStr"/>
      <c r="L2382" s="14" t="inlineStr">
        <is>
          <t>▶ watch</t>
        </is>
      </c>
      <c r="M2382" s="10" t="inlineStr">
        <is>
          <t>Jia et al., Dissecting the NVIDIA Volta GPU Architecture via Microbenchmarking, arXiv:1804.06826 (Turing sequel arXiv:1903.07486) · the Hopper and Blackwell architecture whitepapers</t>
        </is>
      </c>
      <c r="N2382" s="14" t="inlineStr">
        <is>
          <t>read ↗</t>
        </is>
      </c>
      <c r="O2382" s="11" t="inlineStr">
        <is>
          <t>reading for The Stephen Jones sequence - and a cavea</t>
        </is>
      </c>
      <c r="P2382" s="10" t="inlineStr"/>
    </row>
    <row r="2383">
      <c r="A2383" s="19" t="n">
        <v>2382</v>
      </c>
      <c r="B2383" s="19" t="inlineStr">
        <is>
          <t>Part IV - Performance Engineering</t>
        </is>
      </c>
      <c r="C2383" s="20" t="inlineStr">
        <is>
          <t>E.4.3 GPU MODE - 116 lectures, enumerated</t>
        </is>
      </c>
      <c r="D2383" s="10" t="inlineStr">
        <is>
          <t>Helion - A High-Level DSL for ML Kernels</t>
        </is>
      </c>
      <c r="E2383" s="10" t="inlineStr">
        <is>
          <t>Ansel, Ulgen, Feng (Meta</t>
        </is>
      </c>
      <c r="F2383" s="11" t="inlineStr">
        <is>
          <t>1:06:20</t>
        </is>
      </c>
      <c r="G2383" s="11" t="n">
        <v>1.11</v>
      </c>
      <c r="H2383" s="12" t="inlineStr">
        <is>
          <t>★</t>
        </is>
      </c>
      <c r="I2383" s="11" t="inlineStr">
        <is>
          <t>Not started</t>
        </is>
      </c>
      <c r="J2383" s="13" t="n"/>
      <c r="K2383" s="10" t="inlineStr"/>
      <c r="L2383" s="14" t="inlineStr">
        <is>
          <t>▶ watch</t>
        </is>
      </c>
      <c r="M2383" s="10" t="inlineStr">
        <is>
          <t>Jia et al., Dissecting the NVIDIA Volta GPU Architecture via Microbenchmarking, arXiv:1804.06826 (Turing sequel arXiv:1903.07486) · the Hopper and Blackwell architecture whitepapers</t>
        </is>
      </c>
      <c r="N2383" s="14" t="inlineStr">
        <is>
          <t>read ↗</t>
        </is>
      </c>
      <c r="O2383" s="11" t="inlineStr">
        <is>
          <t>reading for The Stephen Jones sequence - and a cavea</t>
        </is>
      </c>
      <c r="P2383" s="10" t="inlineStr"/>
    </row>
    <row r="2384">
      <c r="A2384" s="19" t="n">
        <v>2383</v>
      </c>
      <c r="B2384" s="19" t="inlineStr">
        <is>
          <t>Part IV - Performance Engineering</t>
        </is>
      </c>
      <c r="C2384" s="20" t="inlineStr">
        <is>
          <t>E.4.3 GPU MODE - 116 lectures, enumerated</t>
        </is>
      </c>
      <c r="D2384" s="10" t="inlineStr">
        <is>
          <t>Formalized Kernel Derivation</t>
        </is>
      </c>
      <c r="E2384" s="10" t="inlineStr">
        <is>
          <t>Vincent Abbott (MIT</t>
        </is>
      </c>
      <c r="F2384" s="11" t="inlineStr">
        <is>
          <t>1:40:06</t>
        </is>
      </c>
      <c r="G2384" s="11" t="n">
        <v>1.67</v>
      </c>
      <c r="H2384" s="12" t="inlineStr"/>
      <c r="I2384" s="11" t="inlineStr">
        <is>
          <t>Not started</t>
        </is>
      </c>
      <c r="J2384" s="13" t="n"/>
      <c r="K2384" s="10" t="inlineStr"/>
      <c r="L2384" s="14" t="inlineStr">
        <is>
          <t>▶ watch</t>
        </is>
      </c>
      <c r="M2384" s="10" t="inlineStr">
        <is>
          <t>Jia et al., Dissecting the NVIDIA Volta GPU Architecture via Microbenchmarking, arXiv:1804.06826 (Turing sequel arXiv:1903.07486) · the Hopper and Blackwell architecture whitepapers</t>
        </is>
      </c>
      <c r="N2384" s="14" t="inlineStr">
        <is>
          <t>read ↗</t>
        </is>
      </c>
      <c r="O2384" s="11" t="inlineStr">
        <is>
          <t>reading for The Stephen Jones sequence - and a cavea</t>
        </is>
      </c>
      <c r="P2384" s="10" t="inlineStr"/>
    </row>
    <row r="2385">
      <c r="A2385" s="19" t="n">
        <v>2384</v>
      </c>
      <c r="B2385" s="19" t="inlineStr">
        <is>
          <t>Part IV - Performance Engineering</t>
        </is>
      </c>
      <c r="C2385" s="20" t="inlineStr">
        <is>
          <t>E.4.3 GPU MODE - 116 lectures, enumerated</t>
        </is>
      </c>
      <c r="D2385" s="10" t="inlineStr">
        <is>
          <t>Paulius Micikevicius (NVIDIA</t>
        </is>
      </c>
      <c r="E2385" s="10" t="inlineStr">
        <is>
          <t>Numerics and AI</t>
        </is>
      </c>
      <c r="F2385" s="11" t="inlineStr">
        <is>
          <t>2:39:09</t>
        </is>
      </c>
      <c r="G2385" s="11" t="n">
        <v>2.65</v>
      </c>
      <c r="H2385" s="12" t="inlineStr">
        <is>
          <t>★</t>
        </is>
      </c>
      <c r="I2385" s="11" t="inlineStr">
        <is>
          <t>Not started</t>
        </is>
      </c>
      <c r="J2385" s="13" t="n"/>
      <c r="K2385" s="10" t="inlineStr"/>
      <c r="L2385" s="14" t="inlineStr">
        <is>
          <t>▶ watch</t>
        </is>
      </c>
      <c r="M2385" s="10" t="inlineStr">
        <is>
          <t>Jia et al., Dissecting the NVIDIA Volta GPU Architecture via Microbenchmarking, arXiv:1804.06826 (Turing sequel arXiv:1903.07486)</t>
        </is>
      </c>
      <c r="N2385" s="14" t="inlineStr">
        <is>
          <t>read ↗</t>
        </is>
      </c>
      <c r="O2385" s="11" t="inlineStr">
        <is>
          <t>names NVIDIA</t>
        </is>
      </c>
      <c r="P2385" s="10" t="inlineStr">
        <is>
          <t>E.4.8 Numerics and determinism</t>
        </is>
      </c>
    </row>
    <row r="2386">
      <c r="A2386" s="19" t="n">
        <v>2385</v>
      </c>
      <c r="B2386" s="19" t="inlineStr">
        <is>
          <t>Part IV - Performance Engineering</t>
        </is>
      </c>
      <c r="C2386" s="20" t="inlineStr">
        <is>
          <t>E.4.3 GPU MODE - 116 lectures, enumerated</t>
        </is>
      </c>
      <c r="D2386" s="10" t="inlineStr">
        <is>
          <t>Factorio Learning Environment</t>
        </is>
      </c>
      <c r="E2386" s="10" t="inlineStr">
        <is>
          <t>Jack Hopkins</t>
        </is>
      </c>
      <c r="F2386" s="11" t="inlineStr">
        <is>
          <t>1:06:12</t>
        </is>
      </c>
      <c r="G2386" s="11" t="n">
        <v>1.1</v>
      </c>
      <c r="H2386" s="12" t="inlineStr"/>
      <c r="I2386" s="11" t="inlineStr">
        <is>
          <t>Not started</t>
        </is>
      </c>
      <c r="J2386" s="13" t="n"/>
      <c r="K2386" s="10" t="inlineStr"/>
      <c r="L2386" s="14" t="inlineStr">
        <is>
          <t>▶ watch</t>
        </is>
      </c>
      <c r="M2386" s="10" t="inlineStr">
        <is>
          <t>Jia et al., Dissecting the NVIDIA Volta GPU Architecture via Microbenchmarking, arXiv:1804.06826 (Turing sequel arXiv:1903.07486) · the Hopper and Blackwell architecture whitepapers</t>
        </is>
      </c>
      <c r="N2386" s="14" t="inlineStr">
        <is>
          <t>read ↗</t>
        </is>
      </c>
      <c r="O2386" s="11" t="inlineStr">
        <is>
          <t>reading for The Stephen Jones sequence - and a cavea</t>
        </is>
      </c>
      <c r="P2386" s="10" t="inlineStr"/>
    </row>
    <row r="2387">
      <c r="A2387" s="19" t="n">
        <v>2386</v>
      </c>
      <c r="B2387" s="19" t="inlineStr">
        <is>
          <t>Part IV - Performance Engineering</t>
        </is>
      </c>
      <c r="C2387" s="20" t="inlineStr">
        <is>
          <t>E.4.3 GPU MODE - 116 lectures, enumerated</t>
        </is>
      </c>
      <c r="D2387" s="10" t="inlineStr">
        <is>
          <t>Getting Started with CuTe DSL</t>
        </is>
      </c>
      <c r="E2387" s="10" t="inlineStr">
        <is>
          <t>Vicki Wang (NVIDIA</t>
        </is>
      </c>
      <c r="F2387" s="11" t="inlineStr">
        <is>
          <t>1:13:19</t>
        </is>
      </c>
      <c r="G2387" s="11" t="n">
        <v>1.22</v>
      </c>
      <c r="H2387" s="12" t="inlineStr">
        <is>
          <t>★</t>
        </is>
      </c>
      <c r="I2387" s="11" t="inlineStr">
        <is>
          <t>Not started</t>
        </is>
      </c>
      <c r="J2387" s="13" t="n"/>
      <c r="K2387" s="10" t="inlineStr"/>
      <c r="L2387" s="14" t="inlineStr">
        <is>
          <t>▶ watch</t>
        </is>
      </c>
      <c r="M2387" s="10" t="inlineStr">
        <is>
          <t>Jia et al., Dissecting the NVIDIA Volta GPU Architecture via Microbenchmarking, arXiv:1804.06826 (Turing sequel arXiv:1903.07486)</t>
        </is>
      </c>
      <c r="N2387" s="14" t="inlineStr">
        <is>
          <t>read ↗</t>
        </is>
      </c>
      <c r="O2387" s="11" t="inlineStr">
        <is>
          <t>names NVIDIA</t>
        </is>
      </c>
      <c r="P2387" s="10" t="inlineStr">
        <is>
          <t>E.4.5 CUTLASS and CuTe</t>
        </is>
      </c>
    </row>
    <row r="2388">
      <c r="A2388" s="19" t="n">
        <v>2387</v>
      </c>
      <c r="B2388" s="19" t="inlineStr">
        <is>
          <t>Part IV - Performance Engineering</t>
        </is>
      </c>
      <c r="C2388" s="20" t="inlineStr">
        <is>
          <t>E.4.3 GPU MODE - 116 lectures, enumerated</t>
        </is>
      </c>
      <c r="D2388" s="10" t="inlineStr">
        <is>
          <t>Low-Latency Communication Kernels with NVSHMEM</t>
        </is>
      </c>
      <c r="E2388" s="10" t="inlineStr">
        <is>
          <t>Prajwal Singhania</t>
        </is>
      </c>
      <c r="F2388" s="11" t="inlineStr">
        <is>
          <t>1:07:07</t>
        </is>
      </c>
      <c r="G2388" s="11" t="n">
        <v>1.12</v>
      </c>
      <c r="H2388" s="12" t="inlineStr">
        <is>
          <t>★</t>
        </is>
      </c>
      <c r="I2388" s="11" t="inlineStr">
        <is>
          <t>Not started</t>
        </is>
      </c>
      <c r="J2388" s="13" t="n"/>
      <c r="K2388" s="10" t="inlineStr"/>
      <c r="L2388" s="14" t="inlineStr">
        <is>
          <t>▶ watch</t>
        </is>
      </c>
      <c r="M2388" s="10" t="inlineStr">
        <is>
          <t>Jia et al., Dissecting the NVIDIA Volta GPU Architecture via Microbenchmarking, arXiv:1804.06826 (Turing sequel arXiv:1903.07486) · the Hopper and Blackwell architecture whitepapers</t>
        </is>
      </c>
      <c r="N2388" s="14" t="inlineStr">
        <is>
          <t>read ↗</t>
        </is>
      </c>
      <c r="O2388" s="11" t="inlineStr">
        <is>
          <t>reading for The Stephen Jones sequence - and a cavea</t>
        </is>
      </c>
      <c r="P2388" s="10" t="inlineStr"/>
    </row>
    <row r="2389">
      <c r="A2389" s="19" t="n">
        <v>2388</v>
      </c>
      <c r="B2389" s="19" t="inlineStr">
        <is>
          <t>Part IV - Performance Engineering</t>
        </is>
      </c>
      <c r="C2389" s="20" t="inlineStr">
        <is>
          <t>E.4.3 GPU MODE - 116 lectures, enumerated</t>
        </is>
      </c>
      <c r="D2389" s="10" t="inlineStr">
        <is>
          <t>William Zhang</t>
        </is>
      </c>
      <c r="E2389" s="10" t="inlineStr">
        <is>
          <t>TinyTPU</t>
        </is>
      </c>
      <c r="F2389" s="11" t="inlineStr">
        <is>
          <t>54:32</t>
        </is>
      </c>
      <c r="G2389" s="11" t="n">
        <v>0.91</v>
      </c>
      <c r="H2389" s="12" t="inlineStr"/>
      <c r="I2389" s="11" t="inlineStr">
        <is>
          <t>Not started</t>
        </is>
      </c>
      <c r="J2389" s="13" t="n"/>
      <c r="K2389" s="10" t="inlineStr"/>
      <c r="L2389" s="14" t="inlineStr">
        <is>
          <t>▶ watch</t>
        </is>
      </c>
      <c r="M2389" s="10" t="inlineStr">
        <is>
          <t>Jia et al., Dissecting the NVIDIA Volta GPU Architecture via Microbenchmarking, arXiv:1804.06826 (Turing sequel arXiv:1903.07486) · the Hopper and Blackwell architecture whitepapers</t>
        </is>
      </c>
      <c r="N2389" s="14" t="inlineStr">
        <is>
          <t>read ↗</t>
        </is>
      </c>
      <c r="O2389" s="11" t="inlineStr">
        <is>
          <t>reading for The Stephen Jones sequence - and a cavea</t>
        </is>
      </c>
      <c r="P2389" s="10" t="inlineStr"/>
    </row>
    <row r="2390">
      <c r="A2390" s="19" t="n">
        <v>2389</v>
      </c>
      <c r="B2390" s="19" t="inlineStr">
        <is>
          <t>Part IV - Performance Engineering</t>
        </is>
      </c>
      <c r="C2390" s="20" t="inlineStr">
        <is>
          <t>E.4.3 GPU MODE - 116 lectures, enumerated</t>
        </is>
      </c>
      <c r="D2390" s="10" t="inlineStr">
        <is>
          <t>Amini &amp; Roesch (NVIDIA</t>
        </is>
      </c>
      <c r="E2390" s="10" t="inlineStr">
        <is>
          <t>cuTile</t>
        </is>
      </c>
      <c r="F2390" s="11" t="inlineStr">
        <is>
          <t>1:43:31</t>
        </is>
      </c>
      <c r="G2390" s="11" t="n">
        <v>1.73</v>
      </c>
      <c r="H2390" s="12" t="inlineStr">
        <is>
          <t>★</t>
        </is>
      </c>
      <c r="I2390" s="11" t="inlineStr">
        <is>
          <t>Not started</t>
        </is>
      </c>
      <c r="J2390" s="13" t="n"/>
      <c r="K2390" s="10" t="inlineStr"/>
      <c r="L2390" s="14" t="inlineStr">
        <is>
          <t>▶ watch</t>
        </is>
      </c>
      <c r="M2390" s="10" t="inlineStr">
        <is>
          <t>Jia et al., Dissecting the NVIDIA Volta GPU Architecture via Microbenchmarking, arXiv:1804.06826 (Turing sequel arXiv:1903.07486)</t>
        </is>
      </c>
      <c r="N2390" s="14" t="inlineStr">
        <is>
          <t>read ↗</t>
        </is>
      </c>
      <c r="O2390" s="11" t="inlineStr">
        <is>
          <t>names NVIDIA</t>
        </is>
      </c>
      <c r="P2390" s="10" t="inlineStr"/>
    </row>
    <row r="2391">
      <c r="A2391" s="19" t="n">
        <v>2390</v>
      </c>
      <c r="B2391" s="19" t="inlineStr">
        <is>
          <t>Part IV - Performance Engineering</t>
        </is>
      </c>
      <c r="C2391" s="20" t="inlineStr">
        <is>
          <t>E.4.3 GPU MODE - 116 lectures, enumerated</t>
        </is>
      </c>
      <c r="D2391" s="10" t="inlineStr">
        <is>
          <t>Building Resilient ML Engineering Skills</t>
        </is>
      </c>
      <c r="E2391" s="10" t="inlineStr">
        <is>
          <t>Stas Bekman</t>
        </is>
      </c>
      <c r="F2391" s="11" t="inlineStr">
        <is>
          <t>1:54:07</t>
        </is>
      </c>
      <c r="G2391" s="11" t="n">
        <v>1.9</v>
      </c>
      <c r="H2391" s="12" t="inlineStr"/>
      <c r="I2391" s="11" t="inlineStr">
        <is>
          <t>Not started</t>
        </is>
      </c>
      <c r="J2391" s="13" t="n"/>
      <c r="K2391" s="10" t="inlineStr"/>
      <c r="L2391" s="14" t="inlineStr">
        <is>
          <t>▶ watch</t>
        </is>
      </c>
      <c r="M2391" s="10" t="inlineStr">
        <is>
          <t>Jia et al., Dissecting the NVIDIA Volta GPU Architecture via Microbenchmarking, arXiv:1804.06826 (Turing sequel arXiv:1903.07486) · the Hopper and Blackwell architecture whitepapers</t>
        </is>
      </c>
      <c r="N2391" s="14" t="inlineStr">
        <is>
          <t>read ↗</t>
        </is>
      </c>
      <c r="O2391" s="11" t="inlineStr">
        <is>
          <t>reading for The Stephen Jones sequence - and a cavea</t>
        </is>
      </c>
      <c r="P2391" s="10" t="inlineStr"/>
    </row>
    <row r="2392">
      <c r="A2392" s="19" t="n">
        <v>2391</v>
      </c>
      <c r="B2392" s="19" t="inlineStr">
        <is>
          <t>Part IV - Performance Engineering</t>
        </is>
      </c>
      <c r="C2392" s="20" t="inlineStr">
        <is>
          <t>E.4.3 GPU MODE - 116 lectures, enumerated</t>
        </is>
      </c>
      <c r="D2392" s="10" t="inlineStr">
        <is>
          <t>Mega Lecture: RL, Agents and OpenEnv</t>
        </is>
      </c>
      <c r="E2392" s="10" t="inlineStr">
        <is>
          <t>multiple</t>
        </is>
      </c>
      <c r="F2392" s="11" t="inlineStr">
        <is>
          <t>3:21:51</t>
        </is>
      </c>
      <c r="G2392" s="11" t="n">
        <v>3.36</v>
      </c>
      <c r="H2392" s="12" t="inlineStr"/>
      <c r="I2392" s="11" t="inlineStr">
        <is>
          <t>Not started</t>
        </is>
      </c>
      <c r="J2392" s="13" t="n"/>
      <c r="K2392" s="10" t="inlineStr"/>
      <c r="L2392" s="14" t="inlineStr">
        <is>
          <t>▶ watch</t>
        </is>
      </c>
      <c r="M2392" s="10" t="inlineStr">
        <is>
          <t>Jia et al., Dissecting the NVIDIA Volta GPU Architecture via Microbenchmarking, arXiv:1804.06826 (Turing sequel arXiv:1903.07486) · the Hopper and Blackwell architecture whitepapers</t>
        </is>
      </c>
      <c r="N2392" s="14" t="inlineStr">
        <is>
          <t>read ↗</t>
        </is>
      </c>
      <c r="O2392" s="11" t="inlineStr">
        <is>
          <t>reading for The Stephen Jones sequence - and a cavea</t>
        </is>
      </c>
      <c r="P2392" s="10" t="inlineStr"/>
    </row>
    <row r="2393">
      <c r="A2393" s="19" t="n">
        <v>2392</v>
      </c>
      <c r="B2393" s="19" t="inlineStr">
        <is>
          <t>Part IV - Performance Engineering</t>
        </is>
      </c>
      <c r="C2393" s="20" t="inlineStr">
        <is>
          <t>E.4.3 GPU MODE - 116 lectures, enumerated</t>
        </is>
      </c>
      <c r="D2393" s="10" t="inlineStr">
        <is>
          <t>Smol Training Playbook</t>
        </is>
      </c>
      <c r="E2393" s="10" t="inlineStr">
        <is>
          <t>Loubna Ben Allal (HF</t>
        </is>
      </c>
      <c r="F2393" s="11" t="inlineStr">
        <is>
          <t>1:26:03</t>
        </is>
      </c>
      <c r="G2393" s="11" t="n">
        <v>1.43</v>
      </c>
      <c r="H2393" s="12" t="inlineStr"/>
      <c r="I2393" s="11" t="inlineStr">
        <is>
          <t>Not started</t>
        </is>
      </c>
      <c r="J2393" s="13" t="n"/>
      <c r="K2393" s="10" t="inlineStr"/>
      <c r="L2393" s="14" t="inlineStr">
        <is>
          <t>▶ watch</t>
        </is>
      </c>
      <c r="M2393" s="10" t="inlineStr">
        <is>
          <t>Jia et al., Dissecting the NVIDIA Volta GPU Architecture via Microbenchmarking, arXiv:1804.06826 (Turing sequel arXiv:1903.07486) · the Hopper and Blackwell architecture whitepapers</t>
        </is>
      </c>
      <c r="N2393" s="14" t="inlineStr">
        <is>
          <t>read ↗</t>
        </is>
      </c>
      <c r="O2393" s="11" t="inlineStr">
        <is>
          <t>reading for The Stephen Jones sequence - and a cavea</t>
        </is>
      </c>
      <c r="P2393" s="10" t="inlineStr"/>
    </row>
    <row r="2394">
      <c r="A2394" s="19" t="n">
        <v>2393</v>
      </c>
      <c r="B2394" s="19" t="inlineStr">
        <is>
          <t>Part IV - Performance Engineering</t>
        </is>
      </c>
      <c r="C2394" s="20" t="inlineStr">
        <is>
          <t>E.4.3 GPU MODE - 116 lectures, enumerated</t>
        </is>
      </c>
      <c r="D2394" s="10" t="inlineStr">
        <is>
          <t>Cornserve</t>
        </is>
      </c>
      <c r="E2394" s="10" t="inlineStr">
        <is>
          <t>Jeff Ma</t>
        </is>
      </c>
      <c r="F2394" s="11" t="inlineStr">
        <is>
          <t>44:19</t>
        </is>
      </c>
      <c r="G2394" s="11" t="n">
        <v>0.74</v>
      </c>
      <c r="H2394" s="12" t="inlineStr"/>
      <c r="I2394" s="11" t="inlineStr">
        <is>
          <t>Not started</t>
        </is>
      </c>
      <c r="J2394" s="13" t="n"/>
      <c r="K2394" s="10" t="inlineStr"/>
      <c r="L2394" s="14" t="inlineStr">
        <is>
          <t>▶ watch</t>
        </is>
      </c>
      <c r="M2394" s="10" t="inlineStr">
        <is>
          <t>Jia et al., Dissecting the NVIDIA Volta GPU Architecture via Microbenchmarking, arXiv:1804.06826 (Turing sequel arXiv:1903.07486) · the Hopper and Blackwell architecture whitepapers</t>
        </is>
      </c>
      <c r="N2394" s="14" t="inlineStr">
        <is>
          <t>read ↗</t>
        </is>
      </c>
      <c r="O2394" s="11" t="inlineStr">
        <is>
          <t>reading for The Stephen Jones sequence - and a cavea</t>
        </is>
      </c>
      <c r="P2394" s="10" t="inlineStr"/>
    </row>
    <row r="2395">
      <c r="A2395" s="19" t="n">
        <v>2394</v>
      </c>
      <c r="B2395" s="19" t="inlineStr">
        <is>
          <t>Part IV - Performance Engineering</t>
        </is>
      </c>
      <c r="C2395" s="20" t="inlineStr">
        <is>
          <t>E.4.3 GPU MODE - 116 lectures, enumerated</t>
        </is>
      </c>
      <c r="D2395" s="10" t="inlineStr">
        <is>
          <t>Tianqi Chen (CMU</t>
        </is>
      </c>
      <c r="E2395" s="10" t="inlineStr">
        <is>
          <t>tvm-ffi</t>
        </is>
      </c>
      <c r="F2395" s="11" t="inlineStr">
        <is>
          <t>1:28:31</t>
        </is>
      </c>
      <c r="G2395" s="11" t="n">
        <v>1.48</v>
      </c>
      <c r="H2395" s="12" t="inlineStr"/>
      <c r="I2395" s="11" t="inlineStr">
        <is>
          <t>Not started</t>
        </is>
      </c>
      <c r="J2395" s="13" t="n"/>
      <c r="K2395" s="10" t="inlineStr"/>
      <c r="L2395" s="14" t="inlineStr">
        <is>
          <t>▶ watch</t>
        </is>
      </c>
      <c r="M2395" s="10" t="inlineStr">
        <is>
          <t>Jia et al., Dissecting the NVIDIA Volta GPU Architecture via Microbenchmarking, arXiv:1804.06826 (Turing sequel arXiv:1903.07486) · the Hopper and Blackwell architecture whitepapers</t>
        </is>
      </c>
      <c r="N2395" s="14" t="inlineStr">
        <is>
          <t>read ↗</t>
        </is>
      </c>
      <c r="O2395" s="11" t="inlineStr">
        <is>
          <t>reading for The Stephen Jones sequence - and a cavea</t>
        </is>
      </c>
      <c r="P2395" s="10" t="inlineStr"/>
    </row>
    <row r="2396">
      <c r="A2396" s="19" t="n">
        <v>2395</v>
      </c>
      <c r="B2396" s="19" t="inlineStr">
        <is>
          <t>Part IV - Performance Engineering</t>
        </is>
      </c>
      <c r="C2396" s="20" t="inlineStr">
        <is>
          <t>E.4.3 GPU MODE - 116 lectures, enumerated</t>
        </is>
      </c>
      <c r="D2396" s="10" t="inlineStr">
        <is>
          <t>Single-Controller Programming with Monarch</t>
        </is>
      </c>
      <c r="E2396" s="10" t="inlineStr">
        <is>
          <t>Wang &amp; Taylor (Meta</t>
        </is>
      </c>
      <c r="F2396" s="11" t="inlineStr">
        <is>
          <t>2:02:24</t>
        </is>
      </c>
      <c r="G2396" s="11" t="n">
        <v>2.04</v>
      </c>
      <c r="H2396" s="12" t="inlineStr"/>
      <c r="I2396" s="11" t="inlineStr">
        <is>
          <t>Not started</t>
        </is>
      </c>
      <c r="J2396" s="13" t="n"/>
      <c r="K2396" s="10" t="inlineStr"/>
      <c r="L2396" s="14" t="inlineStr">
        <is>
          <t>▶ watch</t>
        </is>
      </c>
      <c r="M2396" s="10" t="inlineStr">
        <is>
          <t>Jia et al., Dissecting the NVIDIA Volta GPU Architecture via Microbenchmarking, arXiv:1804.06826 (Turing sequel arXiv:1903.07486) · the Hopper and Blackwell architecture whitepapers</t>
        </is>
      </c>
      <c r="N2396" s="14" t="inlineStr">
        <is>
          <t>read ↗</t>
        </is>
      </c>
      <c r="O2396" s="11" t="inlineStr">
        <is>
          <t>reading for The Stephen Jones sequence - and a cavea</t>
        </is>
      </c>
      <c r="P2396" s="10" t="inlineStr"/>
    </row>
    <row r="2397">
      <c r="A2397" s="19" t="n">
        <v>2396</v>
      </c>
      <c r="B2397" s="19" t="inlineStr">
        <is>
          <t>Part IV - Performance Engineering</t>
        </is>
      </c>
      <c r="C2397" s="20" t="inlineStr">
        <is>
          <t>E.4.3 GPU MODE - 116 lectures, enumerated</t>
        </is>
      </c>
      <c r="D2397" s="10" t="inlineStr">
        <is>
          <t>TLX - Triton-Like Simplicity, Peak Performance</t>
        </is>
      </c>
      <c r="E2397" s="10" t="inlineStr">
        <is>
          <t>Hongtao Yu (Meta</t>
        </is>
      </c>
      <c r="F2397" s="11" t="inlineStr">
        <is>
          <t>1:29:58</t>
        </is>
      </c>
      <c r="G2397" s="11" t="n">
        <v>1.5</v>
      </c>
      <c r="H2397" s="12" t="inlineStr">
        <is>
          <t>★</t>
        </is>
      </c>
      <c r="I2397" s="11" t="inlineStr">
        <is>
          <t>Not started</t>
        </is>
      </c>
      <c r="J2397" s="13" t="n"/>
      <c r="K2397" s="10" t="inlineStr"/>
      <c r="L2397" s="14" t="inlineStr">
        <is>
          <t>▶ watch</t>
        </is>
      </c>
      <c r="M2397" s="10" t="inlineStr">
        <is>
          <t>Jia et al., Dissecting the NVIDIA Volta GPU Architecture via Microbenchmarking, arXiv:1804.06826 (Turing sequel arXiv:1903.07486) · the Hopper and Blackwell architecture whitepapers</t>
        </is>
      </c>
      <c r="N2397" s="14" t="inlineStr">
        <is>
          <t>read ↗</t>
        </is>
      </c>
      <c r="O2397" s="11" t="inlineStr">
        <is>
          <t>reading for The Stephen Jones sequence - and a cavea</t>
        </is>
      </c>
      <c r="P2397" s="10" t="inlineStr"/>
    </row>
    <row r="2398">
      <c r="A2398" s="19" t="n">
        <v>2397</v>
      </c>
      <c r="B2398" s="19" t="inlineStr">
        <is>
          <t>Part IV - Performance Engineering</t>
        </is>
      </c>
      <c r="C2398" s="20" t="inlineStr">
        <is>
          <t>E.4.3 GPU MODE - 116 lectures, enumerated</t>
        </is>
      </c>
      <c r="D2398" s="10" t="inlineStr">
        <is>
          <t>William Hu (Stanford</t>
        </is>
      </c>
      <c r="E2398" s="10" t="inlineStr">
        <is>
          <t>HipKittens</t>
        </is>
      </c>
      <c r="F2398" s="11" t="inlineStr">
        <is>
          <t>1:25:05</t>
        </is>
      </c>
      <c r="G2398" s="11" t="n">
        <v>1.42</v>
      </c>
      <c r="H2398" s="12" t="inlineStr">
        <is>
          <t>★</t>
        </is>
      </c>
      <c r="I2398" s="11" t="inlineStr">
        <is>
          <t>Not started</t>
        </is>
      </c>
      <c r="J2398" s="13" t="n"/>
      <c r="K2398" s="10" t="inlineStr"/>
      <c r="L2398" s="14" t="inlineStr">
        <is>
          <t>▶ watch</t>
        </is>
      </c>
      <c r="M2398" s="10" t="inlineStr">
        <is>
          <t>Jia et al., Dissecting the NVIDIA Volta GPU Architecture via Microbenchmarking, arXiv:1804.06826 (Turing sequel arXiv:1903.07486) · the Hopper and Blackwell architecture whitepapers</t>
        </is>
      </c>
      <c r="N2398" s="14" t="inlineStr">
        <is>
          <t>read ↗</t>
        </is>
      </c>
      <c r="O2398" s="11" t="inlineStr">
        <is>
          <t>reading for The Stephen Jones sequence - and a cavea</t>
        </is>
      </c>
      <c r="P2398" s="10" t="inlineStr"/>
    </row>
    <row r="2399">
      <c r="A2399" s="19" t="n">
        <v>2398</v>
      </c>
      <c r="B2399" s="19" t="inlineStr">
        <is>
          <t>Part IV - Performance Engineering</t>
        </is>
      </c>
      <c r="C2399" s="20" t="inlineStr">
        <is>
          <t>E.4.3 GPU MODE - 116 lectures, enumerated</t>
        </is>
      </c>
      <c r="D2399" s="10" t="inlineStr">
        <is>
          <t>GPU Observability</t>
        </is>
      </c>
      <c r="E2399" s="10" t="inlineStr">
        <is>
          <t>Yusheng Zheng</t>
        </is>
      </c>
      <c r="F2399" s="11" t="inlineStr">
        <is>
          <t>46:53</t>
        </is>
      </c>
      <c r="G2399" s="11" t="n">
        <v>0.78</v>
      </c>
      <c r="H2399" s="12" t="inlineStr">
        <is>
          <t>★</t>
        </is>
      </c>
      <c r="I2399" s="11" t="inlineStr">
        <is>
          <t>Not started</t>
        </is>
      </c>
      <c r="J2399" s="13" t="n"/>
      <c r="K2399" s="10" t="inlineStr"/>
      <c r="L2399" s="14" t="inlineStr">
        <is>
          <t>▶ watch</t>
        </is>
      </c>
      <c r="M2399" s="10" t="inlineStr">
        <is>
          <t>Jia et al., Dissecting the NVIDIA Volta GPU Architecture via Microbenchmarking, arXiv:1804.06826 (Turing sequel arXiv:1903.07486) · the Hopper and Blackwell architecture whitepapers</t>
        </is>
      </c>
      <c r="N2399" s="14" t="inlineStr">
        <is>
          <t>read ↗</t>
        </is>
      </c>
      <c r="O2399" s="11" t="inlineStr">
        <is>
          <t>reading for The Stephen Jones sequence - and a cavea</t>
        </is>
      </c>
      <c r="P2399" s="10" t="inlineStr"/>
    </row>
    <row r="2400">
      <c r="A2400" s="19" t="n">
        <v>2399</v>
      </c>
      <c r="B2400" s="19" t="inlineStr">
        <is>
          <t>Part IV - Performance Engineering</t>
        </is>
      </c>
      <c r="C2400" s="20" t="inlineStr">
        <is>
          <t>E.4.3 GPU MODE - 116 lectures, enumerated</t>
        </is>
      </c>
      <c r="D2400" s="10" t="inlineStr">
        <is>
          <t>Distributed ML on Consumer Devices</t>
        </is>
      </c>
      <c r="E2400" s="10" t="inlineStr">
        <is>
          <t>Matt Beton</t>
        </is>
      </c>
      <c r="F2400" s="11" t="inlineStr">
        <is>
          <t>1:05:53</t>
        </is>
      </c>
      <c r="G2400" s="11" t="n">
        <v>1.1</v>
      </c>
      <c r="H2400" s="12" t="inlineStr"/>
      <c r="I2400" s="11" t="inlineStr">
        <is>
          <t>Not started</t>
        </is>
      </c>
      <c r="J2400" s="13" t="n"/>
      <c r="K2400" s="10" t="inlineStr"/>
      <c r="L2400" s="14" t="inlineStr">
        <is>
          <t>▶ watch</t>
        </is>
      </c>
      <c r="M2400" s="10" t="inlineStr">
        <is>
          <t>Jia et al., Dissecting the NVIDIA Volta GPU Architecture via Microbenchmarking, arXiv:1804.06826 (Turing sequel arXiv:1903.07486) · the Hopper and Blackwell architecture whitepapers</t>
        </is>
      </c>
      <c r="N2400" s="14" t="inlineStr">
        <is>
          <t>read ↗</t>
        </is>
      </c>
      <c r="O2400" s="11" t="inlineStr">
        <is>
          <t>reading for The Stephen Jones sequence - and a cavea</t>
        </is>
      </c>
      <c r="P2400" s="10" t="inlineStr"/>
    </row>
    <row r="2401">
      <c r="A2401" s="19" t="n">
        <v>2400</v>
      </c>
      <c r="B2401" s="19" t="inlineStr">
        <is>
          <t>Part IV - Performance Engineering</t>
        </is>
      </c>
      <c r="C2401" s="20" t="inlineStr">
        <is>
          <t>E.4.3 GPU MODE - 116 lectures, enumerated</t>
        </is>
      </c>
      <c r="D2401" s="10" t="inlineStr">
        <is>
          <t>InferenceX</t>
        </is>
      </c>
      <c r="E2401" s="10" t="inlineStr"/>
      <c r="F2401" s="11" t="inlineStr">
        <is>
          <t>1:12:06</t>
        </is>
      </c>
      <c r="G2401" s="11" t="n">
        <v>1.2</v>
      </c>
      <c r="H2401" s="12" t="inlineStr"/>
      <c r="I2401" s="11" t="inlineStr">
        <is>
          <t>Not started</t>
        </is>
      </c>
      <c r="J2401" s="13" t="n"/>
      <c r="K2401" s="10" t="inlineStr"/>
      <c r="L2401" s="14" t="inlineStr">
        <is>
          <t>▶ watch</t>
        </is>
      </c>
      <c r="M2401" s="10" t="inlineStr">
        <is>
          <t>Jia et al., Dissecting the NVIDIA Volta GPU Architecture via Microbenchmarking, arXiv:1804.06826 (Turing sequel arXiv:1903.07486) · the Hopper and Blackwell architecture whitepapers</t>
        </is>
      </c>
      <c r="N2401" s="14" t="inlineStr">
        <is>
          <t>read ↗</t>
        </is>
      </c>
      <c r="O2401" s="11" t="inlineStr">
        <is>
          <t>reading for The Stephen Jones sequence - and a cavea</t>
        </is>
      </c>
      <c r="P2401" s="10" t="inlineStr"/>
    </row>
    <row r="2402">
      <c r="A2402" s="19" t="n">
        <v>2401</v>
      </c>
      <c r="B2402" s="19" t="inlineStr">
        <is>
          <t>Part IV - Performance Engineering</t>
        </is>
      </c>
      <c r="C2402" s="20" t="inlineStr">
        <is>
          <t>E.4.3 GPU MODE - 116 lectures, enumerated</t>
        </is>
      </c>
      <c r="D2402" s="10" t="inlineStr">
        <is>
          <t>Learning CUTLASS the Hard Way</t>
        </is>
      </c>
      <c r="E2402" s="10" t="inlineStr">
        <is>
          <t>Kapil Sharma</t>
        </is>
      </c>
      <c r="F2402" s="11" t="inlineStr">
        <is>
          <t>1:11:17</t>
        </is>
      </c>
      <c r="G2402" s="11" t="n">
        <v>1.19</v>
      </c>
      <c r="H2402" s="12" t="inlineStr">
        <is>
          <t>★</t>
        </is>
      </c>
      <c r="I2402" s="11" t="inlineStr">
        <is>
          <t>Not started</t>
        </is>
      </c>
      <c r="J2402" s="13" t="n"/>
      <c r="K2402" s="10" t="inlineStr"/>
      <c r="L2402" s="14" t="inlineStr">
        <is>
          <t>▶ watch</t>
        </is>
      </c>
      <c r="M2402" s="10" t="inlineStr">
        <is>
          <t>Jia et al., Dissecting the NVIDIA Volta GPU Architecture via Microbenchmarking, arXiv:1804.06826 (Turing sequel arXiv:1903.07486) · the Hopper and Blackwell architecture whitepapers</t>
        </is>
      </c>
      <c r="N2402" s="14" t="inlineStr">
        <is>
          <t>read ↗</t>
        </is>
      </c>
      <c r="O2402" s="11" t="inlineStr">
        <is>
          <t>reading for The Stephen Jones sequence - and a cavea</t>
        </is>
      </c>
      <c r="P2402" s="10" t="inlineStr"/>
    </row>
    <row r="2403">
      <c r="A2403" s="19" t="n">
        <v>2402</v>
      </c>
      <c r="B2403" s="19" t="inlineStr">
        <is>
          <t>Part IV - Performance Engineering</t>
        </is>
      </c>
      <c r="C2403" s="20" t="inlineStr">
        <is>
          <t>E.4.3 GPU MODE - 116 lectures, enumerated</t>
        </is>
      </c>
      <c r="D2403" s="10" t="inlineStr">
        <is>
          <t>Panferov &amp; Schultheis</t>
        </is>
      </c>
      <c r="E2403" s="10" t="inlineStr">
        <is>
          <t>★102</t>
        </is>
      </c>
      <c r="F2403" s="11" t="inlineStr">
        <is>
          <t>1:47:17</t>
        </is>
      </c>
      <c r="G2403" s="11" t="n">
        <v>1.79</v>
      </c>
      <c r="H2403" s="12" t="inlineStr">
        <is>
          <t>★</t>
        </is>
      </c>
      <c r="I2403" s="11" t="inlineStr">
        <is>
          <t>Not started</t>
        </is>
      </c>
      <c r="J2403" s="13" t="n"/>
      <c r="K2403" s="10" t="inlineStr"/>
      <c r="L2403" s="14" t="inlineStr">
        <is>
          <t>▶ watch</t>
        </is>
      </c>
      <c r="M2403" s="10" t="inlineStr">
        <is>
          <t>Jia et al., Dissecting the NVIDIA Volta GPU Architecture via Microbenchmarking, arXiv:1804.06826 (Turing sequel arXiv:1903.07486) · the Hopper and Blackwell architecture whitepapers</t>
        </is>
      </c>
      <c r="N2403" s="14" t="inlineStr">
        <is>
          <t>read ↗</t>
        </is>
      </c>
      <c r="O2403" s="11" t="inlineStr">
        <is>
          <t>reading for The Stephen Jones sequence - and a cavea</t>
        </is>
      </c>
      <c r="P2403" s="10" t="inlineStr"/>
    </row>
    <row r="2404">
      <c r="A2404" s="19" t="n">
        <v>2403</v>
      </c>
      <c r="B2404" s="19" t="inlineStr">
        <is>
          <t>Part IV - Performance Engineering</t>
        </is>
      </c>
      <c r="C2404" s="20" t="inlineStr">
        <is>
          <t>E.4.3 GPU MODE - 116 lectures, enumerated</t>
        </is>
      </c>
      <c r="D2404" s="10" t="inlineStr">
        <is>
          <t>CuTe Layout Algebra and its Category-Theoretic Interpretation</t>
        </is>
      </c>
      <c r="E2404" s="10" t="inlineStr">
        <is>
          <t>Carlisle &amp; Jay Shah</t>
        </is>
      </c>
      <c r="F2404" s="11" t="inlineStr">
        <is>
          <t>2:33:57</t>
        </is>
      </c>
      <c r="G2404" s="11" t="n">
        <v>2.57</v>
      </c>
      <c r="H2404" s="12" t="inlineStr">
        <is>
          <t>★</t>
        </is>
      </c>
      <c r="I2404" s="11" t="inlineStr">
        <is>
          <t>Not started</t>
        </is>
      </c>
      <c r="J2404" s="13" t="n"/>
      <c r="K2404" s="10" t="inlineStr"/>
      <c r="L2404" s="14" t="inlineStr">
        <is>
          <t>▶ watch</t>
        </is>
      </c>
      <c r="M2404" s="10" t="inlineStr">
        <is>
          <t>Jia et al., Dissecting the NVIDIA Volta GPU Architecture via Microbenchmarking, arXiv:1804.06826 (Turing sequel arXiv:1903.07486) · the Hopper and Blackwell architecture whitepapers</t>
        </is>
      </c>
      <c r="N2404" s="14" t="inlineStr">
        <is>
          <t>read ↗</t>
        </is>
      </c>
      <c r="O2404" s="11" t="inlineStr">
        <is>
          <t>reading for The Stephen Jones sequence - and a cavea</t>
        </is>
      </c>
      <c r="P2404" s="10" t="inlineStr">
        <is>
          <t>E.4.5 CUTLASS and CuTe</t>
        </is>
      </c>
    </row>
    <row r="2405">
      <c r="A2405" s="19" t="n">
        <v>2404</v>
      </c>
      <c r="B2405" s="19" t="inlineStr">
        <is>
          <t>Part IV - Performance Engineering</t>
        </is>
      </c>
      <c r="C2405" s="20" t="inlineStr">
        <is>
          <t>E.4.3 GPU MODE - 116 lectures, enumerated</t>
        </is>
      </c>
      <c r="D2405" s="10" t="inlineStr">
        <is>
          <t>Gluon and Linear Layouts</t>
        </is>
      </c>
      <c r="E2405" s="10" t="inlineStr">
        <is>
          <t>★104</t>
        </is>
      </c>
      <c r="F2405" s="11" t="inlineStr">
        <is>
          <t>1:57:57</t>
        </is>
      </c>
      <c r="G2405" s="11" t="n">
        <v>1.97</v>
      </c>
      <c r="H2405" s="12" t="inlineStr">
        <is>
          <t>★</t>
        </is>
      </c>
      <c r="I2405" s="11" t="inlineStr">
        <is>
          <t>Not started</t>
        </is>
      </c>
      <c r="J2405" s="13" t="n"/>
      <c r="K2405" s="10" t="inlineStr"/>
      <c r="L2405" s="14" t="inlineStr">
        <is>
          <t>▶ watch</t>
        </is>
      </c>
      <c r="M2405" s="10" t="inlineStr">
        <is>
          <t>Jia et al., Dissecting the NVIDIA Volta GPU Architecture via Microbenchmarking, arXiv:1804.06826 (Turing sequel arXiv:1903.07486) · the Hopper and Blackwell architecture whitepapers</t>
        </is>
      </c>
      <c r="N2405" s="14" t="inlineStr">
        <is>
          <t>read ↗</t>
        </is>
      </c>
      <c r="O2405" s="11" t="inlineStr">
        <is>
          <t>reading for The Stephen Jones sequence - and a cavea</t>
        </is>
      </c>
      <c r="P2405" s="10" t="inlineStr"/>
    </row>
    <row r="2406">
      <c r="A2406" s="19" t="n">
        <v>2405</v>
      </c>
      <c r="B2406" s="19" t="inlineStr">
        <is>
          <t>Part IV - Performance Engineering</t>
        </is>
      </c>
      <c r="C2406" s="20" t="inlineStr">
        <is>
          <t>E.4.3 GPU MODE - 116 lectures, enumerated</t>
        </is>
      </c>
      <c r="D2406" s="10" t="inlineStr">
        <is>
          <t>cuDNN mxfp8 Attention</t>
        </is>
      </c>
      <c r="E2406" s="10" t="inlineStr">
        <is>
          <t>★105</t>
        </is>
      </c>
      <c r="F2406" s="11" t="inlineStr">
        <is>
          <t>1:00:18</t>
        </is>
      </c>
      <c r="G2406" s="11" t="n">
        <v>1</v>
      </c>
      <c r="H2406" s="12" t="inlineStr">
        <is>
          <t>★</t>
        </is>
      </c>
      <c r="I2406" s="11" t="inlineStr">
        <is>
          <t>Not started</t>
        </is>
      </c>
      <c r="J2406" s="13" t="n"/>
      <c r="K2406" s="10" t="inlineStr"/>
      <c r="L2406" s="14" t="inlineStr">
        <is>
          <t>▶ watch</t>
        </is>
      </c>
      <c r="M2406" s="10" t="inlineStr">
        <is>
          <t>Jia et al., Dissecting the NVIDIA Volta GPU Architecture via Microbenchmarking, arXiv:1804.06826 (Turing sequel arXiv:1903.07486) · the Hopper and Blackwell architecture whitepapers</t>
        </is>
      </c>
      <c r="N2406" s="14" t="inlineStr">
        <is>
          <t>read ↗</t>
        </is>
      </c>
      <c r="O2406" s="11" t="inlineStr">
        <is>
          <t>reading for The Stephen Jones sequence - and a cavea</t>
        </is>
      </c>
      <c r="P2406" s="10" t="inlineStr"/>
    </row>
    <row r="2407">
      <c r="A2407" s="19" t="n">
        <v>2406</v>
      </c>
      <c r="B2407" s="19" t="inlineStr">
        <is>
          <t>Part IV - Performance Engineering</t>
        </is>
      </c>
      <c r="C2407" s="20" t="inlineStr">
        <is>
          <t>E.4.3 GPU MODE - 116 lectures, enumerated</t>
        </is>
      </c>
      <c r="D2407" s="10" t="inlineStr">
        <is>
          <t>Hugging Face Kernels</t>
        </is>
      </c>
      <c r="E2407" s="10" t="inlineStr">
        <is>
          <t>de Kok &amp; Holz (HF</t>
        </is>
      </c>
      <c r="F2407" s="11" t="inlineStr">
        <is>
          <t>1:28:19</t>
        </is>
      </c>
      <c r="G2407" s="11" t="n">
        <v>1.47</v>
      </c>
      <c r="H2407" s="12" t="inlineStr">
        <is>
          <t>★</t>
        </is>
      </c>
      <c r="I2407" s="11" t="inlineStr">
        <is>
          <t>Not started</t>
        </is>
      </c>
      <c r="J2407" s="13" t="n"/>
      <c r="K2407" s="10" t="inlineStr"/>
      <c r="L2407" s="14" t="inlineStr">
        <is>
          <t>▶ watch</t>
        </is>
      </c>
      <c r="M2407" s="10" t="inlineStr">
        <is>
          <t>Jia et al., Dissecting the NVIDIA Volta GPU Architecture via Microbenchmarking, arXiv:1804.06826 (Turing sequel arXiv:1903.07486) · the Hopper and Blackwell architecture whitepapers</t>
        </is>
      </c>
      <c r="N2407" s="14" t="inlineStr">
        <is>
          <t>read ↗</t>
        </is>
      </c>
      <c r="O2407" s="11" t="inlineStr">
        <is>
          <t>reading for The Stephen Jones sequence - and a cavea</t>
        </is>
      </c>
      <c r="P2407" s="10" t="inlineStr"/>
    </row>
    <row r="2408">
      <c r="A2408" s="19" t="n">
        <v>2407</v>
      </c>
      <c r="B2408" s="19" t="inlineStr">
        <is>
          <t>Part IV - Performance Engineering</t>
        </is>
      </c>
      <c r="C2408" s="20" t="inlineStr">
        <is>
          <t>E.4.3 GPU MODE - 116 lectures, enumerated</t>
        </is>
      </c>
      <c r="D2408" s="10" t="inlineStr">
        <is>
          <t>Lai &amp; Kang</t>
        </is>
      </c>
      <c r="E2408" s="10" t="inlineStr">
        <is>
          <t>PithTrain</t>
        </is>
      </c>
      <c r="F2408" s="11" t="inlineStr">
        <is>
          <t>1:05:01</t>
        </is>
      </c>
      <c r="G2408" s="11" t="n">
        <v>1.08</v>
      </c>
      <c r="H2408" s="12" t="inlineStr"/>
      <c r="I2408" s="11" t="inlineStr">
        <is>
          <t>Not started</t>
        </is>
      </c>
      <c r="J2408" s="13" t="n"/>
      <c r="K2408" s="10" t="inlineStr"/>
      <c r="L2408" s="14" t="inlineStr">
        <is>
          <t>▶ watch</t>
        </is>
      </c>
      <c r="M2408" s="10" t="inlineStr">
        <is>
          <t>Jia et al., Dissecting the NVIDIA Volta GPU Architecture via Microbenchmarking, arXiv:1804.06826 (Turing sequel arXiv:1903.07486) · the Hopper and Blackwell architecture whitepapers</t>
        </is>
      </c>
      <c r="N2408" s="14" t="inlineStr">
        <is>
          <t>read ↗</t>
        </is>
      </c>
      <c r="O2408" s="11" t="inlineStr">
        <is>
          <t>reading for The Stephen Jones sequence - and a cavea</t>
        </is>
      </c>
      <c r="P2408" s="10" t="inlineStr"/>
    </row>
    <row r="2409">
      <c r="A2409" s="19" t="n">
        <v>2408</v>
      </c>
      <c r="B2409" s="19" t="inlineStr">
        <is>
          <t>Part IV - Performance Engineering</t>
        </is>
      </c>
      <c r="C2409" s="20" t="inlineStr">
        <is>
          <t>E.4.3 GPU MODE - 116 lectures, enumerated</t>
        </is>
      </c>
      <c r="D2409" s="10" t="inlineStr">
        <is>
          <t>One Layer Deeper competition</t>
        </is>
      </c>
      <c r="E2409" s="10" t="inlineStr"/>
      <c r="F2409" s="11" t="inlineStr">
        <is>
          <t>36:35</t>
        </is>
      </c>
      <c r="G2409" s="11" t="n">
        <v>0.61</v>
      </c>
      <c r="H2409" s="12" t="inlineStr"/>
      <c r="I2409" s="11" t="inlineStr">
        <is>
          <t>Not started</t>
        </is>
      </c>
      <c r="J2409" s="13" t="n"/>
      <c r="K2409" s="10" t="inlineStr"/>
      <c r="L2409" s="14" t="inlineStr">
        <is>
          <t>▶ watch</t>
        </is>
      </c>
      <c r="M2409" s="10" t="inlineStr">
        <is>
          <t>Jia et al., Dissecting the NVIDIA Volta GPU Architecture via Microbenchmarking, arXiv:1804.06826 (Turing sequel arXiv:1903.07486) · the Hopper and Blackwell architecture whitepapers</t>
        </is>
      </c>
      <c r="N2409" s="14" t="inlineStr">
        <is>
          <t>read ↗</t>
        </is>
      </c>
      <c r="O2409" s="11" t="inlineStr">
        <is>
          <t>reading for The Stephen Jones sequence - and a cavea</t>
        </is>
      </c>
      <c r="P2409" s="10" t="inlineStr"/>
    </row>
    <row r="2410">
      <c r="A2410" s="19" t="n">
        <v>2409</v>
      </c>
      <c r="B2410" s="19" t="inlineStr">
        <is>
          <t>Part IV - Performance Engineering</t>
        </is>
      </c>
      <c r="C2410" s="20" t="inlineStr">
        <is>
          <t>E.4.3 GPU MODE - 116 lectures, enumerated</t>
        </is>
      </c>
      <c r="D2410" s="10" t="inlineStr">
        <is>
          <t>Bohan Hou</t>
        </is>
      </c>
      <c r="E2410" s="10" t="inlineStr">
        <is>
          <t>TIRx</t>
        </is>
      </c>
      <c r="F2410" s="11" t="inlineStr">
        <is>
          <t>38:45</t>
        </is>
      </c>
      <c r="G2410" s="11" t="n">
        <v>0.65</v>
      </c>
      <c r="H2410" s="12" t="inlineStr"/>
      <c r="I2410" s="11" t="inlineStr">
        <is>
          <t>Not started</t>
        </is>
      </c>
      <c r="J2410" s="13" t="n"/>
      <c r="K2410" s="10" t="inlineStr"/>
      <c r="L2410" s="14" t="inlineStr">
        <is>
          <t>▶ watch</t>
        </is>
      </c>
      <c r="M2410" s="10" t="inlineStr">
        <is>
          <t>Jia et al., Dissecting the NVIDIA Volta GPU Architecture via Microbenchmarking, arXiv:1804.06826 (Turing sequel arXiv:1903.07486) · the Hopper and Blackwell architecture whitepapers</t>
        </is>
      </c>
      <c r="N2410" s="14" t="inlineStr">
        <is>
          <t>read ↗</t>
        </is>
      </c>
      <c r="O2410" s="11" t="inlineStr">
        <is>
          <t>reading for The Stephen Jones sequence - and a cavea</t>
        </is>
      </c>
      <c r="P2410" s="10" t="inlineStr"/>
    </row>
    <row r="2411">
      <c r="A2411" s="19" t="n">
        <v>2410</v>
      </c>
      <c r="B2411" s="19" t="inlineStr">
        <is>
          <t>Part IV - Performance Engineering</t>
        </is>
      </c>
      <c r="C2411" s="20" t="inlineStr">
        <is>
          <t>E.4.3 GPU MODE - 116 lectures, enumerated</t>
        </is>
      </c>
      <c r="D2411" s="10" t="inlineStr">
        <is>
          <t>The 4-Bitter Lesson - NVFP4 RL stability</t>
        </is>
      </c>
      <c r="E2411" s="10" t="inlineStr">
        <is>
          <t>Ziang Li</t>
        </is>
      </c>
      <c r="F2411" s="11" t="inlineStr">
        <is>
          <t>1:01:27</t>
        </is>
      </c>
      <c r="G2411" s="11" t="n">
        <v>1.02</v>
      </c>
      <c r="H2411" s="12" t="inlineStr">
        <is>
          <t>★</t>
        </is>
      </c>
      <c r="I2411" s="11" t="inlineStr">
        <is>
          <t>Not started</t>
        </is>
      </c>
      <c r="J2411" s="13" t="n"/>
      <c r="K2411" s="10" t="inlineStr"/>
      <c r="L2411" s="14" t="inlineStr">
        <is>
          <t>▶ watch</t>
        </is>
      </c>
      <c r="M2411" s="10" t="inlineStr">
        <is>
          <t>Jia et al., Dissecting the NVIDIA Volta GPU Architecture via Microbenchmarking, arXiv:1804.06826 (Turing sequel arXiv:1903.07486) · the Hopper and Blackwell architecture whitepapers</t>
        </is>
      </c>
      <c r="N2411" s="14" t="inlineStr">
        <is>
          <t>read ↗</t>
        </is>
      </c>
      <c r="O2411" s="11" t="inlineStr">
        <is>
          <t>reading for The Stephen Jones sequence - and a cavea</t>
        </is>
      </c>
      <c r="P2411" s="10" t="inlineStr"/>
    </row>
    <row r="2412">
      <c r="A2412" s="19" t="n">
        <v>2411</v>
      </c>
      <c r="B2412" s="19" t="inlineStr">
        <is>
          <t>Part IV - Performance Engineering</t>
        </is>
      </c>
      <c r="C2412" s="20" t="inlineStr">
        <is>
          <t>E.4.3 GPU MODE - 116 lectures, enumerated</t>
        </is>
      </c>
      <c r="D2412" s="10" t="inlineStr">
        <is>
          <t>Spectral Compute - Compile CUDA Everywhere</t>
        </is>
      </c>
      <c r="E2412" s="10" t="inlineStr">
        <is>
          <t>Chris Kitching</t>
        </is>
      </c>
      <c r="F2412" s="11" t="inlineStr">
        <is>
          <t>1:08:33</t>
        </is>
      </c>
      <c r="G2412" s="11" t="n">
        <v>1.14</v>
      </c>
      <c r="H2412" s="12" t="inlineStr"/>
      <c r="I2412" s="11" t="inlineStr">
        <is>
          <t>Not started</t>
        </is>
      </c>
      <c r="J2412" s="13" t="n"/>
      <c r="K2412" s="10" t="inlineStr"/>
      <c r="L2412" s="14" t="inlineStr">
        <is>
          <t>▶ watch</t>
        </is>
      </c>
      <c r="M2412" s="10" t="inlineStr">
        <is>
          <t>the CUDA C++ Programming Guide memory-model chapter</t>
        </is>
      </c>
      <c r="N2412" s="14" t="inlineStr">
        <is>
          <t>read ↗</t>
        </is>
      </c>
      <c r="O2412" s="11" t="inlineStr">
        <is>
          <t>names CUDA</t>
        </is>
      </c>
      <c r="P2412" s="10" t="inlineStr"/>
    </row>
    <row r="2413">
      <c r="A2413" s="19" t="n">
        <v>2412</v>
      </c>
      <c r="B2413" s="19" t="inlineStr">
        <is>
          <t>Part IV - Performance Engineering</t>
        </is>
      </c>
      <c r="C2413" s="20" t="inlineStr">
        <is>
          <t>E.4.3 GPU MODE - 116 lectures, enumerated</t>
        </is>
      </c>
      <c r="D2413" s="10" t="inlineStr">
        <is>
          <t>Production Megakernels for Real-World Inference</t>
        </is>
      </c>
      <c r="E2413" s="10" t="inlineStr">
        <is>
          <t>Joe Fioti</t>
        </is>
      </c>
      <c r="F2413" s="11" t="inlineStr">
        <is>
          <t>58:05</t>
        </is>
      </c>
      <c r="G2413" s="11" t="n">
        <v>0.97</v>
      </c>
      <c r="H2413" s="12" t="inlineStr">
        <is>
          <t>★</t>
        </is>
      </c>
      <c r="I2413" s="11" t="inlineStr">
        <is>
          <t>Not started</t>
        </is>
      </c>
      <c r="J2413" s="13" t="n"/>
      <c r="K2413" s="10" t="inlineStr"/>
      <c r="L2413" s="14" t="inlineStr">
        <is>
          <t>▶ watch</t>
        </is>
      </c>
      <c r="M2413" s="10" t="inlineStr">
        <is>
          <t>Jia et al., Dissecting the NVIDIA Volta GPU Architecture via Microbenchmarking, arXiv:1804.06826 (Turing sequel arXiv:1903.07486) · the Hopper and Blackwell architecture whitepapers</t>
        </is>
      </c>
      <c r="N2413" s="14" t="inlineStr">
        <is>
          <t>read ↗</t>
        </is>
      </c>
      <c r="O2413" s="11" t="inlineStr">
        <is>
          <t>reading for The Stephen Jones sequence - and a cavea</t>
        </is>
      </c>
      <c r="P2413" s="10" t="inlineStr"/>
    </row>
    <row r="2414">
      <c r="A2414" s="19" t="n">
        <v>2413</v>
      </c>
      <c r="B2414" s="19" t="inlineStr">
        <is>
          <t>Part IV - Performance Engineering</t>
        </is>
      </c>
      <c r="C2414" s="20" t="inlineStr">
        <is>
          <t>E.4.3 GPU MODE - 116 lectures, enumerated</t>
        </is>
      </c>
      <c r="D2414" s="10" t="inlineStr">
        <is>
          <t>Near Speed-of-Light GPU Collectives</t>
        </is>
      </c>
      <c r="E2414" s="10" t="inlineStr">
        <is>
          <t>★113</t>
        </is>
      </c>
      <c r="F2414" s="11" t="inlineStr">
        <is>
          <t>52:53</t>
        </is>
      </c>
      <c r="G2414" s="11" t="n">
        <v>0.88</v>
      </c>
      <c r="H2414" s="12" t="inlineStr">
        <is>
          <t>★</t>
        </is>
      </c>
      <c r="I2414" s="11" t="inlineStr">
        <is>
          <t>Not started</t>
        </is>
      </c>
      <c r="J2414" s="13" t="n"/>
      <c r="K2414" s="10" t="inlineStr"/>
      <c r="L2414" s="14" t="inlineStr">
        <is>
          <t>▶ watch</t>
        </is>
      </c>
      <c r="M2414" s="10" t="inlineStr">
        <is>
          <t>Jia et al., Dissecting the NVIDIA Volta GPU Architecture via Microbenchmarking, arXiv:1804.06826 (Turing sequel arXiv:1903.07486) · the Hopper and Blackwell architecture whitepapers</t>
        </is>
      </c>
      <c r="N2414" s="14" t="inlineStr">
        <is>
          <t>read ↗</t>
        </is>
      </c>
      <c r="O2414" s="11" t="inlineStr">
        <is>
          <t>reading for The Stephen Jones sequence - and a cavea</t>
        </is>
      </c>
      <c r="P2414" s="10" t="inlineStr"/>
    </row>
    <row r="2415">
      <c r="A2415" s="19" t="n">
        <v>2414</v>
      </c>
      <c r="B2415" s="19" t="inlineStr">
        <is>
          <t>Part IV - Performance Engineering</t>
        </is>
      </c>
      <c r="C2415" s="20" t="inlineStr">
        <is>
          <t>E.4.3 GPU MODE - 116 lectures, enumerated</t>
        </is>
      </c>
      <c r="D2415" s="10" t="inlineStr">
        <is>
          <t>Cris Cecka with Saroufim</t>
        </is>
      </c>
      <c r="E2415" s="10" t="inlineStr">
        <is>
          <t>★114</t>
        </is>
      </c>
      <c r="F2415" s="11" t="inlineStr">
        <is>
          <t>1:44:03</t>
        </is>
      </c>
      <c r="G2415" s="11" t="n">
        <v>1.73</v>
      </c>
      <c r="H2415" s="12" t="inlineStr">
        <is>
          <t>★</t>
        </is>
      </c>
      <c r="I2415" s="11" t="inlineStr">
        <is>
          <t>Not started</t>
        </is>
      </c>
      <c r="J2415" s="13" t="n"/>
      <c r="K2415" s="10" t="inlineStr"/>
      <c r="L2415" s="14" t="inlineStr">
        <is>
          <t>▶ watch</t>
        </is>
      </c>
      <c r="M2415" s="10" t="inlineStr">
        <is>
          <t>Jia et al., Dissecting the NVIDIA Volta GPU Architecture via Microbenchmarking, arXiv:1804.06826 (Turing sequel arXiv:1903.07486) · the Hopper and Blackwell architecture whitepapers</t>
        </is>
      </c>
      <c r="N2415" s="14" t="inlineStr">
        <is>
          <t>read ↗</t>
        </is>
      </c>
      <c r="O2415" s="11" t="inlineStr">
        <is>
          <t>reading for The Stephen Jones sequence - and a cavea</t>
        </is>
      </c>
      <c r="P2415" s="10" t="inlineStr">
        <is>
          <t>E.4.5 CUTLASS and CuTe</t>
        </is>
      </c>
    </row>
    <row r="2416">
      <c r="A2416" s="19" t="n">
        <v>2415</v>
      </c>
      <c r="B2416" s="19" t="inlineStr">
        <is>
          <t>Part IV - Performance Engineering</t>
        </is>
      </c>
      <c r="C2416" s="20" t="inlineStr">
        <is>
          <t>E.4.3 GPU MODE - 116 lectures, enumerated</t>
        </is>
      </c>
      <c r="D2416" s="10" t="inlineStr">
        <is>
          <t>Proving Kernels Correct Instead of Testing Them</t>
        </is>
      </c>
      <c r="E2416" s="10" t="inlineStr">
        <is>
          <t>Ben Koska</t>
        </is>
      </c>
      <c r="F2416" s="11" t="inlineStr">
        <is>
          <t>40:07</t>
        </is>
      </c>
      <c r="G2416" s="11" t="n">
        <v>0.67</v>
      </c>
      <c r="H2416" s="12" t="inlineStr"/>
      <c r="I2416" s="11" t="inlineStr">
        <is>
          <t>Not started</t>
        </is>
      </c>
      <c r="J2416" s="13" t="n"/>
      <c r="K2416" s="10" t="inlineStr"/>
      <c r="L2416" s="14" t="inlineStr">
        <is>
          <t>▶ watch</t>
        </is>
      </c>
      <c r="M2416" s="10" t="inlineStr">
        <is>
          <t>Jia et al., Dissecting the NVIDIA Volta GPU Architecture via Microbenchmarking, arXiv:1804.06826 (Turing sequel arXiv:1903.07486) · the Hopper and Blackwell architecture whitepapers</t>
        </is>
      </c>
      <c r="N2416" s="14" t="inlineStr">
        <is>
          <t>read ↗</t>
        </is>
      </c>
      <c r="O2416" s="11" t="inlineStr">
        <is>
          <t>reading for The Stephen Jones sequence - and a cavea</t>
        </is>
      </c>
      <c r="P2416" s="10" t="inlineStr"/>
    </row>
    <row r="2417">
      <c r="A2417" s="19" t="n">
        <v>2416</v>
      </c>
      <c r="B2417" s="19" t="inlineStr">
        <is>
          <t>Part IV - Performance Engineering</t>
        </is>
      </c>
      <c r="C2417" s="20" t="inlineStr">
        <is>
          <t>E.4.3 GPU MODE - 116 lectures, enumerated</t>
        </is>
      </c>
      <c r="D2417" s="10" t="inlineStr">
        <is>
          <t>GPU Kernel Formal Verification</t>
        </is>
      </c>
      <c r="E2417" s="10" t="inlineStr">
        <is>
          <t>Jubi Taneja</t>
        </is>
      </c>
      <c r="F2417" s="11" t="inlineStr">
        <is>
          <t>30:35</t>
        </is>
      </c>
      <c r="G2417" s="11" t="n">
        <v>0.51</v>
      </c>
      <c r="H2417" s="12" t="inlineStr"/>
      <c r="I2417" s="11" t="inlineStr">
        <is>
          <t>Not started</t>
        </is>
      </c>
      <c r="J2417" s="13" t="n"/>
      <c r="K2417" s="10" t="inlineStr"/>
      <c r="L2417" s="14" t="inlineStr">
        <is>
          <t>▶ watch</t>
        </is>
      </c>
      <c r="M2417" s="10" t="inlineStr">
        <is>
          <t>Jia et al., Dissecting the NVIDIA Volta GPU Architecture via Microbenchmarking, arXiv:1804.06826 (Turing sequel arXiv:1903.07486) · the Hopper and Blackwell architecture whitepapers</t>
        </is>
      </c>
      <c r="N2417" s="14" t="inlineStr">
        <is>
          <t>read ↗</t>
        </is>
      </c>
      <c r="O2417" s="11" t="inlineStr">
        <is>
          <t>reading for The Stephen Jones sequence - and a cavea</t>
        </is>
      </c>
      <c r="P2417" s="10" t="inlineStr"/>
    </row>
    <row r="2418">
      <c r="A2418" s="19" t="n">
        <v>2417</v>
      </c>
      <c r="B2418" s="19" t="inlineStr">
        <is>
          <t>Part IV - Performance Engineering</t>
        </is>
      </c>
      <c r="C2418" s="20" t="inlineStr">
        <is>
          <t>E.4.3 GPU MODE - 116 lectures, enumerated</t>
        </is>
      </c>
      <c r="D2418" s="10" t="inlineStr">
        <is>
          <t>(see curriculum section)</t>
        </is>
      </c>
      <c r="E2418" s="10" t="inlineStr"/>
      <c r="F2418" s="11" t="inlineStr"/>
      <c r="G2418" s="11" t="n">
        <v>0</v>
      </c>
      <c r="H2418" s="12" t="inlineStr"/>
      <c r="I2418" s="11" t="inlineStr">
        <is>
          <t>Not started</t>
        </is>
      </c>
      <c r="J2418" s="13" t="n"/>
      <c r="K2418" s="10" t="inlineStr"/>
      <c r="L2418" s="14" t="inlineStr">
        <is>
          <t>▶ watch</t>
        </is>
      </c>
      <c r="M2418" s="10" t="inlineStr">
        <is>
          <t>Jia et al., Dissecting the NVIDIA Volta GPU Architecture via Microbenchmarking, arXiv:1804.06826 (Turing sequel arXiv:1903.07486) · the Hopper and Blackwell architecture whitepapers</t>
        </is>
      </c>
      <c r="N2418" s="14" t="inlineStr">
        <is>
          <t>read ↗</t>
        </is>
      </c>
      <c r="O2418" s="11" t="inlineStr">
        <is>
          <t>reading for The Stephen Jones sequence - and a cavea</t>
        </is>
      </c>
      <c r="P2418" s="10" t="inlineStr"/>
    </row>
    <row r="2419">
      <c r="A2419" s="19" t="n">
        <v>2418</v>
      </c>
      <c r="B2419" s="19" t="inlineStr">
        <is>
          <t>Part IV - Performance Engineering</t>
        </is>
      </c>
      <c r="C2419" s="20" t="inlineStr">
        <is>
          <t>E.4.3 GPU MODE - 116 lectures, enumerated</t>
        </is>
      </c>
      <c r="D2419" s="10" t="inlineStr">
        <is>
          <t>Andrej Karpathy</t>
        </is>
      </c>
      <c r="E2419" s="10" t="inlineStr"/>
      <c r="F2419" s="11" t="inlineStr"/>
      <c r="G2419" s="11" t="n">
        <v>0</v>
      </c>
      <c r="H2419" s="12" t="inlineStr"/>
      <c r="I2419" s="11" t="inlineStr">
        <is>
          <t>Not started</t>
        </is>
      </c>
      <c r="J2419" s="13" t="n"/>
      <c r="K2419" s="10" t="inlineStr"/>
      <c r="L2419" s="14" t="inlineStr">
        <is>
          <t>▶ watch</t>
        </is>
      </c>
      <c r="M2419" s="10" t="inlineStr">
        <is>
          <t>Jia et al., Dissecting the NVIDIA Volta GPU Architecture via Microbenchmarking, arXiv:1804.06826 (Turing sequel arXiv:1903.07486) · the Hopper and Blackwell architecture whitepapers</t>
        </is>
      </c>
      <c r="N2419" s="14" t="inlineStr">
        <is>
          <t>read ↗</t>
        </is>
      </c>
      <c r="O2419" s="11" t="inlineStr">
        <is>
          <t>reading for The Stephen Jones sequence - and a cavea</t>
        </is>
      </c>
      <c r="P2419" s="10" t="inlineStr"/>
    </row>
    <row r="2420">
      <c r="A2420" s="19" t="n">
        <v>2419</v>
      </c>
      <c r="B2420" s="19" t="inlineStr">
        <is>
          <t>Part IV - Performance Engineering</t>
        </is>
      </c>
      <c r="C2420" s="20" t="inlineStr">
        <is>
          <t>E.4.3 GPU MODE - 116 lectures, enumerated</t>
        </is>
      </c>
      <c r="D2420" s="10" t="inlineStr">
        <is>
          <t>Tri Dao</t>
        </is>
      </c>
      <c r="E2420" s="10" t="inlineStr"/>
      <c r="F2420" s="11" t="inlineStr"/>
      <c r="G2420" s="11" t="n">
        <v>0</v>
      </c>
      <c r="H2420" s="12" t="inlineStr"/>
      <c r="I2420" s="11" t="inlineStr">
        <is>
          <t>Not started</t>
        </is>
      </c>
      <c r="J2420" s="13" t="n"/>
      <c r="K2420" s="10" t="inlineStr"/>
      <c r="L2420" s="14" t="inlineStr">
        <is>
          <t>▶ watch</t>
        </is>
      </c>
      <c r="M2420" s="10" t="inlineStr">
        <is>
          <t>Jia et al., Dissecting the NVIDIA Volta GPU Architecture via Microbenchmarking, arXiv:1804.06826 (Turing sequel arXiv:1903.07486) · the Hopper and Blackwell architecture whitepapers</t>
        </is>
      </c>
      <c r="N2420" s="14" t="inlineStr">
        <is>
          <t>read ↗</t>
        </is>
      </c>
      <c r="O2420" s="11" t="inlineStr">
        <is>
          <t>reading for The Stephen Jones sequence - and a cavea</t>
        </is>
      </c>
      <c r="P2420" s="10" t="inlineStr"/>
    </row>
    <row r="2421">
      <c r="A2421" s="19" t="n">
        <v>2420</v>
      </c>
      <c r="B2421" s="19" t="inlineStr">
        <is>
          <t>Part IV - Performance Engineering</t>
        </is>
      </c>
      <c r="C2421" s="20" t="inlineStr">
        <is>
          <t>E.4.3 GPU MODE - 116 lectures, enumerated</t>
        </is>
      </c>
      <c r="D2421" s="10" t="inlineStr">
        <is>
          <t>Tim Dettmers</t>
        </is>
      </c>
      <c r="E2421" s="10" t="inlineStr"/>
      <c r="F2421" s="11" t="inlineStr"/>
      <c r="G2421" s="11" t="n">
        <v>0</v>
      </c>
      <c r="H2421" s="12" t="inlineStr"/>
      <c r="I2421" s="11" t="inlineStr">
        <is>
          <t>Not started</t>
        </is>
      </c>
      <c r="J2421" s="13" t="n"/>
      <c r="K2421" s="10" t="inlineStr"/>
      <c r="L2421" s="14" t="inlineStr">
        <is>
          <t>▶ watch</t>
        </is>
      </c>
      <c r="M2421" s="10" t="inlineStr">
        <is>
          <t>Jia et al., Dissecting the NVIDIA Volta GPU Architecture via Microbenchmarking, arXiv:1804.06826 (Turing sequel arXiv:1903.07486) · the Hopper and Blackwell architecture whitepapers</t>
        </is>
      </c>
      <c r="N2421" s="14" t="inlineStr">
        <is>
          <t>read ↗</t>
        </is>
      </c>
      <c r="O2421" s="11" t="inlineStr">
        <is>
          <t>reading for The Stephen Jones sequence - and a cavea</t>
        </is>
      </c>
      <c r="P2421" s="10" t="inlineStr"/>
    </row>
    <row r="2422">
      <c r="A2422" s="19" t="n">
        <v>2421</v>
      </c>
      <c r="B2422" s="19" t="inlineStr">
        <is>
          <t>Part IV - Performance Engineering</t>
        </is>
      </c>
      <c r="C2422" s="20" t="inlineStr">
        <is>
          <t>E.4.3 GPU MODE - 116 lectures, enumerated</t>
        </is>
      </c>
      <c r="D2422" s="10" t="inlineStr">
        <is>
          <t>Supriya Rao</t>
        </is>
      </c>
      <c r="E2422" s="10" t="inlineStr"/>
      <c r="F2422" s="11" t="inlineStr"/>
      <c r="G2422" s="11" t="n">
        <v>0</v>
      </c>
      <c r="H2422" s="12" t="inlineStr"/>
      <c r="I2422" s="11" t="inlineStr">
        <is>
          <t>Not started</t>
        </is>
      </c>
      <c r="J2422" s="13" t="n"/>
      <c r="K2422" s="10" t="inlineStr"/>
      <c r="L2422" s="14" t="inlineStr">
        <is>
          <t>▶ watch</t>
        </is>
      </c>
      <c r="M2422" s="10" t="inlineStr">
        <is>
          <t>Jia et al., Dissecting the NVIDIA Volta GPU Architecture via Microbenchmarking, arXiv:1804.06826 (Turing sequel arXiv:1903.07486) · the Hopper and Blackwell architecture whitepapers</t>
        </is>
      </c>
      <c r="N2422" s="14" t="inlineStr">
        <is>
          <t>read ↗</t>
        </is>
      </c>
      <c r="O2422" s="11" t="inlineStr">
        <is>
          <t>reading for The Stephen Jones sequence - and a cavea</t>
        </is>
      </c>
      <c r="P2422" s="10" t="inlineStr"/>
    </row>
    <row r="2423">
      <c r="A2423" s="19" t="n">
        <v>2422</v>
      </c>
      <c r="B2423" s="19" t="inlineStr">
        <is>
          <t>Part IV - Performance Engineering</t>
        </is>
      </c>
      <c r="C2423" s="20" t="inlineStr">
        <is>
          <t>E.4.3 GPU MODE - 116 lectures, enumerated</t>
        </is>
      </c>
      <c r="D2423" s="10" t="inlineStr">
        <is>
          <t>Lily Liu, vLLM</t>
        </is>
      </c>
      <c r="E2423" s="10" t="inlineStr"/>
      <c r="F2423" s="11" t="inlineStr"/>
      <c r="G2423" s="11" t="n">
        <v>0</v>
      </c>
      <c r="H2423" s="12" t="inlineStr"/>
      <c r="I2423" s="11" t="inlineStr">
        <is>
          <t>Not started</t>
        </is>
      </c>
      <c r="J2423" s="13" t="n"/>
      <c r="K2423" s="10" t="inlineStr"/>
      <c r="L2423" s="14" t="inlineStr">
        <is>
          <t>▶ watch</t>
        </is>
      </c>
      <c r="M2423" s="10" t="inlineStr">
        <is>
          <t>Jia et al., Dissecting the NVIDIA Volta GPU Architecture via Microbenchmarking, arXiv:1804.06826 (Turing sequel arXiv:1903.07486) · the Hopper and Blackwell architecture whitepapers</t>
        </is>
      </c>
      <c r="N2423" s="14" t="inlineStr">
        <is>
          <t>read ↗</t>
        </is>
      </c>
      <c r="O2423" s="11" t="inlineStr">
        <is>
          <t>reading for The Stephen Jones sequence - and a cavea</t>
        </is>
      </c>
      <c r="P2423" s="10" t="inlineStr"/>
    </row>
    <row r="2424">
      <c r="A2424" s="19" t="n">
        <v>2423</v>
      </c>
      <c r="B2424" s="19" t="inlineStr">
        <is>
          <t>Part IV - Performance Engineering</t>
        </is>
      </c>
      <c r="C2424" s="20" t="inlineStr">
        <is>
          <t>E.4.4 Triton</t>
        </is>
      </c>
      <c r="D2424" s="10" t="inlineStr">
        <is>
          <t>(see curriculum section)</t>
        </is>
      </c>
      <c r="E2424" s="10" t="inlineStr"/>
      <c r="F2424" s="11" t="inlineStr"/>
      <c r="G2424" s="11" t="n">
        <v>0</v>
      </c>
      <c r="H2424" s="12" t="inlineStr"/>
      <c r="I2424" s="11" t="inlineStr">
        <is>
          <t>Not started</t>
        </is>
      </c>
      <c r="J2424" s="13" t="n"/>
      <c r="K2424" s="10" t="inlineStr"/>
      <c r="L2424" s="14" t="inlineStr">
        <is>
          <t>▶ watch</t>
        </is>
      </c>
      <c r="M2424" s="10" t="inlineStr">
        <is>
          <t>Tillet, Kung &amp; Cox, Triton: An Intermediate Language and Compiler for Tiled Neural Network Computations, MAPL 2019</t>
        </is>
      </c>
      <c r="N2424" s="14" t="inlineStr">
        <is>
          <t>read ↗</t>
        </is>
      </c>
      <c r="O2424" s="11" t="inlineStr">
        <is>
          <t>section reading</t>
        </is>
      </c>
      <c r="P2424" s="10" t="inlineStr"/>
    </row>
    <row r="2425">
      <c r="A2425" s="19" t="n">
        <v>2424</v>
      </c>
      <c r="B2425" s="19" t="inlineStr">
        <is>
          <t>Part IV - Performance Engineering</t>
        </is>
      </c>
      <c r="C2425" s="20" t="inlineStr">
        <is>
          <t>E.4.4 Triton</t>
        </is>
      </c>
      <c r="D2425" s="10" t="inlineStr">
        <is>
          <t>Keynote</t>
        </is>
      </c>
      <c r="E2425" s="10" t="inlineStr"/>
      <c r="F2425" s="11" t="inlineStr">
        <is>
          <t>15:05</t>
        </is>
      </c>
      <c r="G2425" s="11" t="n">
        <v>0.25</v>
      </c>
      <c r="H2425" s="12" t="inlineStr"/>
      <c r="I2425" s="11" t="inlineStr">
        <is>
          <t>Not started</t>
        </is>
      </c>
      <c r="J2425" s="13" t="n"/>
      <c r="K2425" s="10" t="inlineStr"/>
      <c r="L2425" s="14" t="inlineStr">
        <is>
          <t>▶ watch</t>
        </is>
      </c>
      <c r="M2425" s="10" t="inlineStr">
        <is>
          <t>Tillet, Kung &amp; Cox, Triton: An Intermediate Language and Compiler for Tiled Neural Network Computations, MAPL 2019</t>
        </is>
      </c>
      <c r="N2425" s="14" t="inlineStr">
        <is>
          <t>read ↗</t>
        </is>
      </c>
      <c r="O2425" s="11" t="inlineStr">
        <is>
          <t>section reading</t>
        </is>
      </c>
      <c r="P2425" s="10" t="inlineStr"/>
    </row>
    <row r="2426">
      <c r="A2426" s="19" t="n">
        <v>2425</v>
      </c>
      <c r="B2426" s="19" t="inlineStr">
        <is>
          <t>Part IV - Performance Engineering</t>
        </is>
      </c>
      <c r="C2426" s="20" t="inlineStr">
        <is>
          <t>E.4.4 Triton</t>
        </is>
      </c>
      <c r="D2426" s="10" t="inlineStr">
        <is>
          <t>The Triton Language</t>
        </is>
      </c>
      <c r="E2426" s="10" t="inlineStr"/>
      <c r="F2426" s="11" t="inlineStr">
        <is>
          <t>15:05</t>
        </is>
      </c>
      <c r="G2426" s="11" t="n">
        <v>0.25</v>
      </c>
      <c r="H2426" s="12" t="inlineStr"/>
      <c r="I2426" s="11" t="inlineStr">
        <is>
          <t>Not started</t>
        </is>
      </c>
      <c r="J2426" s="13" t="n"/>
      <c r="K2426" s="10" t="inlineStr"/>
      <c r="L2426" s="14" t="inlineStr">
        <is>
          <t>▶ watch</t>
        </is>
      </c>
      <c r="M2426" s="10" t="inlineStr">
        <is>
          <t>Tillet, Kung &amp; Cox, Triton: An Intermediate Language and Compiler for Tiled Neural Network Computations, MAPL 2019</t>
        </is>
      </c>
      <c r="N2426" s="14" t="inlineStr">
        <is>
          <t>read ↗</t>
        </is>
      </c>
      <c r="O2426" s="11" t="inlineStr">
        <is>
          <t>section reading</t>
        </is>
      </c>
      <c r="P2426" s="10" t="inlineStr">
        <is>
          <t>E.5.2 XLA, MLIR and the compiler layer</t>
        </is>
      </c>
    </row>
    <row r="2427">
      <c r="A2427" s="19" t="n">
        <v>2426</v>
      </c>
      <c r="B2427" s="19" t="inlineStr">
        <is>
          <t>Part IV - Performance Engineering</t>
        </is>
      </c>
      <c r="C2427" s="20" t="inlineStr">
        <is>
          <t>E.4.4 Triton</t>
        </is>
      </c>
      <c r="D2427" s="10" t="inlineStr">
        <is>
          <t>Maximizing Kernel Development Productivity Under Performance Constraints</t>
        </is>
      </c>
      <c r="E2427" s="10" t="inlineStr"/>
      <c r="F2427" s="11" t="inlineStr">
        <is>
          <t>22:02</t>
        </is>
      </c>
      <c r="G2427" s="11" t="n">
        <v>0.37</v>
      </c>
      <c r="H2427" s="12" t="inlineStr">
        <is>
          <t>★</t>
        </is>
      </c>
      <c r="I2427" s="11" t="inlineStr">
        <is>
          <t>Not started</t>
        </is>
      </c>
      <c r="J2427" s="13" t="n"/>
      <c r="K2427" s="10" t="inlineStr"/>
      <c r="L2427" s="14" t="inlineStr">
        <is>
          <t>▶ watch</t>
        </is>
      </c>
      <c r="M2427" s="10" t="inlineStr">
        <is>
          <t>Tillet, Kung &amp; Cox, Triton: An Intermediate Language and Compiler for Tiled Neural Network Computations, MAPL 2019</t>
        </is>
      </c>
      <c r="N2427" s="14" t="inlineStr">
        <is>
          <t>read ↗</t>
        </is>
      </c>
      <c r="O2427" s="11" t="inlineStr">
        <is>
          <t>section reading</t>
        </is>
      </c>
      <c r="P2427" s="10" t="inlineStr"/>
    </row>
    <row r="2428">
      <c r="A2428" s="19" t="n">
        <v>2427</v>
      </c>
      <c r="B2428" s="19" t="inlineStr">
        <is>
          <t>Part IV - Performance Engineering</t>
        </is>
      </c>
      <c r="C2428" s="20" t="inlineStr">
        <is>
          <t>E.4.4 Triton</t>
        </is>
      </c>
      <c r="D2428" s="10" t="inlineStr">
        <is>
          <t>Control</t>
        </is>
      </c>
      <c r="E2428" s="10" t="inlineStr"/>
      <c r="F2428" s="11" t="inlineStr"/>
      <c r="G2428" s="11" t="n">
        <v>0</v>
      </c>
      <c r="H2428" s="12" t="inlineStr">
        <is>
          <t>★</t>
        </is>
      </c>
      <c r="I2428" s="11" t="inlineStr">
        <is>
          <t>Not started</t>
        </is>
      </c>
      <c r="J2428" s="13" t="n"/>
      <c r="K2428" s="10" t="inlineStr"/>
      <c r="L2428" s="14" t="inlineStr">
        <is>
          <t>▶ watch</t>
        </is>
      </c>
      <c r="M2428" s="10" t="inlineStr">
        <is>
          <t>Tillet, Kung &amp; Cox, Triton: An Intermediate Language and Compiler for Tiled Neural Network Computations, MAPL 2019</t>
        </is>
      </c>
      <c r="N2428" s="14" t="inlineStr">
        <is>
          <t>read ↗</t>
        </is>
      </c>
      <c r="O2428" s="11" t="inlineStr">
        <is>
          <t>section reading</t>
        </is>
      </c>
      <c r="P2428" s="10" t="inlineStr"/>
    </row>
    <row r="2429">
      <c r="A2429" s="19" t="n">
        <v>2428</v>
      </c>
      <c r="B2429" s="19" t="inlineStr">
        <is>
          <t>Part IV - Performance Engineering</t>
        </is>
      </c>
      <c r="C2429" s="20" t="inlineStr">
        <is>
          <t>E.4.4 Triton</t>
        </is>
      </c>
      <c r="D2429" s="10" t="inlineStr">
        <is>
          <t>Proton - Portable Performance Profiling</t>
        </is>
      </c>
      <c r="E2429" s="10" t="inlineStr"/>
      <c r="F2429" s="11" t="inlineStr"/>
      <c r="G2429" s="11" t="n">
        <v>0</v>
      </c>
      <c r="H2429" s="12" t="inlineStr">
        <is>
          <t>★</t>
        </is>
      </c>
      <c r="I2429" s="11" t="inlineStr">
        <is>
          <t>Not started</t>
        </is>
      </c>
      <c r="J2429" s="13" t="n"/>
      <c r="K2429" s="10" t="inlineStr"/>
      <c r="L2429" s="14" t="inlineStr">
        <is>
          <t>▶ watch</t>
        </is>
      </c>
      <c r="M2429" s="10" t="inlineStr">
        <is>
          <t>Tillet, Kung &amp; Cox, Triton: An Intermediate Language and Compiler for Tiled Neural Network Computations, MAPL 2019</t>
        </is>
      </c>
      <c r="N2429" s="14" t="inlineStr">
        <is>
          <t>read ↗</t>
        </is>
      </c>
      <c r="O2429" s="11" t="inlineStr">
        <is>
          <t>section reading</t>
        </is>
      </c>
      <c r="P2429" s="10" t="inlineStr"/>
    </row>
    <row r="2430">
      <c r="A2430" s="19" t="n">
        <v>2429</v>
      </c>
      <c r="B2430" s="19" t="inlineStr">
        <is>
          <t>Part IV - Performance Engineering</t>
        </is>
      </c>
      <c r="C2430" s="20" t="inlineStr">
        <is>
          <t>E.4.4 Triton</t>
        </is>
      </c>
      <c r="D2430" s="10" t="inlineStr">
        <is>
          <t>Proton - Portable Performance Profiling</t>
        </is>
      </c>
      <c r="E2430" s="10" t="inlineStr"/>
      <c r="F2430" s="11" t="inlineStr"/>
      <c r="G2430" s="11" t="n">
        <v>0</v>
      </c>
      <c r="H2430" s="12" t="inlineStr">
        <is>
          <t>★</t>
        </is>
      </c>
      <c r="I2430" s="11" t="inlineStr">
        <is>
          <t>Not started</t>
        </is>
      </c>
      <c r="J2430" s="13" t="n"/>
      <c r="K2430" s="10" t="inlineStr"/>
      <c r="L2430" s="14" t="inlineStr">
        <is>
          <t>▶ watch</t>
        </is>
      </c>
      <c r="M2430" s="10" t="inlineStr">
        <is>
          <t>Tillet, Kung &amp; Cox, Triton: An Intermediate Language and Compiler for Tiled Neural Network Computations, MAPL 2019</t>
        </is>
      </c>
      <c r="N2430" s="14" t="inlineStr">
        <is>
          <t>read ↗</t>
        </is>
      </c>
      <c r="O2430" s="11" t="inlineStr">
        <is>
          <t>section reading</t>
        </is>
      </c>
      <c r="P2430" s="10" t="inlineStr"/>
    </row>
    <row r="2431">
      <c r="A2431" s="19" t="n">
        <v>2430</v>
      </c>
      <c r="B2431" s="19" t="inlineStr">
        <is>
          <t>Part IV - Performance Engineering</t>
        </is>
      </c>
      <c r="C2431" s="20" t="inlineStr">
        <is>
          <t>E.4.4 Triton</t>
        </is>
      </c>
      <c r="D2431" s="10" t="inlineStr">
        <is>
          <t>Triton on AMD</t>
        </is>
      </c>
      <c r="E2431" s="10" t="inlineStr"/>
      <c r="F2431" s="11" t="inlineStr"/>
      <c r="G2431" s="11" t="n">
        <v>0</v>
      </c>
      <c r="H2431" s="12" t="inlineStr">
        <is>
          <t>★</t>
        </is>
      </c>
      <c r="I2431" s="11" t="inlineStr">
        <is>
          <t>Not started</t>
        </is>
      </c>
      <c r="J2431" s="13" t="n"/>
      <c r="K2431" s="10" t="inlineStr"/>
      <c r="L2431" s="14" t="inlineStr">
        <is>
          <t>▶ watch</t>
        </is>
      </c>
      <c r="M2431" s="10" t="inlineStr">
        <is>
          <t>Tillet, Kung &amp; Cox, Triton: An Intermediate Language and Compiler for Tiled Neural Network Computations, MAPL 2019</t>
        </is>
      </c>
      <c r="N2431" s="14" t="inlineStr">
        <is>
          <t>read ↗</t>
        </is>
      </c>
      <c r="O2431" s="11" t="inlineStr">
        <is>
          <t>section reading</t>
        </is>
      </c>
      <c r="P2431" s="10" t="inlineStr"/>
    </row>
    <row r="2432">
      <c r="A2432" s="19" t="n">
        <v>2431</v>
      </c>
      <c r="B2432" s="19" t="inlineStr">
        <is>
          <t>Part IV - Performance Engineering</t>
        </is>
      </c>
      <c r="C2432" s="20" t="inlineStr">
        <is>
          <t>E.4.4 Triton</t>
        </is>
      </c>
      <c r="D2432" s="10" t="inlineStr">
        <is>
          <t>Triton-distributed</t>
        </is>
      </c>
      <c r="E2432" s="10" t="inlineStr"/>
      <c r="F2432" s="11" t="inlineStr"/>
      <c r="G2432" s="11" t="n">
        <v>0</v>
      </c>
      <c r="H2432" s="12" t="inlineStr">
        <is>
          <t>★</t>
        </is>
      </c>
      <c r="I2432" s="11" t="inlineStr">
        <is>
          <t>Not started</t>
        </is>
      </c>
      <c r="J2432" s="13" t="n"/>
      <c r="K2432" s="10" t="inlineStr"/>
      <c r="L2432" s="14" t="inlineStr">
        <is>
          <t>▶ watch</t>
        </is>
      </c>
      <c r="M2432" s="10" t="inlineStr">
        <is>
          <t>Tillet, Kung &amp; Cox, Triton: An Intermediate Language and Compiler for Tiled Neural Network Computations, MAPL 2019</t>
        </is>
      </c>
      <c r="N2432" s="14" t="inlineStr">
        <is>
          <t>read ↗</t>
        </is>
      </c>
      <c r="O2432" s="11" t="inlineStr">
        <is>
          <t>section reading</t>
        </is>
      </c>
      <c r="P2432" s="10" t="inlineStr"/>
    </row>
    <row r="2433">
      <c r="A2433" s="19" t="n">
        <v>2432</v>
      </c>
      <c r="B2433" s="19" t="inlineStr">
        <is>
          <t>Part IV - Performance Engineering</t>
        </is>
      </c>
      <c r="C2433" s="20" t="inlineStr">
        <is>
          <t>E.4.4 Triton</t>
        </is>
      </c>
      <c r="D2433" s="10" t="inlineStr">
        <is>
          <t>Helion</t>
        </is>
      </c>
      <c r="E2433" s="10" t="inlineStr"/>
      <c r="F2433" s="11" t="inlineStr"/>
      <c r="G2433" s="11" t="n">
        <v>0</v>
      </c>
      <c r="H2433" s="12" t="inlineStr"/>
      <c r="I2433" s="11" t="inlineStr">
        <is>
          <t>Not started</t>
        </is>
      </c>
      <c r="J2433" s="13" t="n"/>
      <c r="K2433" s="10" t="inlineStr"/>
      <c r="L2433" s="14" t="inlineStr">
        <is>
          <t>▶ watch</t>
        </is>
      </c>
      <c r="M2433" s="10" t="inlineStr">
        <is>
          <t>Tillet, Kung &amp; Cox, Triton: An Intermediate Language and Compiler for Tiled Neural Network Computations, MAPL 2019</t>
        </is>
      </c>
      <c r="N2433" s="14" t="inlineStr">
        <is>
          <t>read ↗</t>
        </is>
      </c>
      <c r="O2433" s="11" t="inlineStr">
        <is>
          <t>section reading</t>
        </is>
      </c>
      <c r="P2433" s="10" t="inlineStr"/>
    </row>
    <row r="2434">
      <c r="A2434" s="19" t="n">
        <v>2433</v>
      </c>
      <c r="B2434" s="19" t="inlineStr">
        <is>
          <t>Part IV - Performance Engineering</t>
        </is>
      </c>
      <c r="C2434" s="20" t="inlineStr">
        <is>
          <t>E.4.4 Triton</t>
        </is>
      </c>
      <c r="D2434" s="10" t="inlineStr">
        <is>
          <t>(see curriculum section)</t>
        </is>
      </c>
      <c r="E2434" s="10" t="inlineStr"/>
      <c r="F2434" s="11" t="inlineStr"/>
      <c r="G2434" s="11" t="n">
        <v>0</v>
      </c>
      <c r="H2434" s="12" t="inlineStr"/>
      <c r="I2434" s="11" t="inlineStr">
        <is>
          <t>Not started</t>
        </is>
      </c>
      <c r="J2434" s="13" t="n"/>
      <c r="K2434" s="10" t="inlineStr"/>
      <c r="L2434" s="14" t="inlineStr">
        <is>
          <t>▶ watch</t>
        </is>
      </c>
      <c r="M2434" s="10" t="inlineStr">
        <is>
          <t>Tillet, Kung &amp; Cox, Triton: An Intermediate Language and Compiler for Tiled Neural Network Computations, MAPL 2019</t>
        </is>
      </c>
      <c r="N2434" s="14" t="inlineStr">
        <is>
          <t>read ↗</t>
        </is>
      </c>
      <c r="O2434" s="11" t="inlineStr">
        <is>
          <t>section reading</t>
        </is>
      </c>
      <c r="P2434" s="10" t="inlineStr"/>
    </row>
    <row r="2435">
      <c r="A2435" s="19" t="n">
        <v>2434</v>
      </c>
      <c r="B2435" s="19" t="inlineStr">
        <is>
          <t>Part IV - Performance Engineering</t>
        </is>
      </c>
      <c r="C2435" s="20" t="inlineStr">
        <is>
          <t>E.4.4 Triton</t>
        </is>
      </c>
      <c r="D2435" s="10" t="inlineStr">
        <is>
          <t>Proton / Interpreter</t>
        </is>
      </c>
      <c r="E2435" s="10" t="inlineStr"/>
      <c r="F2435" s="11" t="inlineStr"/>
      <c r="G2435" s="11" t="n">
        <v>0</v>
      </c>
      <c r="H2435" s="12" t="inlineStr">
        <is>
          <t>★</t>
        </is>
      </c>
      <c r="I2435" s="11" t="inlineStr">
        <is>
          <t>Not started</t>
        </is>
      </c>
      <c r="J2435" s="13" t="n"/>
      <c r="K2435" s="10" t="inlineStr"/>
      <c r="L2435" s="14" t="inlineStr">
        <is>
          <t>▶ watch</t>
        </is>
      </c>
      <c r="M2435" s="10" t="inlineStr">
        <is>
          <t>Tillet, Kung &amp; Cox, Triton: An Intermediate Language and Compiler for Tiled Neural Network Computations, MAPL 2019</t>
        </is>
      </c>
      <c r="N2435" s="14" t="inlineStr">
        <is>
          <t>read ↗</t>
        </is>
      </c>
      <c r="O2435" s="11" t="inlineStr">
        <is>
          <t>section reading</t>
        </is>
      </c>
      <c r="P2435" s="10" t="inlineStr"/>
    </row>
    <row r="2436">
      <c r="A2436" s="19" t="n">
        <v>2435</v>
      </c>
      <c r="B2436" s="19" t="inlineStr">
        <is>
          <t>Part IV - Performance Engineering</t>
        </is>
      </c>
      <c r="C2436" s="20" t="inlineStr">
        <is>
          <t>E.4.4 Triton</t>
        </is>
      </c>
      <c r="D2436" s="10" t="inlineStr">
        <is>
          <t>Pipelining Persistent Kernels</t>
        </is>
      </c>
      <c r="E2436" s="10" t="inlineStr"/>
      <c r="F2436" s="11" t="inlineStr"/>
      <c r="G2436" s="11" t="n">
        <v>0</v>
      </c>
      <c r="H2436" s="12" t="inlineStr">
        <is>
          <t>★</t>
        </is>
      </c>
      <c r="I2436" s="11" t="inlineStr">
        <is>
          <t>Not started</t>
        </is>
      </c>
      <c r="J2436" s="13" t="n"/>
      <c r="K2436" s="10" t="inlineStr"/>
      <c r="L2436" s="14" t="inlineStr">
        <is>
          <t>▶ watch</t>
        </is>
      </c>
      <c r="M2436" s="10" t="inlineStr">
        <is>
          <t>Tillet, Kung &amp; Cox, Triton: An Intermediate Language and Compiler for Tiled Neural Network Computations, MAPL 2019</t>
        </is>
      </c>
      <c r="N2436" s="14" t="inlineStr">
        <is>
          <t>read ↗</t>
        </is>
      </c>
      <c r="O2436" s="11" t="inlineStr">
        <is>
          <t>section reading</t>
        </is>
      </c>
      <c r="P2436" s="10" t="inlineStr"/>
    </row>
    <row r="2437">
      <c r="A2437" s="19" t="n">
        <v>2436</v>
      </c>
      <c r="B2437" s="19" t="inlineStr">
        <is>
          <t>Part IV - Performance Engineering</t>
        </is>
      </c>
      <c r="C2437" s="20" t="inlineStr">
        <is>
          <t>E.4.4 Triton</t>
        </is>
      </c>
      <c r="D2437" s="10" t="inlineStr">
        <is>
          <t>Pipelining Persistent Kernels</t>
        </is>
      </c>
      <c r="E2437" s="10" t="inlineStr"/>
      <c r="F2437" s="11" t="inlineStr"/>
      <c r="G2437" s="11" t="n">
        <v>0</v>
      </c>
      <c r="H2437" s="12" t="inlineStr">
        <is>
          <t>★</t>
        </is>
      </c>
      <c r="I2437" s="11" t="inlineStr">
        <is>
          <t>Not started</t>
        </is>
      </c>
      <c r="J2437" s="13" t="n"/>
      <c r="K2437" s="10" t="inlineStr"/>
      <c r="L2437" s="14" t="inlineStr">
        <is>
          <t>▶ watch</t>
        </is>
      </c>
      <c r="M2437" s="10" t="inlineStr">
        <is>
          <t>Tillet, Kung &amp; Cox, Triton: An Intermediate Language and Compiler for Tiled Neural Network Computations, MAPL 2019</t>
        </is>
      </c>
      <c r="N2437" s="14" t="inlineStr">
        <is>
          <t>read ↗</t>
        </is>
      </c>
      <c r="O2437" s="11" t="inlineStr">
        <is>
          <t>section reading</t>
        </is>
      </c>
      <c r="P2437" s="10" t="inlineStr"/>
    </row>
    <row r="2438">
      <c r="A2438" s="19" t="n">
        <v>2437</v>
      </c>
      <c r="B2438" s="19" t="inlineStr">
        <is>
          <t>Part IV - Performance Engineering</t>
        </is>
      </c>
      <c r="C2438" s="20" t="inlineStr">
        <is>
          <t>E.4.4 Triton</t>
        </is>
      </c>
      <c r="D2438" s="10" t="inlineStr">
        <is>
          <t>Pipelining Persistent Kernels</t>
        </is>
      </c>
      <c r="E2438" s="10" t="inlineStr"/>
      <c r="F2438" s="11" t="inlineStr"/>
      <c r="G2438" s="11" t="n">
        <v>0</v>
      </c>
      <c r="H2438" s="12" t="inlineStr">
        <is>
          <t>★</t>
        </is>
      </c>
      <c r="I2438" s="11" t="inlineStr">
        <is>
          <t>Not started</t>
        </is>
      </c>
      <c r="J2438" s="13" t="n"/>
      <c r="K2438" s="10" t="inlineStr"/>
      <c r="L2438" s="14" t="inlineStr">
        <is>
          <t>▶ watch</t>
        </is>
      </c>
      <c r="M2438" s="10" t="inlineStr">
        <is>
          <t>Tillet, Kung &amp; Cox, Triton: An Intermediate Language and Compiler for Tiled Neural Network Computations, MAPL 2019</t>
        </is>
      </c>
      <c r="N2438" s="14" t="inlineStr">
        <is>
          <t>read ↗</t>
        </is>
      </c>
      <c r="O2438" s="11" t="inlineStr">
        <is>
          <t>section reading</t>
        </is>
      </c>
      <c r="P2438" s="10" t="inlineStr"/>
    </row>
    <row r="2439">
      <c r="A2439" s="19" t="n">
        <v>2438</v>
      </c>
      <c r="B2439" s="19" t="inlineStr">
        <is>
          <t>Part IV - Performance Engineering</t>
        </is>
      </c>
      <c r="C2439" s="20" t="inlineStr">
        <is>
          <t>E.4.4 Triton</t>
        </is>
      </c>
      <c r="D2439" s="10" t="inlineStr">
        <is>
          <t>Pipelining Persistent Kernels</t>
        </is>
      </c>
      <c r="E2439" s="10" t="inlineStr"/>
      <c r="F2439" s="11" t="inlineStr"/>
      <c r="G2439" s="11" t="n">
        <v>0</v>
      </c>
      <c r="H2439" s="12" t="inlineStr"/>
      <c r="I2439" s="11" t="inlineStr">
        <is>
          <t>Not started</t>
        </is>
      </c>
      <c r="J2439" s="13" t="n"/>
      <c r="K2439" s="10" t="inlineStr"/>
      <c r="L2439" s="14" t="inlineStr">
        <is>
          <t>▶ watch</t>
        </is>
      </c>
      <c r="M2439" s="10" t="inlineStr">
        <is>
          <t>Tillet, Kung &amp; Cox, Triton: An Intermediate Language and Compiler for Tiled Neural Network Computations, MAPL 2019</t>
        </is>
      </c>
      <c r="N2439" s="14" t="inlineStr">
        <is>
          <t>read ↗</t>
        </is>
      </c>
      <c r="O2439" s="11" t="inlineStr">
        <is>
          <t>section reading</t>
        </is>
      </c>
      <c r="P2439" s="10" t="inlineStr"/>
    </row>
    <row r="2440">
      <c r="A2440" s="19" t="n">
        <v>2439</v>
      </c>
      <c r="B2440" s="19" t="inlineStr">
        <is>
          <t>Part IV - Performance Engineering</t>
        </is>
      </c>
      <c r="C2440" s="20" t="inlineStr">
        <is>
          <t>E.4.4 Triton</t>
        </is>
      </c>
      <c r="D2440" s="10" t="inlineStr">
        <is>
          <t>(see curriculum section)</t>
        </is>
      </c>
      <c r="E2440" s="10" t="inlineStr"/>
      <c r="F2440" s="11" t="inlineStr"/>
      <c r="G2440" s="11" t="n">
        <v>0</v>
      </c>
      <c r="H2440" s="12" t="inlineStr"/>
      <c r="I2440" s="11" t="inlineStr">
        <is>
          <t>Not started</t>
        </is>
      </c>
      <c r="J2440" s="13" t="n"/>
      <c r="K2440" s="10" t="inlineStr"/>
      <c r="L2440" s="14" t="inlineStr">
        <is>
          <t>▶ watch</t>
        </is>
      </c>
      <c r="M2440" s="10" t="inlineStr">
        <is>
          <t>Tillet, Kung &amp; Cox, Triton: An Intermediate Language and Compiler for Tiled Neural Network Computations, MAPL 2019</t>
        </is>
      </c>
      <c r="N2440" s="14" t="inlineStr">
        <is>
          <t>read ↗</t>
        </is>
      </c>
      <c r="O2440" s="11" t="inlineStr">
        <is>
          <t>section reading</t>
        </is>
      </c>
      <c r="P2440" s="10" t="inlineStr"/>
    </row>
    <row r="2441">
      <c r="A2441" s="19" t="n">
        <v>2440</v>
      </c>
      <c r="B2441" s="19" t="inlineStr">
        <is>
          <t>Part IV - Performance Engineering</t>
        </is>
      </c>
      <c r="C2441" s="20" t="inlineStr">
        <is>
          <t>E.4.4 Triton</t>
        </is>
      </c>
      <c r="D2441" s="10" t="inlineStr">
        <is>
          <t>Grouped GEMMs</t>
        </is>
      </c>
      <c r="E2441" s="10" t="inlineStr"/>
      <c r="F2441" s="11" t="inlineStr"/>
      <c r="G2441" s="11" t="n">
        <v>0</v>
      </c>
      <c r="H2441" s="12" t="inlineStr"/>
      <c r="I2441" s="11" t="inlineStr">
        <is>
          <t>Not started</t>
        </is>
      </c>
      <c r="J2441" s="13" t="n"/>
      <c r="K2441" s="10" t="inlineStr"/>
      <c r="L2441" s="14" t="inlineStr">
        <is>
          <t>▶ watch</t>
        </is>
      </c>
      <c r="M2441" s="10" t="inlineStr">
        <is>
          <t>Tillet, Kung &amp; Cox, Triton: An Intermediate Language and Compiler for Tiled Neural Network Computations, MAPL 2019</t>
        </is>
      </c>
      <c r="N2441" s="14" t="inlineStr">
        <is>
          <t>read ↗</t>
        </is>
      </c>
      <c r="O2441" s="11" t="inlineStr">
        <is>
          <t>section reading</t>
        </is>
      </c>
      <c r="P2441" s="10" t="inlineStr"/>
    </row>
    <row r="2442">
      <c r="A2442" s="19" t="n">
        <v>2441</v>
      </c>
      <c r="B2442" s="19" t="inlineStr">
        <is>
          <t>Part IV - Performance Engineering</t>
        </is>
      </c>
      <c r="C2442" s="20" t="inlineStr">
        <is>
          <t>E.4.4 Triton</t>
        </is>
      </c>
      <c r="D2442" s="10" t="inlineStr">
        <is>
          <t>PyTorch 2.0 and TorchInductor</t>
        </is>
      </c>
      <c r="E2442" s="10" t="inlineStr"/>
      <c r="F2442" s="11" t="inlineStr"/>
      <c r="G2442" s="11" t="n">
        <v>0</v>
      </c>
      <c r="H2442" s="12" t="inlineStr"/>
      <c r="I2442" s="11" t="inlineStr">
        <is>
          <t>Not started</t>
        </is>
      </c>
      <c r="J2442" s="13" t="n"/>
      <c r="K2442" s="10" t="inlineStr"/>
      <c r="L2442" s="14" t="inlineStr">
        <is>
          <t>▶ watch</t>
        </is>
      </c>
      <c r="M2442" s="10" t="inlineStr">
        <is>
          <t>Tillet, Kung &amp; Cox, Triton: An Intermediate Language and Compiler for Tiled Neural Network Computations, MAPL 2019</t>
        </is>
      </c>
      <c r="N2442" s="14" t="inlineStr">
        <is>
          <t>read ↗</t>
        </is>
      </c>
      <c r="O2442" s="11" t="inlineStr">
        <is>
          <t>section reading</t>
        </is>
      </c>
      <c r="P2442" s="10" t="inlineStr"/>
    </row>
    <row r="2443">
      <c r="A2443" s="19" t="n">
        <v>2442</v>
      </c>
      <c r="B2443" s="19" t="inlineStr">
        <is>
          <t>Part IV - Performance Engineering</t>
        </is>
      </c>
      <c r="C2443" s="20" t="inlineStr">
        <is>
          <t>E.4.4 Triton</t>
        </is>
      </c>
      <c r="D2443" s="10" t="inlineStr">
        <is>
          <t>Pallas</t>
        </is>
      </c>
      <c r="E2443" s="10" t="inlineStr"/>
      <c r="F2443" s="11" t="inlineStr"/>
      <c r="G2443" s="11" t="n">
        <v>0</v>
      </c>
      <c r="H2443" s="12" t="inlineStr"/>
      <c r="I2443" s="11" t="inlineStr">
        <is>
          <t>Not started</t>
        </is>
      </c>
      <c r="J2443" s="13" t="n"/>
      <c r="K2443" s="10" t="inlineStr"/>
      <c r="L2443" s="14" t="inlineStr">
        <is>
          <t>▶ watch</t>
        </is>
      </c>
      <c r="M2443" s="10" t="inlineStr">
        <is>
          <t>Tillet, Kung &amp; Cox, Triton: An Intermediate Language and Compiler for Tiled Neural Network Computations, MAPL 2019</t>
        </is>
      </c>
      <c r="N2443" s="14" t="inlineStr">
        <is>
          <t>read ↗</t>
        </is>
      </c>
      <c r="O2443" s="11" t="inlineStr">
        <is>
          <t>section reading</t>
        </is>
      </c>
      <c r="P2443" s="10" t="inlineStr"/>
    </row>
    <row r="2444">
      <c r="A2444" s="19" t="n">
        <v>2443</v>
      </c>
      <c r="B2444" s="19" t="inlineStr">
        <is>
          <t>Part IV - Performance Engineering</t>
        </is>
      </c>
      <c r="C2444" s="20" t="inlineStr">
        <is>
          <t>E.4.4 Triton</t>
        </is>
      </c>
      <c r="D2444" s="10" t="inlineStr">
        <is>
          <t>(see curriculum section)</t>
        </is>
      </c>
      <c r="E2444" s="10" t="inlineStr"/>
      <c r="F2444" s="11" t="inlineStr"/>
      <c r="G2444" s="11" t="n">
        <v>0</v>
      </c>
      <c r="H2444" s="12" t="inlineStr"/>
      <c r="I2444" s="11" t="inlineStr">
        <is>
          <t>Not started</t>
        </is>
      </c>
      <c r="J2444" s="13" t="n"/>
      <c r="K2444" s="10" t="inlineStr"/>
      <c r="L2444" s="14" t="inlineStr">
        <is>
          <t>▶ watch</t>
        </is>
      </c>
      <c r="M2444" s="10" t="inlineStr">
        <is>
          <t>Tillet, Kung &amp; Cox, Triton: An Intermediate Language and Compiler for Tiled Neural Network Computations, MAPL 2019</t>
        </is>
      </c>
      <c r="N2444" s="14" t="inlineStr">
        <is>
          <t>read ↗</t>
        </is>
      </c>
      <c r="O2444" s="11" t="inlineStr">
        <is>
          <t>section reading</t>
        </is>
      </c>
      <c r="P2444" s="10" t="inlineStr"/>
    </row>
    <row r="2445">
      <c r="A2445" s="19" t="n">
        <v>2444</v>
      </c>
      <c r="B2445" s="19" t="inlineStr">
        <is>
          <t>Part IV - Performance Engineering</t>
        </is>
      </c>
      <c r="C2445" s="20" t="inlineStr">
        <is>
          <t>E.4.5 CUTLASS and CuTe</t>
        </is>
      </c>
      <c r="D2445" s="10" t="inlineStr">
        <is>
          <t>Zero to Hero: Programming Hopper Tensor Core with MLIR's NVGPU Dialect</t>
        </is>
      </c>
      <c r="E2445" s="10" t="inlineStr">
        <is>
          <t>Guray Ozen (NVIDIA</t>
        </is>
      </c>
      <c r="F2445" s="11" t="inlineStr">
        <is>
          <t>42:26</t>
        </is>
      </c>
      <c r="G2445" s="11" t="n">
        <v>0.71</v>
      </c>
      <c r="H2445" s="12" t="inlineStr">
        <is>
          <t>★</t>
        </is>
      </c>
      <c r="I2445" s="11" t="inlineStr">
        <is>
          <t>Not started</t>
        </is>
      </c>
      <c r="J2445" s="13" t="n"/>
      <c r="K2445" s="10" t="inlineStr"/>
      <c r="L2445" s="14" t="inlineStr">
        <is>
          <t>▶ watch</t>
        </is>
      </c>
      <c r="M2445" s="10" t="inlineStr">
        <is>
          <t>Shah, Bikshandi, Zhang, Thakkar, Ramani &amp; Dao, FlashAttention-3, arXiv:2407.08608. Colfax's written tutorials at research.colfax-intl.com/blog are the real substitute for their missing video channel</t>
        </is>
      </c>
      <c r="N2445" s="14" t="inlineStr">
        <is>
          <t>read ↗</t>
        </is>
      </c>
      <c r="O2445" s="11" t="inlineStr">
        <is>
          <t>section reading</t>
        </is>
      </c>
      <c r="P2445" s="10" t="inlineStr"/>
    </row>
    <row r="2446">
      <c r="A2446" s="19" t="n">
        <v>2445</v>
      </c>
      <c r="B2446" s="19" t="inlineStr">
        <is>
          <t>Part IV - Performance Engineering</t>
        </is>
      </c>
      <c r="C2446" s="20" t="inlineStr">
        <is>
          <t>E.4.5 CUTLASS and CuTe</t>
        </is>
      </c>
      <c r="D2446" s="10" t="inlineStr">
        <is>
          <t>CUTLASS Python DSL Infrastructure (LLVM Dev Meeting</t>
        </is>
      </c>
      <c r="E2446" s="10" t="inlineStr">
        <is>
          <t>Guray Ozen (NVIDIA</t>
        </is>
      </c>
      <c r="F2446" s="11" t="inlineStr">
        <is>
          <t>22:14</t>
        </is>
      </c>
      <c r="G2446" s="11" t="n">
        <v>0.37</v>
      </c>
      <c r="H2446" s="12" t="inlineStr"/>
      <c r="I2446" s="11" t="inlineStr">
        <is>
          <t>Not started</t>
        </is>
      </c>
      <c r="J2446" s="13" t="n"/>
      <c r="K2446" s="10" t="inlineStr"/>
      <c r="L2446" s="14" t="inlineStr">
        <is>
          <t>▶ watch</t>
        </is>
      </c>
      <c r="M2446" s="10" t="inlineStr">
        <is>
          <t>Shah, Bikshandi, Zhang, Thakkar, Ramani &amp; Dao, FlashAttention-3, arXiv:2407.08608. Colfax's written tutorials at research.colfax-intl.com/blog are the real substitute for their missing video channel</t>
        </is>
      </c>
      <c r="N2446" s="14" t="inlineStr">
        <is>
          <t>read ↗</t>
        </is>
      </c>
      <c r="O2446" s="11" t="inlineStr">
        <is>
          <t>section reading</t>
        </is>
      </c>
      <c r="P2446" s="10" t="inlineStr"/>
    </row>
    <row r="2447">
      <c r="A2447" s="19" t="n">
        <v>2446</v>
      </c>
      <c r="B2447" s="19" t="inlineStr">
        <is>
          <t>Part IV - Performance Engineering</t>
        </is>
      </c>
      <c r="C2447" s="20" t="inlineStr">
        <is>
          <t>E.4.6 Profiling - finding the actual bottleneck</t>
        </is>
      </c>
      <c r="D2447" s="10" t="inlineStr">
        <is>
          <t>(see curriculum section)</t>
        </is>
      </c>
      <c r="E2447" s="10" t="inlineStr">
        <is>
          <t>NHR@FAU</t>
        </is>
      </c>
      <c r="F2447" s="11" t="inlineStr">
        <is>
          <t>18:37</t>
        </is>
      </c>
      <c r="G2447" s="11" t="n">
        <v>0.31</v>
      </c>
      <c r="H2447" s="12" t="inlineStr">
        <is>
          <t>★</t>
        </is>
      </c>
      <c r="I2447" s="11" t="inlineStr">
        <is>
          <t>Not started</t>
        </is>
      </c>
      <c r="J2447" s="13" t="n"/>
      <c r="K2447" s="10" t="inlineStr"/>
      <c r="L2447" s="14" t="inlineStr">
        <is>
          <t>▶ watch</t>
        </is>
      </c>
      <c r="M2447" s="10" t="inlineStr">
        <is>
          <t>Shah, Bikshandi, Zhang, Thakkar, Ramani &amp; Dao, FlashAttention-3, arXiv:2407.08608. Colfax's written tutorials at research.colfax-intl.com/blog are the real substitute for their missing video channel</t>
        </is>
      </c>
      <c r="N2447" s="14" t="inlineStr">
        <is>
          <t>read ↗</t>
        </is>
      </c>
      <c r="O2447" s="11" t="inlineStr">
        <is>
          <t>reading for E.4.5 CUTLASS and CuTe</t>
        </is>
      </c>
      <c r="P2447" s="10" t="inlineStr">
        <is>
          <t>E.6.4 HPC fundamentals</t>
        </is>
      </c>
    </row>
    <row r="2448">
      <c r="A2448" s="19" t="n">
        <v>2447</v>
      </c>
      <c r="B2448" s="19" t="inlineStr">
        <is>
          <t>Part IV - Performance Engineering</t>
        </is>
      </c>
      <c r="C2448" s="20" t="inlineStr">
        <is>
          <t>E.4.6 Profiling - finding the actual bottleneck</t>
        </is>
      </c>
      <c r="D2448" s="10" t="inlineStr">
        <is>
          <t>Pennycook, Yang and Deslippe on performance portability and empirical ceilings</t>
        </is>
      </c>
      <c r="E2448" s="10" t="inlineStr"/>
      <c r="F2448" s="11" t="inlineStr">
        <is>
          <t>1:07:12</t>
        </is>
      </c>
      <c r="G2448" s="11" t="n">
        <v>1.12</v>
      </c>
      <c r="H2448" s="12" t="inlineStr">
        <is>
          <t>★</t>
        </is>
      </c>
      <c r="I2448" s="11" t="inlineStr">
        <is>
          <t>Not started</t>
        </is>
      </c>
      <c r="J2448" s="13" t="n"/>
      <c r="K2448" s="10" t="inlineStr"/>
      <c r="L2448" s="14" t="inlineStr">
        <is>
          <t>▶ watch</t>
        </is>
      </c>
      <c r="M2448" s="10" t="inlineStr">
        <is>
          <t>Shah, Bikshandi, Zhang, Thakkar, Ramani &amp; Dao, FlashAttention-3, arXiv:2407.08608. Colfax's written tutorials at research.colfax-intl.com/blog are the real substitute for their missing video channel</t>
        </is>
      </c>
      <c r="N2448" s="14" t="inlineStr">
        <is>
          <t>read ↗</t>
        </is>
      </c>
      <c r="O2448" s="11" t="inlineStr">
        <is>
          <t>reading for E.4.5 CUTLASS and CuTe</t>
        </is>
      </c>
      <c r="P2448" s="10" t="inlineStr"/>
    </row>
    <row r="2449">
      <c r="A2449" s="19" t="n">
        <v>2448</v>
      </c>
      <c r="B2449" s="19" t="inlineStr">
        <is>
          <t>Part IV - Performance Engineering</t>
        </is>
      </c>
      <c r="C2449" s="20" t="inlineStr">
        <is>
          <t>E.4.6 Profiling - finding the actual bottleneck</t>
        </is>
      </c>
      <c r="D2449" s="10" t="inlineStr">
        <is>
          <t>SOL analysis in Nsight Compute</t>
        </is>
      </c>
      <c r="E2449" s="10" t="inlineStr"/>
      <c r="F2449" s="11" t="inlineStr">
        <is>
          <t>1:07:12</t>
        </is>
      </c>
      <c r="G2449" s="11" t="n">
        <v>1.12</v>
      </c>
      <c r="H2449" s="12" t="inlineStr">
        <is>
          <t>★</t>
        </is>
      </c>
      <c r="I2449" s="11" t="inlineStr">
        <is>
          <t>Not started</t>
        </is>
      </c>
      <c r="J2449" s="13" t="n"/>
      <c r="K2449" s="10" t="inlineStr"/>
      <c r="L2449" s="14" t="inlineStr">
        <is>
          <t>▶ watch</t>
        </is>
      </c>
      <c r="M2449" s="10" t="inlineStr">
        <is>
          <t>Shah, Bikshandi, Zhang, Thakkar, Ramani &amp; Dao, FlashAttention-3, arXiv:2407.08608. Colfax's written tutorials at research.colfax-intl.com/blog are the real substitute for their missing video channel</t>
        </is>
      </c>
      <c r="N2449" s="14" t="inlineStr">
        <is>
          <t>read ↗</t>
        </is>
      </c>
      <c r="O2449" s="11" t="inlineStr">
        <is>
          <t>reading for E.4.5 CUTLASS and CuTe</t>
        </is>
      </c>
      <c r="P2449" s="10" t="inlineStr"/>
    </row>
    <row r="2450">
      <c r="A2450" s="19" t="n">
        <v>2449</v>
      </c>
      <c r="B2450" s="19" t="inlineStr">
        <is>
          <t>Part IV - Performance Engineering</t>
        </is>
      </c>
      <c r="C2450" s="20" t="inlineStr">
        <is>
          <t>E.4.6 Profiling - finding the actual bottleneck</t>
        </is>
      </c>
      <c r="D2450" s="10" t="inlineStr">
        <is>
          <t>SOL analysis in Nsight Compute</t>
        </is>
      </c>
      <c r="E2450" s="10" t="inlineStr"/>
      <c r="F2450" s="11" t="inlineStr"/>
      <c r="G2450" s="11" t="n">
        <v>0</v>
      </c>
      <c r="H2450" s="12" t="inlineStr">
        <is>
          <t>★</t>
        </is>
      </c>
      <c r="I2450" s="11" t="inlineStr">
        <is>
          <t>Not started</t>
        </is>
      </c>
      <c r="J2450" s="13" t="n"/>
      <c r="K2450" s="10" t="inlineStr"/>
      <c r="L2450" s="14" t="inlineStr">
        <is>
          <t>▶ watch</t>
        </is>
      </c>
      <c r="M2450" s="10" t="inlineStr">
        <is>
          <t>Shah, Bikshandi, Zhang, Thakkar, Ramani &amp; Dao, FlashAttention-3, arXiv:2407.08608. Colfax's written tutorials at research.colfax-intl.com/blog are the real substitute for their missing video channel</t>
        </is>
      </c>
      <c r="N2450" s="14" t="inlineStr">
        <is>
          <t>read ↗</t>
        </is>
      </c>
      <c r="O2450" s="11" t="inlineStr">
        <is>
          <t>reading for E.4.5 CUTLASS and CuTe</t>
        </is>
      </c>
      <c r="P2450" s="10" t="inlineStr"/>
    </row>
    <row r="2451">
      <c r="A2451" s="19" t="n">
        <v>2450</v>
      </c>
      <c r="B2451" s="19" t="inlineStr">
        <is>
          <t>Part IV - Performance Engineering</t>
        </is>
      </c>
      <c r="C2451" s="20" t="inlineStr">
        <is>
          <t>E.4.6 Profiling - finding the actual bottleneck</t>
        </is>
      </c>
      <c r="D2451" s="10" t="inlineStr">
        <is>
          <t>Memory Analysis with Nsight Compute</t>
        </is>
      </c>
      <c r="E2451" s="10" t="inlineStr"/>
      <c r="F2451" s="11" t="inlineStr">
        <is>
          <t>2:07:16</t>
        </is>
      </c>
      <c r="G2451" s="11" t="n">
        <v>2.12</v>
      </c>
      <c r="H2451" s="12" t="inlineStr"/>
      <c r="I2451" s="11" t="inlineStr">
        <is>
          <t>Not started</t>
        </is>
      </c>
      <c r="J2451" s="13" t="n"/>
      <c r="K2451" s="10" t="inlineStr"/>
      <c r="L2451" s="14" t="inlineStr">
        <is>
          <t>▶ watch</t>
        </is>
      </c>
      <c r="M2451" s="10" t="inlineStr">
        <is>
          <t>Shah, Bikshandi, Zhang, Thakkar, Ramani &amp; Dao, FlashAttention-3, arXiv:2407.08608. Colfax's written tutorials at research.colfax-intl.com/blog are the real substitute for their missing video channel</t>
        </is>
      </c>
      <c r="N2451" s="14" t="inlineStr">
        <is>
          <t>read ↗</t>
        </is>
      </c>
      <c r="O2451" s="11" t="inlineStr">
        <is>
          <t>reading for E.4.5 CUTLASS and CuTe</t>
        </is>
      </c>
      <c r="P2451" s="10" t="inlineStr"/>
    </row>
    <row r="2452">
      <c r="A2452" s="19" t="n">
        <v>2451</v>
      </c>
      <c r="B2452" s="19" t="inlineStr">
        <is>
          <t>Part IV - Performance Engineering</t>
        </is>
      </c>
      <c r="C2452" s="20" t="inlineStr">
        <is>
          <t>E.4.6 Profiling - finding the actual bottleneck</t>
        </is>
      </c>
      <c r="D2452" s="10" t="inlineStr">
        <is>
          <t>Profiling with NVTX</t>
        </is>
      </c>
      <c r="E2452" s="10" t="inlineStr"/>
      <c r="F2452" s="11" t="inlineStr"/>
      <c r="G2452" s="11" t="n">
        <v>0</v>
      </c>
      <c r="H2452" s="12" t="inlineStr"/>
      <c r="I2452" s="11" t="inlineStr">
        <is>
          <t>Not started</t>
        </is>
      </c>
      <c r="J2452" s="13" t="n"/>
      <c r="K2452" s="10" t="inlineStr"/>
      <c r="L2452" s="14" t="inlineStr">
        <is>
          <t>▶ watch</t>
        </is>
      </c>
      <c r="M2452" s="10" t="inlineStr">
        <is>
          <t>Shah, Bikshandi, Zhang, Thakkar, Ramani &amp; Dao, FlashAttention-3, arXiv:2407.08608. Colfax's written tutorials at research.colfax-intl.com/blog are the real substitute for their missing video channel</t>
        </is>
      </c>
      <c r="N2452" s="14" t="inlineStr">
        <is>
          <t>read ↗</t>
        </is>
      </c>
      <c r="O2452" s="11" t="inlineStr">
        <is>
          <t>reading for E.4.5 CUTLASS and CuTe</t>
        </is>
      </c>
      <c r="P2452" s="10" t="inlineStr"/>
    </row>
    <row r="2453">
      <c r="A2453" s="19" t="n">
        <v>2452</v>
      </c>
      <c r="B2453" s="19" t="inlineStr">
        <is>
          <t>Part IV - Performance Engineering</t>
        </is>
      </c>
      <c r="C2453" s="20" t="inlineStr">
        <is>
          <t>E.4.6 Profiling - finding the actual bottleneck</t>
        </is>
      </c>
      <c r="D2453" s="10" t="inlineStr">
        <is>
          <t>(see curriculum section)</t>
        </is>
      </c>
      <c r="E2453" s="10" t="inlineStr"/>
      <c r="F2453" s="11" t="inlineStr"/>
      <c r="G2453" s="11" t="n">
        <v>0</v>
      </c>
      <c r="H2453" s="12" t="inlineStr"/>
      <c r="I2453" s="11" t="inlineStr">
        <is>
          <t>Not started</t>
        </is>
      </c>
      <c r="J2453" s="13" t="n"/>
      <c r="K2453" s="10" t="inlineStr"/>
      <c r="L2453" s="14" t="inlineStr">
        <is>
          <t>▶ watch</t>
        </is>
      </c>
      <c r="M2453" s="10" t="inlineStr">
        <is>
          <t>Shah, Bikshandi, Zhang, Thakkar, Ramani &amp; Dao, FlashAttention-3, arXiv:2407.08608. Colfax's written tutorials at research.colfax-intl.com/blog are the real substitute for their missing video channel</t>
        </is>
      </c>
      <c r="N2453" s="14" t="inlineStr">
        <is>
          <t>read ↗</t>
        </is>
      </c>
      <c r="O2453" s="11" t="inlineStr">
        <is>
          <t>reading for E.4.5 CUTLASS and CuTe</t>
        </is>
      </c>
      <c r="P2453" s="10" t="inlineStr"/>
    </row>
    <row r="2454">
      <c r="A2454" s="19" t="n">
        <v>2453</v>
      </c>
      <c r="B2454" s="19" t="inlineStr">
        <is>
          <t>Part IV - Performance Engineering</t>
        </is>
      </c>
      <c r="C2454" s="20" t="inlineStr">
        <is>
          <t>E.4.6 Profiling - finding the actual bottleneck</t>
        </is>
      </c>
      <c r="D2454" s="10" t="inlineStr">
        <is>
          <t>Kernel Performance Analysis with Nsight Compute, ALCF</t>
        </is>
      </c>
      <c r="E2454" s="10" t="inlineStr"/>
      <c r="F2454" s="11" t="inlineStr"/>
      <c r="G2454" s="11" t="n">
        <v>0</v>
      </c>
      <c r="H2454" s="12" t="inlineStr"/>
      <c r="I2454" s="11" t="inlineStr">
        <is>
          <t>Not started</t>
        </is>
      </c>
      <c r="J2454" s="13" t="n"/>
      <c r="K2454" s="10" t="inlineStr"/>
      <c r="L2454" s="14" t="inlineStr">
        <is>
          <t>▶ watch</t>
        </is>
      </c>
      <c r="M2454" s="10" t="inlineStr">
        <is>
          <t>Shah, Bikshandi, Zhang, Thakkar, Ramani &amp; Dao, FlashAttention-3, arXiv:2407.08608. Colfax's written tutorials at research.colfax-intl.com/blog are the real substitute for their missing video channel</t>
        </is>
      </c>
      <c r="N2454" s="14" t="inlineStr">
        <is>
          <t>read ↗</t>
        </is>
      </c>
      <c r="O2454" s="11" t="inlineStr">
        <is>
          <t>reading for E.4.5 CUTLASS and CuTe</t>
        </is>
      </c>
      <c r="P2454" s="10" t="inlineStr"/>
    </row>
    <row r="2455">
      <c r="A2455" s="19" t="n">
        <v>2454</v>
      </c>
      <c r="B2455" s="19" t="inlineStr">
        <is>
          <t>Part IV - Performance Engineering</t>
        </is>
      </c>
      <c r="C2455" s="20" t="inlineStr">
        <is>
          <t>E.4.6 Profiling - finding the actual bottleneck</t>
        </is>
      </c>
      <c r="D2455" s="10" t="inlineStr">
        <is>
          <t>HPCToolkit</t>
        </is>
      </c>
      <c r="E2455" s="10" t="inlineStr"/>
      <c r="F2455" s="11" t="inlineStr"/>
      <c r="G2455" s="11" t="n">
        <v>0</v>
      </c>
      <c r="H2455" s="12" t="inlineStr">
        <is>
          <t>★</t>
        </is>
      </c>
      <c r="I2455" s="11" t="inlineStr">
        <is>
          <t>Not started</t>
        </is>
      </c>
      <c r="J2455" s="13" t="n"/>
      <c r="K2455" s="10" t="inlineStr"/>
      <c r="L2455" s="14" t="inlineStr">
        <is>
          <t>▶ watch</t>
        </is>
      </c>
      <c r="M2455" s="10" t="inlineStr">
        <is>
          <t>Shah, Bikshandi, Zhang, Thakkar, Ramani &amp; Dao, FlashAttention-3, arXiv:2407.08608. Colfax's written tutorials at research.colfax-intl.com/blog are the real substitute for their missing video channel</t>
        </is>
      </c>
      <c r="N2455" s="14" t="inlineStr">
        <is>
          <t>read ↗</t>
        </is>
      </c>
      <c r="O2455" s="11" t="inlineStr">
        <is>
          <t>reading for E.4.5 CUTLASS and CuTe</t>
        </is>
      </c>
      <c r="P2455" s="10" t="inlineStr"/>
    </row>
    <row r="2456">
      <c r="A2456" s="19" t="n">
        <v>2455</v>
      </c>
      <c r="B2456" s="19" t="inlineStr">
        <is>
          <t>Part IV - Performance Engineering</t>
        </is>
      </c>
      <c r="C2456" s="20" t="inlineStr">
        <is>
          <t>E.4.6 Profiling - finding the actual bottleneck</t>
        </is>
      </c>
      <c r="D2456" s="10" t="inlineStr">
        <is>
          <t>(see curriculum section)</t>
        </is>
      </c>
      <c r="E2456" s="10" t="inlineStr"/>
      <c r="F2456" s="11" t="inlineStr"/>
      <c r="G2456" s="11" t="n">
        <v>0</v>
      </c>
      <c r="H2456" s="12" t="inlineStr"/>
      <c r="I2456" s="11" t="inlineStr">
        <is>
          <t>Not started</t>
        </is>
      </c>
      <c r="J2456" s="13" t="n"/>
      <c r="K2456" s="10" t="inlineStr"/>
      <c r="L2456" s="14" t="inlineStr">
        <is>
          <t>▶ watch</t>
        </is>
      </c>
      <c r="M2456" s="10" t="inlineStr">
        <is>
          <t>Shah, Bikshandi, Zhang, Thakkar, Ramani &amp; Dao, FlashAttention-3, arXiv:2407.08608. Colfax's written tutorials at research.colfax-intl.com/blog are the real substitute for their missing video channel</t>
        </is>
      </c>
      <c r="N2456" s="14" t="inlineStr">
        <is>
          <t>read ↗</t>
        </is>
      </c>
      <c r="O2456" s="11" t="inlineStr">
        <is>
          <t>reading for E.4.5 CUTLASS and CuTe</t>
        </is>
      </c>
      <c r="P2456" s="10" t="inlineStr"/>
    </row>
    <row r="2457">
      <c r="A2457" s="19" t="n">
        <v>2456</v>
      </c>
      <c r="B2457" s="19" t="inlineStr">
        <is>
          <t>Part IV - Performance Engineering</t>
        </is>
      </c>
      <c r="C2457" s="20" t="inlineStr">
        <is>
          <t>E.4.6 Profiling - finding the actual bottleneck</t>
        </is>
      </c>
      <c r="D2457" s="10" t="inlineStr">
        <is>
          <t>(see curriculum section)</t>
        </is>
      </c>
      <c r="E2457" s="10" t="inlineStr"/>
      <c r="F2457" s="11" t="inlineStr">
        <is>
          <t>37:48</t>
        </is>
      </c>
      <c r="G2457" s="11" t="n">
        <v>0.63</v>
      </c>
      <c r="H2457" s="12" t="inlineStr"/>
      <c r="I2457" s="11" t="inlineStr">
        <is>
          <t>Not started</t>
        </is>
      </c>
      <c r="J2457" s="13" t="n"/>
      <c r="K2457" s="10" t="inlineStr"/>
      <c r="L2457" s="14" t="inlineStr">
        <is>
          <t>▶ watch</t>
        </is>
      </c>
      <c r="M2457" s="10" t="inlineStr">
        <is>
          <t>Shah, Bikshandi, Zhang, Thakkar, Ramani &amp; Dao, FlashAttention-3, arXiv:2407.08608. Colfax's written tutorials at research.colfax-intl.com/blog are the real substitute for their missing video channel</t>
        </is>
      </c>
      <c r="N2457" s="14" t="inlineStr">
        <is>
          <t>read ↗</t>
        </is>
      </c>
      <c r="O2457" s="11" t="inlineStr">
        <is>
          <t>reading for E.4.5 CUTLASS and CuTe</t>
        </is>
      </c>
      <c r="P2457" s="10" t="inlineStr"/>
    </row>
    <row r="2458">
      <c r="A2458" s="19" t="n">
        <v>2457</v>
      </c>
      <c r="B2458" s="19" t="inlineStr">
        <is>
          <t>Part IV - Performance Engineering</t>
        </is>
      </c>
      <c r="C2458" s="20" t="inlineStr">
        <is>
          <t>E.4.7 PyTorch internals and compilers</t>
        </is>
      </c>
      <c r="D2458" s="10" t="inlineStr">
        <is>
          <t>(see curriculum section)</t>
        </is>
      </c>
      <c r="E2458" s="10" t="inlineStr"/>
      <c r="F2458" s="11" t="inlineStr"/>
      <c r="G2458" s="11" t="n">
        <v>0</v>
      </c>
      <c r="H2458" s="12" t="inlineStr"/>
      <c r="I2458" s="11" t="inlineStr">
        <is>
          <t>Not started</t>
        </is>
      </c>
      <c r="J2458" s="13" t="n"/>
      <c r="K2458" s="10" t="inlineStr"/>
      <c r="L2458" s="14" t="inlineStr">
        <is>
          <t>▶ watch</t>
        </is>
      </c>
      <c r="M2458" s="10" t="inlineStr">
        <is>
          <t>Ansel et al., PyTorch 2, ASPLOS 2024</t>
        </is>
      </c>
      <c r="N2458" s="14" t="inlineStr">
        <is>
          <t>read ↗</t>
        </is>
      </c>
      <c r="O2458" s="11" t="inlineStr">
        <is>
          <t>section reading</t>
        </is>
      </c>
      <c r="P2458" s="10" t="inlineStr"/>
    </row>
    <row r="2459">
      <c r="A2459" s="19" t="n">
        <v>2458</v>
      </c>
      <c r="B2459" s="19" t="inlineStr">
        <is>
          <t>Part IV - Performance Engineering</t>
        </is>
      </c>
      <c r="C2459" s="20" t="inlineStr">
        <is>
          <t>E.4.7 PyTorch internals and compilers</t>
        </is>
      </c>
      <c r="D2459" s="10" t="inlineStr">
        <is>
          <t>(see curriculum section)</t>
        </is>
      </c>
      <c r="E2459" s="10" t="inlineStr"/>
      <c r="F2459" s="11" t="inlineStr"/>
      <c r="G2459" s="11" t="n">
        <v>0</v>
      </c>
      <c r="H2459" s="12" t="inlineStr"/>
      <c r="I2459" s="11" t="inlineStr">
        <is>
          <t>Not started</t>
        </is>
      </c>
      <c r="J2459" s="13" t="n"/>
      <c r="K2459" s="10" t="inlineStr"/>
      <c r="L2459" s="14" t="inlineStr">
        <is>
          <t>▶ watch</t>
        </is>
      </c>
      <c r="M2459" s="10" t="inlineStr">
        <is>
          <t>Ansel et al., PyTorch 2, ASPLOS 2024</t>
        </is>
      </c>
      <c r="N2459" s="14" t="inlineStr">
        <is>
          <t>read ↗</t>
        </is>
      </c>
      <c r="O2459" s="11" t="inlineStr">
        <is>
          <t>section reading</t>
        </is>
      </c>
      <c r="P2459" s="10" t="inlineStr"/>
    </row>
    <row r="2460">
      <c r="A2460" s="19" t="n">
        <v>2459</v>
      </c>
      <c r="B2460" s="19" t="inlineStr">
        <is>
          <t>Part IV - Performance Engineering</t>
        </is>
      </c>
      <c r="C2460" s="20" t="inlineStr">
        <is>
          <t>E.4.7 PyTorch internals and compilers</t>
        </is>
      </c>
      <c r="D2460" s="10" t="inlineStr">
        <is>
          <t>FlexAttention</t>
        </is>
      </c>
      <c r="E2460" s="10" t="inlineStr"/>
      <c r="F2460" s="11" t="inlineStr"/>
      <c r="G2460" s="11" t="n">
        <v>0</v>
      </c>
      <c r="H2460" s="12" t="inlineStr">
        <is>
          <t>★</t>
        </is>
      </c>
      <c r="I2460" s="11" t="inlineStr">
        <is>
          <t>Not started</t>
        </is>
      </c>
      <c r="J2460" s="13" t="n"/>
      <c r="K2460" s="10" t="inlineStr"/>
      <c r="L2460" s="14" t="inlineStr">
        <is>
          <t>▶ watch</t>
        </is>
      </c>
      <c r="M2460" s="10" t="inlineStr">
        <is>
          <t>Ansel et al., PyTorch 2, ASPLOS 2024</t>
        </is>
      </c>
      <c r="N2460" s="14" t="inlineStr">
        <is>
          <t>read ↗</t>
        </is>
      </c>
      <c r="O2460" s="11" t="inlineStr">
        <is>
          <t>section reading</t>
        </is>
      </c>
      <c r="P2460" s="10" t="inlineStr"/>
    </row>
    <row r="2461">
      <c r="A2461" s="19" t="n">
        <v>2460</v>
      </c>
      <c r="B2461" s="19" t="inlineStr">
        <is>
          <t>Part IV - Performance Engineering</t>
        </is>
      </c>
      <c r="C2461" s="20" t="inlineStr">
        <is>
          <t>E.4.7 PyTorch internals and compilers</t>
        </is>
      </c>
      <c r="D2461" s="10" t="inlineStr">
        <is>
          <t>FlexAttention</t>
        </is>
      </c>
      <c r="E2461" s="10" t="inlineStr"/>
      <c r="F2461" s="11" t="inlineStr"/>
      <c r="G2461" s="11" t="n">
        <v>0</v>
      </c>
      <c r="H2461" s="12" t="inlineStr">
        <is>
          <t>★</t>
        </is>
      </c>
      <c r="I2461" s="11" t="inlineStr">
        <is>
          <t>Not started</t>
        </is>
      </c>
      <c r="J2461" s="13" t="n"/>
      <c r="K2461" s="10" t="inlineStr"/>
      <c r="L2461" s="14" t="inlineStr">
        <is>
          <t>▶ watch</t>
        </is>
      </c>
      <c r="M2461" s="10" t="inlineStr">
        <is>
          <t>Ansel et al., PyTorch 2, ASPLOS 2024</t>
        </is>
      </c>
      <c r="N2461" s="14" t="inlineStr">
        <is>
          <t>read ↗</t>
        </is>
      </c>
      <c r="O2461" s="11" t="inlineStr">
        <is>
          <t>section reading</t>
        </is>
      </c>
      <c r="P2461" s="10" t="inlineStr"/>
    </row>
    <row r="2462">
      <c r="A2462" s="19" t="n">
        <v>2461</v>
      </c>
      <c r="B2462" s="19" t="inlineStr">
        <is>
          <t>Part IV - Performance Engineering</t>
        </is>
      </c>
      <c r="C2462" s="20" t="inlineStr">
        <is>
          <t>E.4.7 PyTorch internals and compilers</t>
        </is>
      </c>
      <c r="D2462" s="10" t="inlineStr">
        <is>
          <t>(see curriculum section)</t>
        </is>
      </c>
      <c r="E2462" s="10" t="inlineStr"/>
      <c r="F2462" s="11" t="inlineStr"/>
      <c r="G2462" s="11" t="n">
        <v>0</v>
      </c>
      <c r="H2462" s="12" t="inlineStr"/>
      <c r="I2462" s="11" t="inlineStr">
        <is>
          <t>Not started</t>
        </is>
      </c>
      <c r="J2462" s="13" t="n"/>
      <c r="K2462" s="10" t="inlineStr"/>
      <c r="L2462" s="14" t="inlineStr">
        <is>
          <t>▶ watch</t>
        </is>
      </c>
      <c r="M2462" s="10" t="inlineStr">
        <is>
          <t>Ansel et al., PyTorch 2, ASPLOS 2024</t>
        </is>
      </c>
      <c r="N2462" s="14" t="inlineStr">
        <is>
          <t>read ↗</t>
        </is>
      </c>
      <c r="O2462" s="11" t="inlineStr">
        <is>
          <t>section reading</t>
        </is>
      </c>
      <c r="P2462" s="10" t="inlineStr"/>
    </row>
    <row r="2463">
      <c r="A2463" s="19" t="n">
        <v>2462</v>
      </c>
      <c r="B2463" s="19" t="inlineStr">
        <is>
          <t>Part IV - Performance Engineering</t>
        </is>
      </c>
      <c r="C2463" s="20" t="inlineStr">
        <is>
          <t>E.4.7 PyTorch internals and compilers</t>
        </is>
      </c>
      <c r="D2463" s="10" t="inlineStr">
        <is>
          <t>torch.compile: The Missing Manual</t>
        </is>
      </c>
      <c r="E2463" s="10" t="inlineStr"/>
      <c r="F2463" s="11" t="inlineStr"/>
      <c r="G2463" s="11" t="n">
        <v>0</v>
      </c>
      <c r="H2463" s="12" t="inlineStr"/>
      <c r="I2463" s="11" t="inlineStr">
        <is>
          <t>Not started</t>
        </is>
      </c>
      <c r="J2463" s="13" t="n"/>
      <c r="K2463" s="10" t="inlineStr"/>
      <c r="L2463" s="14" t="inlineStr">
        <is>
          <t>▶ watch</t>
        </is>
      </c>
      <c r="M2463" s="10" t="inlineStr">
        <is>
          <t>Ansel et al., PyTorch 2, ASPLOS 2024</t>
        </is>
      </c>
      <c r="N2463" s="14" t="inlineStr">
        <is>
          <t>read ↗</t>
        </is>
      </c>
      <c r="O2463" s="11" t="inlineStr">
        <is>
          <t>section reading</t>
        </is>
      </c>
      <c r="P2463" s="10" t="inlineStr"/>
    </row>
    <row r="2464">
      <c r="A2464" s="19" t="n">
        <v>2463</v>
      </c>
      <c r="B2464" s="19" t="inlineStr">
        <is>
          <t>Part IV - Performance Engineering</t>
        </is>
      </c>
      <c r="C2464" s="20" t="inlineStr">
        <is>
          <t>E.4.7 PyTorch internals and compilers</t>
        </is>
      </c>
      <c r="D2464" s="10" t="inlineStr">
        <is>
          <t>torch.compile: The Missing Manual</t>
        </is>
      </c>
      <c r="E2464" s="10" t="inlineStr"/>
      <c r="F2464" s="11" t="inlineStr"/>
      <c r="G2464" s="11" t="n">
        <v>0</v>
      </c>
      <c r="H2464" s="12" t="inlineStr"/>
      <c r="I2464" s="11" t="inlineStr">
        <is>
          <t>Not started</t>
        </is>
      </c>
      <c r="J2464" s="13" t="n"/>
      <c r="K2464" s="10" t="inlineStr"/>
      <c r="L2464" s="14" t="inlineStr">
        <is>
          <t>▶ watch</t>
        </is>
      </c>
      <c r="M2464" s="10" t="inlineStr">
        <is>
          <t>Ansel et al., PyTorch 2, ASPLOS 2024</t>
        </is>
      </c>
      <c r="N2464" s="14" t="inlineStr">
        <is>
          <t>read ↗</t>
        </is>
      </c>
      <c r="O2464" s="11" t="inlineStr">
        <is>
          <t>section reading</t>
        </is>
      </c>
      <c r="P2464" s="10" t="inlineStr"/>
    </row>
    <row r="2465">
      <c r="A2465" s="19" t="n">
        <v>2464</v>
      </c>
      <c r="B2465" s="19" t="inlineStr">
        <is>
          <t>Part IV - Performance Engineering</t>
        </is>
      </c>
      <c r="C2465" s="20" t="inlineStr">
        <is>
          <t>E.4.7 PyTorch internals and compilers</t>
        </is>
      </c>
      <c r="D2465" s="10" t="inlineStr">
        <is>
          <t>a real debugging session inside the CUDA caching allocator's private mempool</t>
        </is>
      </c>
      <c r="E2465" s="10" t="inlineStr"/>
      <c r="F2465" s="11" t="inlineStr">
        <is>
          <t>46:37</t>
        </is>
      </c>
      <c r="G2465" s="11" t="n">
        <v>0.78</v>
      </c>
      <c r="H2465" s="12" t="inlineStr">
        <is>
          <t>★</t>
        </is>
      </c>
      <c r="I2465" s="11" t="inlineStr">
        <is>
          <t>Not started</t>
        </is>
      </c>
      <c r="J2465" s="13" t="n"/>
      <c r="K2465" s="10" t="inlineStr"/>
      <c r="L2465" s="14" t="inlineStr">
        <is>
          <t>▶ watch</t>
        </is>
      </c>
      <c r="M2465" s="10" t="inlineStr">
        <is>
          <t>Ansel et al., PyTorch 2, ASPLOS 2024</t>
        </is>
      </c>
      <c r="N2465" s="14" t="inlineStr">
        <is>
          <t>read ↗</t>
        </is>
      </c>
      <c r="O2465" s="11" t="inlineStr">
        <is>
          <t>section reading</t>
        </is>
      </c>
      <c r="P2465" s="10" t="inlineStr"/>
    </row>
    <row r="2466">
      <c r="A2466" s="19" t="n">
        <v>2465</v>
      </c>
      <c r="B2466" s="19" t="inlineStr">
        <is>
          <t>Part IV - Performance Engineering</t>
        </is>
      </c>
      <c r="C2466" s="20" t="inlineStr">
        <is>
          <t>E.4.7 PyTorch internals and compilers</t>
        </is>
      </c>
      <c r="D2466" s="10" t="inlineStr">
        <is>
          <t>(see curriculum section)</t>
        </is>
      </c>
      <c r="E2466" s="10" t="inlineStr"/>
      <c r="F2466" s="11" t="inlineStr"/>
      <c r="G2466" s="11" t="n">
        <v>0</v>
      </c>
      <c r="H2466" s="12" t="inlineStr"/>
      <c r="I2466" s="11" t="inlineStr">
        <is>
          <t>Not started</t>
        </is>
      </c>
      <c r="J2466" s="13" t="n"/>
      <c r="K2466" s="10" t="inlineStr"/>
      <c r="L2466" s="14" t="inlineStr">
        <is>
          <t>▶ watch</t>
        </is>
      </c>
      <c r="M2466" s="10" t="inlineStr">
        <is>
          <t>Ansel et al., PyTorch 2, ASPLOS 2024</t>
        </is>
      </c>
      <c r="N2466" s="14" t="inlineStr">
        <is>
          <t>read ↗</t>
        </is>
      </c>
      <c r="O2466" s="11" t="inlineStr">
        <is>
          <t>section reading</t>
        </is>
      </c>
      <c r="P2466" s="10" t="inlineStr"/>
    </row>
    <row r="2467">
      <c r="A2467" s="19" t="n">
        <v>2466</v>
      </c>
      <c r="B2467" s="19" t="inlineStr">
        <is>
          <t>Part IV - Performance Engineering</t>
        </is>
      </c>
      <c r="C2467" s="20" t="inlineStr">
        <is>
          <t>E.4.7 PyTorch internals and compilers</t>
        </is>
      </c>
      <c r="D2467" s="10" t="inlineStr">
        <is>
          <t>(see curriculum section)</t>
        </is>
      </c>
      <c r="E2467" s="10" t="inlineStr"/>
      <c r="F2467" s="11" t="inlineStr"/>
      <c r="G2467" s="11" t="n">
        <v>0</v>
      </c>
      <c r="H2467" s="12" t="inlineStr"/>
      <c r="I2467" s="11" t="inlineStr">
        <is>
          <t>Not started</t>
        </is>
      </c>
      <c r="J2467" s="13" t="n"/>
      <c r="K2467" s="10" t="inlineStr"/>
      <c r="L2467" s="14" t="inlineStr">
        <is>
          <t>▶ watch</t>
        </is>
      </c>
      <c r="M2467" s="10" t="inlineStr">
        <is>
          <t>Ansel et al., PyTorch 2, ASPLOS 2024</t>
        </is>
      </c>
      <c r="N2467" s="14" t="inlineStr">
        <is>
          <t>read ↗</t>
        </is>
      </c>
      <c r="O2467" s="11" t="inlineStr">
        <is>
          <t>section reading</t>
        </is>
      </c>
      <c r="P2467" s="10" t="inlineStr"/>
    </row>
    <row r="2468">
      <c r="A2468" s="19" t="n">
        <v>2467</v>
      </c>
      <c r="B2468" s="19" t="inlineStr">
        <is>
          <t>Part IV - Performance Engineering</t>
        </is>
      </c>
      <c r="C2468" s="20" t="inlineStr">
        <is>
          <t>E.4.7 PyTorch internals and compilers</t>
        </is>
      </c>
      <c r="D2468" s="10" t="inlineStr">
        <is>
          <t>Inside torch.compile Guards: How They Work, What They Cost</t>
        </is>
      </c>
      <c r="E2468" s="10" t="inlineStr"/>
      <c r="F2468" s="11" t="inlineStr"/>
      <c r="G2468" s="11" t="n">
        <v>0</v>
      </c>
      <c r="H2468" s="12" t="inlineStr">
        <is>
          <t>★</t>
        </is>
      </c>
      <c r="I2468" s="11" t="inlineStr">
        <is>
          <t>Not started</t>
        </is>
      </c>
      <c r="J2468" s="13" t="n"/>
      <c r="K2468" s="10" t="inlineStr"/>
      <c r="L2468" s="14" t="inlineStr">
        <is>
          <t>▶ watch</t>
        </is>
      </c>
      <c r="M2468" s="10" t="inlineStr">
        <is>
          <t>Ansel et al., PyTorch 2, ASPLOS 2024</t>
        </is>
      </c>
      <c r="N2468" s="14" t="inlineStr">
        <is>
          <t>read ↗</t>
        </is>
      </c>
      <c r="O2468" s="11" t="inlineStr">
        <is>
          <t>section reading</t>
        </is>
      </c>
      <c r="P2468" s="10" t="inlineStr"/>
    </row>
    <row r="2469">
      <c r="A2469" s="19" t="n">
        <v>2468</v>
      </c>
      <c r="B2469" s="19" t="inlineStr">
        <is>
          <t>Part IV - Performance Engineering</t>
        </is>
      </c>
      <c r="C2469" s="20" t="inlineStr">
        <is>
          <t>E.4.7 PyTorch internals and compilers</t>
        </is>
      </c>
      <c r="D2469" s="10" t="inlineStr">
        <is>
          <t>CUTLASS backend for Inductor</t>
        </is>
      </c>
      <c r="E2469" s="10" t="inlineStr"/>
      <c r="F2469" s="11" t="inlineStr"/>
      <c r="G2469" s="11" t="n">
        <v>0</v>
      </c>
      <c r="H2469" s="12" t="inlineStr">
        <is>
          <t>★</t>
        </is>
      </c>
      <c r="I2469" s="11" t="inlineStr">
        <is>
          <t>Not started</t>
        </is>
      </c>
      <c r="J2469" s="13" t="n"/>
      <c r="K2469" s="10" t="inlineStr"/>
      <c r="L2469" s="14" t="inlineStr">
        <is>
          <t>▶ watch</t>
        </is>
      </c>
      <c r="M2469" s="10" t="inlineStr">
        <is>
          <t>Ansel et al., PyTorch 2, ASPLOS 2024</t>
        </is>
      </c>
      <c r="N2469" s="14" t="inlineStr">
        <is>
          <t>read ↗</t>
        </is>
      </c>
      <c r="O2469" s="11" t="inlineStr">
        <is>
          <t>section reading</t>
        </is>
      </c>
      <c r="P2469" s="10" t="inlineStr"/>
    </row>
    <row r="2470">
      <c r="A2470" s="19" t="n">
        <v>2469</v>
      </c>
      <c r="B2470" s="19" t="inlineStr">
        <is>
          <t>Part IV - Performance Engineering</t>
        </is>
      </c>
      <c r="C2470" s="20" t="inlineStr">
        <is>
          <t>E.4.7 PyTorch internals and compilers</t>
        </is>
      </c>
      <c r="D2470" s="10" t="inlineStr">
        <is>
          <t>CUDAGraph in a Partial Graph World</t>
        </is>
      </c>
      <c r="E2470" s="10" t="inlineStr"/>
      <c r="F2470" s="11" t="inlineStr"/>
      <c r="G2470" s="11" t="n">
        <v>0</v>
      </c>
      <c r="H2470" s="12" t="inlineStr">
        <is>
          <t>★</t>
        </is>
      </c>
      <c r="I2470" s="11" t="inlineStr">
        <is>
          <t>Not started</t>
        </is>
      </c>
      <c r="J2470" s="13" t="n"/>
      <c r="K2470" s="10" t="inlineStr"/>
      <c r="L2470" s="14" t="inlineStr">
        <is>
          <t>▶ watch</t>
        </is>
      </c>
      <c r="M2470" s="10" t="inlineStr">
        <is>
          <t>Ansel et al., PyTorch 2, ASPLOS 2024</t>
        </is>
      </c>
      <c r="N2470" s="14" t="inlineStr">
        <is>
          <t>read ↗</t>
        </is>
      </c>
      <c r="O2470" s="11" t="inlineStr">
        <is>
          <t>section reading</t>
        </is>
      </c>
      <c r="P2470" s="10" t="inlineStr"/>
    </row>
    <row r="2471">
      <c r="A2471" s="19" t="n">
        <v>2470</v>
      </c>
      <c r="B2471" s="19" t="inlineStr">
        <is>
          <t>Part IV - Performance Engineering</t>
        </is>
      </c>
      <c r="C2471" s="20" t="inlineStr">
        <is>
          <t>E.4.8 Numerics and determinism</t>
        </is>
      </c>
      <c r="D2471" s="10" t="inlineStr">
        <is>
          <t>Deep Learning Determinism</t>
        </is>
      </c>
      <c r="E2471" s="10" t="inlineStr">
        <is>
          <t>Duncan Riach (NVIDIA</t>
        </is>
      </c>
      <c r="F2471" s="11" t="inlineStr">
        <is>
          <t>37:38</t>
        </is>
      </c>
      <c r="G2471" s="11" t="n">
        <v>0.63</v>
      </c>
      <c r="H2471" s="12" t="inlineStr">
        <is>
          <t>★</t>
        </is>
      </c>
      <c r="I2471" s="11" t="inlineStr">
        <is>
          <t>Not started</t>
        </is>
      </c>
      <c r="J2471" s="13" t="n"/>
      <c r="K2471" s="10" t="inlineStr"/>
      <c r="L2471" s="14" t="inlineStr">
        <is>
          <t>▶ watch</t>
        </is>
      </c>
      <c r="M2471" s="10" t="inlineStr">
        <is>
          <t>Micikevicius et al., Mixed Precision Training, arXiv:1710.03740 · FP8 Formats for Deep Learning, arXiv:2209.05433</t>
        </is>
      </c>
      <c r="N2471" s="14" t="inlineStr">
        <is>
          <t>read ↗</t>
        </is>
      </c>
      <c r="O2471" s="11" t="inlineStr">
        <is>
          <t>section reading (2 of 4)</t>
        </is>
      </c>
      <c r="P2471" s="10" t="inlineStr"/>
    </row>
    <row r="2472">
      <c r="A2472" s="19" t="n">
        <v>2471</v>
      </c>
      <c r="B2472" s="19" t="inlineStr">
        <is>
          <t>Part IV - Performance Engineering</t>
        </is>
      </c>
      <c r="C2472" s="20" t="inlineStr">
        <is>
          <t>E.4.8 Numerics and determinism</t>
        </is>
      </c>
      <c r="D2472" s="10" t="inlineStr">
        <is>
          <t>Reproducible C++ Floating-Point Reductions in CUB</t>
        </is>
      </c>
      <c r="E2472" s="10" t="inlineStr">
        <is>
          <t>Shreyas Atre</t>
        </is>
      </c>
      <c r="F2472" s="11" t="inlineStr">
        <is>
          <t>5:25</t>
        </is>
      </c>
      <c r="G2472" s="11" t="n">
        <v>0.09</v>
      </c>
      <c r="H2472" s="12" t="inlineStr"/>
      <c r="I2472" s="11" t="inlineStr">
        <is>
          <t>Not started</t>
        </is>
      </c>
      <c r="J2472" s="13" t="n"/>
      <c r="K2472" s="10" t="inlineStr"/>
      <c r="L2472" s="14" t="inlineStr">
        <is>
          <t>▶ watch</t>
        </is>
      </c>
      <c r="M2472" s="10" t="inlineStr">
        <is>
          <t>Micikevicius et al., Mixed Precision Training, arXiv:1710.03740 · FP8 Formats for Deep Learning, arXiv:2209.05433</t>
        </is>
      </c>
      <c r="N2472" s="14" t="inlineStr">
        <is>
          <t>read ↗</t>
        </is>
      </c>
      <c r="O2472" s="11" t="inlineStr">
        <is>
          <t>section reading (2 of 4)</t>
        </is>
      </c>
      <c r="P2472" s="10" t="inlineStr"/>
    </row>
    <row r="2473">
      <c r="A2473" s="19" t="n">
        <v>2472</v>
      </c>
      <c r="B2473" s="19" t="inlineStr">
        <is>
          <t>Part IV - Performance Engineering</t>
        </is>
      </c>
      <c r="C2473" s="20" t="inlineStr">
        <is>
          <t>E.4.8 Numerics and determinism</t>
        </is>
      </c>
      <c r="D2473" s="10" t="inlineStr">
        <is>
          <t>Numerical Stability at Extreme Scale and Low Precisions (ICM 2022</t>
        </is>
      </c>
      <c r="E2473" s="10" t="inlineStr">
        <is>
          <t>Nicholas Higham (Manchester</t>
        </is>
      </c>
      <c r="F2473" s="11" t="inlineStr">
        <is>
          <t>44:30</t>
        </is>
      </c>
      <c r="G2473" s="11" t="n">
        <v>0.74</v>
      </c>
      <c r="H2473" s="12" t="inlineStr">
        <is>
          <t>★</t>
        </is>
      </c>
      <c r="I2473" s="11" t="inlineStr">
        <is>
          <t>Not started</t>
        </is>
      </c>
      <c r="J2473" s="13" t="n"/>
      <c r="K2473" s="10" t="inlineStr"/>
      <c r="L2473" s="14" t="inlineStr">
        <is>
          <t>▶ watch</t>
        </is>
      </c>
      <c r="M2473" s="10" t="inlineStr">
        <is>
          <t>Micikevicius et al., Mixed Precision Training, arXiv:1710.03740 · FP8 Formats for Deep Learning, arXiv:2209.05433</t>
        </is>
      </c>
      <c r="N2473" s="14" t="inlineStr">
        <is>
          <t>read ↗</t>
        </is>
      </c>
      <c r="O2473" s="11" t="inlineStr">
        <is>
          <t>section reading (2 of 4)</t>
        </is>
      </c>
      <c r="P2473" s="10" t="inlineStr"/>
    </row>
    <row r="2474">
      <c r="A2474" s="19" t="n">
        <v>2473</v>
      </c>
      <c r="B2474" s="19" t="inlineStr">
        <is>
          <t>Part IV - Performance Engineering</t>
        </is>
      </c>
      <c r="C2474" s="20" t="inlineStr">
        <is>
          <t>E.4.8 Numerics and determinism</t>
        </is>
      </c>
      <c r="D2474" s="10" t="inlineStr">
        <is>
          <t>The Rise of Multiprecision Computations</t>
        </is>
      </c>
      <c r="E2474" s="10" t="inlineStr">
        <is>
          <t>Nicholas Higham</t>
        </is>
      </c>
      <c r="F2474" s="11" t="inlineStr">
        <is>
          <t>49:52</t>
        </is>
      </c>
      <c r="G2474" s="11" t="n">
        <v>0.83</v>
      </c>
      <c r="H2474" s="12" t="inlineStr"/>
      <c r="I2474" s="11" t="inlineStr">
        <is>
          <t>Not started</t>
        </is>
      </c>
      <c r="J2474" s="13" t="n"/>
      <c r="K2474" s="10" t="inlineStr"/>
      <c r="L2474" s="14" t="inlineStr">
        <is>
          <t>▶ watch</t>
        </is>
      </c>
      <c r="M2474" s="10" t="inlineStr">
        <is>
          <t>Micikevicius et al., Mixed Precision Training, arXiv:1710.03740 · FP8 Formats for Deep Learning, arXiv:2209.05433</t>
        </is>
      </c>
      <c r="N2474" s="14" t="inlineStr">
        <is>
          <t>read ↗</t>
        </is>
      </c>
      <c r="O2474" s="11" t="inlineStr">
        <is>
          <t>section reading (2 of 4)</t>
        </is>
      </c>
      <c r="P2474" s="10" t="inlineStr"/>
    </row>
    <row r="2475">
      <c r="A2475" s="19" t="n">
        <v>2474</v>
      </c>
      <c r="B2475" s="19" t="inlineStr">
        <is>
          <t>Part IV - Performance Engineering</t>
        </is>
      </c>
      <c r="C2475" s="20" t="inlineStr">
        <is>
          <t>E.4.8 Numerics and determinism</t>
        </is>
      </c>
      <c r="D2475" s="10" t="inlineStr">
        <is>
          <t>DGEMM on Integer Tensor Cores (the Ozaki scheme</t>
        </is>
      </c>
      <c r="E2475" s="10" t="inlineStr">
        <is>
          <t>NHR@FAU</t>
        </is>
      </c>
      <c r="F2475" s="11" t="inlineStr">
        <is>
          <t>35:15</t>
        </is>
      </c>
      <c r="G2475" s="11" t="n">
        <v>0.59</v>
      </c>
      <c r="H2475" s="12" t="inlineStr">
        <is>
          <t>★</t>
        </is>
      </c>
      <c r="I2475" s="11" t="inlineStr">
        <is>
          <t>Not started</t>
        </is>
      </c>
      <c r="J2475" s="13" t="n"/>
      <c r="K2475" s="10" t="inlineStr"/>
      <c r="L2475" s="14" t="inlineStr">
        <is>
          <t>▶ watch</t>
        </is>
      </c>
      <c r="M2475" s="10" t="inlineStr">
        <is>
          <t>Micikevicius et al., Mixed Precision Training, arXiv:1710.03740 · FP8 Formats for Deep Learning, arXiv:2209.05433</t>
        </is>
      </c>
      <c r="N2475" s="14" t="inlineStr">
        <is>
          <t>read ↗</t>
        </is>
      </c>
      <c r="O2475" s="11" t="inlineStr">
        <is>
          <t>section reading (2 of 4)</t>
        </is>
      </c>
      <c r="P2475" s="10" t="inlineStr"/>
    </row>
    <row r="2476">
      <c r="A2476" s="19" t="n">
        <v>2475</v>
      </c>
      <c r="B2476" s="19" t="inlineStr">
        <is>
          <t>Part IV - Performance Engineering</t>
        </is>
      </c>
      <c r="C2476" s="20" t="inlineStr">
        <is>
          <t>E.4.8 Numerics and determinism</t>
        </is>
      </c>
      <c r="D2476" s="10" t="inlineStr">
        <is>
          <t>AMP Training in PyTorch</t>
        </is>
      </c>
      <c r="E2476" s="10" t="inlineStr">
        <is>
          <t>NVIDIA</t>
        </is>
      </c>
      <c r="F2476" s="11" t="inlineStr">
        <is>
          <t>19:18</t>
        </is>
      </c>
      <c r="G2476" s="11" t="n">
        <v>0.32</v>
      </c>
      <c r="H2476" s="12" t="inlineStr"/>
      <c r="I2476" s="11" t="inlineStr">
        <is>
          <t>Not started</t>
        </is>
      </c>
      <c r="J2476" s="13" t="n"/>
      <c r="K2476" s="10" t="inlineStr"/>
      <c r="L2476" s="14" t="inlineStr">
        <is>
          <t>▶ watch</t>
        </is>
      </c>
      <c r="M2476" s="10" t="inlineStr">
        <is>
          <t>Micikevicius et al., Mixed Precision Training, arXiv:1710.03740 · FP8 Formats for Deep Learning, arXiv:2209.05433</t>
        </is>
      </c>
      <c r="N2476" s="14" t="inlineStr">
        <is>
          <t>read ↗</t>
        </is>
      </c>
      <c r="O2476" s="11" t="inlineStr">
        <is>
          <t>section reading (2 of 4)</t>
        </is>
      </c>
      <c r="P2476" s="10" t="inlineStr"/>
    </row>
    <row r="2477">
      <c r="A2477" s="19" t="n">
        <v>2476</v>
      </c>
      <c r="B2477" s="19" t="inlineStr">
        <is>
          <t>Part IV - Performance Engineering</t>
        </is>
      </c>
      <c r="C2477" s="20" t="inlineStr">
        <is>
          <t>E.4.9 Multi-GPU and collectives</t>
        </is>
      </c>
      <c r="D2477" s="10" t="inlineStr">
        <is>
          <t>Multi-GPU Programming</t>
        </is>
      </c>
      <c r="E2477" s="10" t="inlineStr"/>
      <c r="F2477" s="11" t="inlineStr">
        <is>
          <t>1:15:23</t>
        </is>
      </c>
      <c r="G2477" s="11" t="n">
        <v>1.26</v>
      </c>
      <c r="H2477" s="12" t="inlineStr">
        <is>
          <t>★</t>
        </is>
      </c>
      <c r="I2477" s="11" t="inlineStr">
        <is>
          <t>Not started</t>
        </is>
      </c>
      <c r="J2477" s="13" t="n"/>
      <c r="K2477" s="10" t="inlineStr"/>
      <c r="L2477" s="14" t="inlineStr">
        <is>
          <t>▶ watch</t>
        </is>
      </c>
      <c r="M2477" s="10" t="inlineStr">
        <is>
          <t>Micikevicius et al., Mixed Precision Training, arXiv:1710.03740 · FP8 Formats for Deep Learning, arXiv:2209.05433</t>
        </is>
      </c>
      <c r="N2477" s="14" t="inlineStr">
        <is>
          <t>read ↗</t>
        </is>
      </c>
      <c r="O2477" s="11" t="inlineStr">
        <is>
          <t>reading for E.4.8 Numerics and determinism</t>
        </is>
      </c>
      <c r="P2477" s="10" t="inlineStr"/>
    </row>
    <row r="2478">
      <c r="A2478" s="19" t="n">
        <v>2477</v>
      </c>
      <c r="B2478" s="19" t="inlineStr">
        <is>
          <t>Part IV - Performance Engineering</t>
        </is>
      </c>
      <c r="C2478" s="20" t="inlineStr">
        <is>
          <t>E.4.9 Multi-GPU and collectives</t>
        </is>
      </c>
      <c r="D2478" s="10" t="inlineStr">
        <is>
          <t>HOTI keynote on accelerator clusters</t>
        </is>
      </c>
      <c r="E2478" s="10" t="inlineStr"/>
      <c r="F2478" s="11" t="inlineStr">
        <is>
          <t>41:06</t>
        </is>
      </c>
      <c r="G2478" s="11" t="n">
        <v>0.6899999999999999</v>
      </c>
      <c r="H2478" s="12" t="inlineStr">
        <is>
          <t>★</t>
        </is>
      </c>
      <c r="I2478" s="11" t="inlineStr">
        <is>
          <t>Not started</t>
        </is>
      </c>
      <c r="J2478" s="13" t="n"/>
      <c r="K2478" s="10" t="inlineStr"/>
      <c r="L2478" s="14" t="inlineStr">
        <is>
          <t>▶ watch</t>
        </is>
      </c>
      <c r="M2478" s="10" t="inlineStr">
        <is>
          <t>Micikevicius et al., Mixed Precision Training, arXiv:1710.03740 · FP8 Formats for Deep Learning, arXiv:2209.05433</t>
        </is>
      </c>
      <c r="N2478" s="14" t="inlineStr">
        <is>
          <t>read ↗</t>
        </is>
      </c>
      <c r="O2478" s="11" t="inlineStr">
        <is>
          <t>reading for E.4.8 Numerics and determinism</t>
        </is>
      </c>
      <c r="P2478" s="10" t="inlineStr"/>
    </row>
    <row r="2479">
      <c r="A2479" s="19" t="n">
        <v>2478</v>
      </c>
      <c r="B2479" s="19" t="inlineStr">
        <is>
          <t>Part IV - Performance Engineering</t>
        </is>
      </c>
      <c r="C2479" s="20" t="inlineStr">
        <is>
          <t>E.5.1 TPU architecture</t>
        </is>
      </c>
      <c r="D2479" s="10" t="inlineStr">
        <is>
          <t>A Domain-Specific TPU Supercomputer for Training Deep Neural Networks</t>
        </is>
      </c>
      <c r="E2479" s="10" t="inlineStr">
        <is>
          <t>Norm Jouppi (Google</t>
        </is>
      </c>
      <c r="F2479" s="11" t="inlineStr">
        <is>
          <t>1:05:02</t>
        </is>
      </c>
      <c r="G2479" s="11" t="n">
        <v>1.08</v>
      </c>
      <c r="H2479" s="12" t="inlineStr">
        <is>
          <t>★</t>
        </is>
      </c>
      <c r="I2479" s="11" t="inlineStr">
        <is>
          <t>Not started</t>
        </is>
      </c>
      <c r="J2479" s="13" t="n"/>
      <c r="K2479" s="10" t="inlineStr"/>
      <c r="L2479" s="14" t="inlineStr">
        <is>
          <t>▶ watch</t>
        </is>
      </c>
      <c r="M2479" s="10" t="inlineStr">
        <is>
          <t>Jouppi et al., In-Datacenter Performance Analysis of a Tensor Processing Unit, ISCA 2017, arXiv:1704.04760 · Jouppi et al., TPU v4: An Optically Reconfigurable Supercomputer with Hardware Support for Embeddings, ISCA 2023, arXiv:2304.01433</t>
        </is>
      </c>
      <c r="N2479" s="14" t="inlineStr">
        <is>
          <t>read ↗</t>
        </is>
      </c>
      <c r="O2479" s="11" t="inlineStr">
        <is>
          <t>section reading</t>
        </is>
      </c>
      <c r="P2479" s="10" t="inlineStr"/>
    </row>
    <row r="2480">
      <c r="A2480" s="19" t="n">
        <v>2479</v>
      </c>
      <c r="B2480" s="19" t="inlineStr">
        <is>
          <t>Part IV - Performance Engineering</t>
        </is>
      </c>
      <c r="C2480" s="20" t="inlineStr">
        <is>
          <t>E.5.1 TPU architecture</t>
        </is>
      </c>
      <c r="D2480" s="10" t="inlineStr">
        <is>
          <t>Evaluation of the Tensor Processing Unit</t>
        </is>
      </c>
      <c r="E2480" s="10" t="inlineStr">
        <is>
          <t>David Patterson (Berkeley/Google</t>
        </is>
      </c>
      <c r="F2480" s="11" t="inlineStr">
        <is>
          <t>56:26</t>
        </is>
      </c>
      <c r="G2480" s="11" t="n">
        <v>0.9399999999999999</v>
      </c>
      <c r="H2480" s="12" t="inlineStr">
        <is>
          <t>★</t>
        </is>
      </c>
      <c r="I2480" s="11" t="inlineStr">
        <is>
          <t>Not started</t>
        </is>
      </c>
      <c r="J2480" s="13" t="n"/>
      <c r="K2480" s="10" t="inlineStr"/>
      <c r="L2480" s="14" t="inlineStr">
        <is>
          <t>▶ watch</t>
        </is>
      </c>
      <c r="M2480" s="10" t="inlineStr">
        <is>
          <t>Jouppi et al., In-Datacenter Performance Analysis of a Tensor Processing Unit, ISCA 2017, arXiv:1704.04760 · Jouppi et al., TPU v4: An Optically Reconfigurable Supercomputer with Hardware Support for Embeddings, ISCA 2023, arXiv:2304.01433</t>
        </is>
      </c>
      <c r="N2480" s="14" t="inlineStr">
        <is>
          <t>read ↗</t>
        </is>
      </c>
      <c r="O2480" s="11" t="inlineStr">
        <is>
          <t>section reading</t>
        </is>
      </c>
      <c r="P2480" s="10" t="inlineStr"/>
    </row>
    <row r="2481">
      <c r="A2481" s="19" t="n">
        <v>2480</v>
      </c>
      <c r="B2481" s="19" t="inlineStr">
        <is>
          <t>Part IV - Performance Engineering</t>
        </is>
      </c>
      <c r="C2481" s="20" t="inlineStr">
        <is>
          <t>E.5.1 TPU architecture</t>
        </is>
      </c>
      <c r="D2481" s="10" t="inlineStr">
        <is>
          <t>Domain Specific Architectures for DNNs: Three Generations of TPUs</t>
        </is>
      </c>
      <c r="E2481" s="10" t="inlineStr">
        <is>
          <t>David Patterson (Allen School</t>
        </is>
      </c>
      <c r="F2481" s="11" t="inlineStr">
        <is>
          <t>1:12:36</t>
        </is>
      </c>
      <c r="G2481" s="11" t="n">
        <v>1.21</v>
      </c>
      <c r="H2481" s="12" t="inlineStr"/>
      <c r="I2481" s="11" t="inlineStr">
        <is>
          <t>Not started</t>
        </is>
      </c>
      <c r="J2481" s="13" t="n"/>
      <c r="K2481" s="10" t="inlineStr"/>
      <c r="L2481" s="14" t="inlineStr">
        <is>
          <t>▶ watch</t>
        </is>
      </c>
      <c r="M2481" s="10" t="inlineStr">
        <is>
          <t>Jouppi et al., In-Datacenter Performance Analysis of a Tensor Processing Unit, ISCA 2017, arXiv:1704.04760 · Jouppi et al., TPU v4: An Optically Reconfigurable Supercomputer with Hardware Support for Embeddings, ISCA 2023, arXiv:2304.01433</t>
        </is>
      </c>
      <c r="N2481" s="14" t="inlineStr">
        <is>
          <t>read ↗</t>
        </is>
      </c>
      <c r="O2481" s="11" t="inlineStr">
        <is>
          <t>section reading</t>
        </is>
      </c>
      <c r="P2481" s="10" t="inlineStr"/>
    </row>
    <row r="2482">
      <c r="A2482" s="19" t="n">
        <v>2481</v>
      </c>
      <c r="B2482" s="19" t="inlineStr">
        <is>
          <t>Part IV - Performance Engineering</t>
        </is>
      </c>
      <c r="C2482" s="20" t="inlineStr">
        <is>
          <t>E.5.1 TPU architecture</t>
        </is>
      </c>
      <c r="D2482" s="10" t="inlineStr">
        <is>
          <t>Computer Architecture Lecture 27: Systolic Arrays</t>
        </is>
      </c>
      <c r="E2482" s="10" t="inlineStr">
        <is>
          <t>Onur Mutlu (ETH Zürich</t>
        </is>
      </c>
      <c r="F2482" s="11" t="inlineStr">
        <is>
          <t>1:04:51</t>
        </is>
      </c>
      <c r="G2482" s="11" t="n">
        <v>1.08</v>
      </c>
      <c r="H2482" s="12" t="inlineStr">
        <is>
          <t>★</t>
        </is>
      </c>
      <c r="I2482" s="11" t="inlineStr">
        <is>
          <t>Not started</t>
        </is>
      </c>
      <c r="J2482" s="13" t="n"/>
      <c r="K2482" s="10" t="inlineStr"/>
      <c r="L2482" s="14" t="inlineStr">
        <is>
          <t>▶ watch</t>
        </is>
      </c>
      <c r="M2482" s="10" t="inlineStr">
        <is>
          <t>Jouppi et al., In-Datacenter Performance Analysis of a Tensor Processing Unit, ISCA 2017, arXiv:1704.04760 · Jouppi et al., TPU v4: An Optically Reconfigurable Supercomputer with Hardware Support for Embeddings, ISCA 2023, arXiv:2304.01433</t>
        </is>
      </c>
      <c r="N2482" s="14" t="inlineStr">
        <is>
          <t>read ↗</t>
        </is>
      </c>
      <c r="O2482" s="11" t="inlineStr">
        <is>
          <t>section reading</t>
        </is>
      </c>
      <c r="P2482" s="10" t="inlineStr"/>
    </row>
    <row r="2483">
      <c r="A2483" s="19" t="n">
        <v>2482</v>
      </c>
      <c r="B2483" s="19" t="inlineStr">
        <is>
          <t>Part IV - Performance Engineering</t>
        </is>
      </c>
      <c r="C2483" s="20" t="inlineStr">
        <is>
          <t>E.5.1 TPU architecture</t>
        </is>
      </c>
      <c r="D2483" s="10" t="inlineStr">
        <is>
          <t>Computer Architecture Lecture 28: VLIW and Systolic Array Architectures</t>
        </is>
      </c>
      <c r="E2483" s="10" t="inlineStr">
        <is>
          <t>Onur Mutlu (ETH Zürich</t>
        </is>
      </c>
      <c r="F2483" s="11" t="inlineStr">
        <is>
          <t>1:26:20</t>
        </is>
      </c>
      <c r="G2483" s="11" t="n">
        <v>1.44</v>
      </c>
      <c r="H2483" s="12" t="inlineStr"/>
      <c r="I2483" s="11" t="inlineStr">
        <is>
          <t>Not started</t>
        </is>
      </c>
      <c r="J2483" s="13" t="n"/>
      <c r="K2483" s="10" t="inlineStr"/>
      <c r="L2483" s="14" t="inlineStr">
        <is>
          <t>▶ watch</t>
        </is>
      </c>
      <c r="M2483" s="10" t="inlineStr">
        <is>
          <t>Jouppi et al., In-Datacenter Performance Analysis of a Tensor Processing Unit, ISCA 2017, arXiv:1704.04760 · Jouppi et al., TPU v4: An Optically Reconfigurable Supercomputer with Hardware Support for Embeddings, ISCA 2023, arXiv:2304.01433</t>
        </is>
      </c>
      <c r="N2483" s="14" t="inlineStr">
        <is>
          <t>read ↗</t>
        </is>
      </c>
      <c r="O2483" s="11" t="inlineStr">
        <is>
          <t>section reading</t>
        </is>
      </c>
      <c r="P2483" s="10" t="inlineStr"/>
    </row>
    <row r="2484">
      <c r="A2484" s="19" t="n">
        <v>2483</v>
      </c>
      <c r="B2484" s="19" t="inlineStr">
        <is>
          <t>Part IV - Performance Engineering</t>
        </is>
      </c>
      <c r="C2484" s="20" t="inlineStr">
        <is>
          <t>E.5.1 TPU architecture</t>
        </is>
      </c>
      <c r="D2484" s="10" t="inlineStr">
        <is>
          <t>Episode 8: Systolic Arrays</t>
        </is>
      </c>
      <c r="E2484" s="10" t="inlineStr">
        <is>
          <t>Happy Hour with Architects</t>
        </is>
      </c>
      <c r="F2484" s="11" t="inlineStr">
        <is>
          <t>56:05</t>
        </is>
      </c>
      <c r="G2484" s="11" t="n">
        <v>0.93</v>
      </c>
      <c r="H2484" s="12" t="inlineStr"/>
      <c r="I2484" s="11" t="inlineStr">
        <is>
          <t>Not started</t>
        </is>
      </c>
      <c r="J2484" s="13" t="n"/>
      <c r="K2484" s="10" t="inlineStr"/>
      <c r="L2484" s="14" t="inlineStr">
        <is>
          <t>▶ watch</t>
        </is>
      </c>
      <c r="M2484" s="10" t="inlineStr">
        <is>
          <t>Jouppi et al., In-Datacenter Performance Analysis of a Tensor Processing Unit, ISCA 2017, arXiv:1704.04760 · Jouppi et al., TPU v4: An Optically Reconfigurable Supercomputer with Hardware Support for Embeddings, ISCA 2023, arXiv:2304.01433</t>
        </is>
      </c>
      <c r="N2484" s="14" t="inlineStr">
        <is>
          <t>read ↗</t>
        </is>
      </c>
      <c r="O2484" s="11" t="inlineStr">
        <is>
          <t>section reading</t>
        </is>
      </c>
      <c r="P2484" s="10" t="inlineStr"/>
    </row>
    <row r="2485">
      <c r="A2485" s="19" t="n">
        <v>2484</v>
      </c>
      <c r="B2485" s="19" t="inlineStr">
        <is>
          <t>Part IV - Performance Engineering</t>
        </is>
      </c>
      <c r="C2485" s="20" t="inlineStr">
        <is>
          <t>E.5.1 TPU architecture</t>
        </is>
      </c>
      <c r="D2485" s="10" t="inlineStr">
        <is>
          <t>TPU v4 and Trends in Accelerator Hardware</t>
        </is>
      </c>
      <c r="E2485" s="10" t="inlineStr">
        <is>
          <t>Mike Hutton (Google</t>
        </is>
      </c>
      <c r="F2485" s="11" t="inlineStr">
        <is>
          <t>45:46</t>
        </is>
      </c>
      <c r="G2485" s="11" t="n">
        <v>0.76</v>
      </c>
      <c r="H2485" s="12" t="inlineStr">
        <is>
          <t>★</t>
        </is>
      </c>
      <c r="I2485" s="11" t="inlineStr">
        <is>
          <t>Not started</t>
        </is>
      </c>
      <c r="J2485" s="13" t="n"/>
      <c r="K2485" s="10" t="inlineStr"/>
      <c r="L2485" s="14" t="inlineStr">
        <is>
          <t>▶ watch</t>
        </is>
      </c>
      <c r="M2485" s="10" t="inlineStr">
        <is>
          <t>Jouppi et al., In-Datacenter Performance Analysis of a Tensor Processing Unit, ISCA 2017, arXiv:1704.04760 · Jouppi et al., TPU v4: An Optically Reconfigurable Supercomputer with Hardware Support for Embeddings, ISCA 2023, arXiv:2304.01433</t>
        </is>
      </c>
      <c r="N2485" s="14" t="inlineStr">
        <is>
          <t>read ↗</t>
        </is>
      </c>
      <c r="O2485" s="11" t="inlineStr">
        <is>
          <t>section reading</t>
        </is>
      </c>
      <c r="P2485" s="10" t="inlineStr"/>
    </row>
    <row r="2486">
      <c r="A2486" s="19" t="n">
        <v>2485</v>
      </c>
      <c r="B2486" s="19" t="inlineStr">
        <is>
          <t>Part IV - Performance Engineering</t>
        </is>
      </c>
      <c r="C2486" s="20" t="inlineStr">
        <is>
          <t>E.5.1 TPU architecture</t>
        </is>
      </c>
      <c r="D2486" s="10" t="inlineStr">
        <is>
          <t>Seminar in Computer Architecture: TPUv4i and Mensa</t>
        </is>
      </c>
      <c r="E2486" s="10" t="inlineStr">
        <is>
          <t>Mutlu group (ETH</t>
        </is>
      </c>
      <c r="F2486" s="11" t="inlineStr">
        <is>
          <t>1:55:13</t>
        </is>
      </c>
      <c r="G2486" s="11" t="n">
        <v>1.92</v>
      </c>
      <c r="H2486" s="12" t="inlineStr"/>
      <c r="I2486" s="11" t="inlineStr">
        <is>
          <t>Not started</t>
        </is>
      </c>
      <c r="J2486" s="13" t="n"/>
      <c r="K2486" s="10" t="inlineStr"/>
      <c r="L2486" s="14" t="inlineStr">
        <is>
          <t>▶ watch</t>
        </is>
      </c>
      <c r="M2486" s="10" t="inlineStr">
        <is>
          <t>Jouppi et al., In-Datacenter Performance Analysis of a Tensor Processing Unit, ISCA 2017, arXiv:1704.04760 · Jouppi et al., TPU v4: An Optically Reconfigurable Supercomputer with Hardware Support for Embeddings, ISCA 2023, arXiv:2304.01433</t>
        </is>
      </c>
      <c r="N2486" s="14" t="inlineStr">
        <is>
          <t>read ↗</t>
        </is>
      </c>
      <c r="O2486" s="11" t="inlineStr">
        <is>
          <t>section reading</t>
        </is>
      </c>
      <c r="P2486" s="10" t="inlineStr"/>
    </row>
    <row r="2487">
      <c r="A2487" s="19" t="n">
        <v>2486</v>
      </c>
      <c r="B2487" s="19" t="inlineStr">
        <is>
          <t>Part IV - Performance Engineering</t>
        </is>
      </c>
      <c r="C2487" s="20" t="inlineStr">
        <is>
          <t>E.5.1 TPU architecture</t>
        </is>
      </c>
      <c r="D2487" s="10" t="inlineStr">
        <is>
          <t>ML and the Implications for Computer System Design (Hot Chips keynote</t>
        </is>
      </c>
      <c r="E2487" s="10" t="inlineStr">
        <is>
          <t>Jeff Dean (Google</t>
        </is>
      </c>
      <c r="F2487" s="11" t="inlineStr">
        <is>
          <t>58:58</t>
        </is>
      </c>
      <c r="G2487" s="11" t="n">
        <v>0.98</v>
      </c>
      <c r="H2487" s="12" t="inlineStr">
        <is>
          <t>★</t>
        </is>
      </c>
      <c r="I2487" s="11" t="inlineStr">
        <is>
          <t>Not started</t>
        </is>
      </c>
      <c r="J2487" s="13" t="n"/>
      <c r="K2487" s="10" t="inlineStr"/>
      <c r="L2487" s="14" t="inlineStr">
        <is>
          <t>▶ watch</t>
        </is>
      </c>
      <c r="M2487" s="10" t="inlineStr">
        <is>
          <t>Jouppi et al., In-Datacenter Performance Analysis of a Tensor Processing Unit, ISCA 2017, arXiv:1704.04760 · Jouppi et al., TPU v4: An Optically Reconfigurable Supercomputer with Hardware Support for Embeddings, ISCA 2023, arXiv:2304.01433</t>
        </is>
      </c>
      <c r="N2487" s="14" t="inlineStr">
        <is>
          <t>read ↗</t>
        </is>
      </c>
      <c r="O2487" s="11" t="inlineStr">
        <is>
          <t>section reading</t>
        </is>
      </c>
      <c r="P2487" s="10" t="inlineStr"/>
    </row>
    <row r="2488">
      <c r="A2488" s="19" t="n">
        <v>2487</v>
      </c>
      <c r="B2488" s="19" t="inlineStr">
        <is>
          <t>Part IV - Performance Engineering</t>
        </is>
      </c>
      <c r="C2488" s="20" t="inlineStr">
        <is>
          <t>E.5.1 TPU architecture</t>
        </is>
      </c>
      <c r="D2488" s="10" t="inlineStr">
        <is>
          <t>Exciting Directions for ML Models and the Implications for Computing Hardware</t>
        </is>
      </c>
      <c r="E2488" s="10" t="inlineStr">
        <is>
          <t>Jeff Dean + Amin Vahdat</t>
        </is>
      </c>
      <c r="F2488" s="11" t="inlineStr">
        <is>
          <t>1:03:59</t>
        </is>
      </c>
      <c r="G2488" s="11" t="n">
        <v>1.07</v>
      </c>
      <c r="H2488" s="12" t="inlineStr"/>
      <c r="I2488" s="11" t="inlineStr">
        <is>
          <t>Not started</t>
        </is>
      </c>
      <c r="J2488" s="13" t="n"/>
      <c r="K2488" s="10" t="inlineStr"/>
      <c r="L2488" s="14" t="inlineStr">
        <is>
          <t>▶ watch</t>
        </is>
      </c>
      <c r="M2488" s="10" t="inlineStr">
        <is>
          <t>Jouppi et al., In-Datacenter Performance Analysis of a Tensor Processing Unit, ISCA 2017, arXiv:1704.04760 · Jouppi et al., TPU v4: An Optically Reconfigurable Supercomputer with Hardware Support for Embeddings, ISCA 2023, arXiv:2304.01433</t>
        </is>
      </c>
      <c r="N2488" s="14" t="inlineStr">
        <is>
          <t>read ↗</t>
        </is>
      </c>
      <c r="O2488" s="11" t="inlineStr">
        <is>
          <t>section reading</t>
        </is>
      </c>
      <c r="P2488" s="10" t="inlineStr"/>
    </row>
    <row r="2489">
      <c r="A2489" s="19" t="n">
        <v>2488</v>
      </c>
      <c r="B2489" s="19" t="inlineStr">
        <is>
          <t>Part IV - Performance Engineering</t>
        </is>
      </c>
      <c r="C2489" s="20" t="inlineStr">
        <is>
          <t>E.5.1 TPU architecture</t>
        </is>
      </c>
      <c r="D2489" s="10" t="inlineStr">
        <is>
          <t>TPU SparseCore: Hardware and Software</t>
        </is>
      </c>
      <c r="E2489" s="10" t="inlineStr">
        <is>
          <t>OpenXLA / Google</t>
        </is>
      </c>
      <c r="F2489" s="11" t="inlineStr">
        <is>
          <t>22:56</t>
        </is>
      </c>
      <c r="G2489" s="11" t="n">
        <v>0.38</v>
      </c>
      <c r="H2489" s="12" t="inlineStr"/>
      <c r="I2489" s="11" t="inlineStr">
        <is>
          <t>Not started</t>
        </is>
      </c>
      <c r="J2489" s="13" t="n"/>
      <c r="K2489" s="10" t="inlineStr"/>
      <c r="L2489" s="14" t="inlineStr">
        <is>
          <t>▶ watch</t>
        </is>
      </c>
      <c r="M2489" s="10" t="inlineStr">
        <is>
          <t>Jouppi et al., In-Datacenter Performance Analysis of a Tensor Processing Unit, ISCA 2017, arXiv:1704.04760 · Jouppi et al., TPU v4: An Optically Reconfigurable Supercomputer with Hardware Support for Embeddings, ISCA 2023, arXiv:2304.01433</t>
        </is>
      </c>
      <c r="N2489" s="14" t="inlineStr">
        <is>
          <t>read ↗</t>
        </is>
      </c>
      <c r="O2489" s="11" t="inlineStr">
        <is>
          <t>section reading</t>
        </is>
      </c>
      <c r="P2489" s="10" t="inlineStr"/>
    </row>
    <row r="2490">
      <c r="A2490" s="19" t="n">
        <v>2489</v>
      </c>
      <c r="B2490" s="19" t="inlineStr">
        <is>
          <t>Part IV - Performance Engineering</t>
        </is>
      </c>
      <c r="C2490" s="20" t="inlineStr">
        <is>
          <t>E.5.1 TPU architecture</t>
        </is>
      </c>
      <c r="D2490" s="10" t="inlineStr">
        <is>
          <t>Architecting TPU 8t and TPU 8i for frontier AI</t>
        </is>
      </c>
      <c r="E2490" s="10" t="inlineStr">
        <is>
          <t>Google Cloud Next '26</t>
        </is>
      </c>
      <c r="F2490" s="11" t="inlineStr">
        <is>
          <t>43:11</t>
        </is>
      </c>
      <c r="G2490" s="11" t="n">
        <v>0.72</v>
      </c>
      <c r="H2490" s="12" t="inlineStr"/>
      <c r="I2490" s="11" t="inlineStr">
        <is>
          <t>Not started</t>
        </is>
      </c>
      <c r="J2490" s="13" t="n"/>
      <c r="K2490" s="10" t="inlineStr"/>
      <c r="L2490" s="14" t="inlineStr">
        <is>
          <t>▶ watch</t>
        </is>
      </c>
      <c r="M2490" s="10" t="inlineStr">
        <is>
          <t>Jouppi et al., In-Datacenter Performance Analysis of a Tensor Processing Unit, ISCA 2017, arXiv:1704.04760 · Jouppi et al., TPU v4: An Optically Reconfigurable Supercomputer with Hardware Support for Embeddings, ISCA 2023, arXiv:2304.01433</t>
        </is>
      </c>
      <c r="N2490" s="14" t="inlineStr">
        <is>
          <t>read ↗</t>
        </is>
      </c>
      <c r="O2490" s="11" t="inlineStr">
        <is>
          <t>section reading</t>
        </is>
      </c>
      <c r="P2490" s="10" t="inlineStr"/>
    </row>
    <row r="2491">
      <c r="A2491" s="19" t="n">
        <v>2490</v>
      </c>
      <c r="B2491" s="19" t="inlineStr">
        <is>
          <t>Part IV - Performance Engineering</t>
        </is>
      </c>
      <c r="C2491" s="20" t="inlineStr">
        <is>
          <t>E.5.2 XLA, MLIR and the compiler layer</t>
        </is>
      </c>
      <c r="D2491" s="10" t="inlineStr">
        <is>
          <t>XLA Crash Course</t>
        </is>
      </c>
      <c r="E2491" s="10" t="inlineStr">
        <is>
          <t>OpenXLA / Google</t>
        </is>
      </c>
      <c r="F2491" s="11" t="inlineStr">
        <is>
          <t>31:08</t>
        </is>
      </c>
      <c r="G2491" s="11" t="n">
        <v>0.52</v>
      </c>
      <c r="H2491" s="12" t="inlineStr">
        <is>
          <t>★</t>
        </is>
      </c>
      <c r="I2491" s="11" t="inlineStr">
        <is>
          <t>Not started</t>
        </is>
      </c>
      <c r="J2491" s="13" t="n"/>
      <c r="K2491" s="10" t="inlineStr"/>
      <c r="L2491" s="14" t="inlineStr">
        <is>
          <t>▶ watch</t>
        </is>
      </c>
      <c r="M2491" s="10" t="inlineStr">
        <is>
          <t>Chen et al., TVM, OSDI 2018, arXiv:1802.04799 · Lattner et al., MLIR, CGO 2021, arXiv:2002.11054</t>
        </is>
      </c>
      <c r="N2491" s="14" t="inlineStr">
        <is>
          <t>read ↗</t>
        </is>
      </c>
      <c r="O2491" s="11" t="inlineStr">
        <is>
          <t>section reading (2 of 4)</t>
        </is>
      </c>
      <c r="P2491" s="10" t="inlineStr"/>
    </row>
    <row r="2492">
      <c r="A2492" s="19" t="n">
        <v>2491</v>
      </c>
      <c r="B2492" s="19" t="inlineStr">
        <is>
          <t>Part IV - Performance Engineering</t>
        </is>
      </c>
      <c r="C2492" s="20" t="inlineStr">
        <is>
          <t>E.5.2 XLA, MLIR and the compiler layer</t>
        </is>
      </c>
      <c r="D2492" s="10" t="inlineStr">
        <is>
          <t>XLA Architecture (DevLab 2025</t>
        </is>
      </c>
      <c r="E2492" s="10" t="inlineStr">
        <is>
          <t>OpenXLA / Google</t>
        </is>
      </c>
      <c r="F2492" s="11" t="inlineStr">
        <is>
          <t>1:00:32</t>
        </is>
      </c>
      <c r="G2492" s="11" t="n">
        <v>1.01</v>
      </c>
      <c r="H2492" s="12" t="inlineStr">
        <is>
          <t>★</t>
        </is>
      </c>
      <c r="I2492" s="11" t="inlineStr">
        <is>
          <t>Not started</t>
        </is>
      </c>
      <c r="J2492" s="13" t="n"/>
      <c r="K2492" s="10" t="inlineStr"/>
      <c r="L2492" s="14" t="inlineStr">
        <is>
          <t>▶ watch</t>
        </is>
      </c>
      <c r="M2492" s="10" t="inlineStr">
        <is>
          <t>Chen et al., TVM, OSDI 2018, arXiv:1802.04799 · Lattner et al., MLIR, CGO 2021, arXiv:2002.11054</t>
        </is>
      </c>
      <c r="N2492" s="14" t="inlineStr">
        <is>
          <t>read ↗</t>
        </is>
      </c>
      <c r="O2492" s="11" t="inlineStr">
        <is>
          <t>section reading (2 of 4)</t>
        </is>
      </c>
      <c r="P2492" s="10" t="inlineStr"/>
    </row>
    <row r="2493">
      <c r="A2493" s="19" t="n">
        <v>2492</v>
      </c>
      <c r="B2493" s="19" t="inlineStr">
        <is>
          <t>Part IV - Performance Engineering</t>
        </is>
      </c>
      <c r="C2493" s="20" t="inlineStr">
        <is>
          <t>E.5.2 XLA, MLIR and the compiler layer</t>
        </is>
      </c>
      <c r="D2493" s="10" t="inlineStr">
        <is>
          <t>Operator Fusion (DevLab 2025</t>
        </is>
      </c>
      <c r="E2493" s="10" t="inlineStr">
        <is>
          <t>OpenXLA / Google</t>
        </is>
      </c>
      <c r="F2493" s="11" t="inlineStr">
        <is>
          <t>51:46</t>
        </is>
      </c>
      <c r="G2493" s="11" t="n">
        <v>0.86</v>
      </c>
      <c r="H2493" s="12" t="inlineStr">
        <is>
          <t>★</t>
        </is>
      </c>
      <c r="I2493" s="11" t="inlineStr">
        <is>
          <t>Not started</t>
        </is>
      </c>
      <c r="J2493" s="13" t="n"/>
      <c r="K2493" s="10" t="inlineStr"/>
      <c r="L2493" s="14" t="inlineStr">
        <is>
          <t>▶ watch</t>
        </is>
      </c>
      <c r="M2493" s="10" t="inlineStr">
        <is>
          <t>Chen et al., TVM, OSDI 2018, arXiv:1802.04799 · Lattner et al., MLIR, CGO 2021, arXiv:2002.11054</t>
        </is>
      </c>
      <c r="N2493" s="14" t="inlineStr">
        <is>
          <t>read ↗</t>
        </is>
      </c>
      <c r="O2493" s="11" t="inlineStr">
        <is>
          <t>section reading (2 of 4)</t>
        </is>
      </c>
      <c r="P2493" s="10" t="inlineStr"/>
    </row>
    <row r="2494">
      <c r="A2494" s="19" t="n">
        <v>2493</v>
      </c>
      <c r="B2494" s="19" t="inlineStr">
        <is>
          <t>Part IV - Performance Engineering</t>
        </is>
      </c>
      <c r="C2494" s="20" t="inlineStr">
        <is>
          <t>E.5.2 XLA, MLIR and the compiler layer</t>
        </is>
      </c>
      <c r="D2494" s="10" t="inlineStr">
        <is>
          <t>XLA GPU MLIR Codegen</t>
        </is>
      </c>
      <c r="E2494" s="10" t="inlineStr">
        <is>
          <t>OpenXLA / Google</t>
        </is>
      </c>
      <c r="F2494" s="11" t="inlineStr">
        <is>
          <t>1:03:16</t>
        </is>
      </c>
      <c r="G2494" s="11" t="n">
        <v>1.05</v>
      </c>
      <c r="H2494" s="12" t="inlineStr"/>
      <c r="I2494" s="11" t="inlineStr">
        <is>
          <t>Not started</t>
        </is>
      </c>
      <c r="J2494" s="13" t="n"/>
      <c r="K2494" s="10" t="inlineStr"/>
      <c r="L2494" s="14" t="inlineStr">
        <is>
          <t>▶ watch</t>
        </is>
      </c>
      <c r="M2494" s="10" t="inlineStr">
        <is>
          <t>Lattner et al., MLIR, CGO 2021, arXiv:2002.11054</t>
        </is>
      </c>
      <c r="N2494" s="14" t="inlineStr">
        <is>
          <t>read ↗</t>
        </is>
      </c>
      <c r="O2494" s="11" t="inlineStr">
        <is>
          <t>names MLIR</t>
        </is>
      </c>
      <c r="P2494" s="10" t="inlineStr"/>
    </row>
    <row r="2495">
      <c r="A2495" s="19" t="n">
        <v>2494</v>
      </c>
      <c r="B2495" s="19" t="inlineStr">
        <is>
          <t>Part IV - Performance Engineering</t>
        </is>
      </c>
      <c r="C2495" s="20" t="inlineStr">
        <is>
          <t>E.5.2 XLA, MLIR and the compiler layer</t>
        </is>
      </c>
      <c r="D2495" s="10" t="inlineStr">
        <is>
          <t>StableHLO and PJRT</t>
        </is>
      </c>
      <c r="E2495" s="10" t="inlineStr">
        <is>
          <t>OpenXLA Dev Summit</t>
        </is>
      </c>
      <c r="F2495" s="11" t="inlineStr">
        <is>
          <t>1:06:47</t>
        </is>
      </c>
      <c r="G2495" s="11" t="n">
        <v>1.11</v>
      </c>
      <c r="H2495" s="12" t="inlineStr"/>
      <c r="I2495" s="11" t="inlineStr">
        <is>
          <t>Not started</t>
        </is>
      </c>
      <c r="J2495" s="13" t="n"/>
      <c r="K2495" s="10" t="inlineStr"/>
      <c r="L2495" s="14" t="inlineStr">
        <is>
          <t>▶ watch</t>
        </is>
      </c>
      <c r="M2495" s="10" t="inlineStr">
        <is>
          <t>Chen et al., TVM, OSDI 2018, arXiv:1802.04799 · Lattner et al., MLIR, CGO 2021, arXiv:2002.11054</t>
        </is>
      </c>
      <c r="N2495" s="14" t="inlineStr">
        <is>
          <t>read ↗</t>
        </is>
      </c>
      <c r="O2495" s="11" t="inlineStr">
        <is>
          <t>section reading (2 of 4)</t>
        </is>
      </c>
      <c r="P2495" s="10" t="inlineStr"/>
    </row>
    <row r="2496">
      <c r="A2496" s="19" t="n">
        <v>2495</v>
      </c>
      <c r="B2496" s="19" t="inlineStr">
        <is>
          <t>Part IV - Performance Engineering</t>
        </is>
      </c>
      <c r="C2496" s="20" t="inlineStr">
        <is>
          <t>E.5.2 XLA, MLIR and the compiler layer</t>
        </is>
      </c>
      <c r="D2496" s="10" t="inlineStr">
        <is>
          <t>MLIR: Multi-Level Intermediate Representation</t>
        </is>
      </c>
      <c r="E2496" s="10" t="inlineStr">
        <is>
          <t>Shpeisman + Chris Lattner</t>
        </is>
      </c>
      <c r="F2496" s="11" t="inlineStr">
        <is>
          <t>40:22</t>
        </is>
      </c>
      <c r="G2496" s="11" t="n">
        <v>0.67</v>
      </c>
      <c r="H2496" s="12" t="inlineStr">
        <is>
          <t>★</t>
        </is>
      </c>
      <c r="I2496" s="11" t="inlineStr">
        <is>
          <t>Not started</t>
        </is>
      </c>
      <c r="J2496" s="13" t="n"/>
      <c r="K2496" s="10" t="inlineStr"/>
      <c r="L2496" s="14" t="inlineStr">
        <is>
          <t>▶ watch</t>
        </is>
      </c>
      <c r="M2496" s="10" t="inlineStr">
        <is>
          <t>Lattner et al., MLIR, CGO 2021, arXiv:2002.11054</t>
        </is>
      </c>
      <c r="N2496" s="14" t="inlineStr">
        <is>
          <t>read ↗</t>
        </is>
      </c>
      <c r="O2496" s="11" t="inlineStr">
        <is>
          <t>names MLIR</t>
        </is>
      </c>
      <c r="P2496" s="10" t="inlineStr"/>
    </row>
    <row r="2497">
      <c r="A2497" s="19" t="n">
        <v>2496</v>
      </c>
      <c r="B2497" s="19" t="inlineStr">
        <is>
          <t>Part IV - Performance Engineering</t>
        </is>
      </c>
      <c r="C2497" s="20" t="inlineStr">
        <is>
          <t>E.5.2 XLA, MLIR and the compiler layer</t>
        </is>
      </c>
      <c r="D2497" s="10" t="inlineStr">
        <is>
          <t>MLIR Tutorial (LLVM Dev Meeting</t>
        </is>
      </c>
      <c r="E2497" s="10" t="inlineStr">
        <is>
          <t>Amini + Riddle (Google</t>
        </is>
      </c>
      <c r="F2497" s="11" t="inlineStr">
        <is>
          <t>1:15:09</t>
        </is>
      </c>
      <c r="G2497" s="11" t="n">
        <v>1.25</v>
      </c>
      <c r="H2497" s="12" t="inlineStr">
        <is>
          <t>★</t>
        </is>
      </c>
      <c r="I2497" s="11" t="inlineStr">
        <is>
          <t>Not started</t>
        </is>
      </c>
      <c r="J2497" s="13" t="n"/>
      <c r="K2497" s="10" t="inlineStr"/>
      <c r="L2497" s="14" t="inlineStr">
        <is>
          <t>▶ watch</t>
        </is>
      </c>
      <c r="M2497" s="10" t="inlineStr">
        <is>
          <t>Lattner et al., MLIR, CGO 2021, arXiv:2002.11054</t>
        </is>
      </c>
      <c r="N2497" s="14" t="inlineStr">
        <is>
          <t>read ↗</t>
        </is>
      </c>
      <c r="O2497" s="11" t="inlineStr">
        <is>
          <t>names MLIR</t>
        </is>
      </c>
      <c r="P2497" s="10" t="inlineStr"/>
    </row>
    <row r="2498">
      <c r="A2498" s="19" t="n">
        <v>2497</v>
      </c>
      <c r="B2498" s="19" t="inlineStr">
        <is>
          <t>Part IV - Performance Engineering</t>
        </is>
      </c>
      <c r="C2498" s="20" t="inlineStr">
        <is>
          <t>E.5.2 XLA, MLIR and the compiler layer</t>
        </is>
      </c>
      <c r="D2498" s="10" t="inlineStr">
        <is>
          <t>The Golden Age of Compiler Design in an Era of HW/SW Co-design</t>
        </is>
      </c>
      <c r="E2498" s="10" t="inlineStr">
        <is>
          <t>Chris Lattner (ASPLOS keynote</t>
        </is>
      </c>
      <c r="F2498" s="11" t="inlineStr">
        <is>
          <t>52:21</t>
        </is>
      </c>
      <c r="G2498" s="11" t="n">
        <v>0.87</v>
      </c>
      <c r="H2498" s="12" t="inlineStr"/>
      <c r="I2498" s="11" t="inlineStr">
        <is>
          <t>Not started</t>
        </is>
      </c>
      <c r="J2498" s="13" t="n"/>
      <c r="K2498" s="10" t="inlineStr"/>
      <c r="L2498" s="14" t="inlineStr">
        <is>
          <t>▶ watch</t>
        </is>
      </c>
      <c r="M2498" s="10" t="inlineStr">
        <is>
          <t>Chen et al., TVM, OSDI 2018, arXiv:1802.04799 · Lattner et al., MLIR, CGO 2021, arXiv:2002.11054</t>
        </is>
      </c>
      <c r="N2498" s="14" t="inlineStr">
        <is>
          <t>read ↗</t>
        </is>
      </c>
      <c r="O2498" s="11" t="inlineStr">
        <is>
          <t>section reading (2 of 4)</t>
        </is>
      </c>
      <c r="P2498" s="10" t="inlineStr"/>
    </row>
    <row r="2499">
      <c r="A2499" s="19" t="n">
        <v>2498</v>
      </c>
      <c r="B2499" s="19" t="inlineStr">
        <is>
          <t>Part IV - Performance Engineering</t>
        </is>
      </c>
      <c r="C2499" s="20" t="inlineStr">
        <is>
          <t>E.5.2 XLA, MLIR and the compiler layer</t>
        </is>
      </c>
      <c r="D2499" s="10" t="inlineStr">
        <is>
          <t>TVM: An End to End Deep Learning Compiler Stack</t>
        </is>
      </c>
      <c r="E2499" s="10" t="inlineStr">
        <is>
          <t>Tianqi Chen</t>
        </is>
      </c>
      <c r="F2499" s="11" t="inlineStr">
        <is>
          <t>28:16</t>
        </is>
      </c>
      <c r="G2499" s="11" t="n">
        <v>0.47</v>
      </c>
      <c r="H2499" s="12" t="inlineStr">
        <is>
          <t>★</t>
        </is>
      </c>
      <c r="I2499" s="11" t="inlineStr">
        <is>
          <t>Not started</t>
        </is>
      </c>
      <c r="J2499" s="13" t="n"/>
      <c r="K2499" s="10" t="inlineStr"/>
      <c r="L2499" s="14" t="inlineStr">
        <is>
          <t>▶ watch</t>
        </is>
      </c>
      <c r="M2499" s="10" t="inlineStr">
        <is>
          <t>Chen et al., TVM, OSDI 2018, arXiv:1802.04799</t>
        </is>
      </c>
      <c r="N2499" s="14" t="inlineStr">
        <is>
          <t>read ↗</t>
        </is>
      </c>
      <c r="O2499" s="11" t="inlineStr">
        <is>
          <t>names TVM</t>
        </is>
      </c>
      <c r="P2499" s="10" t="inlineStr"/>
    </row>
    <row r="2500">
      <c r="A2500" s="19" t="n">
        <v>2499</v>
      </c>
      <c r="B2500" s="19" t="inlineStr">
        <is>
          <t>Part IV - Performance Engineering</t>
        </is>
      </c>
      <c r="C2500" s="20" t="inlineStr">
        <is>
          <t>E.5.2 XLA, MLIR and the compiler layer</t>
        </is>
      </c>
      <c r="D2500" s="10" t="inlineStr">
        <is>
          <t>TVM Tutorial: AutoTVM</t>
        </is>
      </c>
      <c r="E2500" s="10" t="inlineStr">
        <is>
          <t>Eddie Yan (UW SAMPL</t>
        </is>
      </c>
      <c r="F2500" s="11" t="inlineStr">
        <is>
          <t>31:20</t>
        </is>
      </c>
      <c r="G2500" s="11" t="n">
        <v>0.52</v>
      </c>
      <c r="H2500" s="12" t="inlineStr"/>
      <c r="I2500" s="11" t="inlineStr">
        <is>
          <t>Not started</t>
        </is>
      </c>
      <c r="J2500" s="13" t="n"/>
      <c r="K2500" s="10" t="inlineStr"/>
      <c r="L2500" s="14" t="inlineStr">
        <is>
          <t>▶ watch</t>
        </is>
      </c>
      <c r="M2500" s="10" t="inlineStr">
        <is>
          <t>Chen et al., TVM, OSDI 2018, arXiv:1802.04799</t>
        </is>
      </c>
      <c r="N2500" s="14" t="inlineStr">
        <is>
          <t>read ↗</t>
        </is>
      </c>
      <c r="O2500" s="11" t="inlineStr">
        <is>
          <t>names TVM</t>
        </is>
      </c>
      <c r="P2500" s="10" t="inlineStr"/>
    </row>
    <row r="2501">
      <c r="A2501" s="19" t="n">
        <v>2500</v>
      </c>
      <c r="B2501" s="19" t="inlineStr">
        <is>
          <t>Part IV - Performance Engineering</t>
        </is>
      </c>
      <c r="C2501" s="20" t="inlineStr">
        <is>
          <t>E.5.2 XLA, MLIR and the compiler layer</t>
        </is>
      </c>
      <c r="D2501" s="10" t="inlineStr">
        <is>
          <t>Making a blur faster in Halide</t>
        </is>
      </c>
      <c r="E2501" s="10" t="inlineStr">
        <is>
          <t>Andrew Adams (Adobe</t>
        </is>
      </c>
      <c r="F2501" s="11" t="inlineStr">
        <is>
          <t>41:17</t>
        </is>
      </c>
      <c r="G2501" s="11" t="n">
        <v>0.6899999999999999</v>
      </c>
      <c r="H2501" s="12" t="inlineStr">
        <is>
          <t>★</t>
        </is>
      </c>
      <c r="I2501" s="11" t="inlineStr">
        <is>
          <t>Not started</t>
        </is>
      </c>
      <c r="J2501" s="13" t="n"/>
      <c r="K2501" s="10" t="inlineStr"/>
      <c r="L2501" s="14" t="inlineStr">
        <is>
          <t>▶ watch</t>
        </is>
      </c>
      <c r="M2501" s="10" t="inlineStr">
        <is>
          <t>Ragan-Kelley et al., PLDI 2013</t>
        </is>
      </c>
      <c r="N2501" s="14" t="inlineStr">
        <is>
          <t>read ↗</t>
        </is>
      </c>
      <c r="O2501" s="11" t="inlineStr">
        <is>
          <t>paired reading</t>
        </is>
      </c>
      <c r="P2501" s="10" t="inlineStr"/>
    </row>
    <row r="2502">
      <c r="A2502" s="19" t="n">
        <v>2501</v>
      </c>
      <c r="B2502" s="19" t="inlineStr">
        <is>
          <t>Part IV - Performance Engineering</t>
        </is>
      </c>
      <c r="C2502" s="20" t="inlineStr">
        <is>
          <t>E.5.2 XLA, MLIR and the compiler layer</t>
        </is>
      </c>
      <c r="D2502" s="10" t="inlineStr">
        <is>
          <t>ML for ML Compilers (Stanford MLSys #80</t>
        </is>
      </c>
      <c r="E2502" s="10" t="inlineStr">
        <is>
          <t>Mangpo Phothilimthana (DeepMind</t>
        </is>
      </c>
      <c r="F2502" s="11" t="inlineStr">
        <is>
          <t>58:06</t>
        </is>
      </c>
      <c r="G2502" s="11" t="n">
        <v>0.97</v>
      </c>
      <c r="H2502" s="12" t="inlineStr">
        <is>
          <t>★</t>
        </is>
      </c>
      <c r="I2502" s="11" t="inlineStr">
        <is>
          <t>Not started</t>
        </is>
      </c>
      <c r="J2502" s="13" t="n"/>
      <c r="K2502" s="10" t="inlineStr"/>
      <c r="L2502" s="14" t="inlineStr">
        <is>
          <t>▶ watch</t>
        </is>
      </c>
      <c r="M2502" s="10" t="inlineStr">
        <is>
          <t>Chen et al., TVM, OSDI 2018, arXiv:1802.04799 · Lattner et al., MLIR, CGO 2021, arXiv:2002.11054</t>
        </is>
      </c>
      <c r="N2502" s="14" t="inlineStr">
        <is>
          <t>read ↗</t>
        </is>
      </c>
      <c r="O2502" s="11" t="inlineStr">
        <is>
          <t>section reading (2 of 4)</t>
        </is>
      </c>
      <c r="P2502" s="10" t="inlineStr"/>
    </row>
    <row r="2503">
      <c r="A2503" s="19" t="n">
        <v>2502</v>
      </c>
      <c r="B2503" s="19" t="inlineStr">
        <is>
          <t>Part IV - Performance Engineering</t>
        </is>
      </c>
      <c r="C2503" s="20" t="inlineStr">
        <is>
          <t>E.5.2 XLA, MLIR and the compiler layer</t>
        </is>
      </c>
      <c r="D2503" s="10" t="inlineStr">
        <is>
          <t>(see curriculum section)</t>
        </is>
      </c>
      <c r="E2503" s="10" t="inlineStr"/>
      <c r="F2503" s="11" t="inlineStr"/>
      <c r="G2503" s="11" t="n">
        <v>0</v>
      </c>
      <c r="H2503" s="12" t="inlineStr"/>
      <c r="I2503" s="11" t="inlineStr">
        <is>
          <t>Not started</t>
        </is>
      </c>
      <c r="J2503" s="13" t="n"/>
      <c r="K2503" s="10" t="inlineStr"/>
      <c r="L2503" s="14" t="inlineStr">
        <is>
          <t>▶ watch</t>
        </is>
      </c>
      <c r="M2503" s="10" t="inlineStr">
        <is>
          <t>Chen et al., TVM, OSDI 2018, arXiv:1802.04799 · Lattner et al., MLIR, CGO 2021, arXiv:2002.11054</t>
        </is>
      </c>
      <c r="N2503" s="14" t="inlineStr">
        <is>
          <t>read ↗</t>
        </is>
      </c>
      <c r="O2503" s="11" t="inlineStr">
        <is>
          <t>section reading (2 of 4)</t>
        </is>
      </c>
      <c r="P2503" s="10" t="inlineStr"/>
    </row>
    <row r="2504">
      <c r="A2504" s="19" t="n">
        <v>2503</v>
      </c>
      <c r="B2504" s="19" t="inlineStr">
        <is>
          <t>Part IV - Performance Engineering</t>
        </is>
      </c>
      <c r="C2504" s="20" t="inlineStr">
        <is>
          <t>E.5.2 XLA, MLIR and the compiler layer</t>
        </is>
      </c>
      <c r="D2504" s="10" t="inlineStr">
        <is>
          <t>Ragan-Kelley on the algorithm/schedule separation</t>
        </is>
      </c>
      <c r="E2504" s="10" t="inlineStr"/>
      <c r="F2504" s="11" t="inlineStr"/>
      <c r="G2504" s="11" t="n">
        <v>0</v>
      </c>
      <c r="H2504" s="12" t="inlineStr"/>
      <c r="I2504" s="11" t="inlineStr">
        <is>
          <t>Not started</t>
        </is>
      </c>
      <c r="J2504" s="13" t="n"/>
      <c r="K2504" s="10" t="inlineStr"/>
      <c r="L2504" s="14" t="inlineStr">
        <is>
          <t>▶ watch</t>
        </is>
      </c>
      <c r="M2504" s="10" t="inlineStr">
        <is>
          <t>Chen et al., TVM, OSDI 2018, arXiv:1802.04799 · Lattner et al., MLIR, CGO 2021, arXiv:2002.11054</t>
        </is>
      </c>
      <c r="N2504" s="14" t="inlineStr">
        <is>
          <t>read ↗</t>
        </is>
      </c>
      <c r="O2504" s="11" t="inlineStr">
        <is>
          <t>section reading (2 of 4)</t>
        </is>
      </c>
      <c r="P2504" s="10" t="inlineStr"/>
    </row>
    <row r="2505">
      <c r="A2505" s="19" t="n">
        <v>2504</v>
      </c>
      <c r="B2505" s="19" t="inlineStr">
        <is>
          <t>Part IV - Performance Engineering</t>
        </is>
      </c>
      <c r="C2505" s="20" t="inlineStr">
        <is>
          <t>E.5.2 XLA, MLIR and the compiler layer</t>
        </is>
      </c>
      <c r="D2505" s="10" t="inlineStr">
        <is>
          <t>Triton Internals</t>
        </is>
      </c>
      <c r="E2505" s="10" t="inlineStr"/>
      <c r="F2505" s="11" t="inlineStr"/>
      <c r="G2505" s="11" t="n">
        <v>0</v>
      </c>
      <c r="H2505" s="12" t="inlineStr">
        <is>
          <t>★</t>
        </is>
      </c>
      <c r="I2505" s="11" t="inlineStr">
        <is>
          <t>Not started</t>
        </is>
      </c>
      <c r="J2505" s="13" t="n"/>
      <c r="K2505" s="10" t="inlineStr"/>
      <c r="L2505" s="14" t="inlineStr">
        <is>
          <t>▶ watch</t>
        </is>
      </c>
      <c r="M2505" s="10" t="inlineStr">
        <is>
          <t>Chen et al., TVM, OSDI 2018, arXiv:1802.04799 · Lattner et al., MLIR, CGO 2021, arXiv:2002.11054</t>
        </is>
      </c>
      <c r="N2505" s="14" t="inlineStr">
        <is>
          <t>read ↗</t>
        </is>
      </c>
      <c r="O2505" s="11" t="inlineStr">
        <is>
          <t>section reading (2 of 4)</t>
        </is>
      </c>
      <c r="P2505" s="10" t="inlineStr"/>
    </row>
    <row r="2506">
      <c r="A2506" s="19" t="n">
        <v>2505</v>
      </c>
      <c r="B2506" s="19" t="inlineStr">
        <is>
          <t>Part IV - Performance Engineering</t>
        </is>
      </c>
      <c r="C2506" s="20" t="inlineStr">
        <is>
          <t>E.5.2 XLA, MLIR and the compiler layer</t>
        </is>
      </c>
      <c r="D2506" s="10" t="inlineStr">
        <is>
          <t>Pallas / Mosaic</t>
        </is>
      </c>
      <c r="E2506" s="10" t="inlineStr"/>
      <c r="F2506" s="11" t="inlineStr"/>
      <c r="G2506" s="11" t="n">
        <v>0</v>
      </c>
      <c r="H2506" s="12" t="inlineStr">
        <is>
          <t>★</t>
        </is>
      </c>
      <c r="I2506" s="11" t="inlineStr">
        <is>
          <t>Not started</t>
        </is>
      </c>
      <c r="J2506" s="13" t="n"/>
      <c r="K2506" s="10" t="inlineStr"/>
      <c r="L2506" s="14" t="inlineStr">
        <is>
          <t>▶ watch</t>
        </is>
      </c>
      <c r="M2506" s="10" t="inlineStr">
        <is>
          <t>Chen et al., TVM, OSDI 2018, arXiv:1802.04799 · Lattner et al., MLIR, CGO 2021, arXiv:2002.11054</t>
        </is>
      </c>
      <c r="N2506" s="14" t="inlineStr">
        <is>
          <t>read ↗</t>
        </is>
      </c>
      <c r="O2506" s="11" t="inlineStr">
        <is>
          <t>section reading (2 of 4)</t>
        </is>
      </c>
      <c r="P2506" s="10" t="inlineStr"/>
    </row>
    <row r="2507">
      <c r="A2507" s="19" t="n">
        <v>2506</v>
      </c>
      <c r="B2507" s="19" t="inlineStr">
        <is>
          <t>Part IV - Performance Engineering</t>
        </is>
      </c>
      <c r="C2507" s="20" t="inlineStr">
        <is>
          <t>E.5.2 XLA, MLIR and the compiler layer</t>
        </is>
      </c>
      <c r="D2507" s="10" t="inlineStr">
        <is>
          <t>Pallas / Mosaic</t>
        </is>
      </c>
      <c r="E2507" s="10" t="inlineStr"/>
      <c r="F2507" s="11" t="inlineStr"/>
      <c r="G2507" s="11" t="n">
        <v>0</v>
      </c>
      <c r="H2507" s="12" t="inlineStr">
        <is>
          <t>★</t>
        </is>
      </c>
      <c r="I2507" s="11" t="inlineStr">
        <is>
          <t>Not started</t>
        </is>
      </c>
      <c r="J2507" s="13" t="n"/>
      <c r="K2507" s="10" t="inlineStr"/>
      <c r="L2507" s="14" t="inlineStr">
        <is>
          <t>▶ watch</t>
        </is>
      </c>
      <c r="M2507" s="10" t="inlineStr">
        <is>
          <t>Chen et al., TVM, OSDI 2018, arXiv:1802.04799 · Lattner et al., MLIR, CGO 2021, arXiv:2002.11054</t>
        </is>
      </c>
      <c r="N2507" s="14" t="inlineStr">
        <is>
          <t>read ↗</t>
        </is>
      </c>
      <c r="O2507" s="11" t="inlineStr">
        <is>
          <t>section reading (2 of 4)</t>
        </is>
      </c>
      <c r="P2507" s="10" t="inlineStr"/>
    </row>
    <row r="2508">
      <c r="A2508" s="19" t="n">
        <v>2507</v>
      </c>
      <c r="B2508" s="19" t="inlineStr">
        <is>
          <t>Part IV - Performance Engineering</t>
        </is>
      </c>
      <c r="C2508" s="20" t="inlineStr">
        <is>
          <t>E.5.3 JAX, and JAX for molecular simulation</t>
        </is>
      </c>
      <c r="D2508" s="10" t="inlineStr">
        <is>
          <t>JAX: accelerated ML research via composable function transformations</t>
        </is>
      </c>
      <c r="E2508" s="10" t="inlineStr">
        <is>
          <t>Matthew Johnson (Google Brain</t>
        </is>
      </c>
      <c r="F2508" s="11" t="inlineStr">
        <is>
          <t>57:05</t>
        </is>
      </c>
      <c r="G2508" s="11" t="n">
        <v>0.95</v>
      </c>
      <c r="H2508" s="12" t="inlineStr">
        <is>
          <t>★</t>
        </is>
      </c>
      <c r="I2508" s="11" t="inlineStr">
        <is>
          <t>Not started</t>
        </is>
      </c>
      <c r="J2508" s="13" t="n"/>
      <c r="K2508" s="10" t="inlineStr"/>
      <c r="L2508" s="14" t="inlineStr">
        <is>
          <t>▶ watch</t>
        </is>
      </c>
      <c r="M2508" s="10" t="inlineStr">
        <is>
          <t>Schoenholz &amp; Cubuk, JAX MD, NeurIPS 2020, arXiv:1912.04232</t>
        </is>
      </c>
      <c r="N2508" s="14" t="inlineStr">
        <is>
          <t>read ↗</t>
        </is>
      </c>
      <c r="O2508" s="11" t="inlineStr">
        <is>
          <t>names JAX</t>
        </is>
      </c>
      <c r="P2508" s="10" t="inlineStr"/>
    </row>
    <row r="2509">
      <c r="A2509" s="19" t="n">
        <v>2508</v>
      </c>
      <c r="B2509" s="19" t="inlineStr">
        <is>
          <t>Part IV - Performance Engineering</t>
        </is>
      </c>
      <c r="C2509" s="20" t="inlineStr">
        <is>
          <t>E.5.3 JAX, and JAX for molecular simulation</t>
        </is>
      </c>
      <c r="D2509" s="10" t="inlineStr">
        <is>
          <t>Stanford MLSys Ep. 6: JAX</t>
        </is>
      </c>
      <c r="E2509" s="10" t="inlineStr">
        <is>
          <t>Roy Frostig (Google Brain</t>
        </is>
      </c>
      <c r="F2509" s="11" t="inlineStr">
        <is>
          <t>1:06:58</t>
        </is>
      </c>
      <c r="G2509" s="11" t="n">
        <v>1.12</v>
      </c>
      <c r="H2509" s="12" t="inlineStr"/>
      <c r="I2509" s="11" t="inlineStr">
        <is>
          <t>Not started</t>
        </is>
      </c>
      <c r="J2509" s="13" t="n"/>
      <c r="K2509" s="10" t="inlineStr"/>
      <c r="L2509" s="14" t="inlineStr">
        <is>
          <t>▶ watch</t>
        </is>
      </c>
      <c r="M2509" s="10" t="inlineStr">
        <is>
          <t>Schoenholz &amp; Cubuk, JAX MD, NeurIPS 2020, arXiv:1912.04232</t>
        </is>
      </c>
      <c r="N2509" s="14" t="inlineStr">
        <is>
          <t>read ↗</t>
        </is>
      </c>
      <c r="O2509" s="11" t="inlineStr">
        <is>
          <t>names JAX</t>
        </is>
      </c>
      <c r="P2509" s="10" t="inlineStr"/>
    </row>
    <row r="2510">
      <c r="A2510" s="19" t="n">
        <v>2509</v>
      </c>
      <c r="B2510" s="19" t="inlineStr">
        <is>
          <t>Part IV - Performance Engineering</t>
        </is>
      </c>
      <c r="C2510" s="20" t="inlineStr">
        <is>
          <t>E.5.3 JAX, and JAX for molecular simulation</t>
        </is>
      </c>
      <c r="D2510" s="10" t="inlineStr">
        <is>
          <t>Dougal Maclaurin (Google</t>
        </is>
      </c>
      <c r="E2510" s="10" t="inlineStr">
        <is>
          <t>Outgrowing NumPy</t>
        </is>
      </c>
      <c r="F2510" s="11" t="inlineStr">
        <is>
          <t>13:29</t>
        </is>
      </c>
      <c r="G2510" s="11" t="n">
        <v>0.22</v>
      </c>
      <c r="H2510" s="12" t="inlineStr"/>
      <c r="I2510" s="11" t="inlineStr">
        <is>
          <t>Not started</t>
        </is>
      </c>
      <c r="J2510" s="13" t="n"/>
      <c r="K2510" s="10" t="inlineStr"/>
      <c r="L2510" s="14" t="inlineStr">
        <is>
          <t>▶ watch</t>
        </is>
      </c>
      <c r="M2510" s="10" t="inlineStr">
        <is>
          <t>Schoenholz &amp; Cubuk, JAX MD, NeurIPS 2020, arXiv:1912.04232 · Bradbury et al., JAX (2018)</t>
        </is>
      </c>
      <c r="N2510" s="14" t="inlineStr">
        <is>
          <t>read ↗</t>
        </is>
      </c>
      <c r="O2510" s="11" t="inlineStr">
        <is>
          <t>section reading (2 of 3)</t>
        </is>
      </c>
      <c r="P2510" s="10" t="inlineStr"/>
    </row>
    <row r="2511">
      <c r="A2511" s="19" t="n">
        <v>2510</v>
      </c>
      <c r="B2511" s="19" t="inlineStr">
        <is>
          <t>Part IV - Performance Engineering</t>
        </is>
      </c>
      <c r="C2511" s="20" t="inlineStr">
        <is>
          <t>E.5.3 JAX, and JAX for molecular simulation</t>
        </is>
      </c>
      <c r="D2511" s="10" t="inlineStr">
        <is>
          <t>Skye Wanderman-Milne (Google</t>
        </is>
      </c>
      <c r="E2511" s="10" t="inlineStr">
        <is>
          <t>Intro to JAX on Cloud TPUs</t>
        </is>
      </c>
      <c r="F2511" s="11" t="inlineStr">
        <is>
          <t>1:57:05</t>
        </is>
      </c>
      <c r="G2511" s="11" t="n">
        <v>1.95</v>
      </c>
      <c r="H2511" s="12" t="inlineStr"/>
      <c r="I2511" s="11" t="inlineStr">
        <is>
          <t>Not started</t>
        </is>
      </c>
      <c r="J2511" s="13" t="n"/>
      <c r="K2511" s="10" t="inlineStr"/>
      <c r="L2511" s="14" t="inlineStr">
        <is>
          <t>▶ watch</t>
        </is>
      </c>
      <c r="M2511" s="10" t="inlineStr">
        <is>
          <t>Schoenholz &amp; Cubuk, JAX MD, NeurIPS 2020, arXiv:1912.04232</t>
        </is>
      </c>
      <c r="N2511" s="14" t="inlineStr">
        <is>
          <t>read ↗</t>
        </is>
      </c>
      <c r="O2511" s="11" t="inlineStr">
        <is>
          <t>names JAX</t>
        </is>
      </c>
      <c r="P2511" s="10" t="inlineStr"/>
    </row>
    <row r="2512">
      <c r="A2512" s="19" t="n">
        <v>2511</v>
      </c>
      <c r="B2512" s="19" t="inlineStr">
        <is>
          <t>Part IV - Performance Engineering</t>
        </is>
      </c>
      <c r="C2512" s="20" t="inlineStr">
        <is>
          <t>E.5.3 JAX, and JAX for molecular simulation</t>
        </is>
      </c>
      <c r="D2512" s="10" t="inlineStr">
        <is>
          <t>Debugging JAX models</t>
        </is>
      </c>
      <c r="E2512" s="10" t="inlineStr">
        <is>
          <t>Skye Wanderman-Milne</t>
        </is>
      </c>
      <c r="F2512" s="11" t="inlineStr">
        <is>
          <t>49:22</t>
        </is>
      </c>
      <c r="G2512" s="11" t="n">
        <v>0.82</v>
      </c>
      <c r="H2512" s="12" t="inlineStr"/>
      <c r="I2512" s="11" t="inlineStr">
        <is>
          <t>Not started</t>
        </is>
      </c>
      <c r="J2512" s="13" t="n"/>
      <c r="K2512" s="10" t="inlineStr"/>
      <c r="L2512" s="14" t="inlineStr">
        <is>
          <t>▶ watch</t>
        </is>
      </c>
      <c r="M2512" s="10" t="inlineStr">
        <is>
          <t>Schoenholz &amp; Cubuk, JAX MD, NeurIPS 2020, arXiv:1912.04232</t>
        </is>
      </c>
      <c r="N2512" s="14" t="inlineStr">
        <is>
          <t>read ↗</t>
        </is>
      </c>
      <c r="O2512" s="11" t="inlineStr">
        <is>
          <t>names JAX</t>
        </is>
      </c>
      <c r="P2512" s="10" t="inlineStr"/>
    </row>
    <row r="2513">
      <c r="A2513" s="19" t="n">
        <v>2512</v>
      </c>
      <c r="B2513" s="19" t="inlineStr">
        <is>
          <t>Part IV - Performance Engineering</t>
        </is>
      </c>
      <c r="C2513" s="20" t="inlineStr">
        <is>
          <t>E.5.3 JAX, and JAX for molecular simulation</t>
        </is>
      </c>
      <c r="D2513" s="10" t="inlineStr">
        <is>
          <t>Large scale training techniques and best practices</t>
        </is>
      </c>
      <c r="E2513" s="10" t="inlineStr">
        <is>
          <t>Google (DevLab 2025</t>
        </is>
      </c>
      <c r="F2513" s="11" t="inlineStr">
        <is>
          <t>1:01:45</t>
        </is>
      </c>
      <c r="G2513" s="11" t="n">
        <v>1.03</v>
      </c>
      <c r="H2513" s="12" t="inlineStr">
        <is>
          <t>★</t>
        </is>
      </c>
      <c r="I2513" s="11" t="inlineStr">
        <is>
          <t>Not started</t>
        </is>
      </c>
      <c r="J2513" s="13" t="n"/>
      <c r="K2513" s="10" t="inlineStr"/>
      <c r="L2513" s="14" t="inlineStr">
        <is>
          <t>▶ watch</t>
        </is>
      </c>
      <c r="M2513" s="10" t="inlineStr">
        <is>
          <t>Schoenholz &amp; Cubuk, JAX MD, NeurIPS 2020, arXiv:1912.04232 · Bradbury et al., JAX (2018)</t>
        </is>
      </c>
      <c r="N2513" s="14" t="inlineStr">
        <is>
          <t>read ↗</t>
        </is>
      </c>
      <c r="O2513" s="11" t="inlineStr">
        <is>
          <t>section reading (2 of 3)</t>
        </is>
      </c>
      <c r="P2513" s="10" t="inlineStr"/>
    </row>
    <row r="2514">
      <c r="A2514" s="19" t="n">
        <v>2513</v>
      </c>
      <c r="B2514" s="19" t="inlineStr">
        <is>
          <t>Part IV - Performance Engineering</t>
        </is>
      </c>
      <c r="C2514" s="20" t="inlineStr">
        <is>
          <t>E.5.3 JAX, and JAX for molecular simulation</t>
        </is>
      </c>
      <c r="D2514" s="10" t="inlineStr">
        <is>
          <t>Sharding the Sphere with jax.shardmap</t>
        </is>
      </c>
      <c r="E2514" s="10" t="inlineStr">
        <is>
          <t>Google</t>
        </is>
      </c>
      <c r="F2514" s="11" t="inlineStr">
        <is>
          <t>16:09</t>
        </is>
      </c>
      <c r="G2514" s="11" t="n">
        <v>0.27</v>
      </c>
      <c r="H2514" s="12" t="inlineStr"/>
      <c r="I2514" s="11" t="inlineStr">
        <is>
          <t>Not started</t>
        </is>
      </c>
      <c r="J2514" s="13" t="n"/>
      <c r="K2514" s="10" t="inlineStr"/>
      <c r="L2514" s="14" t="inlineStr">
        <is>
          <t>▶ watch</t>
        </is>
      </c>
      <c r="M2514" s="10" t="inlineStr">
        <is>
          <t>Schoenholz &amp; Cubuk, JAX MD, NeurIPS 2020, arXiv:1912.04232 · Bradbury et al., JAX (2018)</t>
        </is>
      </c>
      <c r="N2514" s="14" t="inlineStr">
        <is>
          <t>read ↗</t>
        </is>
      </c>
      <c r="O2514" s="11" t="inlineStr">
        <is>
          <t>section reading (2 of 3)</t>
        </is>
      </c>
      <c r="P2514" s="10" t="inlineStr"/>
    </row>
    <row r="2515">
      <c r="A2515" s="19" t="n">
        <v>2514</v>
      </c>
      <c r="B2515" s="19" t="inlineStr">
        <is>
          <t>Part IV - Performance Engineering</t>
        </is>
      </c>
      <c r="C2515" s="20" t="inlineStr">
        <is>
          <t>E.5.3 JAX, and JAX for molecular simulation</t>
        </is>
      </c>
      <c r="D2515" s="10" t="inlineStr">
        <is>
          <t>Pallas tutorial (custom kernels in JAX</t>
        </is>
      </c>
      <c r="E2515" s="10" t="inlineStr">
        <is>
          <t>Google JAX team</t>
        </is>
      </c>
      <c r="F2515" s="11" t="inlineStr">
        <is>
          <t>56:50</t>
        </is>
      </c>
      <c r="G2515" s="11" t="n">
        <v>0.95</v>
      </c>
      <c r="H2515" s="12" t="inlineStr">
        <is>
          <t>★</t>
        </is>
      </c>
      <c r="I2515" s="11" t="inlineStr">
        <is>
          <t>Not started</t>
        </is>
      </c>
      <c r="J2515" s="13" t="n"/>
      <c r="K2515" s="10" t="inlineStr"/>
      <c r="L2515" s="14" t="inlineStr">
        <is>
          <t>▶ watch</t>
        </is>
      </c>
      <c r="M2515" s="10" t="inlineStr">
        <is>
          <t>Schoenholz &amp; Cubuk, JAX MD, NeurIPS 2020, arXiv:1912.04232</t>
        </is>
      </c>
      <c r="N2515" s="14" t="inlineStr">
        <is>
          <t>read ↗</t>
        </is>
      </c>
      <c r="O2515" s="11" t="inlineStr">
        <is>
          <t>names JAX</t>
        </is>
      </c>
      <c r="P2515" s="10" t="inlineStr"/>
    </row>
    <row r="2516">
      <c r="A2516" s="19" t="n">
        <v>2515</v>
      </c>
      <c r="B2516" s="19" t="inlineStr">
        <is>
          <t>Part IV - Performance Engineering</t>
        </is>
      </c>
      <c r="C2516" s="20" t="inlineStr">
        <is>
          <t>E.5.3 JAX, and JAX for molecular simulation</t>
        </is>
      </c>
      <c r="D2516" s="10" t="inlineStr">
        <is>
          <t>JAX MD: A Framework for Differentiable Atomistic Physics</t>
        </is>
      </c>
      <c r="E2516" s="10" t="inlineStr">
        <is>
          <t>Samuel Schoenholz (Google Brain</t>
        </is>
      </c>
      <c r="F2516" s="11" t="inlineStr">
        <is>
          <t>1:33:38</t>
        </is>
      </c>
      <c r="G2516" s="11" t="n">
        <v>1.56</v>
      </c>
      <c r="H2516" s="12" t="inlineStr">
        <is>
          <t>★</t>
        </is>
      </c>
      <c r="I2516" s="11" t="inlineStr">
        <is>
          <t>Not started</t>
        </is>
      </c>
      <c r="J2516" s="13" t="n"/>
      <c r="K2516" s="10" t="inlineStr"/>
      <c r="L2516" s="14" t="inlineStr">
        <is>
          <t>▶ watch</t>
        </is>
      </c>
      <c r="M2516" s="10" t="inlineStr">
        <is>
          <t>Schoenholz &amp; Cubuk, JAX MD, NeurIPS 2020, arXiv:1912.04232</t>
        </is>
      </c>
      <c r="N2516" s="14" t="inlineStr">
        <is>
          <t>read ↗</t>
        </is>
      </c>
      <c r="O2516" s="11" t="inlineStr">
        <is>
          <t>names JAX</t>
        </is>
      </c>
      <c r="P2516" s="10" t="inlineStr"/>
    </row>
    <row r="2517">
      <c r="A2517" s="19" t="n">
        <v>2516</v>
      </c>
      <c r="B2517" s="19" t="inlineStr">
        <is>
          <t>Part IV - Performance Engineering</t>
        </is>
      </c>
      <c r="C2517" s="20" t="inlineStr">
        <is>
          <t>E.5.3 JAX, and JAX for molecular simulation</t>
        </is>
      </c>
      <c r="D2517" s="10" t="inlineStr">
        <is>
          <t>Hybridization of Neural Networks and Numerical Solvers in JAX</t>
        </is>
      </c>
      <c r="E2517" s="10" t="inlineStr">
        <is>
          <t>Felix Köhler (TU Munich</t>
        </is>
      </c>
      <c r="F2517" s="11" t="inlineStr">
        <is>
          <t>1:21:53</t>
        </is>
      </c>
      <c r="G2517" s="11" t="n">
        <v>1.36</v>
      </c>
      <c r="H2517" s="12" t="inlineStr">
        <is>
          <t>★</t>
        </is>
      </c>
      <c r="I2517" s="11" t="inlineStr">
        <is>
          <t>Not started</t>
        </is>
      </c>
      <c r="J2517" s="13" t="n"/>
      <c r="K2517" s="10" t="inlineStr"/>
      <c r="L2517" s="14" t="inlineStr">
        <is>
          <t>▶ watch</t>
        </is>
      </c>
      <c r="M2517" s="10" t="inlineStr">
        <is>
          <t>Schoenholz &amp; Cubuk, JAX MD, NeurIPS 2020, arXiv:1912.04232</t>
        </is>
      </c>
      <c r="N2517" s="14" t="inlineStr">
        <is>
          <t>read ↗</t>
        </is>
      </c>
      <c r="O2517" s="11" t="inlineStr">
        <is>
          <t>names JAX</t>
        </is>
      </c>
      <c r="P2517" s="10" t="inlineStr"/>
    </row>
    <row r="2518">
      <c r="A2518" s="19" t="n">
        <v>2517</v>
      </c>
      <c r="B2518" s="19" t="inlineStr">
        <is>
          <t>Part IV - Performance Engineering</t>
        </is>
      </c>
      <c r="C2518" s="20" t="inlineStr">
        <is>
          <t>E.5.3 JAX, and JAX for molecular simulation</t>
        </is>
      </c>
      <c r="D2518" s="10" t="inlineStr">
        <is>
          <t>Diffrax: Numerical Differential Equation Solvers in JAX</t>
        </is>
      </c>
      <c r="E2518" s="10" t="inlineStr">
        <is>
          <t>Patrick Kidger</t>
        </is>
      </c>
      <c r="F2518" s="11" t="inlineStr">
        <is>
          <t>24:29</t>
        </is>
      </c>
      <c r="G2518" s="11" t="n">
        <v>0.41</v>
      </c>
      <c r="H2518" s="12" t="inlineStr"/>
      <c r="I2518" s="11" t="inlineStr">
        <is>
          <t>Not started</t>
        </is>
      </c>
      <c r="J2518" s="13" t="n"/>
      <c r="K2518" s="10" t="inlineStr"/>
      <c r="L2518" s="14" t="inlineStr">
        <is>
          <t>▶ watch</t>
        </is>
      </c>
      <c r="M2518" s="10" t="inlineStr">
        <is>
          <t>Schoenholz &amp; Cubuk, JAX MD, NeurIPS 2020, arXiv:1912.04232</t>
        </is>
      </c>
      <c r="N2518" s="14" t="inlineStr">
        <is>
          <t>read ↗</t>
        </is>
      </c>
      <c r="O2518" s="11" t="inlineStr">
        <is>
          <t>names JAX</t>
        </is>
      </c>
      <c r="P2518" s="10" t="inlineStr"/>
    </row>
    <row r="2519">
      <c r="A2519" s="19" t="n">
        <v>2518</v>
      </c>
      <c r="B2519" s="19" t="inlineStr">
        <is>
          <t>Part IV - Performance Engineering</t>
        </is>
      </c>
      <c r="C2519" s="20" t="inlineStr">
        <is>
          <t>E.5.3 JAX, and JAX for molecular simulation</t>
        </is>
      </c>
      <c r="D2519" s="10" t="inlineStr">
        <is>
          <t>A near-identical reupload is at</t>
        </is>
      </c>
      <c r="E2519" s="10" t="inlineStr">
        <is>
          <t>Samuel Schoenholz</t>
        </is>
      </c>
      <c r="F2519" s="11" t="inlineStr">
        <is>
          <t>1:27:51</t>
        </is>
      </c>
      <c r="G2519" s="11" t="n">
        <v>1.46</v>
      </c>
      <c r="H2519" s="12" t="inlineStr"/>
      <c r="I2519" s="11" t="inlineStr">
        <is>
          <t>Not started</t>
        </is>
      </c>
      <c r="J2519" s="13" t="n"/>
      <c r="K2519" s="10" t="inlineStr"/>
      <c r="L2519" s="14" t="inlineStr">
        <is>
          <t>▶ watch</t>
        </is>
      </c>
      <c r="M2519" s="10" t="inlineStr">
        <is>
          <t>Schoenholz &amp; Cubuk, JAX MD, NeurIPS 2020, arXiv:1912.04232 · Bradbury et al., JAX (2018)</t>
        </is>
      </c>
      <c r="N2519" s="14" t="inlineStr">
        <is>
          <t>read ↗</t>
        </is>
      </c>
      <c r="O2519" s="11" t="inlineStr">
        <is>
          <t>section reading (2 of 3)</t>
        </is>
      </c>
      <c r="P2519" s="10" t="inlineStr">
        <is>
          <t>E.7.4 Interatomic potential inference at scale</t>
        </is>
      </c>
    </row>
    <row r="2520">
      <c r="A2520" s="19" t="n">
        <v>2519</v>
      </c>
      <c r="B2520" s="19" t="inlineStr">
        <is>
          <t>Part IV - Performance Engineering</t>
        </is>
      </c>
      <c r="C2520" s="20" t="inlineStr">
        <is>
          <t>E.5.3 JAX, and JAX for molecular simulation</t>
        </is>
      </c>
      <c r="D2520" s="10" t="inlineStr">
        <is>
          <t>TPU-centric, session 1 at</t>
        </is>
      </c>
      <c r="E2520" s="10" t="inlineStr"/>
      <c r="F2520" s="11" t="inlineStr"/>
      <c r="G2520" s="11" t="n">
        <v>0</v>
      </c>
      <c r="H2520" s="12" t="inlineStr"/>
      <c r="I2520" s="11" t="inlineStr">
        <is>
          <t>Not started</t>
        </is>
      </c>
      <c r="J2520" s="13" t="n"/>
      <c r="K2520" s="10" t="inlineStr"/>
      <c r="L2520" s="14" t="inlineStr">
        <is>
          <t>▶ watch</t>
        </is>
      </c>
      <c r="M2520" s="10" t="inlineStr">
        <is>
          <t>Schoenholz &amp; Cubuk, JAX MD, NeurIPS 2020, arXiv:1912.04232 · Bradbury et al., JAX (2018)</t>
        </is>
      </c>
      <c r="N2520" s="14" t="inlineStr">
        <is>
          <t>read ↗</t>
        </is>
      </c>
      <c r="O2520" s="11" t="inlineStr">
        <is>
          <t>section reading (2 of 3)</t>
        </is>
      </c>
      <c r="P2520" s="10" t="inlineStr"/>
    </row>
    <row r="2521">
      <c r="A2521" s="19" t="n">
        <v>2520</v>
      </c>
      <c r="B2521" s="19" t="inlineStr">
        <is>
          <t>Part IV - Performance Engineering</t>
        </is>
      </c>
      <c r="C2521" s="20" t="inlineStr">
        <is>
          <t>E.5.3 JAX, and JAX for molecular simulation</t>
        </is>
      </c>
      <c r="D2521" s="10" t="inlineStr">
        <is>
          <t>Python on GPUs: JAX</t>
        </is>
      </c>
      <c r="E2521" s="10" t="inlineStr"/>
      <c r="F2521" s="11" t="inlineStr"/>
      <c r="G2521" s="11" t="n">
        <v>0</v>
      </c>
      <c r="H2521" s="12" t="inlineStr"/>
      <c r="I2521" s="11" t="inlineStr">
        <is>
          <t>Not started</t>
        </is>
      </c>
      <c r="J2521" s="13" t="n"/>
      <c r="K2521" s="10" t="inlineStr"/>
      <c r="L2521" s="14" t="inlineStr">
        <is>
          <t>▶ watch</t>
        </is>
      </c>
      <c r="M2521" s="10" t="inlineStr">
        <is>
          <t>Schoenholz &amp; Cubuk, JAX MD, NeurIPS 2020, arXiv:1912.04232</t>
        </is>
      </c>
      <c r="N2521" s="14" t="inlineStr">
        <is>
          <t>read ↗</t>
        </is>
      </c>
      <c r="O2521" s="11" t="inlineStr">
        <is>
          <t>names JAX</t>
        </is>
      </c>
      <c r="P2521" s="10" t="inlineStr"/>
    </row>
    <row r="2522">
      <c r="A2522" s="19" t="n">
        <v>2521</v>
      </c>
      <c r="B2522" s="19" t="inlineStr">
        <is>
          <t>Part IV - Performance Engineering</t>
        </is>
      </c>
      <c r="C2522" s="20" t="inlineStr">
        <is>
          <t>E.5.3 JAX, and JAX for molecular simulation</t>
        </is>
      </c>
      <c r="D2522" s="10" t="inlineStr">
        <is>
          <t>JAX-GCM, a differentiable atmospheric model</t>
        </is>
      </c>
      <c r="E2522" s="10" t="inlineStr"/>
      <c r="F2522" s="11" t="inlineStr"/>
      <c r="G2522" s="11" t="n">
        <v>0</v>
      </c>
      <c r="H2522" s="12" t="inlineStr"/>
      <c r="I2522" s="11" t="inlineStr">
        <is>
          <t>Not started</t>
        </is>
      </c>
      <c r="J2522" s="13" t="n"/>
      <c r="K2522" s="10" t="inlineStr"/>
      <c r="L2522" s="14" t="inlineStr">
        <is>
          <t>▶ watch</t>
        </is>
      </c>
      <c r="M2522" s="10" t="inlineStr">
        <is>
          <t>Schoenholz &amp; Cubuk, JAX MD, NeurIPS 2020, arXiv:1912.04232</t>
        </is>
      </c>
      <c r="N2522" s="14" t="inlineStr">
        <is>
          <t>read ↗</t>
        </is>
      </c>
      <c r="O2522" s="11" t="inlineStr">
        <is>
          <t>names JAX</t>
        </is>
      </c>
      <c r="P2522" s="10" t="inlineStr"/>
    </row>
    <row r="2523">
      <c r="A2523" s="19" t="n">
        <v>2522</v>
      </c>
      <c r="B2523" s="19" t="inlineStr">
        <is>
          <t>Part IV - Performance Engineering</t>
        </is>
      </c>
      <c r="C2523" s="20" t="inlineStr">
        <is>
          <t>E.5.4 The codesign argument, and four answers to it</t>
        </is>
      </c>
      <c r="D2523" s="10" t="inlineStr">
        <is>
          <t>Hennessy and Patterson, 2017 Turing Award Lecture</t>
        </is>
      </c>
      <c r="E2523" s="10" t="inlineStr">
        <is>
          <t>Hennessy + Patterson</t>
        </is>
      </c>
      <c r="F2523" s="11" t="inlineStr">
        <is>
          <t>1:19:38</t>
        </is>
      </c>
      <c r="G2523" s="11" t="n">
        <v>1.33</v>
      </c>
      <c r="H2523" s="12" t="inlineStr">
        <is>
          <t>★</t>
        </is>
      </c>
      <c r="I2523" s="11" t="inlineStr">
        <is>
          <t>Not started</t>
        </is>
      </c>
      <c r="J2523" s="13" t="n"/>
      <c r="K2523" s="10" t="inlineStr"/>
      <c r="L2523" s="14" t="inlineStr">
        <is>
          <t>▶ watch</t>
        </is>
      </c>
      <c r="M2523" s="10" t="inlineStr">
        <is>
          <t>Hennessy &amp; Patterson, A New Golden Age for Computer Architecture, CACM 62(2):48–60, 2019 · Abts et al., Think Fast: A Tensor Streaming Processor, ISCA 2020</t>
        </is>
      </c>
      <c r="N2523" s="14" t="inlineStr">
        <is>
          <t>read ↗</t>
        </is>
      </c>
      <c r="O2523" s="11" t="inlineStr">
        <is>
          <t>section reading</t>
        </is>
      </c>
      <c r="P2523" s="10" t="inlineStr"/>
    </row>
    <row r="2524">
      <c r="A2524" s="19" t="n">
        <v>2523</v>
      </c>
      <c r="B2524" s="19" t="inlineStr">
        <is>
          <t>Part IV - Performance Engineering</t>
        </is>
      </c>
      <c r="C2524" s="20" t="inlineStr">
        <is>
          <t>E.5.4 The codesign argument, and four answers to it</t>
        </is>
      </c>
      <c r="D2524" s="10" t="inlineStr">
        <is>
          <t>A New Golden Age for Computer Architecture</t>
        </is>
      </c>
      <c r="E2524" s="10" t="inlineStr">
        <is>
          <t>David Patterson (Berkeley</t>
        </is>
      </c>
      <c r="F2524" s="11" t="inlineStr">
        <is>
          <t>1:16:09</t>
        </is>
      </c>
      <c r="G2524" s="11" t="n">
        <v>1.27</v>
      </c>
      <c r="H2524" s="12" t="inlineStr"/>
      <c r="I2524" s="11" t="inlineStr">
        <is>
          <t>Not started</t>
        </is>
      </c>
      <c r="J2524" s="13" t="n"/>
      <c r="K2524" s="10" t="inlineStr"/>
      <c r="L2524" s="14" t="inlineStr">
        <is>
          <t>▶ watch</t>
        </is>
      </c>
      <c r="M2524" s="10" t="inlineStr">
        <is>
          <t>Hennessy &amp; Patterson, A New Golden Age for Computer Architecture, CACM 62(2):48–60, 2019 · Abts et al., Think Fast: A Tensor Streaming Processor, ISCA 2020</t>
        </is>
      </c>
      <c r="N2524" s="14" t="inlineStr">
        <is>
          <t>read ↗</t>
        </is>
      </c>
      <c r="O2524" s="11" t="inlineStr">
        <is>
          <t>section reading</t>
        </is>
      </c>
      <c r="P2524" s="10" t="inlineStr"/>
    </row>
    <row r="2525">
      <c r="A2525" s="19" t="n">
        <v>2524</v>
      </c>
      <c r="B2525" s="19" t="inlineStr">
        <is>
          <t>Part IV - Performance Engineering</t>
        </is>
      </c>
      <c r="C2525" s="20" t="inlineStr">
        <is>
          <t>E.5.4 The codesign argument, and four answers to it</t>
        </is>
      </c>
      <c r="D2525" s="10" t="inlineStr">
        <is>
          <t>New Golden Age for Computer Architecture</t>
        </is>
      </c>
      <c r="E2525" s="10" t="inlineStr">
        <is>
          <t>John Hennessy (Stanford</t>
        </is>
      </c>
      <c r="F2525" s="11" t="inlineStr">
        <is>
          <t>1:15:20</t>
        </is>
      </c>
      <c r="G2525" s="11" t="n">
        <v>1.26</v>
      </c>
      <c r="H2525" s="12" t="inlineStr"/>
      <c r="I2525" s="11" t="inlineStr">
        <is>
          <t>Not started</t>
        </is>
      </c>
      <c r="J2525" s="13" t="n"/>
      <c r="K2525" s="10" t="inlineStr"/>
      <c r="L2525" s="14" t="inlineStr">
        <is>
          <t>▶ watch</t>
        </is>
      </c>
      <c r="M2525" s="10" t="inlineStr">
        <is>
          <t>Hennessy &amp; Patterson, A New Golden Age for Computer Architecture, CACM 62(2):48–60, 2019 · Abts et al., Think Fast: A Tensor Streaming Processor, ISCA 2020</t>
        </is>
      </c>
      <c r="N2525" s="14" t="inlineStr">
        <is>
          <t>read ↗</t>
        </is>
      </c>
      <c r="O2525" s="11" t="inlineStr">
        <is>
          <t>section reading</t>
        </is>
      </c>
      <c r="P2525" s="10" t="inlineStr"/>
    </row>
    <row r="2526">
      <c r="A2526" s="19" t="n">
        <v>2525</v>
      </c>
      <c r="B2526" s="19" t="inlineStr">
        <is>
          <t>Part IV - Performance Engineering</t>
        </is>
      </c>
      <c r="C2526" s="20" t="inlineStr">
        <is>
          <t>E.5.4 The codesign argument, and four answers to it</t>
        </is>
      </c>
      <c r="D2526" s="10" t="inlineStr">
        <is>
          <t>Domain-Specific Architectures for Deep Neural Networks</t>
        </is>
      </c>
      <c r="E2526" s="10" t="inlineStr">
        <is>
          <t>David Patterson (ScaledML</t>
        </is>
      </c>
      <c r="F2526" s="11" t="inlineStr">
        <is>
          <t>1:00:16</t>
        </is>
      </c>
      <c r="G2526" s="11" t="n">
        <v>1</v>
      </c>
      <c r="H2526" s="12" t="inlineStr"/>
      <c r="I2526" s="11" t="inlineStr">
        <is>
          <t>Not started</t>
        </is>
      </c>
      <c r="J2526" s="13" t="n"/>
      <c r="K2526" s="10" t="inlineStr"/>
      <c r="L2526" s="14" t="inlineStr">
        <is>
          <t>▶ watch</t>
        </is>
      </c>
      <c r="M2526" s="10" t="inlineStr">
        <is>
          <t>Hennessy &amp; Patterson, A New Golden Age for Computer Architecture, CACM 62(2):48–60, 2019 · Abts et al., Think Fast: A Tensor Streaming Processor, ISCA 2020</t>
        </is>
      </c>
      <c r="N2526" s="14" t="inlineStr">
        <is>
          <t>read ↗</t>
        </is>
      </c>
      <c r="O2526" s="11" t="inlineStr">
        <is>
          <t>section reading</t>
        </is>
      </c>
      <c r="P2526" s="10" t="inlineStr"/>
    </row>
    <row r="2527">
      <c r="A2527" s="19" t="n">
        <v>2526</v>
      </c>
      <c r="B2527" s="19" t="inlineStr">
        <is>
          <t>Part IV - Performance Engineering</t>
        </is>
      </c>
      <c r="C2527" s="20" t="inlineStr">
        <is>
          <t>E.5.4 The codesign argument, and four answers to it</t>
        </is>
      </c>
      <c r="D2527" s="10" t="inlineStr">
        <is>
          <t>ML and Computation Platforms - Graphcore + Cerebras + SambaNova + Anton 3, one session</t>
        </is>
      </c>
      <c r="E2527" s="10" t="inlineStr">
        <is>
          <t>Knowles, Lie, Prabhakar, Butts</t>
        </is>
      </c>
      <c r="F2527" s="11" t="inlineStr">
        <is>
          <t>2:16:44</t>
        </is>
      </c>
      <c r="G2527" s="11" t="n">
        <v>2.28</v>
      </c>
      <c r="H2527" s="12" t="inlineStr">
        <is>
          <t>★</t>
        </is>
      </c>
      <c r="I2527" s="11" t="inlineStr">
        <is>
          <t>Not started</t>
        </is>
      </c>
      <c r="J2527" s="13" t="n"/>
      <c r="K2527" s="10" t="inlineStr"/>
      <c r="L2527" s="14" t="inlineStr">
        <is>
          <t>▶ watch</t>
        </is>
      </c>
      <c r="M2527" s="10" t="inlineStr">
        <is>
          <t>Hennessy &amp; Patterson, A New Golden Age for Computer Architecture, CACM 62(2):48–60, 2019 · Abts et al., Think Fast: A Tensor Streaming Processor, ISCA 2020</t>
        </is>
      </c>
      <c r="N2527" s="14" t="inlineStr">
        <is>
          <t>read ↗</t>
        </is>
      </c>
      <c r="O2527" s="11" t="inlineStr">
        <is>
          <t>section reading</t>
        </is>
      </c>
      <c r="P2527" s="10" t="inlineStr">
        <is>
          <t>E.5.5 Anton - the biology codesign result</t>
        </is>
      </c>
    </row>
    <row r="2528">
      <c r="A2528" s="19" t="n">
        <v>2527</v>
      </c>
      <c r="B2528" s="19" t="inlineStr">
        <is>
          <t>Part IV - Performance Engineering</t>
        </is>
      </c>
      <c r="C2528" s="20" t="inlineStr">
        <is>
          <t>E.5.4 The codesign argument, and four answers to it</t>
        </is>
      </c>
      <c r="D2528" s="10" t="inlineStr">
        <is>
          <t>Cerebras Architecture Deep Dive</t>
        </is>
      </c>
      <c r="E2528" s="10" t="inlineStr">
        <is>
          <t>Sean Lie (CTO, Cerebras</t>
        </is>
      </c>
      <c r="F2528" s="11" t="inlineStr">
        <is>
          <t>27:00</t>
        </is>
      </c>
      <c r="G2528" s="11" t="n">
        <v>0.45</v>
      </c>
      <c r="H2528" s="12" t="inlineStr">
        <is>
          <t>★</t>
        </is>
      </c>
      <c r="I2528" s="11" t="inlineStr">
        <is>
          <t>Not started</t>
        </is>
      </c>
      <c r="J2528" s="13" t="n"/>
      <c r="K2528" s="10" t="inlineStr"/>
      <c r="L2528" s="14" t="inlineStr">
        <is>
          <t>▶ watch</t>
        </is>
      </c>
      <c r="M2528" s="10" t="inlineStr">
        <is>
          <t>Hennessy &amp; Patterson, A New Golden Age for Computer Architecture, CACM 62(2):48–60, 2019 · Abts et al., Think Fast: A Tensor Streaming Processor, ISCA 2020</t>
        </is>
      </c>
      <c r="N2528" s="14" t="inlineStr">
        <is>
          <t>read ↗</t>
        </is>
      </c>
      <c r="O2528" s="11" t="inlineStr">
        <is>
          <t>section reading</t>
        </is>
      </c>
      <c r="P2528" s="10" t="inlineStr"/>
    </row>
    <row r="2529">
      <c r="A2529" s="19" t="n">
        <v>2528</v>
      </c>
      <c r="B2529" s="19" t="inlineStr">
        <is>
          <t>Part IV - Performance Engineering</t>
        </is>
      </c>
      <c r="C2529" s="20" t="inlineStr">
        <is>
          <t>E.5.4 The codesign argument, and four answers to it</t>
        </is>
      </c>
      <c r="D2529" s="10" t="inlineStr">
        <is>
          <t>Thinking Outside the Die (SAFARI seminar, ETH</t>
        </is>
      </c>
      <c r="E2529" s="10" t="inlineStr">
        <is>
          <t>Sean Lie (Cerebras</t>
        </is>
      </c>
      <c r="F2529" s="11" t="inlineStr">
        <is>
          <t>1:58:56</t>
        </is>
      </c>
      <c r="G2529" s="11" t="n">
        <v>1.98</v>
      </c>
      <c r="H2529" s="12" t="inlineStr">
        <is>
          <t>★</t>
        </is>
      </c>
      <c r="I2529" s="11" t="inlineStr">
        <is>
          <t>Not started</t>
        </is>
      </c>
      <c r="J2529" s="13" t="n"/>
      <c r="K2529" s="10" t="inlineStr"/>
      <c r="L2529" s="14" t="inlineStr">
        <is>
          <t>▶ watch</t>
        </is>
      </c>
      <c r="M2529" s="10" t="inlineStr">
        <is>
          <t>Hennessy &amp; Patterson, A New Golden Age for Computer Architecture, CACM 62(2):48–60, 2019 · Abts et al., Think Fast: A Tensor Streaming Processor, ISCA 2020</t>
        </is>
      </c>
      <c r="N2529" s="14" t="inlineStr">
        <is>
          <t>read ↗</t>
        </is>
      </c>
      <c r="O2529" s="11" t="inlineStr">
        <is>
          <t>section reading</t>
        </is>
      </c>
      <c r="P2529" s="10" t="inlineStr"/>
    </row>
    <row r="2530">
      <c r="A2530" s="19" t="n">
        <v>2529</v>
      </c>
      <c r="B2530" s="19" t="inlineStr">
        <is>
          <t>Part IV - Performance Engineering</t>
        </is>
      </c>
      <c r="C2530" s="20" t="inlineStr">
        <is>
          <t>E.5.4 The codesign argument, and four answers to it</t>
        </is>
      </c>
      <c r="D2530" s="10" t="inlineStr">
        <is>
          <t>Groq architecture (Cornell ECE 5545 guest lecture</t>
        </is>
      </c>
      <c r="E2530" s="10" t="inlineStr">
        <is>
          <t>Dennis Abts (Chief Architect, Groq</t>
        </is>
      </c>
      <c r="F2530" s="11" t="inlineStr">
        <is>
          <t>59:29</t>
        </is>
      </c>
      <c r="G2530" s="11" t="n">
        <v>0.99</v>
      </c>
      <c r="H2530" s="12" t="inlineStr"/>
      <c r="I2530" s="11" t="inlineStr">
        <is>
          <t>Not started</t>
        </is>
      </c>
      <c r="J2530" s="13" t="n"/>
      <c r="K2530" s="10" t="inlineStr"/>
      <c r="L2530" s="14" t="inlineStr">
        <is>
          <t>▶ watch</t>
        </is>
      </c>
      <c r="M2530" s="10" t="inlineStr">
        <is>
          <t>Hennessy &amp; Patterson, A New Golden Age for Computer Architecture, CACM 62(2):48–60, 2019 · Abts et al., Think Fast: A Tensor Streaming Processor, ISCA 2020</t>
        </is>
      </c>
      <c r="N2530" s="14" t="inlineStr">
        <is>
          <t>read ↗</t>
        </is>
      </c>
      <c r="O2530" s="11" t="inlineStr">
        <is>
          <t>section reading</t>
        </is>
      </c>
      <c r="P2530" s="10" t="inlineStr"/>
    </row>
    <row r="2531">
      <c r="A2531" s="19" t="n">
        <v>2530</v>
      </c>
      <c r="B2531" s="19" t="inlineStr">
        <is>
          <t>Part IV - Performance Engineering</t>
        </is>
      </c>
      <c r="C2531" s="20" t="inlineStr">
        <is>
          <t>E.5.4 The codesign argument, and four answers to it</t>
        </is>
      </c>
      <c r="D2531" s="10" t="inlineStr">
        <is>
          <t>Domain-Specific Networks for Machine Learning (NOCS keynote</t>
        </is>
      </c>
      <c r="E2531" s="10" t="inlineStr">
        <is>
          <t>Dennis Abts (Groq</t>
        </is>
      </c>
      <c r="F2531" s="11" t="inlineStr">
        <is>
          <t>38:29</t>
        </is>
      </c>
      <c r="G2531" s="11" t="n">
        <v>0.64</v>
      </c>
      <c r="H2531" s="12" t="inlineStr"/>
      <c r="I2531" s="11" t="inlineStr">
        <is>
          <t>Not started</t>
        </is>
      </c>
      <c r="J2531" s="13" t="n"/>
      <c r="K2531" s="10" t="inlineStr"/>
      <c r="L2531" s="14" t="inlineStr">
        <is>
          <t>▶ watch</t>
        </is>
      </c>
      <c r="M2531" s="10" t="inlineStr">
        <is>
          <t>Hennessy &amp; Patterson, A New Golden Age for Computer Architecture, CACM 62(2):48–60, 2019 · Abts et al., Think Fast: A Tensor Streaming Processor, ISCA 2020</t>
        </is>
      </c>
      <c r="N2531" s="14" t="inlineStr">
        <is>
          <t>read ↗</t>
        </is>
      </c>
      <c r="O2531" s="11" t="inlineStr">
        <is>
          <t>section reading</t>
        </is>
      </c>
      <c r="P2531" s="10" t="inlineStr"/>
    </row>
    <row r="2532">
      <c r="A2532" s="19" t="n">
        <v>2531</v>
      </c>
      <c r="B2532" s="19" t="inlineStr">
        <is>
          <t>Part IV - Performance Engineering</t>
        </is>
      </c>
      <c r="C2532" s="20" t="inlineStr">
        <is>
          <t>E.5.4 The codesign argument, and four answers to it</t>
        </is>
      </c>
      <c r="D2532" s="10" t="inlineStr">
        <is>
          <t>Designing Processors for Intelligence</t>
        </is>
      </c>
      <c r="E2532" s="10" t="inlineStr">
        <is>
          <t>Simon Knowles (CTO, Graphcore</t>
        </is>
      </c>
      <c r="F2532" s="11" t="inlineStr">
        <is>
          <t>1:16:22</t>
        </is>
      </c>
      <c r="G2532" s="11" t="n">
        <v>1.27</v>
      </c>
      <c r="H2532" s="12" t="inlineStr">
        <is>
          <t>★</t>
        </is>
      </c>
      <c r="I2532" s="11" t="inlineStr">
        <is>
          <t>Not started</t>
        </is>
      </c>
      <c r="J2532" s="13" t="n"/>
      <c r="K2532" s="10" t="inlineStr"/>
      <c r="L2532" s="14" t="inlineStr">
        <is>
          <t>▶ watch</t>
        </is>
      </c>
      <c r="M2532" s="10" t="inlineStr">
        <is>
          <t>Hennessy &amp; Patterson, A New Golden Age for Computer Architecture, CACM 62(2):48–60, 2019 · Abts et al., Think Fast: A Tensor Streaming Processor, ISCA 2020</t>
        </is>
      </c>
      <c r="N2532" s="14" t="inlineStr">
        <is>
          <t>read ↗</t>
        </is>
      </c>
      <c r="O2532" s="11" t="inlineStr">
        <is>
          <t>section reading</t>
        </is>
      </c>
      <c r="P2532" s="10" t="inlineStr"/>
    </row>
    <row r="2533">
      <c r="A2533" s="19" t="n">
        <v>2532</v>
      </c>
      <c r="B2533" s="19" t="inlineStr">
        <is>
          <t>Part IV - Performance Engineering</t>
        </is>
      </c>
      <c r="C2533" s="20" t="inlineStr">
        <is>
          <t>E.5.4 The codesign argument, and four answers to it</t>
        </is>
      </c>
      <c r="D2533" s="10" t="inlineStr">
        <is>
          <t>(see curriculum section)</t>
        </is>
      </c>
      <c r="E2533" s="10" t="inlineStr"/>
      <c r="F2533" s="11" t="inlineStr"/>
      <c r="G2533" s="11" t="n">
        <v>0</v>
      </c>
      <c r="H2533" s="12" t="inlineStr"/>
      <c r="I2533" s="11" t="inlineStr">
        <is>
          <t>Not started</t>
        </is>
      </c>
      <c r="J2533" s="13" t="n"/>
      <c r="K2533" s="10" t="inlineStr"/>
      <c r="L2533" s="14" t="inlineStr">
        <is>
          <t>▶ watch</t>
        </is>
      </c>
      <c r="M2533" s="10" t="inlineStr">
        <is>
          <t>Hennessy &amp; Patterson, A New Golden Age for Computer Architecture, CACM 62(2):48–60, 2019 · Abts et al., Think Fast: A Tensor Streaming Processor, ISCA 2020</t>
        </is>
      </c>
      <c r="N2533" s="14" t="inlineStr">
        <is>
          <t>read ↗</t>
        </is>
      </c>
      <c r="O2533" s="11" t="inlineStr">
        <is>
          <t>section reading</t>
        </is>
      </c>
      <c r="P2533" s="10" t="inlineStr"/>
    </row>
    <row r="2534">
      <c r="A2534" s="19" t="n">
        <v>2533</v>
      </c>
      <c r="B2534" s="19" t="inlineStr">
        <is>
          <t>Part IV - Performance Engineering</t>
        </is>
      </c>
      <c r="C2534" s="20" t="inlineStr">
        <is>
          <t>E.5.4 The codesign argument, and four answers to it</t>
        </is>
      </c>
      <c r="D2534" s="10" t="inlineStr">
        <is>
          <t>Let the Data Flow!</t>
        </is>
      </c>
      <c r="E2534" s="10" t="inlineStr"/>
      <c r="F2534" s="11" t="inlineStr"/>
      <c r="G2534" s="11" t="n">
        <v>0</v>
      </c>
      <c r="H2534" s="12" t="inlineStr"/>
      <c r="I2534" s="11" t="inlineStr">
        <is>
          <t>Not started</t>
        </is>
      </c>
      <c r="J2534" s="13" t="n"/>
      <c r="K2534" s="10" t="inlineStr"/>
      <c r="L2534" s="14" t="inlineStr">
        <is>
          <t>▶ watch</t>
        </is>
      </c>
      <c r="M2534" s="10" t="inlineStr">
        <is>
          <t>Hennessy &amp; Patterson, A New Golden Age for Computer Architecture, CACM 62(2):48–60, 2019 · Abts et al., Think Fast: A Tensor Streaming Processor, ISCA 2020</t>
        </is>
      </c>
      <c r="N2534" s="14" t="inlineStr">
        <is>
          <t>read ↗</t>
        </is>
      </c>
      <c r="O2534" s="11" t="inlineStr">
        <is>
          <t>section reading</t>
        </is>
      </c>
      <c r="P2534" s="10" t="inlineStr"/>
    </row>
    <row r="2535">
      <c r="A2535" s="19" t="n">
        <v>2534</v>
      </c>
      <c r="B2535" s="19" t="inlineStr">
        <is>
          <t>Part IV - Performance Engineering</t>
        </is>
      </c>
      <c r="C2535" s="20" t="inlineStr">
        <is>
          <t>E.5.4 The codesign argument, and four answers to it</t>
        </is>
      </c>
      <c r="D2535" s="10" t="inlineStr">
        <is>
          <t>Bill Dally's GPU-side rebuttal</t>
        </is>
      </c>
      <c r="E2535" s="10" t="inlineStr"/>
      <c r="F2535" s="11" t="inlineStr"/>
      <c r="G2535" s="11" t="n">
        <v>0</v>
      </c>
      <c r="H2535" s="12" t="inlineStr">
        <is>
          <t>★</t>
        </is>
      </c>
      <c r="I2535" s="11" t="inlineStr">
        <is>
          <t>Not started</t>
        </is>
      </c>
      <c r="J2535" s="13" t="n"/>
      <c r="K2535" s="10" t="inlineStr"/>
      <c r="L2535" s="14" t="inlineStr">
        <is>
          <t>▶ watch</t>
        </is>
      </c>
      <c r="M2535" s="10" t="inlineStr">
        <is>
          <t>Hennessy &amp; Patterson, A New Golden Age for Computer Architecture, CACM 62(2):48–60, 2019 · Abts et al., Think Fast: A Tensor Streaming Processor, ISCA 2020</t>
        </is>
      </c>
      <c r="N2535" s="14" t="inlineStr">
        <is>
          <t>read ↗</t>
        </is>
      </c>
      <c r="O2535" s="11" t="inlineStr">
        <is>
          <t>section reading</t>
        </is>
      </c>
      <c r="P2535" s="10" t="inlineStr"/>
    </row>
    <row r="2536">
      <c r="A2536" s="19" t="n">
        <v>2535</v>
      </c>
      <c r="B2536" s="19" t="inlineStr">
        <is>
          <t>Part IV - Performance Engineering</t>
        </is>
      </c>
      <c r="C2536" s="20" t="inlineStr">
        <is>
          <t>E.5.4 The codesign argument, and four answers to it</t>
        </is>
      </c>
      <c r="D2536" s="10" t="inlineStr">
        <is>
          <t>Bill Dally's GPU-side rebuttal</t>
        </is>
      </c>
      <c r="E2536" s="10" t="inlineStr"/>
      <c r="F2536" s="11" t="inlineStr"/>
      <c r="G2536" s="11" t="n">
        <v>0</v>
      </c>
      <c r="H2536" s="12" t="inlineStr">
        <is>
          <t>★</t>
        </is>
      </c>
      <c r="I2536" s="11" t="inlineStr">
        <is>
          <t>Not started</t>
        </is>
      </c>
      <c r="J2536" s="13" t="n"/>
      <c r="K2536" s="10" t="inlineStr"/>
      <c r="L2536" s="14" t="inlineStr">
        <is>
          <t>▶ watch</t>
        </is>
      </c>
      <c r="M2536" s="10" t="inlineStr">
        <is>
          <t>Hennessy &amp; Patterson, A New Golden Age for Computer Architecture, CACM 62(2):48–60, 2019 · Abts et al., Think Fast: A Tensor Streaming Processor, ISCA 2020</t>
        </is>
      </c>
      <c r="N2536" s="14" t="inlineStr">
        <is>
          <t>read ↗</t>
        </is>
      </c>
      <c r="O2536" s="11" t="inlineStr">
        <is>
          <t>section reading</t>
        </is>
      </c>
      <c r="P2536" s="10" t="inlineStr"/>
    </row>
    <row r="2537">
      <c r="A2537" s="19" t="n">
        <v>2536</v>
      </c>
      <c r="B2537" s="19" t="inlineStr">
        <is>
          <t>Part IV - Performance Engineering</t>
        </is>
      </c>
      <c r="C2537" s="20" t="inlineStr">
        <is>
          <t>E.5.4 The codesign argument, and four answers to it</t>
        </is>
      </c>
      <c r="D2537" s="10" t="inlineStr">
        <is>
          <t>Bill Dally's GPU-side rebuttal</t>
        </is>
      </c>
      <c r="E2537" s="10" t="inlineStr"/>
      <c r="F2537" s="11" t="inlineStr"/>
      <c r="G2537" s="11" t="n">
        <v>0</v>
      </c>
      <c r="H2537" s="12" t="inlineStr"/>
      <c r="I2537" s="11" t="inlineStr">
        <is>
          <t>Not started</t>
        </is>
      </c>
      <c r="J2537" s="13" t="n"/>
      <c r="K2537" s="10" t="inlineStr"/>
      <c r="L2537" s="14" t="inlineStr">
        <is>
          <t>▶ watch</t>
        </is>
      </c>
      <c r="M2537" s="10" t="inlineStr">
        <is>
          <t>Hennessy &amp; Patterson, A New Golden Age for Computer Architecture, CACM 62(2):48–60, 2019 · Abts et al., Think Fast: A Tensor Streaming Processor, ISCA 2020</t>
        </is>
      </c>
      <c r="N2537" s="14" t="inlineStr">
        <is>
          <t>read ↗</t>
        </is>
      </c>
      <c r="O2537" s="11" t="inlineStr">
        <is>
          <t>section reading</t>
        </is>
      </c>
      <c r="P2537" s="10" t="inlineStr"/>
    </row>
    <row r="2538">
      <c r="A2538" s="19" t="n">
        <v>2537</v>
      </c>
      <c r="B2538" s="19" t="inlineStr">
        <is>
          <t>Part IV - Performance Engineering</t>
        </is>
      </c>
      <c r="C2538" s="20" t="inlineStr">
        <is>
          <t>E.5.5 Anton - the biology codesign result</t>
        </is>
      </c>
      <c r="D2538" s="10" t="inlineStr">
        <is>
          <t>Anton: A Special-Purpose Machine That Achieves a Hundred-Fold Speedup in Biomolecular Simulations</t>
        </is>
      </c>
      <c r="E2538" s="10" t="inlineStr">
        <is>
          <t>David E. Shaw</t>
        </is>
      </c>
      <c r="F2538" s="11" t="inlineStr">
        <is>
          <t>1:20:34</t>
        </is>
      </c>
      <c r="G2538" s="11" t="n">
        <v>1.34</v>
      </c>
      <c r="H2538" s="12" t="inlineStr">
        <is>
          <t>★</t>
        </is>
      </c>
      <c r="I2538" s="11" t="inlineStr">
        <is>
          <t>Not started</t>
        </is>
      </c>
      <c r="J2538" s="13" t="n"/>
      <c r="K2538" s="10" t="inlineStr"/>
      <c r="L2538" s="14" t="inlineStr">
        <is>
          <t>▶ watch</t>
        </is>
      </c>
      <c r="M2538"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38" s="14" t="inlineStr">
        <is>
          <t>read ↗</t>
        </is>
      </c>
      <c r="O2538" s="11" t="inlineStr">
        <is>
          <t>section reading (2 of 7)</t>
        </is>
      </c>
      <c r="P2538" s="10" t="inlineStr"/>
    </row>
    <row r="2539">
      <c r="A2539" s="19" t="n">
        <v>2538</v>
      </c>
      <c r="B2539" s="19" t="inlineStr">
        <is>
          <t>Part IV - Performance Engineering</t>
        </is>
      </c>
      <c r="C2539" s="20" t="inlineStr">
        <is>
          <t>E.5.5 Anton - the biology codesign result</t>
        </is>
      </c>
      <c r="D2539" s="10" t="inlineStr">
        <is>
          <t>SC23 Test of Time Award Talk - retrospective across Anton 1, 2 and 3</t>
        </is>
      </c>
      <c r="E2539" s="10" t="inlineStr">
        <is>
          <t>David E. Shaw</t>
        </is>
      </c>
      <c r="F2539" s="11" t="inlineStr">
        <is>
          <t>54:55</t>
        </is>
      </c>
      <c r="G2539" s="11" t="n">
        <v>0.92</v>
      </c>
      <c r="H2539" s="12" t="inlineStr">
        <is>
          <t>★</t>
        </is>
      </c>
      <c r="I2539" s="11" t="inlineStr">
        <is>
          <t>Not started</t>
        </is>
      </c>
      <c r="J2539" s="13" t="n"/>
      <c r="K2539" s="10" t="inlineStr"/>
      <c r="L2539" s="14" t="inlineStr">
        <is>
          <t>▶ watch</t>
        </is>
      </c>
      <c r="M2539"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39" s="14" t="inlineStr">
        <is>
          <t>read ↗</t>
        </is>
      </c>
      <c r="O2539" s="11" t="inlineStr">
        <is>
          <t>section reading (2 of 7)</t>
        </is>
      </c>
      <c r="P2539" s="10" t="inlineStr"/>
    </row>
    <row r="2540">
      <c r="A2540" s="19" t="n">
        <v>2539</v>
      </c>
      <c r="B2540" s="19" t="inlineStr">
        <is>
          <t>Part IV - Performance Engineering</t>
        </is>
      </c>
      <c r="C2540" s="20" t="inlineStr">
        <is>
          <t>E.5.5 Anton - the biology codesign result</t>
        </is>
      </c>
      <c r="D2540" s="10" t="inlineStr">
        <is>
          <t>Anton 2: A 2nd-Generation ASIC for Molecular Dynamics (Hot Chips 26; segment begins 1:05:53</t>
        </is>
      </c>
      <c r="E2540" s="10" t="inlineStr">
        <is>
          <t>J. Adam Butts + D. E. Shaw</t>
        </is>
      </c>
      <c r="F2540" s="11" t="inlineStr">
        <is>
          <t>1:05:53</t>
        </is>
      </c>
      <c r="G2540" s="11" t="n">
        <v>1.1</v>
      </c>
      <c r="H2540" s="12" t="inlineStr">
        <is>
          <t>★</t>
        </is>
      </c>
      <c r="I2540" s="11" t="inlineStr">
        <is>
          <t>Not started</t>
        </is>
      </c>
      <c r="J2540" s="13" t="n"/>
      <c r="K2540" s="10" t="inlineStr"/>
      <c r="L2540" s="14" t="inlineStr">
        <is>
          <t>▶ watch</t>
        </is>
      </c>
      <c r="M2540"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40" s="14" t="inlineStr">
        <is>
          <t>read ↗</t>
        </is>
      </c>
      <c r="O2540" s="11" t="inlineStr">
        <is>
          <t>section reading (2 of 7)</t>
        </is>
      </c>
      <c r="P2540" s="10" t="inlineStr"/>
    </row>
    <row r="2541">
      <c r="A2541" s="19" t="n">
        <v>2540</v>
      </c>
      <c r="B2541" s="19" t="inlineStr">
        <is>
          <t>Part IV - Performance Engineering</t>
        </is>
      </c>
      <c r="C2541" s="20" t="inlineStr">
        <is>
          <t>E.5.5 Anton - the biology codesign result</t>
        </is>
      </c>
      <c r="D2541" s="10" t="inlineStr">
        <is>
          <t>High Speed Protein Simulations with Anton (UW</t>
        </is>
      </c>
      <c r="E2541" s="10" t="inlineStr">
        <is>
          <t>David E. Shaw</t>
        </is>
      </c>
      <c r="F2541" s="11" t="inlineStr">
        <is>
          <t>58:29</t>
        </is>
      </c>
      <c r="G2541" s="11" t="n">
        <v>0.97</v>
      </c>
      <c r="H2541" s="12" t="inlineStr"/>
      <c r="I2541" s="11" t="inlineStr">
        <is>
          <t>Not started</t>
        </is>
      </c>
      <c r="J2541" s="13" t="n"/>
      <c r="K2541" s="10" t="inlineStr"/>
      <c r="L2541" s="14" t="inlineStr">
        <is>
          <t>▶ watch</t>
        </is>
      </c>
      <c r="M2541"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41" s="14" t="inlineStr">
        <is>
          <t>read ↗</t>
        </is>
      </c>
      <c r="O2541" s="11" t="inlineStr">
        <is>
          <t>section reading (2 of 7)</t>
        </is>
      </c>
      <c r="P2541" s="10" t="inlineStr"/>
    </row>
    <row r="2542">
      <c r="A2542" s="19" t="n">
        <v>2541</v>
      </c>
      <c r="B2542" s="19" t="inlineStr">
        <is>
          <t>Part IV - Performance Engineering</t>
        </is>
      </c>
      <c r="C2542" s="20" t="inlineStr">
        <is>
          <t>E.5.5 Anton - the biology codesign result</t>
        </is>
      </c>
      <c r="D2542" s="10" t="inlineStr">
        <is>
          <t>Long Molecular Dynamics Simulations: Progress, Problems, and Promise (ISMB keynote</t>
        </is>
      </c>
      <c r="E2542" s="10" t="inlineStr">
        <is>
          <t>David E. Shaw</t>
        </is>
      </c>
      <c r="F2542" s="11" t="inlineStr">
        <is>
          <t>1:35:36</t>
        </is>
      </c>
      <c r="G2542" s="11" t="n">
        <v>1.59</v>
      </c>
      <c r="H2542" s="12" t="inlineStr"/>
      <c r="I2542" s="11" t="inlineStr">
        <is>
          <t>Not started</t>
        </is>
      </c>
      <c r="J2542" s="13" t="n"/>
      <c r="K2542" s="10" t="inlineStr"/>
      <c r="L2542" s="14" t="inlineStr">
        <is>
          <t>▶ watch</t>
        </is>
      </c>
      <c r="M2542"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42" s="14" t="inlineStr">
        <is>
          <t>read ↗</t>
        </is>
      </c>
      <c r="O2542" s="11" t="inlineStr">
        <is>
          <t>section reading (2 of 7)</t>
        </is>
      </c>
      <c r="P2542" s="10" t="inlineStr"/>
    </row>
    <row r="2543">
      <c r="A2543" s="19" t="n">
        <v>2542</v>
      </c>
      <c r="B2543" s="19" t="inlineStr">
        <is>
          <t>Part IV - Performance Engineering</t>
        </is>
      </c>
      <c r="C2543" s="20" t="inlineStr">
        <is>
          <t>E.5.5 Anton - the biology codesign result</t>
        </is>
      </c>
      <c r="D2543" s="10" t="inlineStr">
        <is>
          <t>MDGRAPE-4A: A Special-Purpose Computer for Molecular Dynamics</t>
        </is>
      </c>
      <c r="E2543" s="10" t="inlineStr">
        <is>
          <t>Makoto Taiji (RIKEN</t>
        </is>
      </c>
      <c r="F2543" s="11" t="inlineStr">
        <is>
          <t>33:03</t>
        </is>
      </c>
      <c r="G2543" s="11" t="n">
        <v>0.55</v>
      </c>
      <c r="H2543" s="12" t="inlineStr">
        <is>
          <t>★</t>
        </is>
      </c>
      <c r="I2543" s="11" t="inlineStr">
        <is>
          <t>Not started</t>
        </is>
      </c>
      <c r="J2543" s="13" t="n"/>
      <c r="K2543" s="10" t="inlineStr"/>
      <c r="L2543" s="14" t="inlineStr">
        <is>
          <t>▶ watch</t>
        </is>
      </c>
      <c r="M2543"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43" s="14" t="inlineStr">
        <is>
          <t>read ↗</t>
        </is>
      </c>
      <c r="O2543" s="11" t="inlineStr">
        <is>
          <t>section reading (2 of 7)</t>
        </is>
      </c>
      <c r="P2543" s="10" t="inlineStr"/>
    </row>
    <row r="2544">
      <c r="A2544" s="19" t="n">
        <v>2543</v>
      </c>
      <c r="B2544" s="19" t="inlineStr">
        <is>
          <t>Part IV - Performance Engineering</t>
        </is>
      </c>
      <c r="C2544" s="20" t="inlineStr">
        <is>
          <t>E.5.5 Anton - the biology codesign result</t>
        </is>
      </c>
      <c r="D2544" s="10" t="inlineStr">
        <is>
          <t>RISC-V Tokyo: special-purpose MD silicon</t>
        </is>
      </c>
      <c r="E2544" s="10" t="inlineStr">
        <is>
          <t>Makoto Taiji (RIKEN</t>
        </is>
      </c>
      <c r="F2544" s="11" t="inlineStr">
        <is>
          <t>28:33</t>
        </is>
      </c>
      <c r="G2544" s="11" t="n">
        <v>0.48</v>
      </c>
      <c r="H2544" s="12" t="inlineStr"/>
      <c r="I2544" s="11" t="inlineStr">
        <is>
          <t>Not started</t>
        </is>
      </c>
      <c r="J2544" s="13" t="n"/>
      <c r="K2544" s="10" t="inlineStr"/>
      <c r="L2544" s="14" t="inlineStr">
        <is>
          <t>▶ watch</t>
        </is>
      </c>
      <c r="M2544"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44" s="14" t="inlineStr">
        <is>
          <t>read ↗</t>
        </is>
      </c>
      <c r="O2544" s="11" t="inlineStr">
        <is>
          <t>section reading (2 of 7)</t>
        </is>
      </c>
      <c r="P2544" s="10" t="inlineStr"/>
    </row>
    <row r="2545">
      <c r="A2545" s="19" t="n">
        <v>2544</v>
      </c>
      <c r="B2545" s="19" t="inlineStr">
        <is>
          <t>Part IV - Performance Engineering</t>
        </is>
      </c>
      <c r="C2545" s="20" t="inlineStr">
        <is>
          <t>E.5.5 Anton - the biology codesign result</t>
        </is>
      </c>
      <c r="D2545" s="10" t="inlineStr">
        <is>
          <t>Cliff Young (Google) - Anton co-architect and TPU co-designer</t>
        </is>
      </c>
      <c r="E2545" s="10" t="inlineStr">
        <is>
          <t>Codesign from Semiconductors to AI</t>
        </is>
      </c>
      <c r="F2545" s="11" t="inlineStr">
        <is>
          <t>31:47</t>
        </is>
      </c>
      <c r="G2545" s="11" t="n">
        <v>0.53</v>
      </c>
      <c r="H2545" s="12" t="inlineStr">
        <is>
          <t>★</t>
        </is>
      </c>
      <c r="I2545" s="11" t="inlineStr">
        <is>
          <t>Not started</t>
        </is>
      </c>
      <c r="J2545" s="13" t="n"/>
      <c r="K2545" s="10" t="inlineStr"/>
      <c r="L2545" s="14" t="inlineStr">
        <is>
          <t>▶ watch</t>
        </is>
      </c>
      <c r="M2545"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45" s="14" t="inlineStr">
        <is>
          <t>read ↗</t>
        </is>
      </c>
      <c r="O2545" s="11" t="inlineStr">
        <is>
          <t>section reading (2 of 7)</t>
        </is>
      </c>
      <c r="P2545" s="10" t="inlineStr"/>
    </row>
    <row r="2546">
      <c r="A2546" s="19" t="n">
        <v>2545</v>
      </c>
      <c r="B2546" s="19" t="inlineStr">
        <is>
          <t>Part IV - Performance Engineering</t>
        </is>
      </c>
      <c r="C2546" s="20" t="inlineStr">
        <is>
          <t>E.5.5 Anton - the biology codesign result</t>
        </is>
      </c>
      <c r="D2546" s="10" t="inlineStr">
        <is>
          <t>(see curriculum section)</t>
        </is>
      </c>
      <c r="E2546" s="10" t="inlineStr"/>
      <c r="F2546" s="11" t="inlineStr"/>
      <c r="G2546" s="11" t="n">
        <v>0</v>
      </c>
      <c r="H2546" s="12" t="inlineStr"/>
      <c r="I2546" s="11" t="inlineStr">
        <is>
          <t>Not started</t>
        </is>
      </c>
      <c r="J2546" s="13" t="n"/>
      <c r="K2546" s="10" t="inlineStr"/>
      <c r="L2546" s="14" t="inlineStr">
        <is>
          <t>▶ watch</t>
        </is>
      </c>
      <c r="M2546"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46" s="14" t="inlineStr">
        <is>
          <t>read ↗</t>
        </is>
      </c>
      <c r="O2546" s="11" t="inlineStr">
        <is>
          <t>section reading (2 of 7)</t>
        </is>
      </c>
      <c r="P2546" s="10" t="inlineStr"/>
    </row>
    <row r="2547">
      <c r="A2547" s="19" t="n">
        <v>2546</v>
      </c>
      <c r="B2547" s="19" t="inlineStr">
        <is>
          <t>Part IV - Performance Engineering</t>
        </is>
      </c>
      <c r="C2547" s="20" t="inlineStr">
        <is>
          <t>E.5.5 Anton - the biology codesign result</t>
        </is>
      </c>
      <c r="D2547" s="10" t="inlineStr">
        <is>
          <t>2025 and 2024</t>
        </is>
      </c>
      <c r="E2547" s="10" t="inlineStr"/>
      <c r="F2547" s="11" t="inlineStr"/>
      <c r="G2547" s="11" t="n">
        <v>0</v>
      </c>
      <c r="H2547" s="12" t="inlineStr"/>
      <c r="I2547" s="11" t="inlineStr">
        <is>
          <t>Not started</t>
        </is>
      </c>
      <c r="J2547" s="13" t="n"/>
      <c r="K2547" s="10" t="inlineStr"/>
      <c r="L2547" s="14" t="inlineStr">
        <is>
          <t>▶ watch</t>
        </is>
      </c>
      <c r="M2547"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47" s="14" t="inlineStr">
        <is>
          <t>read ↗</t>
        </is>
      </c>
      <c r="O2547" s="11" t="inlineStr">
        <is>
          <t>section reading (2 of 7)</t>
        </is>
      </c>
      <c r="P2547" s="10" t="inlineStr"/>
    </row>
    <row r="2548">
      <c r="A2548" s="19" t="n">
        <v>2547</v>
      </c>
      <c r="B2548" s="19" t="inlineStr">
        <is>
          <t>Part IV - Performance Engineering</t>
        </is>
      </c>
      <c r="C2548" s="20" t="inlineStr">
        <is>
          <t>E.5.5 Anton - the biology codesign result</t>
        </is>
      </c>
      <c r="D2548" s="10" t="inlineStr">
        <is>
          <t>Tiankai Tu on fault-tolerant parallel analysis of millisecond trajectories</t>
        </is>
      </c>
      <c r="E2548" s="10" t="inlineStr"/>
      <c r="F2548" s="11" t="inlineStr"/>
      <c r="G2548" s="11" t="n">
        <v>0</v>
      </c>
      <c r="H2548" s="12" t="inlineStr"/>
      <c r="I2548" s="11" t="inlineStr">
        <is>
          <t>Not started</t>
        </is>
      </c>
      <c r="J2548" s="13" t="n"/>
      <c r="K2548" s="10" t="inlineStr"/>
      <c r="L2548" s="14" t="inlineStr">
        <is>
          <t>▶ watch</t>
        </is>
      </c>
      <c r="M2548"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48" s="14" t="inlineStr">
        <is>
          <t>read ↗</t>
        </is>
      </c>
      <c r="O2548" s="11" t="inlineStr">
        <is>
          <t>section reading (2 of 7)</t>
        </is>
      </c>
      <c r="P2548" s="10" t="inlineStr"/>
    </row>
    <row r="2549">
      <c r="A2549" s="19" t="n">
        <v>2548</v>
      </c>
      <c r="B2549" s="19" t="inlineStr">
        <is>
          <t>Part IV - Performance Engineering</t>
        </is>
      </c>
      <c r="C2549" s="20" t="inlineStr">
        <is>
          <t>E.5.6 FPGAs and reconfigurable computing</t>
        </is>
      </c>
      <c r="D2549" s="10" t="inlineStr">
        <is>
          <t>Productive Parallel Programming for FPGA with High Level Synthesis (SC'20 tutorial</t>
        </is>
      </c>
      <c r="E2549" s="10" t="inlineStr">
        <is>
          <t>Torsten Hoefler + de Fine Licht (ETH</t>
        </is>
      </c>
      <c r="F2549" s="11" t="inlineStr">
        <is>
          <t>3:21:54</t>
        </is>
      </c>
      <c r="G2549" s="11" t="n">
        <v>3.37</v>
      </c>
      <c r="H2549" s="12" t="inlineStr">
        <is>
          <t>★</t>
        </is>
      </c>
      <c r="I2549" s="11" t="inlineStr">
        <is>
          <t>Not started</t>
        </is>
      </c>
      <c r="J2549" s="13" t="n"/>
      <c r="K2549" s="10" t="inlineStr"/>
      <c r="L2549" s="14" t="inlineStr">
        <is>
          <t>▶ watch</t>
        </is>
      </c>
      <c r="M2549"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49" s="14" t="inlineStr">
        <is>
          <t>read ↗</t>
        </is>
      </c>
      <c r="O2549" s="11" t="inlineStr">
        <is>
          <t>reading for E.5.5 Anton - the biology codesign resul</t>
        </is>
      </c>
      <c r="P2549" s="10" t="inlineStr"/>
    </row>
    <row r="2550">
      <c r="A2550" s="19" t="n">
        <v>2549</v>
      </c>
      <c r="B2550" s="19" t="inlineStr">
        <is>
          <t>Part IV - Performance Engineering</t>
        </is>
      </c>
      <c r="C2550" s="20" t="inlineStr">
        <is>
          <t>E.5.6 FPGAs and reconfigurable computing</t>
        </is>
      </c>
      <c r="D2550" s="10" t="inlineStr">
        <is>
          <t>Scientific Applications of FPGAs at the LHC (FPGA 2021 keynote</t>
        </is>
      </c>
      <c r="E2550" s="10" t="inlineStr">
        <is>
          <t>Philip Harris (MIT</t>
        </is>
      </c>
      <c r="F2550" s="11" t="inlineStr">
        <is>
          <t>1:00:01</t>
        </is>
      </c>
      <c r="G2550" s="11" t="n">
        <v>1</v>
      </c>
      <c r="H2550" s="12" t="inlineStr">
        <is>
          <t>★</t>
        </is>
      </c>
      <c r="I2550" s="11" t="inlineStr">
        <is>
          <t>Not started</t>
        </is>
      </c>
      <c r="J2550" s="13" t="n"/>
      <c r="K2550" s="10" t="inlineStr"/>
      <c r="L2550" s="14" t="inlineStr">
        <is>
          <t>▶ watch</t>
        </is>
      </c>
      <c r="M2550"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50" s="14" t="inlineStr">
        <is>
          <t>read ↗</t>
        </is>
      </c>
      <c r="O2550" s="11" t="inlineStr">
        <is>
          <t>reading for E.5.5 Anton - the biology codesign resul</t>
        </is>
      </c>
      <c r="P2550" s="10" t="inlineStr"/>
    </row>
    <row r="2551">
      <c r="A2551" s="19" t="n">
        <v>2550</v>
      </c>
      <c r="B2551" s="19" t="inlineStr">
        <is>
          <t>Part IV - Performance Engineering</t>
        </is>
      </c>
      <c r="C2551" s="20" t="inlineStr">
        <is>
          <t>E.5.6 FPGAs and reconfigurable computing</t>
        </is>
      </c>
      <c r="D2551" s="10" t="inlineStr">
        <is>
          <t>A Reconfigurable Fabric for Accelerating Datacenter Services (Catapult; segment at 34:05</t>
        </is>
      </c>
      <c r="E2551" s="10" t="inlineStr">
        <is>
          <t>Putnam, Caulfield, Chung (Microsoft</t>
        </is>
      </c>
      <c r="F2551" s="11" t="inlineStr">
        <is>
          <t>34:05</t>
        </is>
      </c>
      <c r="G2551" s="11" t="n">
        <v>0.57</v>
      </c>
      <c r="H2551" s="12" t="inlineStr"/>
      <c r="I2551" s="11" t="inlineStr">
        <is>
          <t>Not started</t>
        </is>
      </c>
      <c r="J2551" s="13" t="n"/>
      <c r="K2551" s="10" t="inlineStr"/>
      <c r="L2551" s="14" t="inlineStr">
        <is>
          <t>▶ watch</t>
        </is>
      </c>
      <c r="M2551"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51" s="14" t="inlineStr">
        <is>
          <t>read ↗</t>
        </is>
      </c>
      <c r="O2551" s="11" t="inlineStr">
        <is>
          <t>reading for E.5.5 Anton - the biology codesign resul</t>
        </is>
      </c>
      <c r="P2551" s="10" t="inlineStr"/>
    </row>
    <row r="2552">
      <c r="A2552" s="19" t="n">
        <v>2551</v>
      </c>
      <c r="B2552" s="19" t="inlineStr">
        <is>
          <t>Part IV - Performance Engineering</t>
        </is>
      </c>
      <c r="C2552" s="20" t="inlineStr">
        <is>
          <t>E.5.6 FPGAs and reconfigurable computing</t>
        </is>
      </c>
      <c r="D2552" s="10" t="inlineStr">
        <is>
          <t>Reconfigurable Computing at HyperScale</t>
        </is>
      </c>
      <c r="E2552" s="10" t="inlineStr">
        <is>
          <t>Andrew Putnam (MSR</t>
        </is>
      </c>
      <c r="F2552" s="11" t="inlineStr">
        <is>
          <t>54:31</t>
        </is>
      </c>
      <c r="G2552" s="11" t="n">
        <v>0.91</v>
      </c>
      <c r="H2552" s="12" t="inlineStr"/>
      <c r="I2552" s="11" t="inlineStr">
        <is>
          <t>Not started</t>
        </is>
      </c>
      <c r="J2552" s="13" t="n"/>
      <c r="K2552" s="10" t="inlineStr"/>
      <c r="L2552" s="14" t="inlineStr">
        <is>
          <t>▶ watch</t>
        </is>
      </c>
      <c r="M2552"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52" s="14" t="inlineStr">
        <is>
          <t>read ↗</t>
        </is>
      </c>
      <c r="O2552" s="11" t="inlineStr">
        <is>
          <t>reading for E.5.5 Anton - the biology codesign resul</t>
        </is>
      </c>
      <c r="P2552" s="10" t="inlineStr"/>
    </row>
    <row r="2553">
      <c r="A2553" s="19" t="n">
        <v>2552</v>
      </c>
      <c r="B2553" s="19" t="inlineStr">
        <is>
          <t>Part IV - Performance Engineering</t>
        </is>
      </c>
      <c r="C2553" s="20" t="inlineStr">
        <is>
          <t>E.5.6 FPGAs and reconfigurable computing</t>
        </is>
      </c>
      <c r="D2553" s="10" t="inlineStr">
        <is>
          <t>Accelerating HPC Applications with Reconfigurable Logic</t>
        </is>
      </c>
      <c r="E2553" s="10" t="inlineStr">
        <is>
          <t>Microsoft Research</t>
        </is>
      </c>
      <c r="F2553" s="11" t="inlineStr">
        <is>
          <t>1:09:00</t>
        </is>
      </c>
      <c r="G2553" s="11" t="n">
        <v>1.15</v>
      </c>
      <c r="H2553" s="12" t="inlineStr"/>
      <c r="I2553" s="11" t="inlineStr">
        <is>
          <t>Not started</t>
        </is>
      </c>
      <c r="J2553" s="13" t="n"/>
      <c r="K2553" s="10" t="inlineStr"/>
      <c r="L2553" s="14" t="inlineStr">
        <is>
          <t>▶ watch</t>
        </is>
      </c>
      <c r="M2553"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53" s="14" t="inlineStr">
        <is>
          <t>read ↗</t>
        </is>
      </c>
      <c r="O2553" s="11" t="inlineStr">
        <is>
          <t>reading for E.5.5 Anton - the biology codesign resul</t>
        </is>
      </c>
      <c r="P2553" s="10" t="inlineStr"/>
    </row>
    <row r="2554">
      <c r="A2554" s="19" t="n">
        <v>2553</v>
      </c>
      <c r="B2554" s="19" t="inlineStr">
        <is>
          <t>Part IV - Performance Engineering</t>
        </is>
      </c>
      <c r="C2554" s="20" t="inlineStr">
        <is>
          <t>E.5.6 FPGAs and reconfigurable computing</t>
        </is>
      </c>
      <c r="D2554" s="10" t="inlineStr">
        <is>
          <t>Comparing FPGA vs Custom CMOS and the Impact on Processor Architecture</t>
        </is>
      </c>
      <c r="E2554" s="10" t="inlineStr">
        <is>
          <t>U. Toronto EECG</t>
        </is>
      </c>
      <c r="F2554" s="11" t="inlineStr">
        <is>
          <t>28:47</t>
        </is>
      </c>
      <c r="G2554" s="11" t="n">
        <v>0.48</v>
      </c>
      <c r="H2554" s="12" t="inlineStr">
        <is>
          <t>★</t>
        </is>
      </c>
      <c r="I2554" s="11" t="inlineStr">
        <is>
          <t>Not started</t>
        </is>
      </c>
      <c r="J2554" s="13" t="n"/>
      <c r="K2554" s="10" t="inlineStr"/>
      <c r="L2554" s="14" t="inlineStr">
        <is>
          <t>▶ watch</t>
        </is>
      </c>
      <c r="M2554"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54" s="14" t="inlineStr">
        <is>
          <t>read ↗</t>
        </is>
      </c>
      <c r="O2554" s="11" t="inlineStr">
        <is>
          <t>reading for E.5.5 Anton - the biology codesign resul</t>
        </is>
      </c>
      <c r="P2554" s="10" t="inlineStr"/>
    </row>
    <row r="2555">
      <c r="A2555" s="19" t="n">
        <v>2554</v>
      </c>
      <c r="B2555" s="19" t="inlineStr">
        <is>
          <t>Part IV - Performance Engineering</t>
        </is>
      </c>
      <c r="C2555" s="20" t="inlineStr">
        <is>
          <t>E.5.6 FPGAs and reconfigurable computing</t>
        </is>
      </c>
      <c r="D2555" s="10" t="inlineStr">
        <is>
          <t>hls4ml: Co-Design for Scientific Low-Power ML Devices</t>
        </is>
      </c>
      <c r="E2555" s="10" t="inlineStr">
        <is>
          <t>Javier Duarte (UCSD</t>
        </is>
      </c>
      <c r="F2555" s="11" t="inlineStr">
        <is>
          <t>20:31</t>
        </is>
      </c>
      <c r="G2555" s="11" t="n">
        <v>0.34</v>
      </c>
      <c r="H2555" s="12" t="inlineStr"/>
      <c r="I2555" s="11" t="inlineStr">
        <is>
          <t>Not started</t>
        </is>
      </c>
      <c r="J2555" s="13" t="n"/>
      <c r="K2555" s="10" t="inlineStr"/>
      <c r="L2555" s="14" t="inlineStr">
        <is>
          <t>▶ watch</t>
        </is>
      </c>
      <c r="M2555"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55" s="14" t="inlineStr">
        <is>
          <t>read ↗</t>
        </is>
      </c>
      <c r="O2555" s="11" t="inlineStr">
        <is>
          <t>reading for E.5.5 Anton - the biology codesign resul</t>
        </is>
      </c>
      <c r="P2555" s="10" t="inlineStr"/>
    </row>
    <row r="2556">
      <c r="A2556" s="19" t="n">
        <v>2555</v>
      </c>
      <c r="B2556" s="19" t="inlineStr">
        <is>
          <t>Part IV - Performance Engineering</t>
        </is>
      </c>
      <c r="C2556" s="20" t="inlineStr">
        <is>
          <t>E.5.6 FPGAs and reconfigurable computing</t>
        </is>
      </c>
      <c r="D2556" s="10" t="inlineStr">
        <is>
          <t>Real-Time ML for Massive LHC Data Streams</t>
        </is>
      </c>
      <c r="E2556" s="10" t="inlineStr">
        <is>
          <t>Thea Aarrestad (ETH/CERN</t>
        </is>
      </c>
      <c r="F2556" s="11" t="inlineStr">
        <is>
          <t>57:52</t>
        </is>
      </c>
      <c r="G2556" s="11" t="n">
        <v>0.96</v>
      </c>
      <c r="H2556" s="12" t="inlineStr"/>
      <c r="I2556" s="11" t="inlineStr">
        <is>
          <t>Not started</t>
        </is>
      </c>
      <c r="J2556" s="13" t="n"/>
      <c r="K2556" s="10" t="inlineStr"/>
      <c r="L2556" s="14" t="inlineStr">
        <is>
          <t>▶ watch</t>
        </is>
      </c>
      <c r="M2556"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56" s="14" t="inlineStr">
        <is>
          <t>read ↗</t>
        </is>
      </c>
      <c r="O2556" s="11" t="inlineStr">
        <is>
          <t>reading for E.5.5 Anton - the biology codesign resul</t>
        </is>
      </c>
      <c r="P2556" s="10" t="inlineStr"/>
    </row>
    <row r="2557">
      <c r="A2557" s="19" t="n">
        <v>2556</v>
      </c>
      <c r="B2557" s="19" t="inlineStr">
        <is>
          <t>Part IV - Performance Engineering</t>
        </is>
      </c>
      <c r="C2557" s="20" t="inlineStr">
        <is>
          <t>E.5.6 FPGAs and reconfigurable computing</t>
        </is>
      </c>
      <c r="D2557" s="10" t="inlineStr">
        <is>
          <t>(see curriculum section)</t>
        </is>
      </c>
      <c r="E2557" s="10" t="inlineStr"/>
      <c r="F2557" s="11" t="inlineStr"/>
      <c r="G2557" s="11" t="n">
        <v>0</v>
      </c>
      <c r="H2557" s="12" t="inlineStr"/>
      <c r="I2557" s="11" t="inlineStr">
        <is>
          <t>Not started</t>
        </is>
      </c>
      <c r="J2557" s="13" t="n"/>
      <c r="K2557" s="10" t="inlineStr"/>
      <c r="L2557" s="14" t="inlineStr">
        <is>
          <t>▶ watch</t>
        </is>
      </c>
      <c r="M2557"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57" s="14" t="inlineStr">
        <is>
          <t>read ↗</t>
        </is>
      </c>
      <c r="O2557" s="11" t="inlineStr">
        <is>
          <t>reading for E.5.5 Anton - the biology codesign resul</t>
        </is>
      </c>
      <c r="P2557" s="10" t="inlineStr"/>
    </row>
    <row r="2558">
      <c r="A2558" s="19" t="n">
        <v>2557</v>
      </c>
      <c r="B2558" s="19" t="inlineStr">
        <is>
          <t>Part IV - Performance Engineering</t>
        </is>
      </c>
      <c r="C2558" s="20" t="inlineStr">
        <is>
          <t>E.5.6 FPGAs and reconfigurable computing</t>
        </is>
      </c>
      <c r="D2558" s="10" t="inlineStr">
        <is>
          <t>Transitioning from the Era of Multicore to the Era of Specialization</t>
        </is>
      </c>
      <c r="E2558" s="10" t="inlineStr"/>
      <c r="F2558" s="11" t="inlineStr"/>
      <c r="G2558" s="11" t="n">
        <v>0</v>
      </c>
      <c r="H2558" s="12" t="inlineStr"/>
      <c r="I2558" s="11" t="inlineStr">
        <is>
          <t>Not started</t>
        </is>
      </c>
      <c r="J2558" s="13" t="n"/>
      <c r="K2558" s="10" t="inlineStr"/>
      <c r="L2558" s="14" t="inlineStr">
        <is>
          <t>▶ watch</t>
        </is>
      </c>
      <c r="M2558"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58" s="14" t="inlineStr">
        <is>
          <t>read ↗</t>
        </is>
      </c>
      <c r="O2558" s="11" t="inlineStr">
        <is>
          <t>reading for E.5.5 Anton - the biology codesign resul</t>
        </is>
      </c>
      <c r="P2558" s="10" t="inlineStr"/>
    </row>
    <row r="2559">
      <c r="A2559" s="19" t="n">
        <v>2558</v>
      </c>
      <c r="B2559" s="19" t="inlineStr">
        <is>
          <t>Part IV - Performance Engineering</t>
        </is>
      </c>
      <c r="C2559" s="20" t="inlineStr">
        <is>
          <t>E.5.6 FPGAs and reconfigurable computing</t>
        </is>
      </c>
      <c r="D2559" s="10" t="inlineStr">
        <is>
          <t>Transitioning from the Era of Multicore to the Era of Specialization</t>
        </is>
      </c>
      <c r="E2559" s="10" t="inlineStr"/>
      <c r="F2559" s="11" t="inlineStr"/>
      <c r="G2559" s="11" t="n">
        <v>0</v>
      </c>
      <c r="H2559" s="12" t="inlineStr"/>
      <c r="I2559" s="11" t="inlineStr">
        <is>
          <t>Not started</t>
        </is>
      </c>
      <c r="J2559" s="13" t="n"/>
      <c r="K2559" s="10" t="inlineStr"/>
      <c r="L2559" s="14" t="inlineStr">
        <is>
          <t>▶ watch</t>
        </is>
      </c>
      <c r="M2559" s="10" t="inlineStr">
        <is>
          <t>, DOIs resolved rather than recalled: Shaw et al., Anton, a special-purpose machine for molecular dynamics simulation, ISCA 2007, 10.1145/1250662.1250664 · Shaw et al., Millisecond-scale molecular dynamics simulations on Anton, SC09 (Gordon Bell Prize), 10.1145/1654059.1654126</t>
        </is>
      </c>
      <c r="N2559" s="14" t="inlineStr">
        <is>
          <t>read ↗</t>
        </is>
      </c>
      <c r="O2559" s="11" t="inlineStr">
        <is>
          <t>reading for E.5.5 Anton - the biology codesign resul</t>
        </is>
      </c>
      <c r="P2559" s="10" t="inlineStr"/>
    </row>
    <row r="2560">
      <c r="A2560" s="19" t="n">
        <v>2559</v>
      </c>
      <c r="B2560" s="19" t="inlineStr">
        <is>
          <t>Part IV - Performance Engineering</t>
        </is>
      </c>
      <c r="C2560" s="20" t="inlineStr">
        <is>
          <t>E.6.1 GROMACS internals and performance</t>
        </is>
      </c>
      <c r="D2560" s="10" t="inlineStr">
        <is>
          <t>Peeking into the black box of GROMACS performance</t>
        </is>
      </c>
      <c r="E2560" s="10" t="inlineStr">
        <is>
          <t>Alekseenko &amp; Páll (KTH</t>
        </is>
      </c>
      <c r="F2560" s="11" t="inlineStr">
        <is>
          <t>59:43</t>
        </is>
      </c>
      <c r="G2560" s="11" t="n">
        <v>1</v>
      </c>
      <c r="H2560" s="12" t="inlineStr">
        <is>
          <t>★</t>
        </is>
      </c>
      <c r="I2560" s="11" t="inlineStr">
        <is>
          <t>Not started</t>
        </is>
      </c>
      <c r="J2560" s="13" t="n"/>
      <c r="K2560" s="10" t="inlineStr"/>
      <c r="L2560" s="14" t="inlineStr">
        <is>
          <t>▶ watch</t>
        </is>
      </c>
      <c r="M2560" s="10" t="inlineStr">
        <is>
          <t>Páll &amp; Hess 2013, Comput Phys Commun 184:2641 - the cluster pair algorithm, which is the actual reason GROMACS is fast, and which has no talk at all</t>
        </is>
      </c>
      <c r="N2560" s="14" t="inlineStr">
        <is>
          <t>read ↗</t>
        </is>
      </c>
      <c r="O2560" s="11" t="inlineStr">
        <is>
          <t>names GROMACS</t>
        </is>
      </c>
      <c r="P2560" s="10" t="inlineStr"/>
    </row>
    <row r="2561">
      <c r="A2561" s="19" t="n">
        <v>2560</v>
      </c>
      <c r="B2561" s="19" t="inlineStr">
        <is>
          <t>Part IV - Performance Engineering</t>
        </is>
      </c>
      <c r="C2561" s="20" t="inlineStr">
        <is>
          <t>E.6.1 GROMACS internals and performance</t>
        </is>
      </c>
      <c r="D2561" s="10" t="inlineStr">
        <is>
          <t>Improvements in the GROMACS heterogeneous parallelization</t>
        </is>
      </c>
      <c r="E2561" s="10" t="inlineStr">
        <is>
          <t>Szilárd Páll (KTH</t>
        </is>
      </c>
      <c r="F2561" s="11" t="inlineStr">
        <is>
          <t>54:09</t>
        </is>
      </c>
      <c r="G2561" s="11" t="n">
        <v>0.9</v>
      </c>
      <c r="H2561" s="12" t="inlineStr">
        <is>
          <t>★</t>
        </is>
      </c>
      <c r="I2561" s="11" t="inlineStr">
        <is>
          <t>Not started</t>
        </is>
      </c>
      <c r="J2561" s="13" t="n"/>
      <c r="K2561" s="10" t="inlineStr"/>
      <c r="L2561" s="14" t="inlineStr">
        <is>
          <t>▶ watch</t>
        </is>
      </c>
      <c r="M2561" s="10" t="inlineStr">
        <is>
          <t>Páll &amp; Hess 2013, Comput Phys Commun 184:2641 - the cluster pair algorithm, which is the actual reason GROMACS is fast, and which has no talk at all</t>
        </is>
      </c>
      <c r="N2561" s="14" t="inlineStr">
        <is>
          <t>read ↗</t>
        </is>
      </c>
      <c r="O2561" s="11" t="inlineStr">
        <is>
          <t>names GROMACS</t>
        </is>
      </c>
      <c r="P2561" s="10" t="inlineStr"/>
    </row>
    <row r="2562">
      <c r="A2562" s="19" t="n">
        <v>2561</v>
      </c>
      <c r="B2562" s="19" t="inlineStr">
        <is>
          <t>Part IV - Performance Engineering</t>
        </is>
      </c>
      <c r="C2562" s="20" t="inlineStr">
        <is>
          <t>E.6.1 GROMACS internals and performance</t>
        </is>
      </c>
      <c r="D2562" s="10" t="inlineStr">
        <is>
          <t>Performance Tuning and Optimization of GROMACS</t>
        </is>
      </c>
      <c r="E2562" s="10" t="inlineStr">
        <is>
          <t>Mark Abraham (KTH</t>
        </is>
      </c>
      <c r="F2562" s="11" t="inlineStr">
        <is>
          <t>1:02:58</t>
        </is>
      </c>
      <c r="G2562" s="11" t="n">
        <v>1.05</v>
      </c>
      <c r="H2562" s="12" t="inlineStr"/>
      <c r="I2562" s="11" t="inlineStr">
        <is>
          <t>Not started</t>
        </is>
      </c>
      <c r="J2562" s="13" t="n"/>
      <c r="K2562" s="10" t="inlineStr"/>
      <c r="L2562" s="14" t="inlineStr">
        <is>
          <t>▶ watch</t>
        </is>
      </c>
      <c r="M2562" s="10" t="inlineStr">
        <is>
          <t>Páll &amp; Hess 2013, Comput Phys Commun 184:2641 - the cluster pair algorithm, which is the actual reason GROMACS is fast, and which has no talk at all</t>
        </is>
      </c>
      <c r="N2562" s="14" t="inlineStr">
        <is>
          <t>read ↗</t>
        </is>
      </c>
      <c r="O2562" s="11" t="inlineStr">
        <is>
          <t>names GROMACS</t>
        </is>
      </c>
      <c r="P2562" s="10" t="inlineStr"/>
    </row>
    <row r="2563">
      <c r="A2563" s="19" t="n">
        <v>2562</v>
      </c>
      <c r="B2563" s="19" t="inlineStr">
        <is>
          <t>Part IV - Performance Engineering</t>
        </is>
      </c>
      <c r="C2563" s="20" t="inlineStr">
        <is>
          <t>E.6.1 GROMACS internals and performance</t>
        </is>
      </c>
      <c r="D2563" s="10" t="inlineStr">
        <is>
          <t>Getting good performance in GROMACS</t>
        </is>
      </c>
      <c r="E2563" s="10" t="inlineStr">
        <is>
          <t>Berk Hess (KTH</t>
        </is>
      </c>
      <c r="F2563" s="11" t="inlineStr">
        <is>
          <t>17:41</t>
        </is>
      </c>
      <c r="G2563" s="11" t="n">
        <v>0.29</v>
      </c>
      <c r="H2563" s="12" t="inlineStr">
        <is>
          <t>★</t>
        </is>
      </c>
      <c r="I2563" s="11" t="inlineStr">
        <is>
          <t>Not started</t>
        </is>
      </c>
      <c r="J2563" s="13" t="n"/>
      <c r="K2563" s="10" t="inlineStr"/>
      <c r="L2563" s="14" t="inlineStr">
        <is>
          <t>▶ watch</t>
        </is>
      </c>
      <c r="M2563" s="10" t="inlineStr">
        <is>
          <t>Páll &amp; Hess 2013, Comput Phys Commun 184:2641 - the cluster pair algorithm, which is the actual reason GROMACS is fast, and which has no talk at all</t>
        </is>
      </c>
      <c r="N2563" s="14" t="inlineStr">
        <is>
          <t>read ↗</t>
        </is>
      </c>
      <c r="O2563" s="11" t="inlineStr">
        <is>
          <t>names GROMACS</t>
        </is>
      </c>
      <c r="P2563" s="10" t="inlineStr"/>
    </row>
    <row r="2564">
      <c r="A2564" s="19" t="n">
        <v>2563</v>
      </c>
      <c r="B2564" s="19" t="inlineStr">
        <is>
          <t>Part IV - Performance Engineering</t>
        </is>
      </c>
      <c r="C2564" s="20" t="inlineStr">
        <is>
          <t>E.6.1 GROMACS internals and performance</t>
        </is>
      </c>
      <c r="D2564" s="10" t="inlineStr">
        <is>
          <t>GROMACS HPC usage best practices and Q&amp;A</t>
        </is>
      </c>
      <c r="E2564" s="10" t="inlineStr">
        <is>
          <t>Berk Hess (KTH</t>
        </is>
      </c>
      <c r="F2564" s="11" t="inlineStr">
        <is>
          <t>54:13</t>
        </is>
      </c>
      <c r="G2564" s="11" t="n">
        <v>0.9</v>
      </c>
      <c r="H2564" s="12" t="inlineStr"/>
      <c r="I2564" s="11" t="inlineStr">
        <is>
          <t>Not started</t>
        </is>
      </c>
      <c r="J2564" s="13" t="n"/>
      <c r="K2564" s="10" t="inlineStr"/>
      <c r="L2564" s="14" t="inlineStr">
        <is>
          <t>▶ watch</t>
        </is>
      </c>
      <c r="M2564" s="10" t="inlineStr">
        <is>
          <t>Páll &amp; Hess 2013, Comput Phys Commun 184:2641 - the cluster pair algorithm, which is the actual reason GROMACS is fast, and which has no talk at all</t>
        </is>
      </c>
      <c r="N2564" s="14" t="inlineStr">
        <is>
          <t>read ↗</t>
        </is>
      </c>
      <c r="O2564" s="11" t="inlineStr">
        <is>
          <t>names GROMACS</t>
        </is>
      </c>
      <c r="P2564" s="10" t="inlineStr"/>
    </row>
    <row r="2565">
      <c r="A2565" s="19" t="n">
        <v>2564</v>
      </c>
      <c r="B2565" s="19" t="inlineStr">
        <is>
          <t>Part IV - Performance Engineering</t>
        </is>
      </c>
      <c r="C2565" s="20" t="inlineStr">
        <is>
          <t>E.6.1 GROMACS internals and performance</t>
        </is>
      </c>
      <c r="D2565" s="10" t="inlineStr">
        <is>
          <t>Creating Faster Molecular Dynamics Simulations</t>
        </is>
      </c>
      <c r="E2565" s="10" t="inlineStr">
        <is>
          <t>Alan Gray (NVIDIA</t>
        </is>
      </c>
      <c r="F2565" s="11" t="inlineStr">
        <is>
          <t>1:03:50</t>
        </is>
      </c>
      <c r="G2565" s="11" t="n">
        <v>1.06</v>
      </c>
      <c r="H2565" s="12" t="inlineStr"/>
      <c r="I2565" s="11" t="inlineStr">
        <is>
          <t>Not started</t>
        </is>
      </c>
      <c r="J2565" s="13" t="n"/>
      <c r="K2565" s="10" t="inlineStr"/>
      <c r="L2565" s="14" t="inlineStr">
        <is>
          <t>▶ watch</t>
        </is>
      </c>
      <c r="M2565" s="10" t="inlineStr">
        <is>
          <t>Páll et al. 2020, J Chem Phys 153:134110 (heterogeneous parallelization and the GPU-resident path) · Páll et al. 2015, EASC, LNCS 8759:3</t>
        </is>
      </c>
      <c r="N2565" s="14" t="inlineStr">
        <is>
          <t>read ↗</t>
        </is>
      </c>
      <c r="O2565" s="11" t="inlineStr">
        <is>
          <t>section reading (2 of 4)</t>
        </is>
      </c>
      <c r="P2565" s="10" t="inlineStr"/>
    </row>
    <row r="2566">
      <c r="A2566" s="19" t="n">
        <v>2565</v>
      </c>
      <c r="B2566" s="19" t="inlineStr">
        <is>
          <t>Part IV - Performance Engineering</t>
        </is>
      </c>
      <c r="C2566" s="20" t="inlineStr">
        <is>
          <t>E.6.1 GROMACS internals and performance</t>
        </is>
      </c>
      <c r="D2566" s="10" t="inlineStr">
        <is>
          <t>A deep dive into GROMACS on GPU</t>
        </is>
      </c>
      <c r="E2566" s="10" t="inlineStr">
        <is>
          <t>Alan Gray (NVIDIA</t>
        </is>
      </c>
      <c r="F2566" s="11" t="inlineStr">
        <is>
          <t>25:45</t>
        </is>
      </c>
      <c r="G2566" s="11" t="n">
        <v>0.43</v>
      </c>
      <c r="H2566" s="12" t="inlineStr"/>
      <c r="I2566" s="11" t="inlineStr">
        <is>
          <t>Not started</t>
        </is>
      </c>
      <c r="J2566" s="13" t="n"/>
      <c r="K2566" s="10" t="inlineStr"/>
      <c r="L2566" s="14" t="inlineStr">
        <is>
          <t>▶ watch</t>
        </is>
      </c>
      <c r="M2566" s="10" t="inlineStr">
        <is>
          <t>Páll &amp; Hess 2013, Comput Phys Commun 184:2641 - the cluster pair algorithm, which is the actual reason GROMACS is fast, and which has no talk at all</t>
        </is>
      </c>
      <c r="N2566" s="14" t="inlineStr">
        <is>
          <t>read ↗</t>
        </is>
      </c>
      <c r="O2566" s="11" t="inlineStr">
        <is>
          <t>names GROMACS</t>
        </is>
      </c>
      <c r="P2566" s="10" t="inlineStr"/>
    </row>
    <row r="2567">
      <c r="A2567" s="19" t="n">
        <v>2566</v>
      </c>
      <c r="B2567" s="19" t="inlineStr">
        <is>
          <t>Part IV - Performance Engineering</t>
        </is>
      </c>
      <c r="C2567" s="20" t="inlineStr">
        <is>
          <t>E.6.1 GROMACS internals and performance</t>
        </is>
      </c>
      <c r="D2567" s="10" t="inlineStr">
        <is>
          <t>More bang for your buck - improved use of GPUs</t>
        </is>
      </c>
      <c r="E2567" s="10" t="inlineStr">
        <is>
          <t>BioExcel</t>
        </is>
      </c>
      <c r="F2567" s="11" t="inlineStr">
        <is>
          <t>52:33</t>
        </is>
      </c>
      <c r="G2567" s="11" t="n">
        <v>0.88</v>
      </c>
      <c r="H2567" s="12" t="inlineStr"/>
      <c r="I2567" s="11" t="inlineStr">
        <is>
          <t>Not started</t>
        </is>
      </c>
      <c r="J2567" s="13" t="n"/>
      <c r="K2567" s="10" t="inlineStr"/>
      <c r="L2567" s="14" t="inlineStr">
        <is>
          <t>▶ watch</t>
        </is>
      </c>
      <c r="M2567" s="10" t="inlineStr">
        <is>
          <t>Páll et al. 2020, J Chem Phys 153:134110 (heterogeneous parallelization and the GPU-resident path) · Páll et al. 2015, EASC, LNCS 8759:3</t>
        </is>
      </c>
      <c r="N2567" s="14" t="inlineStr">
        <is>
          <t>read ↗</t>
        </is>
      </c>
      <c r="O2567" s="11" t="inlineStr">
        <is>
          <t>section reading (2 of 4)</t>
        </is>
      </c>
      <c r="P2567" s="10" t="inlineStr"/>
    </row>
    <row r="2568">
      <c r="A2568" s="19" t="n">
        <v>2567</v>
      </c>
      <c r="B2568" s="19" t="inlineStr">
        <is>
          <t>Part IV - Performance Engineering</t>
        </is>
      </c>
      <c r="C2568" s="20" t="inlineStr">
        <is>
          <t>E.6.1 GROMACS internals and performance</t>
        </is>
      </c>
      <c r="D2568" s="10" t="inlineStr">
        <is>
          <t>Optimizing cluster and simulation setup for GROMACS</t>
        </is>
      </c>
      <c r="E2568" s="10" t="inlineStr">
        <is>
          <t>BioExcel</t>
        </is>
      </c>
      <c r="F2568" s="11" t="inlineStr">
        <is>
          <t>58:52</t>
        </is>
      </c>
      <c r="G2568" s="11" t="n">
        <v>0.98</v>
      </c>
      <c r="H2568" s="12" t="inlineStr"/>
      <c r="I2568" s="11" t="inlineStr">
        <is>
          <t>Not started</t>
        </is>
      </c>
      <c r="J2568" s="13" t="n"/>
      <c r="K2568" s="10" t="inlineStr"/>
      <c r="L2568" s="14" t="inlineStr">
        <is>
          <t>▶ watch</t>
        </is>
      </c>
      <c r="M2568" s="10" t="inlineStr">
        <is>
          <t>Páll &amp; Hess 2013, Comput Phys Commun 184:2641 - the cluster pair algorithm, which is the actual reason GROMACS is fast, and which has no talk at all</t>
        </is>
      </c>
      <c r="N2568" s="14" t="inlineStr">
        <is>
          <t>read ↗</t>
        </is>
      </c>
      <c r="O2568" s="11" t="inlineStr">
        <is>
          <t>names GROMACS</t>
        </is>
      </c>
      <c r="P2568" s="10" t="inlineStr"/>
    </row>
    <row r="2569">
      <c r="A2569" s="19" t="n">
        <v>2568</v>
      </c>
      <c r="B2569" s="19" t="inlineStr">
        <is>
          <t>Part IV - Performance Engineering</t>
        </is>
      </c>
      <c r="C2569" s="20" t="inlineStr">
        <is>
          <t>E.6.1 GROMACS internals and performance</t>
        </is>
      </c>
      <c r="D2569" s="10" t="inlineStr">
        <is>
          <t>NB-LIB - a performance portable force/energy library</t>
        </is>
      </c>
      <c r="E2569" s="10" t="inlineStr">
        <is>
          <t>Jordan (KTH) &amp; Keller (CSCS</t>
        </is>
      </c>
      <c r="F2569" s="11" t="inlineStr">
        <is>
          <t>53:15</t>
        </is>
      </c>
      <c r="G2569" s="11" t="n">
        <v>0.89</v>
      </c>
      <c r="H2569" s="12" t="inlineStr">
        <is>
          <t>★</t>
        </is>
      </c>
      <c r="I2569" s="11" t="inlineStr">
        <is>
          <t>Not started</t>
        </is>
      </c>
      <c r="J2569" s="13" t="n"/>
      <c r="K2569" s="10" t="inlineStr"/>
      <c r="L2569" s="14" t="inlineStr">
        <is>
          <t>▶ watch</t>
        </is>
      </c>
      <c r="M2569" s="10" t="inlineStr">
        <is>
          <t>Páll et al. 2020, J Chem Phys 153:134110 (heterogeneous parallelization and the GPU-resident path) · Páll et al. 2015, EASC, LNCS 8759:3</t>
        </is>
      </c>
      <c r="N2569" s="14" t="inlineStr">
        <is>
          <t>read ↗</t>
        </is>
      </c>
      <c r="O2569" s="11" t="inlineStr">
        <is>
          <t>section reading (2 of 4)</t>
        </is>
      </c>
      <c r="P2569" s="10" t="inlineStr"/>
    </row>
    <row r="2570">
      <c r="A2570" s="19" t="n">
        <v>2569</v>
      </c>
      <c r="B2570" s="19" t="inlineStr">
        <is>
          <t>Part IV - Performance Engineering</t>
        </is>
      </c>
      <c r="C2570" s="20" t="inlineStr">
        <is>
          <t>E.6.1 GROMACS internals and performance</t>
        </is>
      </c>
      <c r="D2570" s="10" t="inlineStr">
        <is>
          <t>What's new in GROMACS 2025</t>
        </is>
      </c>
      <c r="E2570" s="10" t="inlineStr">
        <is>
          <t>Berk Hess (KTH</t>
        </is>
      </c>
      <c r="F2570" s="11" t="inlineStr">
        <is>
          <t>59:03</t>
        </is>
      </c>
      <c r="G2570" s="11" t="n">
        <v>0.98</v>
      </c>
      <c r="H2570" s="12" t="inlineStr"/>
      <c r="I2570" s="11" t="inlineStr">
        <is>
          <t>Not started</t>
        </is>
      </c>
      <c r="J2570" s="13" t="n"/>
      <c r="K2570" s="10" t="inlineStr"/>
      <c r="L2570" s="14" t="inlineStr">
        <is>
          <t>▶ watch</t>
        </is>
      </c>
      <c r="M2570" s="10" t="inlineStr">
        <is>
          <t>Páll &amp; Hess 2013, Comput Phys Commun 184:2641 - the cluster pair algorithm, which is the actual reason GROMACS is fast, and which has no talk at all</t>
        </is>
      </c>
      <c r="N2570" s="14" t="inlineStr">
        <is>
          <t>read ↗</t>
        </is>
      </c>
      <c r="O2570" s="11" t="inlineStr">
        <is>
          <t>names GROMACS</t>
        </is>
      </c>
      <c r="P2570" s="10" t="inlineStr"/>
    </row>
    <row r="2571">
      <c r="A2571" s="19" t="n">
        <v>2570</v>
      </c>
      <c r="B2571" s="19" t="inlineStr">
        <is>
          <t>Part IV - Performance Engineering</t>
        </is>
      </c>
      <c r="C2571" s="20" t="inlineStr">
        <is>
          <t>E.6.1 GROMACS internals and performance</t>
        </is>
      </c>
      <c r="D2571" s="10" t="inlineStr">
        <is>
          <t>What's new in GROMACS 2026</t>
        </is>
      </c>
      <c r="E2571" s="10" t="inlineStr">
        <is>
          <t>Hess, Müllender, Miletic</t>
        </is>
      </c>
      <c r="F2571" s="11" t="inlineStr">
        <is>
          <t>57:31</t>
        </is>
      </c>
      <c r="G2571" s="11" t="n">
        <v>0.96</v>
      </c>
      <c r="H2571" s="12" t="inlineStr">
        <is>
          <t>★</t>
        </is>
      </c>
      <c r="I2571" s="11" t="inlineStr">
        <is>
          <t>Not started</t>
        </is>
      </c>
      <c r="J2571" s="13" t="n"/>
      <c r="K2571" s="10" t="inlineStr"/>
      <c r="L2571" s="14" t="inlineStr">
        <is>
          <t>▶ watch</t>
        </is>
      </c>
      <c r="M2571" s="10" t="inlineStr">
        <is>
          <t>Páll &amp; Hess 2013, Comput Phys Commun 184:2641 - the cluster pair algorithm, which is the actual reason GROMACS is fast, and which has no talk at all</t>
        </is>
      </c>
      <c r="N2571" s="14" t="inlineStr">
        <is>
          <t>read ↗</t>
        </is>
      </c>
      <c r="O2571" s="11" t="inlineStr">
        <is>
          <t>names GROMACS</t>
        </is>
      </c>
      <c r="P2571" s="10" t="inlineStr"/>
    </row>
    <row r="2572">
      <c r="A2572" s="19" t="n">
        <v>2571</v>
      </c>
      <c r="B2572" s="19" t="inlineStr">
        <is>
          <t>Part IV - Performance Engineering</t>
        </is>
      </c>
      <c r="C2572" s="20" t="inlineStr">
        <is>
          <t>E.6.1 GROMACS internals and performance</t>
        </is>
      </c>
      <c r="D2572" s="10" t="inlineStr">
        <is>
          <t>GROMACS Features and Future</t>
        </is>
      </c>
      <c r="E2572" s="10" t="inlineStr">
        <is>
          <t>Paul Bauer (KTH</t>
        </is>
      </c>
      <c r="F2572" s="11" t="inlineStr">
        <is>
          <t>38:30</t>
        </is>
      </c>
      <c r="G2572" s="11" t="n">
        <v>0.64</v>
      </c>
      <c r="H2572" s="12" t="inlineStr"/>
      <c r="I2572" s="11" t="inlineStr">
        <is>
          <t>Not started</t>
        </is>
      </c>
      <c r="J2572" s="13" t="n"/>
      <c r="K2572" s="10" t="inlineStr"/>
      <c r="L2572" s="14" t="inlineStr">
        <is>
          <t>▶ watch</t>
        </is>
      </c>
      <c r="M2572" s="10" t="inlineStr">
        <is>
          <t>Páll &amp; Hess 2013, Comput Phys Commun 184:2641 - the cluster pair algorithm, which is the actual reason GROMACS is fast, and which has no talk at all</t>
        </is>
      </c>
      <c r="N2572" s="14" t="inlineStr">
        <is>
          <t>read ↗</t>
        </is>
      </c>
      <c r="O2572" s="11" t="inlineStr">
        <is>
          <t>names GROMACS</t>
        </is>
      </c>
      <c r="P2572" s="10" t="inlineStr"/>
    </row>
    <row r="2573">
      <c r="A2573" s="19" t="n">
        <v>2572</v>
      </c>
      <c r="B2573" s="19" t="inlineStr">
        <is>
          <t>Part IV - Performance Engineering</t>
        </is>
      </c>
      <c r="C2573" s="20" t="inlineStr">
        <is>
          <t>E.6.1 GROMACS internals and performance</t>
        </is>
      </c>
      <c r="D2573" s="10" t="inlineStr">
        <is>
          <t>A walk through .mdp parameter options</t>
        </is>
      </c>
      <c r="E2573" s="10" t="inlineStr">
        <is>
          <t>BioExcel</t>
        </is>
      </c>
      <c r="F2573" s="11" t="inlineStr">
        <is>
          <t>1:14:00</t>
        </is>
      </c>
      <c r="G2573" s="11" t="n">
        <v>1.23</v>
      </c>
      <c r="H2573" s="12" t="inlineStr"/>
      <c r="I2573" s="11" t="inlineStr">
        <is>
          <t>Not started</t>
        </is>
      </c>
      <c r="J2573" s="13" t="n"/>
      <c r="K2573" s="10" t="inlineStr"/>
      <c r="L2573" s="14" t="inlineStr">
        <is>
          <t>▶ watch</t>
        </is>
      </c>
      <c r="M2573" s="10" t="inlineStr">
        <is>
          <t>Páll et al. 2020, J Chem Phys 153:134110 (heterogeneous parallelization and the GPU-resident path) · Páll et al. 2015, EASC, LNCS 8759:3</t>
        </is>
      </c>
      <c r="N2573" s="14" t="inlineStr">
        <is>
          <t>read ↗</t>
        </is>
      </c>
      <c r="O2573" s="11" t="inlineStr">
        <is>
          <t>section reading (2 of 4)</t>
        </is>
      </c>
      <c r="P2573" s="10" t="inlineStr"/>
    </row>
    <row r="2574">
      <c r="A2574" s="19" t="n">
        <v>2573</v>
      </c>
      <c r="B2574" s="19" t="inlineStr">
        <is>
          <t>Part IV - Performance Engineering</t>
        </is>
      </c>
      <c r="C2574" s="20" t="inlineStr">
        <is>
          <t>E.6.1 GROMACS internals and performance</t>
        </is>
      </c>
      <c r="D2574" s="10" t="inlineStr">
        <is>
          <t>MDBenchmark - scaling studies made straightforward</t>
        </is>
      </c>
      <c r="E2574" s="10" t="inlineStr">
        <is>
          <t>BioExcel</t>
        </is>
      </c>
      <c r="F2574" s="11" t="inlineStr">
        <is>
          <t>51:47</t>
        </is>
      </c>
      <c r="G2574" s="11" t="n">
        <v>0.86</v>
      </c>
      <c r="H2574" s="12" t="inlineStr"/>
      <c r="I2574" s="11" t="inlineStr">
        <is>
          <t>Not started</t>
        </is>
      </c>
      <c r="J2574" s="13" t="n"/>
      <c r="K2574" s="10" t="inlineStr"/>
      <c r="L2574" s="14" t="inlineStr">
        <is>
          <t>▶ watch</t>
        </is>
      </c>
      <c r="M2574" s="10" t="inlineStr">
        <is>
          <t>Páll et al. 2020, J Chem Phys 153:134110 (heterogeneous parallelization and the GPU-resident path) · Páll et al. 2015, EASC, LNCS 8759:3</t>
        </is>
      </c>
      <c r="N2574" s="14" t="inlineStr">
        <is>
          <t>read ↗</t>
        </is>
      </c>
      <c r="O2574" s="11" t="inlineStr">
        <is>
          <t>section reading (2 of 4)</t>
        </is>
      </c>
      <c r="P2574" s="10" t="inlineStr"/>
    </row>
    <row r="2575">
      <c r="A2575" s="19" t="n">
        <v>2574</v>
      </c>
      <c r="B2575" s="19" t="inlineStr">
        <is>
          <t>Part IV - Performance Engineering</t>
        </is>
      </c>
      <c r="C2575" s="20" t="inlineStr">
        <is>
          <t>E.6.1 GROMACS internals and performance</t>
        </is>
      </c>
      <c r="D2575" s="10" t="inlineStr">
        <is>
          <t>Could free energy calculations be faster?</t>
        </is>
      </c>
      <c r="E2575" s="10" t="inlineStr">
        <is>
          <t>Suriñach (Nostrum</t>
        </is>
      </c>
      <c r="F2575" s="11" t="inlineStr">
        <is>
          <t>26:43</t>
        </is>
      </c>
      <c r="G2575" s="11" t="n">
        <v>0.45</v>
      </c>
      <c r="H2575" s="12" t="inlineStr"/>
      <c r="I2575" s="11" t="inlineStr">
        <is>
          <t>Not started</t>
        </is>
      </c>
      <c r="J2575" s="13" t="n"/>
      <c r="K2575" s="10" t="inlineStr"/>
      <c r="L2575" s="14" t="inlineStr">
        <is>
          <t>▶ watch</t>
        </is>
      </c>
      <c r="M2575" s="10" t="inlineStr">
        <is>
          <t>Páll et al. 2020, J Chem Phys 153:134110 (heterogeneous parallelization and the GPU-resident path) · Páll et al. 2015, EASC, LNCS 8759:3</t>
        </is>
      </c>
      <c r="N2575" s="14" t="inlineStr">
        <is>
          <t>read ↗</t>
        </is>
      </c>
      <c r="O2575" s="11" t="inlineStr">
        <is>
          <t>section reading (2 of 4)</t>
        </is>
      </c>
      <c r="P2575" s="10" t="inlineStr"/>
    </row>
    <row r="2576">
      <c r="A2576" s="19" t="n">
        <v>2575</v>
      </c>
      <c r="B2576" s="19" t="inlineStr">
        <is>
          <t>Part IV - Performance Engineering</t>
        </is>
      </c>
      <c r="C2576" s="20" t="inlineStr">
        <is>
          <t>E.6.2 OpenMM, NAMD, LAMMPS</t>
        </is>
      </c>
      <c r="D2576" s="10" t="inlineStr">
        <is>
          <t>Introduction to the OpenMM API</t>
        </is>
      </c>
      <c r="E2576" s="10" t="inlineStr">
        <is>
          <t>Simbios / Stanford</t>
        </is>
      </c>
      <c r="F2576" s="11" t="inlineStr">
        <is>
          <t>44:21</t>
        </is>
      </c>
      <c r="G2576" s="11" t="n">
        <v>0.74</v>
      </c>
      <c r="H2576" s="12" t="inlineStr">
        <is>
          <t>★</t>
        </is>
      </c>
      <c r="I2576" s="11" t="inlineStr">
        <is>
          <t>Not started</t>
        </is>
      </c>
      <c r="J2576" s="13" t="n"/>
      <c r="K2576" s="10" t="inlineStr"/>
      <c r="L2576" s="14" t="inlineStr">
        <is>
          <t>▶ watch</t>
        </is>
      </c>
      <c r="M2576" s="10" t="inlineStr">
        <is>
          <t>Páll et al. 2020, J Chem Phys 153:134110 (heterogeneous parallelization and the GPU-resident path) · Páll et al. 2015, EASC, LNCS 8759:3</t>
        </is>
      </c>
      <c r="N2576" s="14" t="inlineStr">
        <is>
          <t>read ↗</t>
        </is>
      </c>
      <c r="O2576" s="11" t="inlineStr">
        <is>
          <t>reading for E.6.1 GROMACS internals and performance</t>
        </is>
      </c>
      <c r="P2576" s="10" t="inlineStr"/>
    </row>
    <row r="2577">
      <c r="A2577" s="19" t="n">
        <v>2576</v>
      </c>
      <c r="B2577" s="19" t="inlineStr">
        <is>
          <t>Part IV - Performance Engineering</t>
        </is>
      </c>
      <c r="C2577" s="20" t="inlineStr">
        <is>
          <t>E.6.2 OpenMM, NAMD, LAMMPS</t>
        </is>
      </c>
      <c r="D2577" s="10" t="inlineStr">
        <is>
          <t>Customizing Forces and Integrators with OpenMM</t>
        </is>
      </c>
      <c r="E2577" s="10" t="inlineStr">
        <is>
          <t>Simbios / Stanford</t>
        </is>
      </c>
      <c r="F2577" s="11" t="inlineStr">
        <is>
          <t>23:14</t>
        </is>
      </c>
      <c r="G2577" s="11" t="n">
        <v>0.39</v>
      </c>
      <c r="H2577" s="12" t="inlineStr">
        <is>
          <t>★</t>
        </is>
      </c>
      <c r="I2577" s="11" t="inlineStr">
        <is>
          <t>Not started</t>
        </is>
      </c>
      <c r="J2577" s="13" t="n"/>
      <c r="K2577" s="10" t="inlineStr"/>
      <c r="L2577" s="14" t="inlineStr">
        <is>
          <t>▶ watch</t>
        </is>
      </c>
      <c r="M2577" s="10" t="inlineStr">
        <is>
          <t>Eastman et al. 2017, PLoS Comput Biol 13:e1005659</t>
        </is>
      </c>
      <c r="N2577" s="14" t="inlineStr">
        <is>
          <t>read ↗</t>
        </is>
      </c>
      <c r="O2577" s="11" t="inlineStr">
        <is>
          <t>paired reading</t>
        </is>
      </c>
      <c r="P2577" s="10" t="inlineStr"/>
    </row>
    <row r="2578">
      <c r="A2578" s="19" t="n">
        <v>2577</v>
      </c>
      <c r="B2578" s="19" t="inlineStr">
        <is>
          <t>Part IV - Performance Engineering</t>
        </is>
      </c>
      <c r="C2578" s="20" t="inlineStr">
        <is>
          <t>E.6.2 OpenMM, NAMD, LAMMPS</t>
        </is>
      </c>
      <c r="D2578" s="10" t="inlineStr">
        <is>
          <t>Validation of OpenMM</t>
        </is>
      </c>
      <c r="E2578" s="10" t="inlineStr">
        <is>
          <t>Simbios / Stanford</t>
        </is>
      </c>
      <c r="F2578" s="11" t="inlineStr">
        <is>
          <t>15:07</t>
        </is>
      </c>
      <c r="G2578" s="11" t="n">
        <v>0.25</v>
      </c>
      <c r="H2578" s="12" t="inlineStr">
        <is>
          <t>★</t>
        </is>
      </c>
      <c r="I2578" s="11" t="inlineStr">
        <is>
          <t>Not started</t>
        </is>
      </c>
      <c r="J2578" s="13" t="n"/>
      <c r="K2578" s="10" t="inlineStr"/>
      <c r="L2578" s="14" t="inlineStr">
        <is>
          <t>▶ watch</t>
        </is>
      </c>
      <c r="M2578" s="10" t="inlineStr">
        <is>
          <t>Páll et al. 2020, J Chem Phys 153:134110 (heterogeneous parallelization and the GPU-resident path) · Páll et al. 2015, EASC, LNCS 8759:3</t>
        </is>
      </c>
      <c r="N2578" s="14" t="inlineStr">
        <is>
          <t>read ↗</t>
        </is>
      </c>
      <c r="O2578" s="11" t="inlineStr">
        <is>
          <t>reading for E.6.1 GROMACS internals and performance</t>
        </is>
      </c>
      <c r="P2578" s="10" t="inlineStr"/>
    </row>
    <row r="2579">
      <c r="A2579" s="19" t="n">
        <v>2578</v>
      </c>
      <c r="B2579" s="19" t="inlineStr">
        <is>
          <t>Part IV - Performance Engineering</t>
        </is>
      </c>
      <c r="C2579" s="20" t="inlineStr">
        <is>
          <t>E.6.2 OpenMM, NAMD, LAMMPS</t>
        </is>
      </c>
      <c r="D2579" s="10" t="inlineStr">
        <is>
          <t>OpenMM (library overview</t>
        </is>
      </c>
      <c r="E2579" s="10" t="inlineStr">
        <is>
          <t>SBGrid</t>
        </is>
      </c>
      <c r="F2579" s="11" t="inlineStr">
        <is>
          <t>31:05</t>
        </is>
      </c>
      <c r="G2579" s="11" t="n">
        <v>0.52</v>
      </c>
      <c r="H2579" s="12" t="inlineStr"/>
      <c r="I2579" s="11" t="inlineStr">
        <is>
          <t>Not started</t>
        </is>
      </c>
      <c r="J2579" s="13" t="n"/>
      <c r="K2579" s="10" t="inlineStr"/>
      <c r="L2579" s="14" t="inlineStr">
        <is>
          <t>▶ watch</t>
        </is>
      </c>
      <c r="M2579" s="10" t="inlineStr">
        <is>
          <t>Páll et al. 2020, J Chem Phys 153:134110 (heterogeneous parallelization and the GPU-resident path) · Páll et al. 2015, EASC, LNCS 8759:3</t>
        </is>
      </c>
      <c r="N2579" s="14" t="inlineStr">
        <is>
          <t>read ↗</t>
        </is>
      </c>
      <c r="O2579" s="11" t="inlineStr">
        <is>
          <t>reading for E.6.1 GROMACS internals and performance</t>
        </is>
      </c>
      <c r="P2579" s="10" t="inlineStr"/>
    </row>
    <row r="2580">
      <c r="A2580" s="19" t="n">
        <v>2579</v>
      </c>
      <c r="B2580" s="19" t="inlineStr">
        <is>
          <t>Part IV - Performance Engineering</t>
        </is>
      </c>
      <c r="C2580" s="20" t="inlineStr">
        <is>
          <t>E.6.2 OpenMM, NAMD, LAMMPS</t>
        </is>
      </c>
      <c r="D2580" s="10" t="inlineStr">
        <is>
          <t>NAMD and Charm++: What You Should Know</t>
        </is>
      </c>
      <c r="E2580" s="10" t="inlineStr">
        <is>
          <t>HPC-AI Advisory Council</t>
        </is>
      </c>
      <c r="F2580" s="11" t="inlineStr">
        <is>
          <t>50:37</t>
        </is>
      </c>
      <c r="G2580" s="11" t="n">
        <v>0.84</v>
      </c>
      <c r="H2580" s="12" t="inlineStr">
        <is>
          <t>★</t>
        </is>
      </c>
      <c r="I2580" s="11" t="inlineStr">
        <is>
          <t>Not started</t>
        </is>
      </c>
      <c r="J2580" s="13" t="n"/>
      <c r="K2580" s="10" t="inlineStr"/>
      <c r="L2580" s="14" t="inlineStr">
        <is>
          <t>▶ watch</t>
        </is>
      </c>
      <c r="M2580" s="10" t="inlineStr">
        <is>
          <t>Páll et al. 2020, J Chem Phys 153:134110 (heterogeneous parallelization and the GPU-resident path) · Páll et al. 2015, EASC, LNCS 8759:3</t>
        </is>
      </c>
      <c r="N2580" s="14" t="inlineStr">
        <is>
          <t>read ↗</t>
        </is>
      </c>
      <c r="O2580" s="11" t="inlineStr">
        <is>
          <t>reading for E.6.1 GROMACS internals and performance</t>
        </is>
      </c>
      <c r="P2580" s="10" t="inlineStr"/>
    </row>
    <row r="2581">
      <c r="A2581" s="19" t="n">
        <v>2580</v>
      </c>
      <c r="B2581" s="19" t="inlineStr">
        <is>
          <t>Part IV - Performance Engineering</t>
        </is>
      </c>
      <c r="C2581" s="20" t="inlineStr">
        <is>
          <t>E.6.2 OpenMM, NAMD, LAMMPS</t>
        </is>
      </c>
      <c r="D2581" s="10" t="inlineStr">
        <is>
          <t>Experiences with Charm++ and NAMD on Summit</t>
        </is>
      </c>
      <c r="E2581" s="10" t="inlineStr">
        <is>
          <t>Jim Phillips (UIUC</t>
        </is>
      </c>
      <c r="F2581" s="11" t="inlineStr">
        <is>
          <t>23:25</t>
        </is>
      </c>
      <c r="G2581" s="11" t="n">
        <v>0.39</v>
      </c>
      <c r="H2581" s="12" t="inlineStr">
        <is>
          <t>★</t>
        </is>
      </c>
      <c r="I2581" s="11" t="inlineStr">
        <is>
          <t>Not started</t>
        </is>
      </c>
      <c r="J2581" s="13" t="n"/>
      <c r="K2581" s="10" t="inlineStr"/>
      <c r="L2581" s="14" t="inlineStr">
        <is>
          <t>▶ watch</t>
        </is>
      </c>
      <c r="M2581" s="10" t="inlineStr">
        <is>
          <t>Páll et al. 2020, J Chem Phys 153:134110 (heterogeneous parallelization and the GPU-resident path) · Páll et al. 2015, EASC, LNCS 8759:3</t>
        </is>
      </c>
      <c r="N2581" s="14" t="inlineStr">
        <is>
          <t>read ↗</t>
        </is>
      </c>
      <c r="O2581" s="11" t="inlineStr">
        <is>
          <t>reading for E.6.1 GROMACS internals and performance</t>
        </is>
      </c>
      <c r="P2581" s="10" t="inlineStr"/>
    </row>
    <row r="2582">
      <c r="A2582" s="19" t="n">
        <v>2581</v>
      </c>
      <c r="B2582" s="19" t="inlineStr">
        <is>
          <t>Part IV - Performance Engineering</t>
        </is>
      </c>
      <c r="C2582" s="20" t="inlineStr">
        <is>
          <t>E.6.2 OpenMM, NAMD, LAMMPS</t>
        </is>
      </c>
      <c r="D2582" s="10" t="inlineStr">
        <is>
          <t>Improving NAMD Performance on Multi-GPU Platforms</t>
        </is>
      </c>
      <c r="E2582" s="10" t="inlineStr">
        <is>
          <t>David Hardy (UIUC</t>
        </is>
      </c>
      <c r="F2582" s="11" t="inlineStr">
        <is>
          <t>31:28</t>
        </is>
      </c>
      <c r="G2582" s="11" t="n">
        <v>0.52</v>
      </c>
      <c r="H2582" s="12" t="inlineStr">
        <is>
          <t>★</t>
        </is>
      </c>
      <c r="I2582" s="11" t="inlineStr">
        <is>
          <t>Not started</t>
        </is>
      </c>
      <c r="J2582" s="13" t="n"/>
      <c r="K2582" s="10" t="inlineStr"/>
      <c r="L2582" s="14" t="inlineStr">
        <is>
          <t>▶ watch</t>
        </is>
      </c>
      <c r="M2582" s="10" t="inlineStr">
        <is>
          <t>Páll et al. 2020, J Chem Phys 153:134110 (heterogeneous parallelization and the GPU-resident path) · Páll et al. 2015, EASC, LNCS 8759:3</t>
        </is>
      </c>
      <c r="N2582" s="14" t="inlineStr">
        <is>
          <t>read ↗</t>
        </is>
      </c>
      <c r="O2582" s="11" t="inlineStr">
        <is>
          <t>reading for E.6.1 GROMACS internals and performance</t>
        </is>
      </c>
      <c r="P2582" s="10" t="inlineStr"/>
    </row>
    <row r="2583">
      <c r="A2583" s="19" t="n">
        <v>2582</v>
      </c>
      <c r="B2583" s="19" t="inlineStr">
        <is>
          <t>Part IV - Performance Engineering</t>
        </is>
      </c>
      <c r="C2583" s="20" t="inlineStr">
        <is>
          <t>E.6.2 OpenMM, NAMD, LAMMPS</t>
        </is>
      </c>
      <c r="D2583" s="10" t="inlineStr">
        <is>
          <t>Lessons from Scaling NAMD</t>
        </is>
      </c>
      <c r="E2583" s="10" t="inlineStr">
        <is>
          <t>Jim Phillips (UIUC</t>
        </is>
      </c>
      <c r="F2583" s="11" t="inlineStr">
        <is>
          <t>29:10</t>
        </is>
      </c>
      <c r="G2583" s="11" t="n">
        <v>0.49</v>
      </c>
      <c r="H2583" s="12" t="inlineStr"/>
      <c r="I2583" s="11" t="inlineStr">
        <is>
          <t>Not started</t>
        </is>
      </c>
      <c r="J2583" s="13" t="n"/>
      <c r="K2583" s="10" t="inlineStr"/>
      <c r="L2583" s="14" t="inlineStr">
        <is>
          <t>▶ watch</t>
        </is>
      </c>
      <c r="M2583" s="10" t="inlineStr">
        <is>
          <t>Páll et al. 2020, J Chem Phys 153:134110 (heterogeneous parallelization and the GPU-resident path) · Páll et al. 2015, EASC, LNCS 8759:3</t>
        </is>
      </c>
      <c r="N2583" s="14" t="inlineStr">
        <is>
          <t>read ↗</t>
        </is>
      </c>
      <c r="O2583" s="11" t="inlineStr">
        <is>
          <t>reading for E.6.1 GROMACS internals and performance</t>
        </is>
      </c>
      <c r="P2583" s="10" t="inlineStr"/>
    </row>
    <row r="2584">
      <c r="A2584" s="19" t="n">
        <v>2583</v>
      </c>
      <c r="B2584" s="19" t="inlineStr">
        <is>
          <t>Part IV - Performance Engineering</t>
        </is>
      </c>
      <c r="C2584" s="20" t="inlineStr">
        <is>
          <t>E.6.2 OpenMM, NAMD, LAMMPS</t>
        </is>
      </c>
      <c r="D2584" s="10" t="inlineStr">
        <is>
          <t>NAMD on Heterogeneous Architectures (the GPU-resident redesign</t>
        </is>
      </c>
      <c r="E2584" s="10" t="inlineStr">
        <is>
          <t>Charm++ Workshop</t>
        </is>
      </c>
      <c r="F2584" s="11" t="inlineStr">
        <is>
          <t>33:00</t>
        </is>
      </c>
      <c r="G2584" s="11" t="n">
        <v>0.55</v>
      </c>
      <c r="H2584" s="12" t="inlineStr">
        <is>
          <t>★</t>
        </is>
      </c>
      <c r="I2584" s="11" t="inlineStr">
        <is>
          <t>Not started</t>
        </is>
      </c>
      <c r="J2584" s="13" t="n"/>
      <c r="K2584" s="10" t="inlineStr"/>
      <c r="L2584" s="14" t="inlineStr">
        <is>
          <t>▶ watch</t>
        </is>
      </c>
      <c r="M2584" s="10" t="inlineStr">
        <is>
          <t>Páll et al. 2020, J Chem Phys 153:134110 (heterogeneous parallelization and the GPU-resident path) · Páll et al. 2015, EASC, LNCS 8759:3</t>
        </is>
      </c>
      <c r="N2584" s="14" t="inlineStr">
        <is>
          <t>read ↗</t>
        </is>
      </c>
      <c r="O2584" s="11" t="inlineStr">
        <is>
          <t>reading for E.6.1 GROMACS internals and performance</t>
        </is>
      </c>
      <c r="P2584" s="10" t="inlineStr"/>
    </row>
    <row r="2585">
      <c r="A2585" s="19" t="n">
        <v>2584</v>
      </c>
      <c r="B2585" s="19" t="inlineStr">
        <is>
          <t>Part IV - Performance Engineering</t>
        </is>
      </c>
      <c r="C2585" s="20" t="inlineStr">
        <is>
          <t>E.6.2 OpenMM, NAMD, LAMMPS</t>
        </is>
      </c>
      <c r="D2585" s="10" t="inlineStr">
        <is>
          <t>Accelerating Discovery with NAMD 3</t>
        </is>
      </c>
      <c r="E2585" s="10" t="inlineStr">
        <is>
          <t>CCPBioSim</t>
        </is>
      </c>
      <c r="F2585" s="11" t="inlineStr">
        <is>
          <t>1:07:51</t>
        </is>
      </c>
      <c r="G2585" s="11" t="n">
        <v>1.13</v>
      </c>
      <c r="H2585" s="12" t="inlineStr"/>
      <c r="I2585" s="11" t="inlineStr">
        <is>
          <t>Not started</t>
        </is>
      </c>
      <c r="J2585" s="13" t="n"/>
      <c r="K2585" s="10" t="inlineStr"/>
      <c r="L2585" s="14" t="inlineStr">
        <is>
          <t>▶ watch</t>
        </is>
      </c>
      <c r="M2585" s="10" t="inlineStr">
        <is>
          <t>Páll et al. 2020, J Chem Phys 153:134110 (heterogeneous parallelization and the GPU-resident path) · Páll et al. 2015, EASC, LNCS 8759:3</t>
        </is>
      </c>
      <c r="N2585" s="14" t="inlineStr">
        <is>
          <t>read ↗</t>
        </is>
      </c>
      <c r="O2585" s="11" t="inlineStr">
        <is>
          <t>reading for E.6.1 GROMACS internals and performance</t>
        </is>
      </c>
      <c r="P2585" s="10" t="inlineStr"/>
    </row>
    <row r="2586">
      <c r="A2586" s="19" t="n">
        <v>2585</v>
      </c>
      <c r="B2586" s="19" t="inlineStr">
        <is>
          <t>Part IV - Performance Engineering</t>
        </is>
      </c>
      <c r="C2586" s="20" t="inlineStr">
        <is>
          <t>E.6.2 OpenMM, NAMD, LAMMPS</t>
        </is>
      </c>
      <c r="D2586" s="10" t="inlineStr">
        <is>
          <t>Scaling MD on Aurora with NAMD (SYCL</t>
        </is>
      </c>
      <c r="E2586" s="10" t="inlineStr">
        <is>
          <t>IXPUG</t>
        </is>
      </c>
      <c r="F2586" s="11" t="inlineStr">
        <is>
          <t>26:37</t>
        </is>
      </c>
      <c r="G2586" s="11" t="n">
        <v>0.44</v>
      </c>
      <c r="H2586" s="12" t="inlineStr"/>
      <c r="I2586" s="11" t="inlineStr">
        <is>
          <t>Not started</t>
        </is>
      </c>
      <c r="J2586" s="13" t="n"/>
      <c r="K2586" s="10" t="inlineStr"/>
      <c r="L2586" s="14" t="inlineStr">
        <is>
          <t>▶ watch</t>
        </is>
      </c>
      <c r="M2586" s="10" t="inlineStr">
        <is>
          <t>Páll et al. 2020, J Chem Phys 153:134110 (heterogeneous parallelization and the GPU-resident path) · Páll et al. 2015, EASC, LNCS 8759:3</t>
        </is>
      </c>
      <c r="N2586" s="14" t="inlineStr">
        <is>
          <t>read ↗</t>
        </is>
      </c>
      <c r="O2586" s="11" t="inlineStr">
        <is>
          <t>reading for E.6.1 GROMACS internals and performance</t>
        </is>
      </c>
      <c r="P2586" s="10" t="inlineStr"/>
    </row>
    <row r="2587">
      <c r="A2587" s="19" t="n">
        <v>2586</v>
      </c>
      <c r="B2587" s="19" t="inlineStr">
        <is>
          <t>Part IV - Performance Engineering</t>
        </is>
      </c>
      <c r="C2587" s="20" t="inlineStr">
        <is>
          <t>E.6.2 OpenMM, NAMD, LAMMPS</t>
        </is>
      </c>
      <c r="D2587" s="10" t="inlineStr">
        <is>
          <t>Optimizing GPU Performance: the Chain Benchmark in LAMMPS</t>
        </is>
      </c>
      <c r="E2587" s="10" t="inlineStr">
        <is>
          <t>Stan Moore (Sandia</t>
        </is>
      </c>
      <c r="F2587" s="11" t="inlineStr">
        <is>
          <t>44:10</t>
        </is>
      </c>
      <c r="G2587" s="11" t="n">
        <v>0.74</v>
      </c>
      <c r="H2587" s="12" t="inlineStr">
        <is>
          <t>★</t>
        </is>
      </c>
      <c r="I2587" s="11" t="inlineStr">
        <is>
          <t>Not started</t>
        </is>
      </c>
      <c r="J2587" s="13" t="n"/>
      <c r="K2587" s="10" t="inlineStr"/>
      <c r="L2587" s="14" t="inlineStr">
        <is>
          <t>▶ watch</t>
        </is>
      </c>
      <c r="M2587" s="10" t="inlineStr">
        <is>
          <t>Páll et al. 2020, J Chem Phys 153:134110 (heterogeneous parallelization and the GPU-resident path) · Páll et al. 2015, EASC, LNCS 8759:3</t>
        </is>
      </c>
      <c r="N2587" s="14" t="inlineStr">
        <is>
          <t>read ↗</t>
        </is>
      </c>
      <c r="O2587" s="11" t="inlineStr">
        <is>
          <t>reading for E.6.1 GROMACS internals and performance</t>
        </is>
      </c>
      <c r="P2587" s="10" t="inlineStr"/>
    </row>
    <row r="2588">
      <c r="A2588" s="19" t="n">
        <v>2587</v>
      </c>
      <c r="B2588" s="19" t="inlineStr">
        <is>
          <t>Part IV - Performance Engineering</t>
        </is>
      </c>
      <c r="C2588" s="20" t="inlineStr">
        <is>
          <t>E.6.2 OpenMM, NAMD, LAMMPS</t>
        </is>
      </c>
      <c r="D2588" s="10" t="inlineStr">
        <is>
          <t>Porting LAMMPS with Kokkos/SYCL to Aurora</t>
        </is>
      </c>
      <c r="E2588" s="10" t="inlineStr">
        <is>
          <t>IWOCL</t>
        </is>
      </c>
      <c r="F2588" s="11" t="inlineStr">
        <is>
          <t>19:50</t>
        </is>
      </c>
      <c r="G2588" s="11" t="n">
        <v>0.33</v>
      </c>
      <c r="H2588" s="12" t="inlineStr"/>
      <c r="I2588" s="11" t="inlineStr">
        <is>
          <t>Not started</t>
        </is>
      </c>
      <c r="J2588" s="13" t="n"/>
      <c r="K2588" s="10" t="inlineStr"/>
      <c r="L2588" s="14" t="inlineStr">
        <is>
          <t>▶ watch</t>
        </is>
      </c>
      <c r="M2588" s="10" t="inlineStr">
        <is>
          <t>Páll et al. 2020, J Chem Phys 153:134110 (heterogeneous parallelization and the GPU-resident path) · Páll et al. 2015, EASC, LNCS 8759:3</t>
        </is>
      </c>
      <c r="N2588" s="14" t="inlineStr">
        <is>
          <t>read ↗</t>
        </is>
      </c>
      <c r="O2588" s="11" t="inlineStr">
        <is>
          <t>reading for E.6.1 GROMACS internals and performance</t>
        </is>
      </c>
      <c r="P2588" s="10" t="inlineStr"/>
    </row>
    <row r="2589">
      <c r="A2589" s="19" t="n">
        <v>2588</v>
      </c>
      <c r="B2589" s="19" t="inlineStr">
        <is>
          <t>Part IV - Performance Engineering</t>
        </is>
      </c>
      <c r="C2589" s="20" t="inlineStr">
        <is>
          <t>E.6.2 OpenMM, NAMD, LAMMPS</t>
        </is>
      </c>
      <c r="D2589" s="10" t="inlineStr">
        <is>
          <t>HOOMD-Blue v3.0 - a GPU-native MD engine</t>
        </is>
      </c>
      <c r="E2589" s="10" t="inlineStr">
        <is>
          <t>Joshua Anderson (Michigan</t>
        </is>
      </c>
      <c r="F2589" s="11" t="inlineStr">
        <is>
          <t>31:44</t>
        </is>
      </c>
      <c r="G2589" s="11" t="n">
        <v>0.53</v>
      </c>
      <c r="H2589" s="12" t="inlineStr"/>
      <c r="I2589" s="11" t="inlineStr">
        <is>
          <t>Not started</t>
        </is>
      </c>
      <c r="J2589" s="13" t="n"/>
      <c r="K2589" s="10" t="inlineStr"/>
      <c r="L2589" s="14" t="inlineStr">
        <is>
          <t>▶ watch</t>
        </is>
      </c>
      <c r="M2589" s="10" t="inlineStr">
        <is>
          <t>Páll et al. 2020, J Chem Phys 153:134110 (heterogeneous parallelization and the GPU-resident path) · Páll et al. 2015, EASC, LNCS 8759:3</t>
        </is>
      </c>
      <c r="N2589" s="14" t="inlineStr">
        <is>
          <t>read ↗</t>
        </is>
      </c>
      <c r="O2589" s="11" t="inlineStr">
        <is>
          <t>reading for E.6.1 GROMACS internals and performance</t>
        </is>
      </c>
      <c r="P2589" s="10" t="inlineStr"/>
    </row>
    <row r="2590">
      <c r="A2590" s="19" t="n">
        <v>2589</v>
      </c>
      <c r="B2590" s="19" t="inlineStr">
        <is>
          <t>Part IV - Performance Engineering</t>
        </is>
      </c>
      <c r="C2590" s="20" t="inlineStr">
        <is>
          <t>E.6.3 The algorithms that make MD fast</t>
        </is>
      </c>
      <c r="D2590" s="10" t="inlineStr">
        <is>
          <t>TCBG: NAMD - MD on GPU Clusters, Part 1</t>
        </is>
      </c>
      <c r="E2590" s="10" t="inlineStr">
        <is>
          <t>GPU force-loop mapping</t>
        </is>
      </c>
      <c r="F2590" s="11" t="inlineStr">
        <is>
          <t>14:08</t>
        </is>
      </c>
      <c r="G2590" s="11" t="n">
        <v>0.24</v>
      </c>
      <c r="H2590" s="12" t="inlineStr"/>
      <c r="I2590" s="11" t="inlineStr">
        <is>
          <t>Not started</t>
        </is>
      </c>
      <c r="J2590" s="13" t="n"/>
      <c r="K2590" s="10" t="inlineStr"/>
      <c r="L2590" s="14" t="inlineStr">
        <is>
          <t>▶ watch</t>
        </is>
      </c>
      <c r="M2590" s="10" t="inlineStr">
        <is>
          <t>Essmann et al. 1995, JCP 103:8577 (smooth PME) · Hess et al. 1997, J Comput Chem 18:1463 (LINCS) and Hess 2008, JCTC 4:116 (P-LINCS)</t>
        </is>
      </c>
      <c r="N2590" s="14" t="inlineStr">
        <is>
          <t>read ↗</t>
        </is>
      </c>
      <c r="O2590" s="11" t="inlineStr">
        <is>
          <t>section reading (2 of 4)</t>
        </is>
      </c>
      <c r="P2590" s="10" t="inlineStr"/>
    </row>
    <row r="2591">
      <c r="A2591" s="19" t="n">
        <v>2590</v>
      </c>
      <c r="B2591" s="19" t="inlineStr">
        <is>
          <t>Part IV - Performance Engineering</t>
        </is>
      </c>
      <c r="C2591" s="20" t="inlineStr">
        <is>
          <t>E.6.3 The algorithms that make MD fast</t>
        </is>
      </c>
      <c r="D2591" s="10" t="inlineStr">
        <is>
          <t>TCBG: MD on GPU Clusters, Part 4</t>
        </is>
      </c>
      <c r="E2591" s="10" t="inlineStr">
        <is>
          <t>Spatial decomposition</t>
        </is>
      </c>
      <c r="F2591" s="11" t="inlineStr">
        <is>
          <t>14:08</t>
        </is>
      </c>
      <c r="G2591" s="11" t="n">
        <v>0.24</v>
      </c>
      <c r="H2591" s="12" t="inlineStr"/>
      <c r="I2591" s="11" t="inlineStr">
        <is>
          <t>Not started</t>
        </is>
      </c>
      <c r="J2591" s="13" t="n"/>
      <c r="K2591" s="10" t="inlineStr"/>
      <c r="L2591" s="14" t="inlineStr">
        <is>
          <t>▶ watch</t>
        </is>
      </c>
      <c r="M2591" s="10" t="inlineStr">
        <is>
          <t>Essmann et al. 1995, JCP 103:8577 (smooth PME) · Hess et al. 1997, J Comput Chem 18:1463 (LINCS) and Hess 2008, JCTC 4:116 (P-LINCS)</t>
        </is>
      </c>
      <c r="N2591" s="14" t="inlineStr">
        <is>
          <t>read ↗</t>
        </is>
      </c>
      <c r="O2591" s="11" t="inlineStr">
        <is>
          <t>section reading (2 of 4)</t>
        </is>
      </c>
      <c r="P2591" s="10" t="inlineStr"/>
    </row>
    <row r="2592">
      <c r="A2592" s="19" t="n">
        <v>2591</v>
      </c>
      <c r="B2592" s="19" t="inlineStr">
        <is>
          <t>Part IV - Performance Engineering</t>
        </is>
      </c>
      <c r="C2592" s="20" t="inlineStr">
        <is>
          <t>E.6.3 The algorithms that make MD fast</t>
        </is>
      </c>
      <c r="D2592" s="10" t="inlineStr">
        <is>
          <t>TCBG: GPU Particle-Grid Algorithms, Part 1</t>
        </is>
      </c>
      <c r="E2592" s="10" t="inlineStr">
        <is>
          <t>PME on GPUs</t>
        </is>
      </c>
      <c r="F2592" s="11" t="inlineStr">
        <is>
          <t>14:08</t>
        </is>
      </c>
      <c r="G2592" s="11" t="n">
        <v>0.24</v>
      </c>
      <c r="H2592" s="12" t="inlineStr">
        <is>
          <t>★</t>
        </is>
      </c>
      <c r="I2592" s="11" t="inlineStr">
        <is>
          <t>Not started</t>
        </is>
      </c>
      <c r="J2592" s="13" t="n"/>
      <c r="K2592" s="10" t="inlineStr"/>
      <c r="L2592" s="14" t="inlineStr">
        <is>
          <t>▶ watch</t>
        </is>
      </c>
      <c r="M2592" s="10" t="inlineStr">
        <is>
          <t>Essmann et al. 1995, JCP 103:8577 (smooth PME)</t>
        </is>
      </c>
      <c r="N2592" s="14" t="inlineStr">
        <is>
          <t>read ↗</t>
        </is>
      </c>
      <c r="O2592" s="11" t="inlineStr">
        <is>
          <t>names PME</t>
        </is>
      </c>
      <c r="P2592" s="10" t="inlineStr"/>
    </row>
    <row r="2593">
      <c r="A2593" s="19" t="n">
        <v>2592</v>
      </c>
      <c r="B2593" s="19" t="inlineStr">
        <is>
          <t>Part IV - Performance Engineering</t>
        </is>
      </c>
      <c r="C2593" s="20" t="inlineStr">
        <is>
          <t>E.6.3 The algorithms that make MD fast</t>
        </is>
      </c>
      <c r="D2593" s="10" t="inlineStr">
        <is>
          <t>TCBG: Particle-Grid Algorithms, Part 2</t>
        </is>
      </c>
      <c r="E2593" s="10" t="inlineStr">
        <is>
          <t>PME on GPUs</t>
        </is>
      </c>
      <c r="F2593" s="11" t="inlineStr">
        <is>
          <t>14:08</t>
        </is>
      </c>
      <c r="G2593" s="11" t="n">
        <v>0.24</v>
      </c>
      <c r="H2593" s="12" t="inlineStr"/>
      <c r="I2593" s="11" t="inlineStr">
        <is>
          <t>Not started</t>
        </is>
      </c>
      <c r="J2593" s="13" t="n"/>
      <c r="K2593" s="10" t="inlineStr"/>
      <c r="L2593" s="14" t="inlineStr">
        <is>
          <t>▶ watch</t>
        </is>
      </c>
      <c r="M2593" s="10" t="inlineStr">
        <is>
          <t>Essmann et al. 1995, JCP 103:8577 (smooth PME)</t>
        </is>
      </c>
      <c r="N2593" s="14" t="inlineStr">
        <is>
          <t>read ↗</t>
        </is>
      </c>
      <c r="O2593" s="11" t="inlineStr">
        <is>
          <t>names PME</t>
        </is>
      </c>
      <c r="P2593" s="10" t="inlineStr"/>
    </row>
    <row r="2594">
      <c r="A2594" s="19" t="n">
        <v>2593</v>
      </c>
      <c r="B2594" s="19" t="inlineStr">
        <is>
          <t>Part IV - Performance Engineering</t>
        </is>
      </c>
      <c r="C2594" s="20" t="inlineStr">
        <is>
          <t>E.6.3 The algorithms that make MD fast</t>
        </is>
      </c>
      <c r="D2594" s="10" t="inlineStr">
        <is>
          <t>Ewald / PME / PPPM / SPME</t>
        </is>
      </c>
      <c r="E2594" s="10" t="inlineStr">
        <is>
          <t>Ewald derivation</t>
        </is>
      </c>
      <c r="F2594" s="11" t="inlineStr">
        <is>
          <t>21:25</t>
        </is>
      </c>
      <c r="G2594" s="11" t="n">
        <v>0.36</v>
      </c>
      <c r="H2594" s="12" t="inlineStr"/>
      <c r="I2594" s="11" t="inlineStr">
        <is>
          <t>Not started</t>
        </is>
      </c>
      <c r="J2594" s="13" t="n"/>
      <c r="K2594" s="10" t="inlineStr"/>
      <c r="L2594" s="14" t="inlineStr">
        <is>
          <t>▶ watch</t>
        </is>
      </c>
      <c r="M2594" s="10" t="inlineStr">
        <is>
          <t>Essmann et al. 1995, JCP 103:8577 (smooth PME)</t>
        </is>
      </c>
      <c r="N2594" s="14" t="inlineStr">
        <is>
          <t>read ↗</t>
        </is>
      </c>
      <c r="O2594" s="11" t="inlineStr">
        <is>
          <t>names PME</t>
        </is>
      </c>
      <c r="P2594" s="10" t="inlineStr"/>
    </row>
    <row r="2595">
      <c r="A2595" s="19" t="n">
        <v>2594</v>
      </c>
      <c r="B2595" s="19" t="inlineStr">
        <is>
          <t>Part IV - Performance Engineering</t>
        </is>
      </c>
      <c r="C2595" s="20" t="inlineStr">
        <is>
          <t>E.6.3 The algorithms that make MD fast</t>
        </is>
      </c>
      <c r="D2595" s="10" t="inlineStr">
        <is>
          <t>Periodic Coulomb Tree Method</t>
        </is>
      </c>
      <c r="E2595" s="10" t="inlineStr">
        <is>
          <t>The PME scaling wall</t>
        </is>
      </c>
      <c r="F2595" s="11" t="inlineStr">
        <is>
          <t>34:00</t>
        </is>
      </c>
      <c r="G2595" s="11" t="n">
        <v>0.57</v>
      </c>
      <c r="H2595" s="12" t="inlineStr">
        <is>
          <t>★</t>
        </is>
      </c>
      <c r="I2595" s="11" t="inlineStr">
        <is>
          <t>Not started</t>
        </is>
      </c>
      <c r="J2595" s="13" t="n"/>
      <c r="K2595" s="10" t="inlineStr"/>
      <c r="L2595" s="14" t="inlineStr">
        <is>
          <t>▶ watch</t>
        </is>
      </c>
      <c r="M2595" s="10" t="inlineStr">
        <is>
          <t>Essmann et al. 1995, JCP 103:8577 (smooth PME)</t>
        </is>
      </c>
      <c r="N2595" s="14" t="inlineStr">
        <is>
          <t>read ↗</t>
        </is>
      </c>
      <c r="O2595" s="11" t="inlineStr">
        <is>
          <t>names PME</t>
        </is>
      </c>
      <c r="P2595" s="10" t="inlineStr"/>
    </row>
    <row r="2596">
      <c r="A2596" s="19" t="n">
        <v>2595</v>
      </c>
      <c r="B2596" s="19" t="inlineStr">
        <is>
          <t>Part IV - Performance Engineering</t>
        </is>
      </c>
      <c r="C2596" s="20" t="inlineStr">
        <is>
          <t>E.6.3 The algorithms that make MD fast</t>
        </is>
      </c>
      <c r="D2596" s="10" t="inlineStr">
        <is>
          <t>SHAKE, RATTLE, LINCS, SETTLE</t>
        </is>
      </c>
      <c r="E2596" s="10" t="inlineStr">
        <is>
          <t>Constraints</t>
        </is>
      </c>
      <c r="F2596" s="11" t="inlineStr">
        <is>
          <t>12:11</t>
        </is>
      </c>
      <c r="G2596" s="11" t="n">
        <v>0.2</v>
      </c>
      <c r="H2596" s="12" t="inlineStr"/>
      <c r="I2596" s="11" t="inlineStr">
        <is>
          <t>Not started</t>
        </is>
      </c>
      <c r="J2596" s="13" t="n"/>
      <c r="K2596" s="10" t="inlineStr"/>
      <c r="L2596" s="14" t="inlineStr">
        <is>
          <t>▶ watch</t>
        </is>
      </c>
      <c r="M2596" s="10" t="inlineStr">
        <is>
          <t>Hess et al. 1997, J Comput Chem 18:1463 (LINCS) and Hess 2008, JCTC 4:116 (P-LINCS)</t>
        </is>
      </c>
      <c r="N2596" s="14" t="inlineStr">
        <is>
          <t>read ↗</t>
        </is>
      </c>
      <c r="O2596" s="11" t="inlineStr">
        <is>
          <t>names LINCS</t>
        </is>
      </c>
      <c r="P2596" s="10" t="inlineStr"/>
    </row>
    <row r="2597">
      <c r="A2597" s="19" t="n">
        <v>2596</v>
      </c>
      <c r="B2597" s="19" t="inlineStr">
        <is>
          <t>Part IV - Performance Engineering</t>
        </is>
      </c>
      <c r="C2597" s="20" t="inlineStr">
        <is>
          <t>E.6.3 The algorithms that make MD fast</t>
        </is>
      </c>
      <c r="D2597" s="10" t="inlineStr">
        <is>
          <t>Hydrogen mass repartitioning</t>
        </is>
      </c>
      <c r="E2597" s="10" t="inlineStr">
        <is>
          <t>HMR in GROMACS (hands-on</t>
        </is>
      </c>
      <c r="F2597" s="11" t="inlineStr">
        <is>
          <t>14:45</t>
        </is>
      </c>
      <c r="G2597" s="11" t="n">
        <v>0.25</v>
      </c>
      <c r="H2597" s="12" t="inlineStr">
        <is>
          <t>★</t>
        </is>
      </c>
      <c r="I2597" s="11" t="inlineStr">
        <is>
          <t>Not started</t>
        </is>
      </c>
      <c r="J2597" s="13" t="n"/>
      <c r="K2597" s="10" t="inlineStr"/>
      <c r="L2597" s="14" t="inlineStr">
        <is>
          <t>▶ watch</t>
        </is>
      </c>
      <c r="M2597" s="10" t="inlineStr">
        <is>
          <t>Essmann et al. 1995, JCP 103:8577 (smooth PME) · Hess et al. 1997, J Comput Chem 18:1463 (LINCS) and Hess 2008, JCTC 4:116 (P-LINCS)</t>
        </is>
      </c>
      <c r="N2597" s="14" t="inlineStr">
        <is>
          <t>read ↗</t>
        </is>
      </c>
      <c r="O2597" s="11" t="inlineStr">
        <is>
          <t>section reading (2 of 4)</t>
        </is>
      </c>
      <c r="P2597" s="10" t="inlineStr"/>
    </row>
    <row r="2598">
      <c r="A2598" s="19" t="n">
        <v>2597</v>
      </c>
      <c r="B2598" s="19" t="inlineStr">
        <is>
          <t>Part IV - Performance Engineering</t>
        </is>
      </c>
      <c r="C2598" s="20" t="inlineStr">
        <is>
          <t>E.6.3 The algorithms that make MD fast</t>
        </is>
      </c>
      <c r="D2598" s="10" t="inlineStr">
        <is>
          <t>BioExcel #18: multiple timescales</t>
        </is>
      </c>
      <c r="E2598" s="10" t="inlineStr">
        <is>
          <t>Multiple timestepping</t>
        </is>
      </c>
      <c r="F2598" s="11" t="inlineStr">
        <is>
          <t>1:10:03</t>
        </is>
      </c>
      <c r="G2598" s="11" t="n">
        <v>1.17</v>
      </c>
      <c r="H2598" s="12" t="inlineStr"/>
      <c r="I2598" s="11" t="inlineStr">
        <is>
          <t>Not started</t>
        </is>
      </c>
      <c r="J2598" s="13" t="n"/>
      <c r="K2598" s="10" t="inlineStr"/>
      <c r="L2598" s="14" t="inlineStr">
        <is>
          <t>▶ watch</t>
        </is>
      </c>
      <c r="M2598" s="10" t="inlineStr">
        <is>
          <t>Essmann et al. 1995, JCP 103:8577 (smooth PME) · Hess et al. 1997, J Comput Chem 18:1463 (LINCS) and Hess 2008, JCTC 4:116 (P-LINCS)</t>
        </is>
      </c>
      <c r="N2598" s="14" t="inlineStr">
        <is>
          <t>read ↗</t>
        </is>
      </c>
      <c r="O2598" s="11" t="inlineStr">
        <is>
          <t>section reading (2 of 4)</t>
        </is>
      </c>
      <c r="P2598" s="10" t="inlineStr"/>
    </row>
    <row r="2599">
      <c r="A2599" s="19" t="n">
        <v>2598</v>
      </c>
      <c r="B2599" s="19" t="inlineStr">
        <is>
          <t>Part IV - Performance Engineering</t>
        </is>
      </c>
      <c r="C2599" s="20" t="inlineStr">
        <is>
          <t>E.6.3 The algorithms that make MD fast</t>
        </is>
      </c>
      <c r="D2599" s="10" t="inlineStr">
        <is>
          <t>Dynamic Load-Balancing for Particle Simulations</t>
        </is>
      </c>
      <c r="E2599" s="10" t="inlineStr">
        <is>
          <t>Load balancing</t>
        </is>
      </c>
      <c r="F2599" s="11" t="inlineStr">
        <is>
          <t>53:54</t>
        </is>
      </c>
      <c r="G2599" s="11" t="n">
        <v>0.9</v>
      </c>
      <c r="H2599" s="12" t="inlineStr">
        <is>
          <t>★</t>
        </is>
      </c>
      <c r="I2599" s="11" t="inlineStr">
        <is>
          <t>Not started</t>
        </is>
      </c>
      <c r="J2599" s="13" t="n"/>
      <c r="K2599" s="10" t="inlineStr"/>
      <c r="L2599" s="14" t="inlineStr">
        <is>
          <t>▶ watch</t>
        </is>
      </c>
      <c r="M2599" s="10" t="inlineStr">
        <is>
          <t>Essmann et al. 1995, JCP 103:8577 (smooth PME) · Hess et al. 1997, J Comput Chem 18:1463 (LINCS) and Hess 2008, JCTC 4:116 (P-LINCS)</t>
        </is>
      </c>
      <c r="N2599" s="14" t="inlineStr">
        <is>
          <t>read ↗</t>
        </is>
      </c>
      <c r="O2599" s="11" t="inlineStr">
        <is>
          <t>section reading (2 of 4)</t>
        </is>
      </c>
      <c r="P2599" s="10" t="inlineStr"/>
    </row>
    <row r="2600">
      <c r="A2600" s="19" t="n">
        <v>2599</v>
      </c>
      <c r="B2600" s="19" t="inlineStr">
        <is>
          <t>Part IV - Performance Engineering</t>
        </is>
      </c>
      <c r="C2600" s="20" t="inlineStr">
        <is>
          <t>E.6.4 HPC fundamentals</t>
        </is>
      </c>
      <c r="D2600" s="10" t="inlineStr">
        <is>
          <t>Basic OpenMP</t>
        </is>
      </c>
      <c r="E2600" s="10" t="inlineStr"/>
      <c r="F2600" s="11" t="inlineStr">
        <is>
          <t>51:14</t>
        </is>
      </c>
      <c r="G2600" s="11" t="n">
        <v>0.85</v>
      </c>
      <c r="H2600" s="12" t="inlineStr"/>
      <c r="I2600" s="11" t="inlineStr">
        <is>
          <t>Not started</t>
        </is>
      </c>
      <c r="J2600" s="13" t="n"/>
      <c r="K2600" s="10" t="inlineStr"/>
      <c r="L2600" s="14" t="inlineStr">
        <is>
          <t>▶ watch</t>
        </is>
      </c>
      <c r="M2600" s="10" t="inlineStr">
        <is>
          <t>Wulf &amp; McKee 1995, SIGARCH Comput Archit News 23(1):20 (Hitting the Memory Wall) · Williams, Waterman &amp; Patterson 2009, CACM 52(4):65 (Roofline)</t>
        </is>
      </c>
      <c r="N2600" s="14" t="inlineStr">
        <is>
          <t>read ↗</t>
        </is>
      </c>
      <c r="O2600" s="11" t="inlineStr">
        <is>
          <t>section reading</t>
        </is>
      </c>
      <c r="P2600" s="10" t="inlineStr"/>
    </row>
    <row r="2601">
      <c r="A2601" s="19" t="n">
        <v>2600</v>
      </c>
      <c r="B2601" s="19" t="inlineStr">
        <is>
          <t>Part IV - Performance Engineering</t>
        </is>
      </c>
      <c r="C2601" s="20" t="inlineStr">
        <is>
          <t>E.6.4 HPC fundamentals</t>
        </is>
      </c>
      <c r="D2601" s="10" t="inlineStr">
        <is>
          <t>Advanced OpenMP and performance issues</t>
        </is>
      </c>
      <c r="E2601" s="10" t="inlineStr"/>
      <c r="F2601" s="11" t="inlineStr">
        <is>
          <t>1:10:43</t>
        </is>
      </c>
      <c r="G2601" s="11" t="n">
        <v>1.18</v>
      </c>
      <c r="H2601" s="12" t="inlineStr"/>
      <c r="I2601" s="11" t="inlineStr">
        <is>
          <t>Not started</t>
        </is>
      </c>
      <c r="J2601" s="13" t="n"/>
      <c r="K2601" s="10" t="inlineStr"/>
      <c r="L2601" s="14" t="inlineStr">
        <is>
          <t>▶ watch</t>
        </is>
      </c>
      <c r="M2601" s="10" t="inlineStr">
        <is>
          <t>Wulf &amp; McKee 1995, SIGARCH Comput Archit News 23(1):20 (Hitting the Memory Wall) · Williams, Waterman &amp; Patterson 2009, CACM 52(4):65 (Roofline)</t>
        </is>
      </c>
      <c r="N2601" s="14" t="inlineStr">
        <is>
          <t>read ↗</t>
        </is>
      </c>
      <c r="O2601" s="11" t="inlineStr">
        <is>
          <t>section reading</t>
        </is>
      </c>
      <c r="P2601" s="10" t="inlineStr"/>
    </row>
    <row r="2602">
      <c r="A2602" s="19" t="n">
        <v>2601</v>
      </c>
      <c r="B2602" s="19" t="inlineStr">
        <is>
          <t>Part IV - Performance Engineering</t>
        </is>
      </c>
      <c r="C2602" s="20" t="inlineStr">
        <is>
          <t>E.6.4 HPC fundamentals</t>
        </is>
      </c>
      <c r="D2602" s="10" t="inlineStr">
        <is>
          <t>ccNUMA and wavefront parallelization - first-touch, pinning</t>
        </is>
      </c>
      <c r="E2602" s="10" t="inlineStr"/>
      <c r="F2602" s="11" t="inlineStr">
        <is>
          <t>59:07</t>
        </is>
      </c>
      <c r="G2602" s="11" t="n">
        <v>0.99</v>
      </c>
      <c r="H2602" s="12" t="inlineStr">
        <is>
          <t>★</t>
        </is>
      </c>
      <c r="I2602" s="11" t="inlineStr">
        <is>
          <t>Not started</t>
        </is>
      </c>
      <c r="J2602" s="13" t="n"/>
      <c r="K2602" s="10" t="inlineStr"/>
      <c r="L2602" s="14" t="inlineStr">
        <is>
          <t>▶ watch</t>
        </is>
      </c>
      <c r="M2602" s="10" t="inlineStr">
        <is>
          <t>Wulf &amp; McKee 1995, SIGARCH Comput Archit News 23(1):20 (Hitting the Memory Wall) · Williams, Waterman &amp; Patterson 2009, CACM 52(4):65 (Roofline)</t>
        </is>
      </c>
      <c r="N2602" s="14" t="inlineStr">
        <is>
          <t>read ↗</t>
        </is>
      </c>
      <c r="O2602" s="11" t="inlineStr">
        <is>
          <t>section reading</t>
        </is>
      </c>
      <c r="P2602" s="10" t="inlineStr"/>
    </row>
    <row r="2603">
      <c r="A2603" s="19" t="n">
        <v>2602</v>
      </c>
      <c r="B2603" s="19" t="inlineStr">
        <is>
          <t>Part IV - Performance Engineering</t>
        </is>
      </c>
      <c r="C2603" s="20" t="inlineStr">
        <is>
          <t>E.6.4 HPC fundamentals</t>
        </is>
      </c>
      <c r="D2603" s="10" t="inlineStr">
        <is>
          <t>Introduction to MPI</t>
        </is>
      </c>
      <c r="E2603" s="10" t="inlineStr"/>
      <c r="F2603" s="11" t="inlineStr">
        <is>
          <t>45:02</t>
        </is>
      </c>
      <c r="G2603" s="11" t="n">
        <v>0.75</v>
      </c>
      <c r="H2603" s="12" t="inlineStr"/>
      <c r="I2603" s="11" t="inlineStr">
        <is>
          <t>Not started</t>
        </is>
      </c>
      <c r="J2603" s="13" t="n"/>
      <c r="K2603" s="10" t="inlineStr"/>
      <c r="L2603" s="14" t="inlineStr">
        <is>
          <t>▶ watch</t>
        </is>
      </c>
      <c r="M2603" s="10" t="inlineStr">
        <is>
          <t>Wulf &amp; McKee 1995, SIGARCH Comput Archit News 23(1):20 (Hitting the Memory Wall) · Williams, Waterman &amp; Patterson 2009, CACM 52(4):65 (Roofline)</t>
        </is>
      </c>
      <c r="N2603" s="14" t="inlineStr">
        <is>
          <t>read ↗</t>
        </is>
      </c>
      <c r="O2603" s="11" t="inlineStr">
        <is>
          <t>section reading</t>
        </is>
      </c>
      <c r="P2603" s="10" t="inlineStr"/>
    </row>
    <row r="2604">
      <c r="A2604" s="19" t="n">
        <v>2603</v>
      </c>
      <c r="B2604" s="19" t="inlineStr">
        <is>
          <t>Part IV - Performance Engineering</t>
        </is>
      </c>
      <c r="C2604" s="20" t="inlineStr">
        <is>
          <t>E.6.4 HPC fundamentals</t>
        </is>
      </c>
      <c r="D2604" s="10" t="inlineStr">
        <is>
          <t>Collective communication and distributed-memory architecture</t>
        </is>
      </c>
      <c r="E2604" s="10" t="inlineStr"/>
      <c r="F2604" s="11" t="inlineStr">
        <is>
          <t>59:21</t>
        </is>
      </c>
      <c r="G2604" s="11" t="n">
        <v>0.99</v>
      </c>
      <c r="H2604" s="12" t="inlineStr"/>
      <c r="I2604" s="11" t="inlineStr">
        <is>
          <t>Not started</t>
        </is>
      </c>
      <c r="J2604" s="13" t="n"/>
      <c r="K2604" s="10" t="inlineStr"/>
      <c r="L2604" s="14" t="inlineStr">
        <is>
          <t>▶ watch</t>
        </is>
      </c>
      <c r="M2604" s="10" t="inlineStr">
        <is>
          <t>Wulf &amp; McKee 1995, SIGARCH Comput Archit News 23(1):20 (Hitting the Memory Wall) · Williams, Waterman &amp; Patterson 2009, CACM 52(4):65 (Roofline)</t>
        </is>
      </c>
      <c r="N2604" s="14" t="inlineStr">
        <is>
          <t>read ↗</t>
        </is>
      </c>
      <c r="O2604" s="11" t="inlineStr">
        <is>
          <t>section reading</t>
        </is>
      </c>
      <c r="P2604" s="10" t="inlineStr"/>
    </row>
    <row r="2605">
      <c r="A2605" s="19" t="n">
        <v>2604</v>
      </c>
      <c r="B2605" s="19" t="inlineStr">
        <is>
          <t>Part IV - Performance Engineering</t>
        </is>
      </c>
      <c r="C2605" s="20" t="inlineStr">
        <is>
          <t>E.6.4 HPC fundamentals</t>
        </is>
      </c>
      <c r="D2605" s="10" t="inlineStr">
        <is>
          <t>MPI datatypes, virtual topologies, performance pitfalls</t>
        </is>
      </c>
      <c r="E2605" s="10" t="inlineStr"/>
      <c r="F2605" s="11" t="inlineStr">
        <is>
          <t>1:00:17</t>
        </is>
      </c>
      <c r="G2605" s="11" t="n">
        <v>1</v>
      </c>
      <c r="H2605" s="12" t="inlineStr"/>
      <c r="I2605" s="11" t="inlineStr">
        <is>
          <t>Not started</t>
        </is>
      </c>
      <c r="J2605" s="13" t="n"/>
      <c r="K2605" s="10" t="inlineStr"/>
      <c r="L2605" s="14" t="inlineStr">
        <is>
          <t>▶ watch</t>
        </is>
      </c>
      <c r="M2605" s="10" t="inlineStr">
        <is>
          <t>Wulf &amp; McKee 1995, SIGARCH Comput Archit News 23(1):20 (Hitting the Memory Wall) · Williams, Waterman &amp; Patterson 2009, CACM 52(4):65 (Roofline)</t>
        </is>
      </c>
      <c r="N2605" s="14" t="inlineStr">
        <is>
          <t>read ↗</t>
        </is>
      </c>
      <c r="O2605" s="11" t="inlineStr">
        <is>
          <t>section reading</t>
        </is>
      </c>
      <c r="P2605" s="10" t="inlineStr"/>
    </row>
    <row r="2606">
      <c r="A2606" s="19" t="n">
        <v>2605</v>
      </c>
      <c r="B2606" s="19" t="inlineStr">
        <is>
          <t>Part IV - Performance Engineering</t>
        </is>
      </c>
      <c r="C2606" s="20" t="inlineStr">
        <is>
          <t>E.6.4 HPC fundamentals</t>
        </is>
      </c>
      <c r="D2606" s="10" t="inlineStr">
        <is>
          <t>Hybrid Programming with MPI and OpenMP</t>
        </is>
      </c>
      <c r="E2606" s="10" t="inlineStr"/>
      <c r="F2606" s="11" t="inlineStr">
        <is>
          <t>1:03:57</t>
        </is>
      </c>
      <c r="G2606" s="11" t="n">
        <v>1.07</v>
      </c>
      <c r="H2606" s="12" t="inlineStr">
        <is>
          <t>★</t>
        </is>
      </c>
      <c r="I2606" s="11" t="inlineStr">
        <is>
          <t>Not started</t>
        </is>
      </c>
      <c r="J2606" s="13" t="n"/>
      <c r="K2606" s="10" t="inlineStr"/>
      <c r="L2606" s="14" t="inlineStr">
        <is>
          <t>▶ watch</t>
        </is>
      </c>
      <c r="M2606" s="10" t="inlineStr">
        <is>
          <t>Wulf &amp; McKee 1995, SIGARCH Comput Archit News 23(1):20 (Hitting the Memory Wall) · Williams, Waterman &amp; Patterson 2009, CACM 52(4):65 (Roofline)</t>
        </is>
      </c>
      <c r="N2606" s="14" t="inlineStr">
        <is>
          <t>read ↗</t>
        </is>
      </c>
      <c r="O2606" s="11" t="inlineStr">
        <is>
          <t>section reading</t>
        </is>
      </c>
      <c r="P2606" s="10" t="inlineStr"/>
    </row>
    <row r="2607">
      <c r="A2607" s="19" t="n">
        <v>2606</v>
      </c>
      <c r="B2607" s="19" t="inlineStr">
        <is>
          <t>Part IV - Performance Engineering</t>
        </is>
      </c>
      <c r="C2607" s="20" t="inlineStr">
        <is>
          <t>E.6.4 HPC fundamentals</t>
        </is>
      </c>
      <c r="D2607" s="10" t="inlineStr">
        <is>
          <t>Memory Bandwidth and System Balance in HPC Systems</t>
        </is>
      </c>
      <c r="E2607" s="10" t="inlineStr">
        <is>
          <t>John McCalpin (TACC, author of STREAM</t>
        </is>
      </c>
      <c r="F2607" s="11" t="inlineStr">
        <is>
          <t>1:07:58</t>
        </is>
      </c>
      <c r="G2607" s="11" t="n">
        <v>1.13</v>
      </c>
      <c r="H2607" s="12" t="inlineStr">
        <is>
          <t>★</t>
        </is>
      </c>
      <c r="I2607" s="11" t="inlineStr">
        <is>
          <t>Not started</t>
        </is>
      </c>
      <c r="J2607" s="13" t="n"/>
      <c r="K2607" s="10" t="inlineStr"/>
      <c r="L2607" s="14" t="inlineStr">
        <is>
          <t>▶ watch</t>
        </is>
      </c>
      <c r="M2607" s="10" t="inlineStr">
        <is>
          <t>Wulf &amp; McKee 1995, SIGARCH Comput Archit News 23(1):20 (Hitting the Memory Wall) · Williams, Waterman &amp; Patterson 2009, CACM 52(4):65 (Roofline)</t>
        </is>
      </c>
      <c r="N2607" s="14" t="inlineStr">
        <is>
          <t>read ↗</t>
        </is>
      </c>
      <c r="O2607" s="11" t="inlineStr">
        <is>
          <t>section reading</t>
        </is>
      </c>
      <c r="P2607" s="10" t="inlineStr"/>
    </row>
    <row r="2608">
      <c r="A2608" s="19" t="n">
        <v>2607</v>
      </c>
      <c r="B2608" s="19" t="inlineStr">
        <is>
          <t>Part IV - Performance Engineering</t>
        </is>
      </c>
      <c r="C2608" s="20" t="inlineStr">
        <is>
          <t>E.6.4 HPC fundamentals</t>
        </is>
      </c>
      <c r="D2608" s="10" t="inlineStr">
        <is>
          <t>Main Memory Trends and Importance</t>
        </is>
      </c>
      <c r="E2608" s="10" t="inlineStr">
        <is>
          <t>Onur Mutlu (ETH</t>
        </is>
      </c>
      <c r="F2608" s="11" t="inlineStr">
        <is>
          <t>29:22</t>
        </is>
      </c>
      <c r="G2608" s="11" t="n">
        <v>0.49</v>
      </c>
      <c r="H2608" s="12" t="inlineStr">
        <is>
          <t>★</t>
        </is>
      </c>
      <c r="I2608" s="11" t="inlineStr">
        <is>
          <t>Not started</t>
        </is>
      </c>
      <c r="J2608" s="13" t="n"/>
      <c r="K2608" s="10" t="inlineStr"/>
      <c r="L2608" s="14" t="inlineStr">
        <is>
          <t>▶ watch</t>
        </is>
      </c>
      <c r="M2608" s="10" t="inlineStr">
        <is>
          <t>Wulf &amp; McKee 1995, SIGARCH Comput Archit News 23(1):20 (Hitting the Memory Wall) · Williams, Waterman &amp; Patterson 2009, CACM 52(4):65 (Roofline)</t>
        </is>
      </c>
      <c r="N2608" s="14" t="inlineStr">
        <is>
          <t>read ↗</t>
        </is>
      </c>
      <c r="O2608" s="11" t="inlineStr">
        <is>
          <t>section reading</t>
        </is>
      </c>
      <c r="P2608" s="10" t="inlineStr"/>
    </row>
    <row r="2609">
      <c r="A2609" s="19" t="n">
        <v>2608</v>
      </c>
      <c r="B2609" s="19" t="inlineStr">
        <is>
          <t>Part IV - Performance Engineering</t>
        </is>
      </c>
      <c r="C2609" s="20" t="inlineStr">
        <is>
          <t>E.6.4 HPC fundamentals</t>
        </is>
      </c>
      <c r="D2609" s="10" t="inlineStr">
        <is>
          <t>Processing-in-Memory</t>
        </is>
      </c>
      <c r="E2609" s="10" t="inlineStr">
        <is>
          <t>Onur Mutlu (ETH</t>
        </is>
      </c>
      <c r="F2609" s="11" t="inlineStr">
        <is>
          <t>1:23:55</t>
        </is>
      </c>
      <c r="G2609" s="11" t="n">
        <v>1.4</v>
      </c>
      <c r="H2609" s="12" t="inlineStr"/>
      <c r="I2609" s="11" t="inlineStr">
        <is>
          <t>Not started</t>
        </is>
      </c>
      <c r="J2609" s="13" t="n"/>
      <c r="K2609" s="10" t="inlineStr"/>
      <c r="L2609" s="14" t="inlineStr">
        <is>
          <t>▶ watch</t>
        </is>
      </c>
      <c r="M2609" s="10" t="inlineStr">
        <is>
          <t>Wulf &amp; McKee 1995, SIGARCH Comput Archit News 23(1):20 (Hitting the Memory Wall) · Williams, Waterman &amp; Patterson 2009, CACM 52(4):65 (Roofline)</t>
        </is>
      </c>
      <c r="N2609" s="14" t="inlineStr">
        <is>
          <t>read ↗</t>
        </is>
      </c>
      <c r="O2609" s="11" t="inlineStr">
        <is>
          <t>section reading</t>
        </is>
      </c>
      <c r="P2609" s="10" t="inlineStr"/>
    </row>
    <row r="2610">
      <c r="A2610" s="19" t="n">
        <v>2609</v>
      </c>
      <c r="B2610" s="19" t="inlineStr">
        <is>
          <t>Part IV - Performance Engineering</t>
        </is>
      </c>
      <c r="C2610" s="20" t="inlineStr">
        <is>
          <t>E.6.4 HPC fundamentals</t>
        </is>
      </c>
      <c r="D2610" s="10" t="inlineStr">
        <is>
          <t>Accelerating Genome Analysis - the memory wall on a biological workload</t>
        </is>
      </c>
      <c r="E2610" s="10" t="inlineStr">
        <is>
          <t>Onur Mutlu (ETH</t>
        </is>
      </c>
      <c r="F2610" s="11" t="inlineStr">
        <is>
          <t>2:12:22</t>
        </is>
      </c>
      <c r="G2610" s="11" t="n">
        <v>2.21</v>
      </c>
      <c r="H2610" s="12" t="inlineStr">
        <is>
          <t>★</t>
        </is>
      </c>
      <c r="I2610" s="11" t="inlineStr">
        <is>
          <t>Not started</t>
        </is>
      </c>
      <c r="J2610" s="13" t="n"/>
      <c r="K2610" s="10" t="inlineStr"/>
      <c r="L2610" s="14" t="inlineStr">
        <is>
          <t>▶ watch</t>
        </is>
      </c>
      <c r="M2610" s="10" t="inlineStr">
        <is>
          <t>Wulf &amp; McKee 1995, SIGARCH Comput Archit News 23(1):20 (Hitting the Memory Wall) · Williams, Waterman &amp; Patterson 2009, CACM 52(4):65 (Roofline)</t>
        </is>
      </c>
      <c r="N2610" s="14" t="inlineStr">
        <is>
          <t>read ↗</t>
        </is>
      </c>
      <c r="O2610" s="11" t="inlineStr">
        <is>
          <t>section reading</t>
        </is>
      </c>
      <c r="P2610" s="10" t="inlineStr"/>
    </row>
    <row r="2611">
      <c r="A2611" s="19" t="n">
        <v>2610</v>
      </c>
      <c r="B2611" s="19" t="inlineStr">
        <is>
          <t>Part IV - Performance Engineering</t>
        </is>
      </c>
      <c r="C2611" s="20" t="inlineStr">
        <is>
          <t>E.6.4 HPC fundamentals</t>
        </is>
      </c>
      <c r="D2611" s="10" t="inlineStr">
        <is>
          <t>Optimizing your HPC applications with LIKWID</t>
        </is>
      </c>
      <c r="E2611" s="10" t="inlineStr">
        <is>
          <t>HPC.NRW</t>
        </is>
      </c>
      <c r="F2611" s="11" t="inlineStr">
        <is>
          <t>1:15:54</t>
        </is>
      </c>
      <c r="G2611" s="11" t="n">
        <v>1.26</v>
      </c>
      <c r="H2611" s="12" t="inlineStr"/>
      <c r="I2611" s="11" t="inlineStr">
        <is>
          <t>Not started</t>
        </is>
      </c>
      <c r="J2611" s="13" t="n"/>
      <c r="K2611" s="10" t="inlineStr"/>
      <c r="L2611" s="14" t="inlineStr">
        <is>
          <t>▶ watch</t>
        </is>
      </c>
      <c r="M2611" s="10" t="inlineStr">
        <is>
          <t>Wulf &amp; McKee 1995, SIGARCH Comput Archit News 23(1):20 (Hitting the Memory Wall) · Williams, Waterman &amp; Patterson 2009, CACM 52(4):65 (Roofline)</t>
        </is>
      </c>
      <c r="N2611" s="14" t="inlineStr">
        <is>
          <t>read ↗</t>
        </is>
      </c>
      <c r="O2611" s="11" t="inlineStr">
        <is>
          <t>section reading</t>
        </is>
      </c>
      <c r="P2611" s="10" t="inlineStr"/>
    </row>
    <row r="2612">
      <c r="A2612" s="19" t="n">
        <v>2611</v>
      </c>
      <c r="B2612" s="19" t="inlineStr">
        <is>
          <t>Part IV - Performance Engineering</t>
        </is>
      </c>
      <c r="C2612" s="20" t="inlineStr">
        <is>
          <t>E.6.4 HPC fundamentals</t>
        </is>
      </c>
      <c r="D2612" s="10" t="inlineStr">
        <is>
          <t>How to use likwid-pin</t>
        </is>
      </c>
      <c r="E2612" s="10" t="inlineStr">
        <is>
          <t>NHR@FAU</t>
        </is>
      </c>
      <c r="F2612" s="11" t="inlineStr">
        <is>
          <t>16:56</t>
        </is>
      </c>
      <c r="G2612" s="11" t="n">
        <v>0.28</v>
      </c>
      <c r="H2612" s="12" t="inlineStr"/>
      <c r="I2612" s="11" t="inlineStr">
        <is>
          <t>Not started</t>
        </is>
      </c>
      <c r="J2612" s="13" t="n"/>
      <c r="K2612" s="10" t="inlineStr"/>
      <c r="L2612" s="14" t="inlineStr">
        <is>
          <t>▶ watch</t>
        </is>
      </c>
      <c r="M2612" s="10" t="inlineStr">
        <is>
          <t>Wulf &amp; McKee 1995, SIGARCH Comput Archit News 23(1):20 (Hitting the Memory Wall) · Williams, Waterman &amp; Patterson 2009, CACM 52(4):65 (Roofline)</t>
        </is>
      </c>
      <c r="N2612" s="14" t="inlineStr">
        <is>
          <t>read ↗</t>
        </is>
      </c>
      <c r="O2612" s="11" t="inlineStr">
        <is>
          <t>section reading</t>
        </is>
      </c>
      <c r="P2612" s="10" t="inlineStr"/>
    </row>
    <row r="2613">
      <c r="A2613" s="19" t="n">
        <v>2612</v>
      </c>
      <c r="B2613" s="19" t="inlineStr">
        <is>
          <t>Part IV - Performance Engineering</t>
        </is>
      </c>
      <c r="C2613" s="20" t="inlineStr">
        <is>
          <t>E.6.4 HPC fundamentals</t>
        </is>
      </c>
      <c r="D2613" s="10" t="inlineStr">
        <is>
          <t>Matt Godbolt (Compiler Explorer</t>
        </is>
      </c>
      <c r="E2613" s="10" t="inlineStr">
        <is>
          <t>Memory &amp; Caches</t>
        </is>
      </c>
      <c r="F2613" s="11" t="inlineStr">
        <is>
          <t>1:11:20</t>
        </is>
      </c>
      <c r="G2613" s="11" t="n">
        <v>1.19</v>
      </c>
      <c r="H2613" s="12" t="inlineStr">
        <is>
          <t>★</t>
        </is>
      </c>
      <c r="I2613" s="11" t="inlineStr">
        <is>
          <t>Not started</t>
        </is>
      </c>
      <c r="J2613" s="13" t="n"/>
      <c r="K2613" s="10" t="inlineStr"/>
      <c r="L2613" s="14" t="inlineStr">
        <is>
          <t>▶ watch</t>
        </is>
      </c>
      <c r="M2613" s="10" t="inlineStr">
        <is>
          <t>Wulf &amp; McKee 1995, SIGARCH Comput Archit News 23(1):20 (Hitting the Memory Wall) · Williams, Waterman &amp; Patterson 2009, CACM 52(4):65 (Roofline)</t>
        </is>
      </c>
      <c r="N2613" s="14" t="inlineStr">
        <is>
          <t>read ↗</t>
        </is>
      </c>
      <c r="O2613" s="11" t="inlineStr">
        <is>
          <t>section reading</t>
        </is>
      </c>
      <c r="P2613" s="10" t="inlineStr"/>
    </row>
    <row r="2614">
      <c r="A2614" s="19" t="n">
        <v>2613</v>
      </c>
      <c r="B2614" s="19" t="inlineStr">
        <is>
          <t>Part IV - Performance Engineering</t>
        </is>
      </c>
      <c r="C2614" s="20" t="inlineStr">
        <is>
          <t>E.6.4 HPC fundamentals</t>
        </is>
      </c>
      <c r="D2614" s="10" t="inlineStr">
        <is>
          <t>What Every Programmer Should Know about How CPUs Work</t>
        </is>
      </c>
      <c r="E2614" s="10" t="inlineStr">
        <is>
          <t>Matt Godbolt</t>
        </is>
      </c>
      <c r="F2614" s="11" t="inlineStr">
        <is>
          <t>43:28</t>
        </is>
      </c>
      <c r="G2614" s="11" t="n">
        <v>0.72</v>
      </c>
      <c r="H2614" s="12" t="inlineStr"/>
      <c r="I2614" s="11" t="inlineStr">
        <is>
          <t>Not started</t>
        </is>
      </c>
      <c r="J2614" s="13" t="n"/>
      <c r="K2614" s="10" t="inlineStr"/>
      <c r="L2614" s="14" t="inlineStr">
        <is>
          <t>▶ watch</t>
        </is>
      </c>
      <c r="M2614" s="10" t="inlineStr">
        <is>
          <t>Wulf &amp; McKee 1995, SIGARCH Comput Archit News 23(1):20 (Hitting the Memory Wall) · Williams, Waterman &amp; Patterson 2009, CACM 52(4):65 (Roofline)</t>
        </is>
      </c>
      <c r="N2614" s="14" t="inlineStr">
        <is>
          <t>read ↗</t>
        </is>
      </c>
      <c r="O2614" s="11" t="inlineStr">
        <is>
          <t>section reading</t>
        </is>
      </c>
      <c r="P2614" s="10" t="inlineStr"/>
    </row>
    <row r="2615">
      <c r="A2615" s="19" t="n">
        <v>2614</v>
      </c>
      <c r="B2615" s="19" t="inlineStr">
        <is>
          <t>Part IV - Performance Engineering</t>
        </is>
      </c>
      <c r="C2615" s="20" t="inlineStr">
        <is>
          <t>E.6.4 HPC fundamentals</t>
        </is>
      </c>
      <c r="D2615" s="10" t="inlineStr">
        <is>
          <t>(see curriculum section)</t>
        </is>
      </c>
      <c r="E2615" s="10" t="inlineStr"/>
      <c r="F2615" s="11" t="inlineStr"/>
      <c r="G2615" s="11" t="n">
        <v>0</v>
      </c>
      <c r="H2615" s="12" t="inlineStr"/>
      <c r="I2615" s="11" t="inlineStr">
        <is>
          <t>Not started</t>
        </is>
      </c>
      <c r="J2615" s="13" t="n"/>
      <c r="K2615" s="10" t="inlineStr"/>
      <c r="L2615" s="14" t="inlineStr">
        <is>
          <t>▶ watch</t>
        </is>
      </c>
      <c r="M2615" s="10" t="inlineStr">
        <is>
          <t>Wulf &amp; McKee 1995, SIGARCH Comput Archit News 23(1):20 (Hitting the Memory Wall) · Williams, Waterman &amp; Patterson 2009, CACM 52(4):65 (Roofline)</t>
        </is>
      </c>
      <c r="N2615" s="14" t="inlineStr">
        <is>
          <t>read ↗</t>
        </is>
      </c>
      <c r="O2615" s="11" t="inlineStr">
        <is>
          <t>section reading</t>
        </is>
      </c>
      <c r="P2615" s="10" t="inlineStr"/>
    </row>
    <row r="2616">
      <c r="A2616" s="19" t="n">
        <v>2615</v>
      </c>
      <c r="B2616" s="19" t="inlineStr">
        <is>
          <t>Part IV - Performance Engineering</t>
        </is>
      </c>
      <c r="C2616" s="20" t="inlineStr">
        <is>
          <t>E.6.4 HPC fundamentals</t>
        </is>
      </c>
      <c r="D2616" s="10" t="inlineStr">
        <is>
          <t>ATPESC MPI sessions by Thakur, Raffenetti and Gropp</t>
        </is>
      </c>
      <c r="E2616" s="10" t="inlineStr"/>
      <c r="F2616" s="11" t="inlineStr"/>
      <c r="G2616" s="11" t="n">
        <v>0</v>
      </c>
      <c r="H2616" s="12" t="inlineStr"/>
      <c r="I2616" s="11" t="inlineStr">
        <is>
          <t>Not started</t>
        </is>
      </c>
      <c r="J2616" s="13" t="n"/>
      <c r="K2616" s="10" t="inlineStr"/>
      <c r="L2616" s="14" t="inlineStr">
        <is>
          <t>▶ watch</t>
        </is>
      </c>
      <c r="M2616" s="10" t="inlineStr">
        <is>
          <t>Wulf &amp; McKee 1995, SIGARCH Comput Archit News 23(1):20 (Hitting the Memory Wall) · Williams, Waterman &amp; Patterson 2009, CACM 52(4):65 (Roofline)</t>
        </is>
      </c>
      <c r="N2616" s="14" t="inlineStr">
        <is>
          <t>read ↗</t>
        </is>
      </c>
      <c r="O2616" s="11" t="inlineStr">
        <is>
          <t>section reading</t>
        </is>
      </c>
      <c r="P2616" s="10" t="inlineStr"/>
    </row>
    <row r="2617">
      <c r="A2617" s="19" t="n">
        <v>2616</v>
      </c>
      <c r="B2617" s="19" t="inlineStr">
        <is>
          <t>Part IV - Performance Engineering</t>
        </is>
      </c>
      <c r="C2617" s="20" t="inlineStr">
        <is>
          <t>E.6.4 HPC fundamentals</t>
        </is>
      </c>
      <c r="D2617" s="10" t="inlineStr">
        <is>
          <t>Beyond SMP - NUMA and GPU Programming</t>
        </is>
      </c>
      <c r="E2617" s="10" t="inlineStr"/>
      <c r="F2617" s="11" t="inlineStr"/>
      <c r="G2617" s="11" t="n">
        <v>0</v>
      </c>
      <c r="H2617" s="12" t="inlineStr">
        <is>
          <t>★</t>
        </is>
      </c>
      <c r="I2617" s="11" t="inlineStr">
        <is>
          <t>Not started</t>
        </is>
      </c>
      <c r="J2617" s="13" t="n"/>
      <c r="K2617" s="10" t="inlineStr"/>
      <c r="L2617" s="14" t="inlineStr">
        <is>
          <t>▶ watch</t>
        </is>
      </c>
      <c r="M2617" s="10" t="inlineStr">
        <is>
          <t>Wulf &amp; McKee 1995, SIGARCH Comput Archit News 23(1):20 (Hitting the Memory Wall) · Williams, Waterman &amp; Patterson 2009, CACM 52(4):65 (Roofline)</t>
        </is>
      </c>
      <c r="N2617" s="14" t="inlineStr">
        <is>
          <t>read ↗</t>
        </is>
      </c>
      <c r="O2617" s="11" t="inlineStr">
        <is>
          <t>section reading</t>
        </is>
      </c>
      <c r="P2617" s="10" t="inlineStr"/>
    </row>
    <row r="2618">
      <c r="A2618" s="19" t="n">
        <v>2617</v>
      </c>
      <c r="B2618" s="19" t="inlineStr">
        <is>
          <t>Part IV - Performance Engineering</t>
        </is>
      </c>
      <c r="C2618" s="20" t="inlineStr">
        <is>
          <t>E.6.4 HPC fundamentals</t>
        </is>
      </c>
      <c r="D2618" s="10" t="inlineStr">
        <is>
          <t>How learning about GPUs actually made me good at computational science</t>
        </is>
      </c>
      <c r="E2618" s="10" t="inlineStr"/>
      <c r="F2618" s="11" t="inlineStr"/>
      <c r="G2618" s="11" t="n">
        <v>0</v>
      </c>
      <c r="H2618" s="12" t="inlineStr">
        <is>
          <t>★</t>
        </is>
      </c>
      <c r="I2618" s="11" t="inlineStr">
        <is>
          <t>Not started</t>
        </is>
      </c>
      <c r="J2618" s="13" t="n"/>
      <c r="K2618" s="10" t="inlineStr"/>
      <c r="L2618" s="14" t="inlineStr">
        <is>
          <t>▶ watch</t>
        </is>
      </c>
      <c r="M2618" s="10" t="inlineStr">
        <is>
          <t>Wulf &amp; McKee 1995, SIGARCH Comput Archit News 23(1):20 (Hitting the Memory Wall) · Williams, Waterman &amp; Patterson 2009, CACM 52(4):65 (Roofline)</t>
        </is>
      </c>
      <c r="N2618" s="14" t="inlineStr">
        <is>
          <t>read ↗</t>
        </is>
      </c>
      <c r="O2618" s="11" t="inlineStr">
        <is>
          <t>section reading</t>
        </is>
      </c>
      <c r="P2618" s="10" t="inlineStr"/>
    </row>
    <row r="2619">
      <c r="A2619" s="19" t="n">
        <v>2618</v>
      </c>
      <c r="B2619" s="19" t="inlineStr">
        <is>
          <t>Part IV - Performance Engineering</t>
        </is>
      </c>
      <c r="C2619" s="20" t="inlineStr">
        <is>
          <t>E.6.4 HPC fundamentals</t>
        </is>
      </c>
      <c r="D2619" s="10" t="inlineStr">
        <is>
          <t>Mixed-precision arithmetic: hardware, algorithms and analysis</t>
        </is>
      </c>
      <c r="E2619" s="10" t="inlineStr"/>
      <c r="F2619" s="11" t="inlineStr"/>
      <c r="G2619" s="11" t="n">
        <v>0</v>
      </c>
      <c r="H2619" s="12" t="inlineStr">
        <is>
          <t>★</t>
        </is>
      </c>
      <c r="I2619" s="11" t="inlineStr">
        <is>
          <t>Not started</t>
        </is>
      </c>
      <c r="J2619" s="13" t="n"/>
      <c r="K2619" s="10" t="inlineStr"/>
      <c r="L2619" s="14" t="inlineStr">
        <is>
          <t>▶ watch</t>
        </is>
      </c>
      <c r="M2619" s="10" t="inlineStr">
        <is>
          <t>Wulf &amp; McKee 1995, SIGARCH Comput Archit News 23(1):20 (Hitting the Memory Wall) · Williams, Waterman &amp; Patterson 2009, CACM 52(4):65 (Roofline)</t>
        </is>
      </c>
      <c r="N2619" s="14" t="inlineStr">
        <is>
          <t>read ↗</t>
        </is>
      </c>
      <c r="O2619" s="11" t="inlineStr">
        <is>
          <t>section reading</t>
        </is>
      </c>
      <c r="P2619" s="10" t="inlineStr"/>
    </row>
    <row r="2620">
      <c r="A2620" s="19" t="n">
        <v>2619</v>
      </c>
      <c r="B2620" s="19" t="inlineStr">
        <is>
          <t>Part IV - Performance Engineering</t>
        </is>
      </c>
      <c r="C2620" s="20" t="inlineStr">
        <is>
          <t>E.6.5 MIT 6.172 - Performance Engineering of Software Systems</t>
        </is>
      </c>
      <c r="D2620" s="10" t="inlineStr">
        <is>
          <t>Assembly Language and Computer Architecture</t>
        </is>
      </c>
      <c r="E2620" s="10" t="inlineStr"/>
      <c r="F2620" s="11" t="inlineStr">
        <is>
          <t>1:17:34</t>
        </is>
      </c>
      <c r="G2620" s="11" t="n">
        <v>1.29</v>
      </c>
      <c r="H2620" s="12" t="inlineStr"/>
      <c r="I2620" s="11" t="inlineStr">
        <is>
          <t>Not started</t>
        </is>
      </c>
      <c r="J2620" s="13" t="n"/>
      <c r="K2620" s="10" t="inlineStr"/>
      <c r="L2620" s="14" t="inlineStr">
        <is>
          <t>▶ watch</t>
        </is>
      </c>
      <c r="M2620" s="10" t="inlineStr">
        <is>
          <t>Wulf &amp; McKee 1995, SIGARCH Comput Archit News 23(1):20 (Hitting the Memory Wall) · Williams, Waterman &amp; Patterson 2009, CACM 52(4):65 (Roofline)</t>
        </is>
      </c>
      <c r="N2620" s="14" t="inlineStr">
        <is>
          <t>read ↗</t>
        </is>
      </c>
      <c r="O2620" s="11" t="inlineStr">
        <is>
          <t>reading for E.6.4 HPC fundamentals</t>
        </is>
      </c>
      <c r="P2620" s="10" t="inlineStr"/>
    </row>
    <row r="2621">
      <c r="A2621" s="19" t="n">
        <v>2620</v>
      </c>
      <c r="B2621" s="19" t="inlineStr">
        <is>
          <t>Part IV - Performance Engineering</t>
        </is>
      </c>
      <c r="C2621" s="20" t="inlineStr">
        <is>
          <t>E.6.5 MIT 6.172 - Performance Engineering of Software Systems</t>
        </is>
      </c>
      <c r="D2621" s="10" t="inlineStr">
        <is>
          <t>C to Assembly</t>
        </is>
      </c>
      <c r="E2621" s="10" t="inlineStr"/>
      <c r="F2621" s="11" t="inlineStr">
        <is>
          <t>1:21:30</t>
        </is>
      </c>
      <c r="G2621" s="11" t="n">
        <v>1.36</v>
      </c>
      <c r="H2621" s="12" t="inlineStr"/>
      <c r="I2621" s="11" t="inlineStr">
        <is>
          <t>Not started</t>
        </is>
      </c>
      <c r="J2621" s="13" t="n"/>
      <c r="K2621" s="10" t="inlineStr"/>
      <c r="L2621" s="14" t="inlineStr">
        <is>
          <t>▶ watch</t>
        </is>
      </c>
      <c r="M2621" s="10" t="inlineStr">
        <is>
          <t>Wulf &amp; McKee 1995, SIGARCH Comput Archit News 23(1):20 (Hitting the Memory Wall) · Williams, Waterman &amp; Patterson 2009, CACM 52(4):65 (Roofline)</t>
        </is>
      </c>
      <c r="N2621" s="14" t="inlineStr">
        <is>
          <t>read ↗</t>
        </is>
      </c>
      <c r="O2621" s="11" t="inlineStr">
        <is>
          <t>reading for E.6.4 HPC fundamentals</t>
        </is>
      </c>
      <c r="P2621" s="10" t="inlineStr"/>
    </row>
    <row r="2622">
      <c r="A2622" s="19" t="n">
        <v>2621</v>
      </c>
      <c r="B2622" s="19" t="inlineStr">
        <is>
          <t>Part IV - Performance Engineering</t>
        </is>
      </c>
      <c r="C2622" s="20" t="inlineStr">
        <is>
          <t>E.6.5 MIT 6.172 - Performance Engineering of Software Systems</t>
        </is>
      </c>
      <c r="D2622" s="10" t="inlineStr">
        <is>
          <t>Synchronization Without Locks</t>
        </is>
      </c>
      <c r="E2622" s="10" t="inlineStr"/>
      <c r="F2622" s="11" t="inlineStr">
        <is>
          <t>1:20:10</t>
        </is>
      </c>
      <c r="G2622" s="11" t="n">
        <v>1.34</v>
      </c>
      <c r="H2622" s="12" t="inlineStr"/>
      <c r="I2622" s="11" t="inlineStr">
        <is>
          <t>Not started</t>
        </is>
      </c>
      <c r="J2622" s="13" t="n"/>
      <c r="K2622" s="10" t="inlineStr"/>
      <c r="L2622" s="14" t="inlineStr">
        <is>
          <t>▶ watch</t>
        </is>
      </c>
      <c r="M2622" s="10" t="inlineStr">
        <is>
          <t>Wulf &amp; McKee 1995, SIGARCH Comput Archit News 23(1):20 (Hitting the Memory Wall) · Williams, Waterman &amp; Patterson 2009, CACM 52(4):65 (Roofline)</t>
        </is>
      </c>
      <c r="N2622" s="14" t="inlineStr">
        <is>
          <t>read ↗</t>
        </is>
      </c>
      <c r="O2622" s="11" t="inlineStr">
        <is>
          <t>reading for E.6.4 HPC fundamentals</t>
        </is>
      </c>
      <c r="P2622" s="10" t="inlineStr"/>
    </row>
    <row r="2623">
      <c r="A2623" s="19" t="n">
        <v>2622</v>
      </c>
      <c r="B2623" s="19" t="inlineStr">
        <is>
          <t>Part IV - Performance Engineering</t>
        </is>
      </c>
      <c r="C2623" s="20" t="inlineStr">
        <is>
          <t>E.6.5 MIT 6.172 - Performance Engineering of Software Systems</t>
        </is>
      </c>
      <c r="D2623" s="10" t="inlineStr">
        <is>
          <t>Tuning a TSP Algorithm (a complete worked optimization</t>
        </is>
      </c>
      <c r="E2623" s="10" t="inlineStr"/>
      <c r="F2623" s="11" t="inlineStr">
        <is>
          <t>1:20:52</t>
        </is>
      </c>
      <c r="G2623" s="11" t="n">
        <v>1.35</v>
      </c>
      <c r="H2623" s="12" t="inlineStr"/>
      <c r="I2623" s="11" t="inlineStr">
        <is>
          <t>Not started</t>
        </is>
      </c>
      <c r="J2623" s="13" t="n"/>
      <c r="K2623" s="10" t="inlineStr"/>
      <c r="L2623" s="14" t="inlineStr">
        <is>
          <t>▶ watch</t>
        </is>
      </c>
      <c r="M2623" s="10" t="inlineStr">
        <is>
          <t>Wulf &amp; McKee 1995, SIGARCH Comput Archit News 23(1):20 (Hitting the Memory Wall) · Williams, Waterman &amp; Patterson 2009, CACM 52(4):65 (Roofline)</t>
        </is>
      </c>
      <c r="N2623" s="14" t="inlineStr">
        <is>
          <t>read ↗</t>
        </is>
      </c>
      <c r="O2623" s="11" t="inlineStr">
        <is>
          <t>reading for E.6.4 HPC fundamentals</t>
        </is>
      </c>
      <c r="P2623" s="10" t="inlineStr"/>
    </row>
    <row r="2624">
      <c r="A2624" s="19" t="n">
        <v>2623</v>
      </c>
      <c r="B2624" s="19" t="inlineStr">
        <is>
          <t>Part IV - Performance Engineering</t>
        </is>
      </c>
      <c r="C2624" s="20" t="inlineStr">
        <is>
          <t>E.6.5 MIT 6.172 - Performance Engineering of Software Systems</t>
        </is>
      </c>
      <c r="D2624" s="10" t="inlineStr">
        <is>
          <t>&gt; and Data Presentation in HPC</t>
        </is>
      </c>
      <c r="E2624" s="10" t="inlineStr"/>
      <c r="F2624" s="11" t="inlineStr"/>
      <c r="G2624" s="11" t="n">
        <v>0</v>
      </c>
      <c r="H2624" s="12" t="inlineStr"/>
      <c r="I2624" s="11" t="inlineStr">
        <is>
          <t>Not started</t>
        </is>
      </c>
      <c r="J2624" s="13" t="n"/>
      <c r="K2624" s="10" t="inlineStr"/>
      <c r="L2624" s="14" t="inlineStr">
        <is>
          <t>▶ watch</t>
        </is>
      </c>
      <c r="M2624" s="10" t="inlineStr">
        <is>
          <t>Wulf &amp; McKee 1995, SIGARCH Comput Archit News 23(1):20 (Hitting the Memory Wall) · Williams, Waterman &amp; Patterson 2009, CACM 52(4):65 (Roofline)</t>
        </is>
      </c>
      <c r="N2624" s="14" t="inlineStr">
        <is>
          <t>read ↗</t>
        </is>
      </c>
      <c r="O2624" s="11" t="inlineStr">
        <is>
          <t>reading for E.6.4 HPC fundamentals</t>
        </is>
      </c>
      <c r="P2624" s="10" t="inlineStr"/>
    </row>
    <row r="2625">
      <c r="A2625" s="19" t="n">
        <v>2624</v>
      </c>
      <c r="B2625" s="19" t="inlineStr">
        <is>
          <t>Part IV - Performance Engineering</t>
        </is>
      </c>
      <c r="C2625" s="20" t="inlineStr">
        <is>
          <t>E.6.5 MIT 6.172 - Performance Engineering of Software Systems</t>
        </is>
      </c>
      <c r="D2625" s="10" t="inlineStr">
        <is>
          <t>BLAS Functionality</t>
        </is>
      </c>
      <c r="E2625" s="10" t="inlineStr"/>
      <c r="F2625" s="11" t="inlineStr"/>
      <c r="G2625" s="11" t="n">
        <v>0</v>
      </c>
      <c r="H2625" s="12" t="inlineStr">
        <is>
          <t>★</t>
        </is>
      </c>
      <c r="I2625" s="11" t="inlineStr">
        <is>
          <t>Not started</t>
        </is>
      </c>
      <c r="J2625" s="13" t="n"/>
      <c r="K2625" s="10" t="inlineStr"/>
      <c r="L2625" s="14" t="inlineStr">
        <is>
          <t>▶ watch</t>
        </is>
      </c>
      <c r="M2625" s="10" t="inlineStr">
        <is>
          <t>Wulf &amp; McKee 1995, SIGARCH Comput Archit News 23(1):20 (Hitting the Memory Wall) · Williams, Waterman &amp; Patterson 2009, CACM 52(4):65 (Roofline)</t>
        </is>
      </c>
      <c r="N2625" s="14" t="inlineStr">
        <is>
          <t>read ↗</t>
        </is>
      </c>
      <c r="O2625" s="11" t="inlineStr">
        <is>
          <t>reading for E.6.4 HPC fundamentals</t>
        </is>
      </c>
      <c r="P2625" s="10" t="inlineStr"/>
    </row>
    <row r="2626">
      <c r="A2626" s="19" t="n">
        <v>2625</v>
      </c>
      <c r="B2626" s="19" t="inlineStr">
        <is>
          <t>Part IV - Performance Engineering</t>
        </is>
      </c>
      <c r="C2626" s="20" t="inlineStr">
        <is>
          <t>E.6.5 MIT 6.172 - Performance Engineering of Software Systems</t>
        </is>
      </c>
      <c r="D2626" s="10" t="inlineStr">
        <is>
          <t>(see curriculum section)</t>
        </is>
      </c>
      <c r="E2626" s="10" t="inlineStr"/>
      <c r="F2626" s="11" t="inlineStr"/>
      <c r="G2626" s="11" t="n">
        <v>0</v>
      </c>
      <c r="H2626" s="12" t="inlineStr"/>
      <c r="I2626" s="11" t="inlineStr">
        <is>
          <t>Not started</t>
        </is>
      </c>
      <c r="J2626" s="13" t="n"/>
      <c r="K2626" s="10" t="inlineStr"/>
      <c r="L2626" s="14" t="inlineStr">
        <is>
          <t>▶ watch</t>
        </is>
      </c>
      <c r="M2626" s="10" t="inlineStr">
        <is>
          <t>Wulf &amp; McKee 1995, SIGARCH Comput Archit News 23(1):20 (Hitting the Memory Wall) · Williams, Waterman &amp; Patterson 2009, CACM 52(4):65 (Roofline)</t>
        </is>
      </c>
      <c r="N2626" s="14" t="inlineStr">
        <is>
          <t>read ↗</t>
        </is>
      </c>
      <c r="O2626" s="11" t="inlineStr">
        <is>
          <t>reading for E.6.4 HPC fundamentals</t>
        </is>
      </c>
      <c r="P2626" s="10" t="inlineStr"/>
    </row>
    <row r="2627">
      <c r="A2627" s="19" t="n">
        <v>2626</v>
      </c>
      <c r="B2627" s="19" t="inlineStr">
        <is>
          <t>Part IV - Performance Engineering</t>
        </is>
      </c>
      <c r="C2627" s="20" t="inlineStr">
        <is>
          <t>E.6.5 MIT 6.172 - Performance Engineering of Software Systems</t>
        </is>
      </c>
      <c r="D2627" s="10" t="inlineStr">
        <is>
          <t>Kokkos: Getting Lucky By Design</t>
        </is>
      </c>
      <c r="E2627" s="10" t="inlineStr"/>
      <c r="F2627" s="11" t="inlineStr"/>
      <c r="G2627" s="11" t="n">
        <v>0</v>
      </c>
      <c r="H2627" s="12" t="inlineStr"/>
      <c r="I2627" s="11" t="inlineStr">
        <is>
          <t>Not started</t>
        </is>
      </c>
      <c r="J2627" s="13" t="n"/>
      <c r="K2627" s="10" t="inlineStr"/>
      <c r="L2627" s="14" t="inlineStr">
        <is>
          <t>▶ watch</t>
        </is>
      </c>
      <c r="M2627" s="10" t="inlineStr">
        <is>
          <t>Wulf &amp; McKee 1995, SIGARCH Comput Archit News 23(1):20 (Hitting the Memory Wall) · Williams, Waterman &amp; Patterson 2009, CACM 52(4):65 (Roofline)</t>
        </is>
      </c>
      <c r="N2627" s="14" t="inlineStr">
        <is>
          <t>read ↗</t>
        </is>
      </c>
      <c r="O2627" s="11" t="inlineStr">
        <is>
          <t>reading for E.6.4 HPC fundamentals</t>
        </is>
      </c>
      <c r="P2627" s="10" t="inlineStr"/>
    </row>
    <row r="2628">
      <c r="A2628" s="19" t="n">
        <v>2627</v>
      </c>
      <c r="B2628" s="19" t="inlineStr">
        <is>
          <t>Part IV - Performance Engineering</t>
        </is>
      </c>
      <c r="C2628" s="20" t="inlineStr">
        <is>
          <t>E.6.5 MIT 6.172 - Performance Engineering of Software Systems</t>
        </is>
      </c>
      <c r="D2628" s="10" t="inlineStr">
        <is>
          <t>Kokkos: Getting Lucky By Design</t>
        </is>
      </c>
      <c r="E2628" s="10" t="inlineStr"/>
      <c r="F2628" s="11" t="inlineStr"/>
      <c r="G2628" s="11" t="n">
        <v>0</v>
      </c>
      <c r="H2628" s="12" t="inlineStr"/>
      <c r="I2628" s="11" t="inlineStr">
        <is>
          <t>Not started</t>
        </is>
      </c>
      <c r="J2628" s="13" t="n"/>
      <c r="K2628" s="10" t="inlineStr"/>
      <c r="L2628" s="14" t="inlineStr">
        <is>
          <t>▶ watch</t>
        </is>
      </c>
      <c r="M2628" s="10" t="inlineStr">
        <is>
          <t>Wulf &amp; McKee 1995, SIGARCH Comput Archit News 23(1):20 (Hitting the Memory Wall) · Williams, Waterman &amp; Patterson 2009, CACM 52(4):65 (Roofline)</t>
        </is>
      </c>
      <c r="N2628" s="14" t="inlineStr">
        <is>
          <t>read ↗</t>
        </is>
      </c>
      <c r="O2628" s="11" t="inlineStr">
        <is>
          <t>reading for E.6.4 HPC fundamentals</t>
        </is>
      </c>
      <c r="P2628" s="10" t="inlineStr"/>
    </row>
    <row r="2629">
      <c r="A2629" s="19" t="n">
        <v>2628</v>
      </c>
      <c r="B2629" s="19" t="inlineStr">
        <is>
          <t>Part IV - Performance Engineering</t>
        </is>
      </c>
      <c r="C2629" s="20" t="inlineStr">
        <is>
          <t>E.6.6 Scientific software engineering and fleet operations</t>
        </is>
      </c>
      <c r="D2629" s="10" t="inlineStr">
        <is>
          <t>Getting it Right: System Testing of Scientific Software</t>
        </is>
      </c>
      <c r="E2629" s="10" t="inlineStr">
        <is>
          <t>IDEAS / ECP</t>
        </is>
      </c>
      <c r="F2629" s="11" t="inlineStr">
        <is>
          <t>59:00</t>
        </is>
      </c>
      <c r="G2629" s="11" t="n">
        <v>0.98</v>
      </c>
      <c r="H2629" s="12" t="inlineStr">
        <is>
          <t>★</t>
        </is>
      </c>
      <c r="I2629" s="11" t="inlineStr">
        <is>
          <t>Not started</t>
        </is>
      </c>
      <c r="J2629" s="13" t="n"/>
      <c r="K2629" s="10" t="inlineStr"/>
      <c r="L2629" s="14" t="inlineStr">
        <is>
          <t>▶ watch</t>
        </is>
      </c>
      <c r="M2629" s="10" t="inlineStr">
        <is>
          <t>Wulf &amp; McKee 1995, SIGARCH Comput Archit News 23(1):20 (Hitting the Memory Wall) · Williams, Waterman &amp; Patterson 2009, CACM 52(4):65 (Roofline)</t>
        </is>
      </c>
      <c r="N2629" s="14" t="inlineStr">
        <is>
          <t>read ↗</t>
        </is>
      </c>
      <c r="O2629" s="11" t="inlineStr">
        <is>
          <t>reading for E.6.4 HPC fundamentals</t>
        </is>
      </c>
      <c r="P2629" s="10" t="inlineStr"/>
    </row>
    <row r="2630">
      <c r="A2630" s="19" t="n">
        <v>2629</v>
      </c>
      <c r="B2630" s="19" t="inlineStr">
        <is>
          <t>Part IV - Performance Engineering</t>
        </is>
      </c>
      <c r="C2630" s="20" t="inlineStr">
        <is>
          <t>E.6.6 Scientific software engineering and fleet operations</t>
        </is>
      </c>
      <c r="D2630" s="10" t="inlineStr">
        <is>
          <t>Writing Clean Scientific Software</t>
        </is>
      </c>
      <c r="E2630" s="10" t="inlineStr">
        <is>
          <t>IDEAS</t>
        </is>
      </c>
      <c r="F2630" s="11" t="inlineStr">
        <is>
          <t>1:01:47</t>
        </is>
      </c>
      <c r="G2630" s="11" t="n">
        <v>1.03</v>
      </c>
      <c r="H2630" s="12" t="inlineStr"/>
      <c r="I2630" s="11" t="inlineStr">
        <is>
          <t>Not started</t>
        </is>
      </c>
      <c r="J2630" s="13" t="n"/>
      <c r="K2630" s="10" t="inlineStr"/>
      <c r="L2630" s="14" t="inlineStr">
        <is>
          <t>▶ watch</t>
        </is>
      </c>
      <c r="M2630" s="10" t="inlineStr">
        <is>
          <t>Wulf &amp; McKee 1995, SIGARCH Comput Archit News 23(1):20 (Hitting the Memory Wall) · Williams, Waterman &amp; Patterson 2009, CACM 52(4):65 (Roofline)</t>
        </is>
      </c>
      <c r="N2630" s="14" t="inlineStr">
        <is>
          <t>read ↗</t>
        </is>
      </c>
      <c r="O2630" s="11" t="inlineStr">
        <is>
          <t>reading for E.6.4 HPC fundamentals</t>
        </is>
      </c>
      <c r="P2630" s="10" t="inlineStr"/>
    </row>
    <row r="2631">
      <c r="A2631" s="19" t="n">
        <v>2630</v>
      </c>
      <c r="B2631" s="19" t="inlineStr">
        <is>
          <t>Part IV - Performance Engineering</t>
        </is>
      </c>
      <c r="C2631" s="20" t="inlineStr">
        <is>
          <t>E.6.6 Scientific software engineering and fleet operations</t>
        </is>
      </c>
      <c r="D2631" s="10" t="inlineStr">
        <is>
          <t>Benchpark with Ramble - continuous benchmarking done properly</t>
        </is>
      </c>
      <c r="E2631" s="10" t="inlineStr">
        <is>
          <t>LLNL</t>
        </is>
      </c>
      <c r="F2631" s="11" t="inlineStr">
        <is>
          <t>2:34:02</t>
        </is>
      </c>
      <c r="G2631" s="11" t="n">
        <v>2.57</v>
      </c>
      <c r="H2631" s="12" t="inlineStr">
        <is>
          <t>★</t>
        </is>
      </c>
      <c r="I2631" s="11" t="inlineStr">
        <is>
          <t>Not started</t>
        </is>
      </c>
      <c r="J2631" s="13" t="n"/>
      <c r="K2631" s="10" t="inlineStr"/>
      <c r="L2631" s="14" t="inlineStr">
        <is>
          <t>▶ watch</t>
        </is>
      </c>
      <c r="M2631" s="10" t="inlineStr">
        <is>
          <t>Wulf &amp; McKee 1995, SIGARCH Comput Archit News 23(1):20 (Hitting the Memory Wall) · Williams, Waterman &amp; Patterson 2009, CACM 52(4):65 (Roofline)</t>
        </is>
      </c>
      <c r="N2631" s="14" t="inlineStr">
        <is>
          <t>read ↗</t>
        </is>
      </c>
      <c r="O2631" s="11" t="inlineStr">
        <is>
          <t>reading for E.6.4 HPC fundamentals</t>
        </is>
      </c>
      <c r="P2631" s="10" t="inlineStr"/>
    </row>
    <row r="2632">
      <c r="A2632" s="19" t="n">
        <v>2631</v>
      </c>
      <c r="B2632" s="19" t="inlineStr">
        <is>
          <t>Part IV - Performance Engineering</t>
        </is>
      </c>
      <c r="C2632" s="20" t="inlineStr">
        <is>
          <t>E.6.6 Scientific software engineering and fleet operations</t>
        </is>
      </c>
      <c r="D2632" s="10" t="inlineStr">
        <is>
          <t>GROMACS: Testing and testing infrastructure</t>
        </is>
      </c>
      <c r="E2632" s="10" t="inlineStr">
        <is>
          <t>BioExcel</t>
        </is>
      </c>
      <c r="F2632" s="11" t="inlineStr">
        <is>
          <t>1:22:04</t>
        </is>
      </c>
      <c r="G2632" s="11" t="n">
        <v>1.37</v>
      </c>
      <c r="H2632" s="12" t="inlineStr">
        <is>
          <t>★</t>
        </is>
      </c>
      <c r="I2632" s="11" t="inlineStr">
        <is>
          <t>Not started</t>
        </is>
      </c>
      <c r="J2632" s="13" t="n"/>
      <c r="K2632" s="10" t="inlineStr"/>
      <c r="L2632" s="14" t="inlineStr">
        <is>
          <t>▶ watch</t>
        </is>
      </c>
      <c r="M2632" s="10" t="inlineStr">
        <is>
          <t>Wulf &amp; McKee 1995, SIGARCH Comput Archit News 23(1):20 (Hitting the Memory Wall) · Williams, Waterman &amp; Patterson 2009, CACM 52(4):65 (Roofline)</t>
        </is>
      </c>
      <c r="N2632" s="14" t="inlineStr">
        <is>
          <t>read ↗</t>
        </is>
      </c>
      <c r="O2632" s="11" t="inlineStr">
        <is>
          <t>reading for E.6.4 HPC fundamentals</t>
        </is>
      </c>
      <c r="P2632" s="10" t="inlineStr"/>
    </row>
    <row r="2633">
      <c r="A2633" s="19" t="n">
        <v>2632</v>
      </c>
      <c r="B2633" s="19" t="inlineStr">
        <is>
          <t>Part IV - Performance Engineering</t>
        </is>
      </c>
      <c r="C2633" s="20" t="inlineStr">
        <is>
          <t>E.6.6 Scientific software engineering and fleet operations</t>
        </is>
      </c>
      <c r="D2633" s="10" t="inlineStr">
        <is>
          <t>GROMACS: GitLab and version control</t>
        </is>
      </c>
      <c r="E2633" s="10" t="inlineStr">
        <is>
          <t>BioExcel</t>
        </is>
      </c>
      <c r="F2633" s="11" t="inlineStr">
        <is>
          <t>47:16</t>
        </is>
      </c>
      <c r="G2633" s="11" t="n">
        <v>0.79</v>
      </c>
      <c r="H2633" s="12" t="inlineStr"/>
      <c r="I2633" s="11" t="inlineStr">
        <is>
          <t>Not started</t>
        </is>
      </c>
      <c r="J2633" s="13" t="n"/>
      <c r="K2633" s="10" t="inlineStr"/>
      <c r="L2633" s="14" t="inlineStr">
        <is>
          <t>▶ watch</t>
        </is>
      </c>
      <c r="M2633" s="10" t="inlineStr">
        <is>
          <t>Wulf &amp; McKee 1995, SIGARCH Comput Archit News 23(1):20 (Hitting the Memory Wall) · Williams, Waterman &amp; Patterson 2009, CACM 52(4):65 (Roofline)</t>
        </is>
      </c>
      <c r="N2633" s="14" t="inlineStr">
        <is>
          <t>read ↗</t>
        </is>
      </c>
      <c r="O2633" s="11" t="inlineStr">
        <is>
          <t>reading for E.6.4 HPC fundamentals</t>
        </is>
      </c>
      <c r="P2633" s="10" t="inlineStr"/>
    </row>
    <row r="2634">
      <c r="A2634" s="19" t="n">
        <v>2633</v>
      </c>
      <c r="B2634" s="19" t="inlineStr">
        <is>
          <t>Part IV - Performance Engineering</t>
        </is>
      </c>
      <c r="C2634" s="20" t="inlineStr">
        <is>
          <t>E.6.6 Scientific software engineering and fleet operations</t>
        </is>
      </c>
      <c r="D2634" s="10" t="inlineStr">
        <is>
          <t>GROMACS: Structures and interfaces</t>
        </is>
      </c>
      <c r="E2634" s="10" t="inlineStr">
        <is>
          <t>BioExcel</t>
        </is>
      </c>
      <c r="F2634" s="11" t="inlineStr">
        <is>
          <t>1:34:37</t>
        </is>
      </c>
      <c r="G2634" s="11" t="n">
        <v>1.58</v>
      </c>
      <c r="H2634" s="12" t="inlineStr"/>
      <c r="I2634" s="11" t="inlineStr">
        <is>
          <t>Not started</t>
        </is>
      </c>
      <c r="J2634" s="13" t="n"/>
      <c r="K2634" s="10" t="inlineStr"/>
      <c r="L2634" s="14" t="inlineStr">
        <is>
          <t>▶ watch</t>
        </is>
      </c>
      <c r="M2634" s="10" t="inlineStr">
        <is>
          <t>Wulf &amp; McKee 1995, SIGARCH Comput Archit News 23(1):20 (Hitting the Memory Wall) · Williams, Waterman &amp; Patterson 2009, CACM 52(4):65 (Roofline)</t>
        </is>
      </c>
      <c r="N2634" s="14" t="inlineStr">
        <is>
          <t>read ↗</t>
        </is>
      </c>
      <c r="O2634" s="11" t="inlineStr">
        <is>
          <t>reading for E.6.4 HPC fundamentals</t>
        </is>
      </c>
      <c r="P2634" s="10" t="inlineStr"/>
    </row>
    <row r="2635">
      <c r="A2635" s="19" t="n">
        <v>2634</v>
      </c>
      <c r="B2635" s="19" t="inlineStr">
        <is>
          <t>Part IV - Performance Engineering</t>
        </is>
      </c>
      <c r="C2635" s="20" t="inlineStr">
        <is>
          <t>E.6.6 Scientific software engineering and fleet operations</t>
        </is>
      </c>
      <c r="D2635" s="10" t="inlineStr">
        <is>
          <t>Reproducible Research</t>
        </is>
      </c>
      <c r="E2635" s="10" t="inlineStr">
        <is>
          <t>CodeRefinery</t>
        </is>
      </c>
      <c r="F2635" s="11" t="inlineStr">
        <is>
          <t>2:01:59</t>
        </is>
      </c>
      <c r="G2635" s="11" t="n">
        <v>2.03</v>
      </c>
      <c r="H2635" s="12" t="inlineStr"/>
      <c r="I2635" s="11" t="inlineStr">
        <is>
          <t>Not started</t>
        </is>
      </c>
      <c r="J2635" s="13" t="n"/>
      <c r="K2635" s="10" t="inlineStr"/>
      <c r="L2635" s="14" t="inlineStr">
        <is>
          <t>▶ watch</t>
        </is>
      </c>
      <c r="M2635" s="10" t="inlineStr">
        <is>
          <t>Wulf &amp; McKee 1995, SIGARCH Comput Archit News 23(1):20 (Hitting the Memory Wall) · Williams, Waterman &amp; Patterson 2009, CACM 52(4):65 (Roofline)</t>
        </is>
      </c>
      <c r="N2635" s="14" t="inlineStr">
        <is>
          <t>read ↗</t>
        </is>
      </c>
      <c r="O2635" s="11" t="inlineStr">
        <is>
          <t>reading for E.6.4 HPC fundamentals</t>
        </is>
      </c>
      <c r="P2635" s="10" t="inlineStr"/>
    </row>
    <row r="2636">
      <c r="A2636" s="19" t="n">
        <v>2635</v>
      </c>
      <c r="B2636" s="19" t="inlineStr">
        <is>
          <t>Part IV - Performance Engineering</t>
        </is>
      </c>
      <c r="C2636" s="20" t="inlineStr">
        <is>
          <t>E.6.6 Scientific software engineering and fleet operations</t>
        </is>
      </c>
      <c r="D2636" s="10" t="inlineStr">
        <is>
          <t>Automated Testing</t>
        </is>
      </c>
      <c r="E2636" s="10" t="inlineStr">
        <is>
          <t>CodeRefinery</t>
        </is>
      </c>
      <c r="F2636" s="11" t="inlineStr">
        <is>
          <t>1:31:26</t>
        </is>
      </c>
      <c r="G2636" s="11" t="n">
        <v>1.52</v>
      </c>
      <c r="H2636" s="12" t="inlineStr"/>
      <c r="I2636" s="11" t="inlineStr">
        <is>
          <t>Not started</t>
        </is>
      </c>
      <c r="J2636" s="13" t="n"/>
      <c r="K2636" s="10" t="inlineStr"/>
      <c r="L2636" s="14" t="inlineStr">
        <is>
          <t>▶ watch</t>
        </is>
      </c>
      <c r="M2636" s="10" t="inlineStr">
        <is>
          <t>Wulf &amp; McKee 1995, SIGARCH Comput Archit News 23(1):20 (Hitting the Memory Wall) · Williams, Waterman &amp; Patterson 2009, CACM 52(4):65 (Roofline)</t>
        </is>
      </c>
      <c r="N2636" s="14" t="inlineStr">
        <is>
          <t>read ↗</t>
        </is>
      </c>
      <c r="O2636" s="11" t="inlineStr">
        <is>
          <t>reading for E.6.4 HPC fundamentals</t>
        </is>
      </c>
      <c r="P2636" s="10" t="inlineStr"/>
    </row>
    <row r="2637">
      <c r="A2637" s="19" t="n">
        <v>2636</v>
      </c>
      <c r="B2637" s="19" t="inlineStr">
        <is>
          <t>Part IV - Performance Engineering</t>
        </is>
      </c>
      <c r="C2637" s="20" t="inlineStr">
        <is>
          <t>E.6.6 Scientific software engineering and fleet operations</t>
        </is>
      </c>
      <c r="D2637" s="10" t="inlineStr">
        <is>
          <t>(see curriculum section)</t>
        </is>
      </c>
      <c r="E2637" s="10" t="inlineStr"/>
      <c r="F2637" s="11" t="inlineStr"/>
      <c r="G2637" s="11" t="n">
        <v>0</v>
      </c>
      <c r="H2637" s="12" t="inlineStr"/>
      <c r="I2637" s="11" t="inlineStr">
        <is>
          <t>Not started</t>
        </is>
      </c>
      <c r="J2637" s="13" t="n"/>
      <c r="K2637" s="10" t="inlineStr"/>
      <c r="L2637" s="14" t="inlineStr">
        <is>
          <t>▶ watch</t>
        </is>
      </c>
      <c r="M2637" s="10" t="inlineStr">
        <is>
          <t>Wulf &amp; McKee 1995, SIGARCH Comput Archit News 23(1):20 (Hitting the Memory Wall) · Williams, Waterman &amp; Patterson 2009, CACM 52(4):65 (Roofline)</t>
        </is>
      </c>
      <c r="N2637" s="14" t="inlineStr">
        <is>
          <t>read ↗</t>
        </is>
      </c>
      <c r="O2637" s="11" t="inlineStr">
        <is>
          <t>reading for E.6.4 HPC fundamentals</t>
        </is>
      </c>
      <c r="P2637" s="10" t="inlineStr"/>
    </row>
    <row r="2638">
      <c r="A2638" s="19" t="n">
        <v>2637</v>
      </c>
      <c r="B2638" s="19" t="inlineStr">
        <is>
          <t>Part IV - Performance Engineering</t>
        </is>
      </c>
      <c r="C2638" s="20" t="inlineStr">
        <is>
          <t>E.6.6 Scientific software engineering and fleet operations</t>
        </is>
      </c>
      <c r="D2638" s="10" t="inlineStr">
        <is>
          <t>OCI containers and scrun</t>
        </is>
      </c>
      <c r="E2638" s="10" t="inlineStr"/>
      <c r="F2638" s="11" t="inlineStr"/>
      <c r="G2638" s="11" t="n">
        <v>0</v>
      </c>
      <c r="H2638" s="12" t="inlineStr"/>
      <c r="I2638" s="11" t="inlineStr">
        <is>
          <t>Not started</t>
        </is>
      </c>
      <c r="J2638" s="13" t="n"/>
      <c r="K2638" s="10" t="inlineStr"/>
      <c r="L2638" s="14" t="inlineStr">
        <is>
          <t>▶ watch</t>
        </is>
      </c>
      <c r="M2638" s="10" t="inlineStr">
        <is>
          <t>Wulf &amp; McKee 1995, SIGARCH Comput Archit News 23(1):20 (Hitting the Memory Wall) · Williams, Waterman &amp; Patterson 2009, CACM 52(4):65 (Roofline)</t>
        </is>
      </c>
      <c r="N2638" s="14" t="inlineStr">
        <is>
          <t>read ↗</t>
        </is>
      </c>
      <c r="O2638" s="11" t="inlineStr">
        <is>
          <t>reading for E.6.4 HPC fundamentals</t>
        </is>
      </c>
      <c r="P2638" s="10" t="inlineStr"/>
    </row>
    <row r="2639">
      <c r="A2639" s="19" t="n">
        <v>2638</v>
      </c>
      <c r="B2639" s="19" t="inlineStr">
        <is>
          <t>Part IV - Performance Engineering</t>
        </is>
      </c>
      <c r="C2639" s="20" t="inlineStr">
        <is>
          <t>E.6.6 Scientific software engineering and fleet operations</t>
        </is>
      </c>
      <c r="D2639" s="10" t="inlineStr">
        <is>
          <t>Container solutions for HPC: Singularity/Apptainer</t>
        </is>
      </c>
      <c r="E2639" s="10" t="inlineStr"/>
      <c r="F2639" s="11" t="inlineStr"/>
      <c r="G2639" s="11" t="n">
        <v>0</v>
      </c>
      <c r="H2639" s="12" t="inlineStr">
        <is>
          <t>★</t>
        </is>
      </c>
      <c r="I2639" s="11" t="inlineStr">
        <is>
          <t>Not started</t>
        </is>
      </c>
      <c r="J2639" s="13" t="n"/>
      <c r="K2639" s="10" t="inlineStr"/>
      <c r="L2639" s="14" t="inlineStr">
        <is>
          <t>▶ watch</t>
        </is>
      </c>
      <c r="M2639" s="10" t="inlineStr">
        <is>
          <t>Wulf &amp; McKee 1995, SIGARCH Comput Archit News 23(1):20 (Hitting the Memory Wall) · Williams, Waterman &amp; Patterson 2009, CACM 52(4):65 (Roofline)</t>
        </is>
      </c>
      <c r="N2639" s="14" t="inlineStr">
        <is>
          <t>read ↗</t>
        </is>
      </c>
      <c r="O2639" s="11" t="inlineStr">
        <is>
          <t>reading for E.6.4 HPC fundamentals</t>
        </is>
      </c>
      <c r="P2639" s="10" t="inlineStr"/>
    </row>
    <row r="2640">
      <c r="A2640" s="19" t="n">
        <v>2639</v>
      </c>
      <c r="B2640" s="19" t="inlineStr">
        <is>
          <t>Part IV - Performance Engineering</t>
        </is>
      </c>
      <c r="C2640" s="20" t="inlineStr">
        <is>
          <t>E.6.6 Scientific software engineering and fleet operations</t>
        </is>
      </c>
      <c r="D2640" s="10" t="inlineStr">
        <is>
          <t>Container solutions for HPC: Singularity/Apptainer</t>
        </is>
      </c>
      <c r="E2640" s="10" t="inlineStr"/>
      <c r="F2640" s="11" t="inlineStr"/>
      <c r="G2640" s="11" t="n">
        <v>0</v>
      </c>
      <c r="H2640" s="12" t="inlineStr">
        <is>
          <t>★</t>
        </is>
      </c>
      <c r="I2640" s="11" t="inlineStr">
        <is>
          <t>Not started</t>
        </is>
      </c>
      <c r="J2640" s="13" t="n"/>
      <c r="K2640" s="10" t="inlineStr"/>
      <c r="L2640" s="14" t="inlineStr">
        <is>
          <t>▶ watch</t>
        </is>
      </c>
      <c r="M2640" s="10" t="inlineStr">
        <is>
          <t>Wulf &amp; McKee 1995, SIGARCH Comput Archit News 23(1):20 (Hitting the Memory Wall) · Williams, Waterman &amp; Patterson 2009, CACM 52(4):65 (Roofline)</t>
        </is>
      </c>
      <c r="N2640" s="14" t="inlineStr">
        <is>
          <t>read ↗</t>
        </is>
      </c>
      <c r="O2640" s="11" t="inlineStr">
        <is>
          <t>reading for E.6.4 HPC fundamentals</t>
        </is>
      </c>
      <c r="P2640" s="10" t="inlineStr"/>
    </row>
    <row r="2641">
      <c r="A2641" s="19" t="n">
        <v>2640</v>
      </c>
      <c r="B2641" s="19" t="inlineStr">
        <is>
          <t>Part IV - Performance Engineering</t>
        </is>
      </c>
      <c r="C2641" s="20" t="inlineStr">
        <is>
          <t>E.6.6 Scientific software engineering and fleet operations</t>
        </is>
      </c>
      <c r="D2641" s="10" t="inlineStr">
        <is>
          <t>Flux Framework - hierarchical scheduling</t>
        </is>
      </c>
      <c r="E2641" s="10" t="inlineStr"/>
      <c r="F2641" s="11" t="inlineStr"/>
      <c r="G2641" s="11" t="n">
        <v>0</v>
      </c>
      <c r="H2641" s="12" t="inlineStr">
        <is>
          <t>★</t>
        </is>
      </c>
      <c r="I2641" s="11" t="inlineStr">
        <is>
          <t>Not started</t>
        </is>
      </c>
      <c r="J2641" s="13" t="n"/>
      <c r="K2641" s="10" t="inlineStr"/>
      <c r="L2641" s="14" t="inlineStr">
        <is>
          <t>▶ watch</t>
        </is>
      </c>
      <c r="M2641" s="10" t="inlineStr">
        <is>
          <t>Wulf &amp; McKee 1995, SIGARCH Comput Archit News 23(1):20 (Hitting the Memory Wall) · Williams, Waterman &amp; Patterson 2009, CACM 52(4):65 (Roofline)</t>
        </is>
      </c>
      <c r="N2641" s="14" t="inlineStr">
        <is>
          <t>read ↗</t>
        </is>
      </c>
      <c r="O2641" s="11" t="inlineStr">
        <is>
          <t>reading for E.6.4 HPC fundamentals</t>
        </is>
      </c>
      <c r="P2641" s="10" t="inlineStr"/>
    </row>
    <row r="2642">
      <c r="A2642" s="19" t="n">
        <v>2641</v>
      </c>
      <c r="B2642" s="19" t="inlineStr">
        <is>
          <t>Part IV - Performance Engineering</t>
        </is>
      </c>
      <c r="C2642" s="20" t="inlineStr">
        <is>
          <t>E.6.6 Scientific software engineering and fleet operations</t>
        </is>
      </c>
      <c r="D2642" s="10" t="inlineStr">
        <is>
          <t>Spack</t>
        </is>
      </c>
      <c r="E2642" s="10" t="inlineStr"/>
      <c r="F2642" s="11" t="inlineStr"/>
      <c r="G2642" s="11" t="n">
        <v>0</v>
      </c>
      <c r="H2642" s="12" t="inlineStr">
        <is>
          <t>★</t>
        </is>
      </c>
      <c r="I2642" s="11" t="inlineStr">
        <is>
          <t>Not started</t>
        </is>
      </c>
      <c r="J2642" s="13" t="n"/>
      <c r="K2642" s="10" t="inlineStr"/>
      <c r="L2642" s="14" t="inlineStr">
        <is>
          <t>▶ watch</t>
        </is>
      </c>
      <c r="M2642" s="10" t="inlineStr">
        <is>
          <t>Wulf &amp; McKee 1995, SIGARCH Comput Archit News 23(1):20 (Hitting the Memory Wall) · Williams, Waterman &amp; Patterson 2009, CACM 52(4):65 (Roofline)</t>
        </is>
      </c>
      <c r="N2642" s="14" t="inlineStr">
        <is>
          <t>read ↗</t>
        </is>
      </c>
      <c r="O2642" s="11" t="inlineStr">
        <is>
          <t>reading for E.6.4 HPC fundamentals</t>
        </is>
      </c>
      <c r="P2642" s="10" t="inlineStr"/>
    </row>
    <row r="2643">
      <c r="A2643" s="19" t="n">
        <v>2642</v>
      </c>
      <c r="B2643" s="19" t="inlineStr">
        <is>
          <t>Part IV - Performance Engineering</t>
        </is>
      </c>
      <c r="C2643" s="20" t="inlineStr">
        <is>
          <t>E.6.7 Exascale, and what actually scaled</t>
        </is>
      </c>
      <c r="D2643" s="10" t="inlineStr">
        <is>
          <t>Director of Science,</t>
        </is>
      </c>
      <c r="E2643" s="10" t="inlineStr"/>
      <c r="F2643" s="11" t="inlineStr"/>
      <c r="G2643" s="11" t="n">
        <v>0</v>
      </c>
      <c r="H2643" s="12" t="inlineStr"/>
      <c r="I2643" s="11" t="inlineStr">
        <is>
          <t>Not started</t>
        </is>
      </c>
      <c r="J2643" s="13" t="n"/>
      <c r="K2643" s="10" t="inlineStr"/>
      <c r="L2643" s="14" t="inlineStr">
        <is>
          <t>▶ watch</t>
        </is>
      </c>
      <c r="M2643" s="10" t="inlineStr">
        <is>
          <t>Wulf &amp; McKee 1995, SIGARCH Comput Archit News 23(1):20 (Hitting the Memory Wall) · Williams, Waterman &amp; Patterson 2009, CACM 52(4):65 (Roofline)</t>
        </is>
      </c>
      <c r="N2643" s="14" t="inlineStr">
        <is>
          <t>read ↗</t>
        </is>
      </c>
      <c r="O2643" s="11" t="inlineStr">
        <is>
          <t>reading for E.6.4 HPC fundamentals</t>
        </is>
      </c>
      <c r="P2643" s="10" t="inlineStr"/>
    </row>
    <row r="2644">
      <c r="A2644" s="19" t="n">
        <v>2643</v>
      </c>
      <c r="B2644" s="19" t="inlineStr">
        <is>
          <t>Part IV - Performance Engineering</t>
        </is>
      </c>
      <c r="C2644" s="20" t="inlineStr">
        <is>
          <t>E.6.7 Exascale, and what actually scaled</t>
        </is>
      </c>
      <c r="D2644" s="10" t="inlineStr">
        <is>
          <t>Frontier's Exascale Architecture, Scott Atchley (ORNL,</t>
        </is>
      </c>
      <c r="E2644" s="10" t="inlineStr"/>
      <c r="F2644" s="11" t="inlineStr"/>
      <c r="G2644" s="11" t="n">
        <v>0</v>
      </c>
      <c r="H2644" s="12" t="inlineStr"/>
      <c r="I2644" s="11" t="inlineStr">
        <is>
          <t>Not started</t>
        </is>
      </c>
      <c r="J2644" s="13" t="n"/>
      <c r="K2644" s="10" t="inlineStr"/>
      <c r="L2644" s="14" t="inlineStr">
        <is>
          <t>▶ watch</t>
        </is>
      </c>
      <c r="M2644" s="10" t="inlineStr">
        <is>
          <t>Wulf &amp; McKee 1995, SIGARCH Comput Archit News 23(1):20 (Hitting the Memory Wall) · Williams, Waterman &amp; Patterson 2009, CACM 52(4):65 (Roofline)</t>
        </is>
      </c>
      <c r="N2644" s="14" t="inlineStr">
        <is>
          <t>read ↗</t>
        </is>
      </c>
      <c r="O2644" s="11" t="inlineStr">
        <is>
          <t>reading for E.6.4 HPC fundamentals</t>
        </is>
      </c>
      <c r="P2644" s="10" t="inlineStr"/>
    </row>
    <row r="2645">
      <c r="A2645" s="19" t="n">
        <v>2644</v>
      </c>
      <c r="B2645" s="19" t="inlineStr">
        <is>
          <t>Part IV - Performance Engineering</t>
        </is>
      </c>
      <c r="C2645" s="20" t="inlineStr">
        <is>
          <t>E.6.7 Exascale, and what actually scaled</t>
        </is>
      </c>
      <c r="D2645" s="10" t="inlineStr">
        <is>
          <t>ECP Applications: Lessons Learned</t>
        </is>
      </c>
      <c r="E2645" s="10" t="inlineStr"/>
      <c r="F2645" s="11" t="inlineStr"/>
      <c r="G2645" s="11" t="n">
        <v>0</v>
      </c>
      <c r="H2645" s="12" t="inlineStr">
        <is>
          <t>★</t>
        </is>
      </c>
      <c r="I2645" s="11" t="inlineStr">
        <is>
          <t>Not started</t>
        </is>
      </c>
      <c r="J2645" s="13" t="n"/>
      <c r="K2645" s="10" t="inlineStr"/>
      <c r="L2645" s="14" t="inlineStr">
        <is>
          <t>▶ watch</t>
        </is>
      </c>
      <c r="M2645" s="10" t="inlineStr">
        <is>
          <t>Wulf &amp; McKee 1995, SIGARCH Comput Archit News 23(1):20 (Hitting the Memory Wall) · Williams, Waterman &amp; Patterson 2009, CACM 52(4):65 (Roofline)</t>
        </is>
      </c>
      <c r="N2645" s="14" t="inlineStr">
        <is>
          <t>read ↗</t>
        </is>
      </c>
      <c r="O2645" s="11" t="inlineStr">
        <is>
          <t>reading for E.6.4 HPC fundamentals</t>
        </is>
      </c>
      <c r="P2645" s="10" t="inlineStr"/>
    </row>
    <row r="2646">
      <c r="A2646" s="19" t="n">
        <v>2645</v>
      </c>
      <c r="B2646" s="19" t="inlineStr">
        <is>
          <t>Part IV - Performance Engineering</t>
        </is>
      </c>
      <c r="C2646" s="20" t="inlineStr">
        <is>
          <t>E.6.7 Exascale, and what actually scaled</t>
        </is>
      </c>
      <c r="D2646" s="10" t="inlineStr">
        <is>
          <t>ECP Applications: Lessons Learned</t>
        </is>
      </c>
      <c r="E2646" s="10" t="inlineStr"/>
      <c r="F2646" s="11" t="inlineStr"/>
      <c r="G2646" s="11" t="n">
        <v>0</v>
      </c>
      <c r="H2646" s="12" t="inlineStr">
        <is>
          <t>★</t>
        </is>
      </c>
      <c r="I2646" s="11" t="inlineStr">
        <is>
          <t>Not started</t>
        </is>
      </c>
      <c r="J2646" s="13" t="n"/>
      <c r="K2646" s="10" t="inlineStr"/>
      <c r="L2646" s="14" t="inlineStr">
        <is>
          <t>▶ watch</t>
        </is>
      </c>
      <c r="M2646" s="10" t="inlineStr">
        <is>
          <t>Wulf &amp; McKee 1995, SIGARCH Comput Archit News 23(1):20 (Hitting the Memory Wall) · Williams, Waterman &amp; Patterson 2009, CACM 52(4):65 (Roofline)</t>
        </is>
      </c>
      <c r="N2646" s="14" t="inlineStr">
        <is>
          <t>read ↗</t>
        </is>
      </c>
      <c r="O2646" s="11" t="inlineStr">
        <is>
          <t>reading for E.6.4 HPC fundamentals</t>
        </is>
      </c>
      <c r="P2646" s="10" t="inlineStr"/>
    </row>
    <row r="2647">
      <c r="A2647" s="19" t="n">
        <v>2646</v>
      </c>
      <c r="B2647" s="19" t="inlineStr">
        <is>
          <t>Part IV - Performance Engineering</t>
        </is>
      </c>
      <c r="C2647" s="20" t="inlineStr">
        <is>
          <t>E.6.7 Exascale, and what actually scaled</t>
        </is>
      </c>
      <c r="D2647" s="10" t="inlineStr">
        <is>
          <t>Performance of Particle Applications on Early Exascale Hardware</t>
        </is>
      </c>
      <c r="E2647" s="10" t="inlineStr"/>
      <c r="F2647" s="11" t="inlineStr"/>
      <c r="G2647" s="11" t="n">
        <v>0</v>
      </c>
      <c r="H2647" s="12" t="inlineStr">
        <is>
          <t>★</t>
        </is>
      </c>
      <c r="I2647" s="11" t="inlineStr">
        <is>
          <t>Not started</t>
        </is>
      </c>
      <c r="J2647" s="13" t="n"/>
      <c r="K2647" s="10" t="inlineStr"/>
      <c r="L2647" s="14" t="inlineStr">
        <is>
          <t>▶ watch</t>
        </is>
      </c>
      <c r="M2647" s="10" t="inlineStr">
        <is>
          <t>Wulf &amp; McKee 1995, SIGARCH Comput Archit News 23(1):20 (Hitting the Memory Wall) · Williams, Waterman &amp; Patterson 2009, CACM 52(4):65 (Roofline)</t>
        </is>
      </c>
      <c r="N2647" s="14" t="inlineStr">
        <is>
          <t>read ↗</t>
        </is>
      </c>
      <c r="O2647" s="11" t="inlineStr">
        <is>
          <t>reading for E.6.4 HPC fundamentals</t>
        </is>
      </c>
      <c r="P2647" s="10" t="inlineStr"/>
    </row>
    <row r="2648">
      <c r="A2648" s="19" t="n">
        <v>2647</v>
      </c>
      <c r="B2648" s="19" t="inlineStr">
        <is>
          <t>Part IV - Performance Engineering</t>
        </is>
      </c>
      <c r="C2648" s="20" t="inlineStr">
        <is>
          <t>E.6.7 Exascale, and what actually scaled</t>
        </is>
      </c>
      <c r="D2648" s="10" t="inlineStr">
        <is>
          <t>Characterizing Performance Improvements in ECP Projects</t>
        </is>
      </c>
      <c r="E2648" s="10" t="inlineStr"/>
      <c r="F2648" s="11" t="inlineStr"/>
      <c r="G2648" s="11" t="n">
        <v>0</v>
      </c>
      <c r="H2648" s="12" t="inlineStr">
        <is>
          <t>★</t>
        </is>
      </c>
      <c r="I2648" s="11" t="inlineStr">
        <is>
          <t>Not started</t>
        </is>
      </c>
      <c r="J2648" s="13" t="n"/>
      <c r="K2648" s="10" t="inlineStr"/>
      <c r="L2648" s="14" t="inlineStr">
        <is>
          <t>▶ watch</t>
        </is>
      </c>
      <c r="M2648" s="10" t="inlineStr">
        <is>
          <t>Wulf &amp; McKee 1995, SIGARCH Comput Archit News 23(1):20 (Hitting the Memory Wall) · Williams, Waterman &amp; Patterson 2009, CACM 52(4):65 (Roofline)</t>
        </is>
      </c>
      <c r="N2648" s="14" t="inlineStr">
        <is>
          <t>read ↗</t>
        </is>
      </c>
      <c r="O2648" s="11" t="inlineStr">
        <is>
          <t>reading for E.6.4 HPC fundamentals</t>
        </is>
      </c>
      <c r="P2648" s="10" t="inlineStr"/>
    </row>
    <row r="2649">
      <c r="A2649" s="19" t="n">
        <v>2648</v>
      </c>
      <c r="B2649" s="19" t="inlineStr">
        <is>
          <t>Part IV - Performance Engineering</t>
        </is>
      </c>
      <c r="C2649" s="20" t="inlineStr">
        <is>
          <t>E.7.1 AlphaFold, OpenFold and what training actually costs</t>
        </is>
      </c>
      <c r="D2649" s="10" t="inlineStr">
        <is>
          <t>AlQuraishi (OMSF Symposium</t>
        </is>
      </c>
      <c r="E2649" s="10" t="inlineStr">
        <is>
          <t>OpenFold Keynote</t>
        </is>
      </c>
      <c r="F2649" s="11" t="inlineStr">
        <is>
          <t>40:40</t>
        </is>
      </c>
      <c r="G2649" s="11" t="n">
        <v>0.68</v>
      </c>
      <c r="H2649" s="12" t="inlineStr"/>
      <c r="I2649" s="11" t="inlineStr">
        <is>
          <t>Not started</t>
        </is>
      </c>
      <c r="J2649" s="13" t="n"/>
      <c r="K2649" s="10" t="inlineStr"/>
      <c r="L2649" s="14" t="inlineStr">
        <is>
          <t>▶ watch</t>
        </is>
      </c>
      <c r="M2649" s="10" t="inlineStr">
        <is>
          <t>Ahdritz et al. 2024, Nat Methods 21:1514 (OpenFold)</t>
        </is>
      </c>
      <c r="N2649" s="14" t="inlineStr">
        <is>
          <t>read ↗</t>
        </is>
      </c>
      <c r="O2649" s="11" t="inlineStr">
        <is>
          <t>names OPENFOLD</t>
        </is>
      </c>
      <c r="P2649" s="10" t="inlineStr"/>
    </row>
    <row r="2650">
      <c r="A2650" s="19" t="n">
        <v>2649</v>
      </c>
      <c r="B2650" s="19" t="inlineStr">
        <is>
          <t>Part IV - Performance Engineering</t>
        </is>
      </c>
      <c r="C2650" s="20" t="inlineStr">
        <is>
          <t>E.7.1 AlphaFold, OpenFold and what training actually costs</t>
        </is>
      </c>
      <c r="D2650" s="10" t="inlineStr">
        <is>
          <t>Nazim Bouatta (Harvard Medical School</t>
        </is>
      </c>
      <c r="E2650" s="10" t="inlineStr">
        <is>
          <t>Insights from retraining OpenFold</t>
        </is>
      </c>
      <c r="F2650" s="11" t="inlineStr">
        <is>
          <t>1:16:29</t>
        </is>
      </c>
      <c r="G2650" s="11" t="n">
        <v>1.27</v>
      </c>
      <c r="H2650" s="12" t="inlineStr">
        <is>
          <t>★</t>
        </is>
      </c>
      <c r="I2650" s="11" t="inlineStr">
        <is>
          <t>Not started</t>
        </is>
      </c>
      <c r="J2650" s="13" t="n"/>
      <c r="K2650" s="10" t="inlineStr"/>
      <c r="L2650" s="14" t="inlineStr">
        <is>
          <t>▶ watch</t>
        </is>
      </c>
      <c r="M2650" s="10" t="inlineStr">
        <is>
          <t>Ahdritz et al. 2024, Nat Methods 21:1514 (OpenFold)</t>
        </is>
      </c>
      <c r="N2650" s="14" t="inlineStr">
        <is>
          <t>read ↗</t>
        </is>
      </c>
      <c r="O2650" s="11" t="inlineStr">
        <is>
          <t>names OPENFOLD</t>
        </is>
      </c>
      <c r="P2650" s="10" t="inlineStr"/>
    </row>
    <row r="2651">
      <c r="A2651" s="19" t="n">
        <v>2650</v>
      </c>
      <c r="B2651" s="19" t="inlineStr">
        <is>
          <t>Part IV - Performance Engineering</t>
        </is>
      </c>
      <c r="C2651" s="20" t="inlineStr">
        <is>
          <t>E.7.1 AlphaFold, OpenFold and what training actually costs</t>
        </is>
      </c>
      <c r="D2651" s="10" t="inlineStr">
        <is>
          <t>FastFold: Reducing AlphaFold Training Time from 11 Days to 67 Hours</t>
        </is>
      </c>
      <c r="E2651" s="10" t="inlineStr">
        <is>
          <t>Shenggan Cheng (NUS, first author</t>
        </is>
      </c>
      <c r="F2651" s="11" t="inlineStr">
        <is>
          <t>9:56</t>
        </is>
      </c>
      <c r="G2651" s="11" t="n">
        <v>0.17</v>
      </c>
      <c r="H2651" s="12" t="inlineStr">
        <is>
          <t>★</t>
        </is>
      </c>
      <c r="I2651" s="11" t="inlineStr">
        <is>
          <t>Not started</t>
        </is>
      </c>
      <c r="J2651" s="13" t="n"/>
      <c r="K2651" s="10" t="inlineStr"/>
      <c r="L2651" s="14" t="inlineStr">
        <is>
          <t>▶ watch</t>
        </is>
      </c>
      <c r="M2651" s="10" t="inlineStr">
        <is>
          <t>Cheng et al. 2022, arXiv:2203.00854 (FastFold)</t>
        </is>
      </c>
      <c r="N2651" s="14" t="inlineStr">
        <is>
          <t>read ↗</t>
        </is>
      </c>
      <c r="O2651" s="11" t="inlineStr">
        <is>
          <t>names FASTFOLD</t>
        </is>
      </c>
      <c r="P2651" s="10" t="inlineStr"/>
    </row>
    <row r="2652">
      <c r="A2652" s="19" t="n">
        <v>2651</v>
      </c>
      <c r="B2652" s="19" t="inlineStr">
        <is>
          <t>Part IV - Performance Engineering</t>
        </is>
      </c>
      <c r="C2652" s="20" t="inlineStr">
        <is>
          <t>E.7.1 AlphaFold, OpenFold and what training actually costs</t>
        </is>
      </c>
      <c r="D2652" s="10" t="inlineStr">
        <is>
          <t>Model. Package. Deploy. Repeat: DevOps for Biomolecular Scalability</t>
        </is>
      </c>
      <c r="E2652" s="10" t="inlineStr">
        <is>
          <t>Colby Ford (BPDMC</t>
        </is>
      </c>
      <c r="F2652" s="11" t="inlineStr">
        <is>
          <t>1:19:04</t>
        </is>
      </c>
      <c r="G2652" s="11" t="n">
        <v>1.32</v>
      </c>
      <c r="H2652" s="12" t="inlineStr">
        <is>
          <t>★</t>
        </is>
      </c>
      <c r="I2652" s="11" t="inlineStr">
        <is>
          <t>Not started</t>
        </is>
      </c>
      <c r="J2652" s="13" t="n"/>
      <c r="K2652" s="10" t="inlineStr"/>
      <c r="L2652" s="14" t="inlineStr">
        <is>
          <t>▶ watch</t>
        </is>
      </c>
      <c r="M2652" s="10" t="inlineStr">
        <is>
          <t>Ahdritz et al. 2024, Nat Methods 21:1514 (OpenFold) · Cheng et al. 2022, arXiv:2203.00854 (FastFold)</t>
        </is>
      </c>
      <c r="N2652" s="14" t="inlineStr">
        <is>
          <t>read ↗</t>
        </is>
      </c>
      <c r="O2652" s="11" t="inlineStr">
        <is>
          <t>section reading (2 of 4)</t>
        </is>
      </c>
      <c r="P2652" s="10" t="inlineStr">
        <is>
          <t>2025</t>
        </is>
      </c>
    </row>
    <row r="2653">
      <c r="A2653" s="19" t="n">
        <v>2652</v>
      </c>
      <c r="B2653" s="19" t="inlineStr">
        <is>
          <t>Part IV - Performance Engineering</t>
        </is>
      </c>
      <c r="C2653" s="20" t="inlineStr">
        <is>
          <t>E.7.1 AlphaFold, OpenFold and what training actually costs</t>
        </is>
      </c>
      <c r="D2653" s="10" t="inlineStr">
        <is>
          <t>(see curriculum section)</t>
        </is>
      </c>
      <c r="E2653" s="10" t="inlineStr"/>
      <c r="F2653" s="11" t="inlineStr"/>
      <c r="G2653" s="11" t="n">
        <v>0</v>
      </c>
      <c r="H2653" s="12" t="inlineStr"/>
      <c r="I2653" s="11" t="inlineStr">
        <is>
          <t>Not started</t>
        </is>
      </c>
      <c r="J2653" s="13" t="n"/>
      <c r="K2653" s="10" t="inlineStr"/>
      <c r="L2653" s="14" t="inlineStr">
        <is>
          <t>▶ watch</t>
        </is>
      </c>
      <c r="M2653" s="10" t="inlineStr">
        <is>
          <t>Ahdritz et al. 2024, Nat Methods 21:1514 (OpenFold) · Cheng et al. 2022, arXiv:2203.00854 (FastFold)</t>
        </is>
      </c>
      <c r="N2653" s="14" t="inlineStr">
        <is>
          <t>read ↗</t>
        </is>
      </c>
      <c r="O2653" s="11" t="inlineStr">
        <is>
          <t>section reading (2 of 4)</t>
        </is>
      </c>
      <c r="P2653" s="10" t="inlineStr"/>
    </row>
    <row r="2654">
      <c r="A2654" s="19" t="n">
        <v>2653</v>
      </c>
      <c r="B2654" s="19" t="inlineStr">
        <is>
          <t>Part IV - Performance Engineering</t>
        </is>
      </c>
      <c r="C2654" s="20" t="inlineStr">
        <is>
          <t>E.7.1 AlphaFold, OpenFold and what training actually costs</t>
        </is>
      </c>
      <c r="D2654" s="10" t="inlineStr">
        <is>
          <t>Rutgers IQB</t>
        </is>
      </c>
      <c r="E2654" s="10" t="inlineStr"/>
      <c r="F2654" s="11" t="inlineStr"/>
      <c r="G2654" s="11" t="n">
        <v>0</v>
      </c>
      <c r="H2654" s="12" t="inlineStr"/>
      <c r="I2654" s="11" t="inlineStr">
        <is>
          <t>Not started</t>
        </is>
      </c>
      <c r="J2654" s="13" t="n"/>
      <c r="K2654" s="10" t="inlineStr"/>
      <c r="L2654" s="14" t="inlineStr">
        <is>
          <t>▶ watch</t>
        </is>
      </c>
      <c r="M2654" s="10" t="inlineStr">
        <is>
          <t>Ahdritz et al. 2024, Nat Methods 21:1514 (OpenFold) · Cheng et al. 2022, arXiv:2203.00854 (FastFold)</t>
        </is>
      </c>
      <c r="N2654" s="14" t="inlineStr">
        <is>
          <t>read ↗</t>
        </is>
      </c>
      <c r="O2654" s="11" t="inlineStr">
        <is>
          <t>section reading (2 of 4)</t>
        </is>
      </c>
      <c r="P2654" s="10" t="inlineStr"/>
    </row>
    <row r="2655">
      <c r="A2655" s="19" t="n">
        <v>2654</v>
      </c>
      <c r="B2655" s="19" t="inlineStr">
        <is>
          <t>Part IV - Performance Engineering</t>
        </is>
      </c>
      <c r="C2655" s="20" t="inlineStr">
        <is>
          <t>E.7.2 Triangle attention - the memory wall nobody has written about</t>
        </is>
      </c>
      <c r="D2655" s="10" t="inlineStr">
        <is>
          <t>AlphaFold Decoded: Evoformer</t>
        </is>
      </c>
      <c r="E2655" s="10" t="inlineStr">
        <is>
          <t>Kilian Mandon (Bamberg</t>
        </is>
      </c>
      <c r="F2655" s="11" t="inlineStr">
        <is>
          <t>24:21</t>
        </is>
      </c>
      <c r="G2655" s="11" t="n">
        <v>0.41</v>
      </c>
      <c r="H2655" s="12" t="inlineStr">
        <is>
          <t>★</t>
        </is>
      </c>
      <c r="I2655" s="11" t="inlineStr">
        <is>
          <t>Not started</t>
        </is>
      </c>
      <c r="J2655" s="13" t="n"/>
      <c r="K2655" s="10" t="inlineStr"/>
      <c r="L2655" s="14" t="inlineStr">
        <is>
          <t>▶ watch</t>
        </is>
      </c>
      <c r="M2655" s="10" t="inlineStr">
        <is>
          <t>Ahdritz et al. 2024, Nat Methods 21:1514 (OpenFold) · Cheng et al. 2022, arXiv:2203.00854 (FastFold)</t>
        </is>
      </c>
      <c r="N2655" s="14" t="inlineStr">
        <is>
          <t>read ↗</t>
        </is>
      </c>
      <c r="O2655" s="11" t="inlineStr">
        <is>
          <t>reading for E.7.1 AlphaFold, OpenFold and what train</t>
        </is>
      </c>
      <c r="P2655" s="10" t="inlineStr"/>
    </row>
    <row r="2656">
      <c r="A2656" s="19" t="n">
        <v>2655</v>
      </c>
      <c r="B2656" s="19" t="inlineStr">
        <is>
          <t>Part IV - Performance Engineering</t>
        </is>
      </c>
      <c r="C2656" s="20" t="inlineStr">
        <is>
          <t>E.7.2 Triangle attention - the memory wall nobody has written about</t>
        </is>
      </c>
      <c r="D2656" s="10" t="inlineStr">
        <is>
          <t>AlphaFold Decoded: Attention</t>
        </is>
      </c>
      <c r="E2656" s="10" t="inlineStr">
        <is>
          <t>Kilian Mandon</t>
        </is>
      </c>
      <c r="F2656" s="11" t="inlineStr">
        <is>
          <t>23:51</t>
        </is>
      </c>
      <c r="G2656" s="11" t="n">
        <v>0.4</v>
      </c>
      <c r="H2656" s="12" t="inlineStr"/>
      <c r="I2656" s="11" t="inlineStr">
        <is>
          <t>Not started</t>
        </is>
      </c>
      <c r="J2656" s="13" t="n"/>
      <c r="K2656" s="10" t="inlineStr"/>
      <c r="L2656" s="14" t="inlineStr">
        <is>
          <t>▶ watch</t>
        </is>
      </c>
      <c r="M2656" s="10" t="inlineStr">
        <is>
          <t>Ahdritz et al. 2024, Nat Methods 21:1514 (OpenFold) · Cheng et al. 2022, arXiv:2203.00854 (FastFold)</t>
        </is>
      </c>
      <c r="N2656" s="14" t="inlineStr">
        <is>
          <t>read ↗</t>
        </is>
      </c>
      <c r="O2656" s="11" t="inlineStr">
        <is>
          <t>reading for E.7.1 AlphaFold, OpenFold and what train</t>
        </is>
      </c>
      <c r="P2656" s="10" t="inlineStr"/>
    </row>
    <row r="2657">
      <c r="A2657" s="19" t="n">
        <v>2656</v>
      </c>
      <c r="B2657" s="19" t="inlineStr">
        <is>
          <t>Part IV - Performance Engineering</t>
        </is>
      </c>
      <c r="C2657" s="20" t="inlineStr">
        <is>
          <t>E.7.2 Triangle attention - the memory wall nobody has written about</t>
        </is>
      </c>
      <c r="D2657" s="10" t="inlineStr">
        <is>
          <t>AlphaFold 3 From Scratch in PyTorch - Introduction</t>
        </is>
      </c>
      <c r="E2657" s="10" t="inlineStr">
        <is>
          <t>Kilian Mandon</t>
        </is>
      </c>
      <c r="F2657" s="11" t="inlineStr">
        <is>
          <t>34:21</t>
        </is>
      </c>
      <c r="G2657" s="11" t="n">
        <v>0.57</v>
      </c>
      <c r="H2657" s="12" t="inlineStr">
        <is>
          <t>★</t>
        </is>
      </c>
      <c r="I2657" s="11" t="inlineStr">
        <is>
          <t>Not started</t>
        </is>
      </c>
      <c r="J2657" s="13" t="n"/>
      <c r="K2657" s="10" t="inlineStr"/>
      <c r="L2657" s="14" t="inlineStr">
        <is>
          <t>▶ watch</t>
        </is>
      </c>
      <c r="M2657" s="10" t="inlineStr">
        <is>
          <t>Ahdritz et al. 2024, Nat Methods 21:1514 (OpenFold) · Cheng et al. 2022, arXiv:2203.00854 (FastFold)</t>
        </is>
      </c>
      <c r="N2657" s="14" t="inlineStr">
        <is>
          <t>read ↗</t>
        </is>
      </c>
      <c r="O2657" s="11" t="inlineStr">
        <is>
          <t>reading for E.7.1 AlphaFold, OpenFold and what train</t>
        </is>
      </c>
      <c r="P2657" s="10" t="inlineStr"/>
    </row>
    <row r="2658">
      <c r="A2658" s="19" t="n">
        <v>2657</v>
      </c>
      <c r="B2658" s="19" t="inlineStr">
        <is>
          <t>Part IV - Performance Engineering</t>
        </is>
      </c>
      <c r="C2658" s="20" t="inlineStr">
        <is>
          <t>E.7.2 Triangle attention - the memory wall nobody has written about</t>
        </is>
      </c>
      <c r="D2658" s="10" t="inlineStr">
        <is>
          <t>AlphaFold 3 From Scratch - Feature Extraction</t>
        </is>
      </c>
      <c r="E2658" s="10" t="inlineStr">
        <is>
          <t>Kilian Mandon</t>
        </is>
      </c>
      <c r="F2658" s="11" t="inlineStr">
        <is>
          <t>24:22</t>
        </is>
      </c>
      <c r="G2658" s="11" t="n">
        <v>0.41</v>
      </c>
      <c r="H2658" s="12" t="inlineStr"/>
      <c r="I2658" s="11" t="inlineStr">
        <is>
          <t>Not started</t>
        </is>
      </c>
      <c r="J2658" s="13" t="n"/>
      <c r="K2658" s="10" t="inlineStr"/>
      <c r="L2658" s="14" t="inlineStr">
        <is>
          <t>▶ watch</t>
        </is>
      </c>
      <c r="M2658" s="10" t="inlineStr">
        <is>
          <t>Ahdritz et al. 2024, Nat Methods 21:1514 (OpenFold) · Cheng et al. 2022, arXiv:2203.00854 (FastFold)</t>
        </is>
      </c>
      <c r="N2658" s="14" t="inlineStr">
        <is>
          <t>read ↗</t>
        </is>
      </c>
      <c r="O2658" s="11" t="inlineStr">
        <is>
          <t>reading for E.7.1 AlphaFold, OpenFold and what train</t>
        </is>
      </c>
      <c r="P2658" s="10" t="inlineStr"/>
    </row>
    <row r="2659">
      <c r="A2659" s="19" t="n">
        <v>2658</v>
      </c>
      <c r="B2659" s="19" t="inlineStr">
        <is>
          <t>Part IV - Performance Engineering</t>
        </is>
      </c>
      <c r="C2659" s="20" t="inlineStr">
        <is>
          <t>E.7.3 Equivariant-network performance</t>
        </is>
      </c>
      <c r="D2659" s="10" t="inlineStr">
        <is>
          <t>Mario Geiger (then EPFL/MIT, now NVIDIA</t>
        </is>
      </c>
      <c r="E2659" s="10" t="inlineStr">
        <is>
          <t>e3nn: Euclidean Neural Networks</t>
        </is>
      </c>
      <c r="F2659" s="11" t="inlineStr">
        <is>
          <t>1:18:41</t>
        </is>
      </c>
      <c r="G2659" s="11" t="n">
        <v>1.31</v>
      </c>
      <c r="H2659" s="12" t="inlineStr">
        <is>
          <t>★</t>
        </is>
      </c>
      <c r="I2659" s="11" t="inlineStr">
        <is>
          <t>Not started</t>
        </is>
      </c>
      <c r="J2659" s="13" t="n"/>
      <c r="K2659" s="10" t="inlineStr"/>
      <c r="L2659" s="14" t="inlineStr">
        <is>
          <t>▶ watch</t>
        </is>
      </c>
      <c r="M2659" s="10" t="inlineStr">
        <is>
          <t>Ahdritz et al. 2024, Nat Methods 21:1514 (OpenFold) · Cheng et al. 2022, arXiv:2203.00854 (FastFold)</t>
        </is>
      </c>
      <c r="N2659" s="14" t="inlineStr">
        <is>
          <t>read ↗</t>
        </is>
      </c>
      <c r="O2659" s="11" t="inlineStr">
        <is>
          <t>reading for E.7.1 AlphaFold, OpenFold and what train</t>
        </is>
      </c>
      <c r="P2659" s="10" t="inlineStr"/>
    </row>
    <row r="2660">
      <c r="A2660" s="19" t="n">
        <v>2659</v>
      </c>
      <c r="B2660" s="19" t="inlineStr">
        <is>
          <t>Part IV - Performance Engineering</t>
        </is>
      </c>
      <c r="C2660" s="20" t="inlineStr">
        <is>
          <t>E.7.3 Equivariant-network performance</t>
        </is>
      </c>
      <c r="D2660" s="10" t="inlineStr">
        <is>
          <t>Computational Aspects of Equivariant Neural Networks</t>
        </is>
      </c>
      <c r="E2660" s="10" t="inlineStr">
        <is>
          <t>Risi Kondor (Chicago</t>
        </is>
      </c>
      <c r="F2660" s="11" t="inlineStr">
        <is>
          <t>1:09:11</t>
        </is>
      </c>
      <c r="G2660" s="11" t="n">
        <v>1.15</v>
      </c>
      <c r="H2660" s="12" t="inlineStr">
        <is>
          <t>★</t>
        </is>
      </c>
      <c r="I2660" s="11" t="inlineStr">
        <is>
          <t>Not started</t>
        </is>
      </c>
      <c r="J2660" s="13" t="n"/>
      <c r="K2660" s="10" t="inlineStr"/>
      <c r="L2660" s="14" t="inlineStr">
        <is>
          <t>▶ watch</t>
        </is>
      </c>
      <c r="M2660" s="10" t="inlineStr">
        <is>
          <t>Ahdritz et al. 2024, Nat Methods 21:1514 (OpenFold) · Cheng et al. 2022, arXiv:2203.00854 (FastFold)</t>
        </is>
      </c>
      <c r="N2660" s="14" t="inlineStr">
        <is>
          <t>read ↗</t>
        </is>
      </c>
      <c r="O2660" s="11" t="inlineStr">
        <is>
          <t>reading for E.7.1 AlphaFold, OpenFold and what train</t>
        </is>
      </c>
      <c r="P2660" s="10" t="inlineStr"/>
    </row>
    <row r="2661">
      <c r="A2661" s="19" t="n">
        <v>2660</v>
      </c>
      <c r="B2661" s="19" t="inlineStr">
        <is>
          <t>Part IV - Performance Engineering</t>
        </is>
      </c>
      <c r="C2661" s="20" t="inlineStr">
        <is>
          <t>E.7.3 Equivariant-network performance</t>
        </is>
      </c>
      <c r="D2661" s="10" t="inlineStr">
        <is>
          <t>Does equivariance matter at scale?</t>
        </is>
      </c>
      <c r="E2661" s="10" t="inlineStr">
        <is>
          <t>Johann Brehmer (Qualcomm AI</t>
        </is>
      </c>
      <c r="F2661" s="11" t="inlineStr">
        <is>
          <t>1:04:10</t>
        </is>
      </c>
      <c r="G2661" s="11" t="n">
        <v>1.07</v>
      </c>
      <c r="H2661" s="12" t="inlineStr">
        <is>
          <t>★</t>
        </is>
      </c>
      <c r="I2661" s="11" t="inlineStr">
        <is>
          <t>Not started</t>
        </is>
      </c>
      <c r="J2661" s="13" t="n"/>
      <c r="K2661" s="10" t="inlineStr"/>
      <c r="L2661" s="14" t="inlineStr">
        <is>
          <t>▶ watch</t>
        </is>
      </c>
      <c r="M2661" s="10" t="inlineStr">
        <is>
          <t>Ahdritz et al. 2024, Nat Methods 21:1514 (OpenFold) · Cheng et al. 2022, arXiv:2203.00854 (FastFold)</t>
        </is>
      </c>
      <c r="N2661" s="14" t="inlineStr">
        <is>
          <t>read ↗</t>
        </is>
      </c>
      <c r="O2661" s="11" t="inlineStr">
        <is>
          <t>reading for E.7.1 AlphaFold, OpenFold and what train</t>
        </is>
      </c>
      <c r="P2661" s="10" t="inlineStr"/>
    </row>
    <row r="2662">
      <c r="A2662" s="19" t="n">
        <v>2661</v>
      </c>
      <c r="B2662" s="19" t="inlineStr">
        <is>
          <t>Part IV - Performance Engineering</t>
        </is>
      </c>
      <c r="C2662" s="20" t="inlineStr">
        <is>
          <t>E.7.3 Equivariant-network performance</t>
        </is>
      </c>
      <c r="D2662" s="10" t="inlineStr">
        <is>
          <t>Efficient and Expressive 3D Equivariant GNNs</t>
        </is>
      </c>
      <c r="E2662" s="10" t="inlineStr">
        <is>
          <t>Valence Labs</t>
        </is>
      </c>
      <c r="F2662" s="11" t="inlineStr">
        <is>
          <t>54:59</t>
        </is>
      </c>
      <c r="G2662" s="11" t="n">
        <v>0.92</v>
      </c>
      <c r="H2662" s="12" t="inlineStr"/>
      <c r="I2662" s="11" t="inlineStr">
        <is>
          <t>Not started</t>
        </is>
      </c>
      <c r="J2662" s="13" t="n"/>
      <c r="K2662" s="10" t="inlineStr"/>
      <c r="L2662" s="14" t="inlineStr">
        <is>
          <t>▶ watch</t>
        </is>
      </c>
      <c r="M2662" s="10" t="inlineStr">
        <is>
          <t>Ahdritz et al. 2024, Nat Methods 21:1514 (OpenFold) · Cheng et al. 2022, arXiv:2203.00854 (FastFold)</t>
        </is>
      </c>
      <c r="N2662" s="14" t="inlineStr">
        <is>
          <t>read ↗</t>
        </is>
      </c>
      <c r="O2662" s="11" t="inlineStr">
        <is>
          <t>reading for E.7.1 AlphaFold, OpenFold and what train</t>
        </is>
      </c>
      <c r="P2662" s="10" t="inlineStr"/>
    </row>
    <row r="2663">
      <c r="A2663" s="19" t="n">
        <v>2662</v>
      </c>
      <c r="B2663" s="19" t="inlineStr">
        <is>
          <t>Part IV - Performance Engineering</t>
        </is>
      </c>
      <c r="C2663" s="20" t="inlineStr">
        <is>
          <t>E.7.3 Equivariant-network performance</t>
        </is>
      </c>
      <c r="D2663" s="10" t="inlineStr">
        <is>
          <t>Euclidean Neural Networks: learning with 3D geometry and geometric tensors</t>
        </is>
      </c>
      <c r="E2663" s="10" t="inlineStr">
        <is>
          <t>Tess Smidt (MIT</t>
        </is>
      </c>
      <c r="F2663" s="11" t="inlineStr">
        <is>
          <t>1:06:01</t>
        </is>
      </c>
      <c r="G2663" s="11" t="n">
        <v>1.1</v>
      </c>
      <c r="H2663" s="12" t="inlineStr"/>
      <c r="I2663" s="11" t="inlineStr">
        <is>
          <t>Not started</t>
        </is>
      </c>
      <c r="J2663" s="13" t="n"/>
      <c r="K2663" s="10" t="inlineStr"/>
      <c r="L2663" s="14" t="inlineStr">
        <is>
          <t>▶ watch</t>
        </is>
      </c>
      <c r="M2663" s="10" t="inlineStr">
        <is>
          <t>Ahdritz et al. 2024, Nat Methods 21:1514 (OpenFold) · Cheng et al. 2022, arXiv:2203.00854 (FastFold)</t>
        </is>
      </c>
      <c r="N2663" s="14" t="inlineStr">
        <is>
          <t>read ↗</t>
        </is>
      </c>
      <c r="O2663" s="11" t="inlineStr">
        <is>
          <t>reading for E.7.1 AlphaFold, OpenFold and what train</t>
        </is>
      </c>
      <c r="P2663" s="10" t="inlineStr"/>
    </row>
    <row r="2664">
      <c r="A2664" s="19" t="n">
        <v>2663</v>
      </c>
      <c r="B2664" s="19" t="inlineStr">
        <is>
          <t>Part IV - Performance Engineering</t>
        </is>
      </c>
      <c r="C2664" s="20" t="inlineStr">
        <is>
          <t>E.7.4 Interatomic potential inference at scale</t>
        </is>
      </c>
      <c r="D2664" s="10" t="inlineStr">
        <is>
          <t>First Principles Molecular Dynamics on a Large Scale</t>
        </is>
      </c>
      <c r="E2664" s="10" t="inlineStr">
        <is>
          <t>Gábor Csányi (Cambridge</t>
        </is>
      </c>
      <c r="F2664" s="11" t="inlineStr">
        <is>
          <t>1:07:45</t>
        </is>
      </c>
      <c r="G2664" s="11" t="n">
        <v>1.13</v>
      </c>
      <c r="H2664" s="12" t="inlineStr">
        <is>
          <t>★</t>
        </is>
      </c>
      <c r="I2664" s="11" t="inlineStr">
        <is>
          <t>Not started</t>
        </is>
      </c>
      <c r="J2664" s="13" t="n"/>
      <c r="K2664" s="10" t="inlineStr"/>
      <c r="L2664" s="14" t="inlineStr">
        <is>
          <t>▶ watch</t>
        </is>
      </c>
      <c r="M2664" s="10" t="inlineStr">
        <is>
          <t>Musaelian et al. 2023, Nat Commun 14:579 (Allegro) and Musaelian et al. 2023, SC'23 - read this one for the actual scaling numbers · Batzner et al. 2022, Nat Commun 13:2453 (NequIP)</t>
        </is>
      </c>
      <c r="N2664" s="14" t="inlineStr">
        <is>
          <t>read ↗</t>
        </is>
      </c>
      <c r="O2664" s="11" t="inlineStr">
        <is>
          <t>section reading (2 of 4)</t>
        </is>
      </c>
      <c r="P2664" s="10" t="inlineStr"/>
    </row>
    <row r="2665">
      <c r="A2665" s="19" t="n">
        <v>2664</v>
      </c>
      <c r="B2665" s="19" t="inlineStr">
        <is>
          <t>Part IV - Performance Engineering</t>
        </is>
      </c>
      <c r="C2665" s="20" t="inlineStr">
        <is>
          <t>E.7.5 Serving, batching and memory</t>
        </is>
      </c>
      <c r="D2665" s="10" t="inlineStr">
        <is>
          <t>Woosuk Kwon (Berkeley), 32:07</t>
        </is>
      </c>
      <c r="E2665" s="10" t="inlineStr"/>
      <c r="F2665" s="11" t="inlineStr">
        <is>
          <t>32:07</t>
        </is>
      </c>
      <c r="G2665" s="11" t="n">
        <v>0.54</v>
      </c>
      <c r="H2665" s="12" t="inlineStr"/>
      <c r="I2665" s="11" t="inlineStr">
        <is>
          <t>Not started</t>
        </is>
      </c>
      <c r="J2665" s="13" t="n"/>
      <c r="K2665" s="10" t="inlineStr"/>
      <c r="L2665" s="14" t="inlineStr">
        <is>
          <t>▶ watch</t>
        </is>
      </c>
      <c r="M2665" s="10" t="inlineStr">
        <is>
          <t>Kwon et al. 2023, SOSP (PagedAttention) · Rajbhandari et al. 2020, SC'20 (ZeRO)</t>
        </is>
      </c>
      <c r="N2665" s="14" t="inlineStr">
        <is>
          <t>read ↗</t>
        </is>
      </c>
      <c r="O2665" s="11" t="inlineStr">
        <is>
          <t>section reading (2 of 3)</t>
        </is>
      </c>
      <c r="P2665" s="10" t="inlineStr"/>
    </row>
    <row r="2666">
      <c r="A2666" s="19" t="n">
        <v>2665</v>
      </c>
      <c r="B2666" s="19" t="inlineStr">
        <is>
          <t>Part IV - Performance Engineering</t>
        </is>
      </c>
      <c r="C2666" s="20" t="inlineStr">
        <is>
          <t>E.7.5 Serving, batching and memory</t>
        </is>
      </c>
      <c r="D2666" s="10" t="inlineStr">
        <is>
          <t>Exploring the Latency/Throughput and Cost Space for Inference</t>
        </is>
      </c>
      <c r="E2666" s="10" t="inlineStr"/>
      <c r="F2666" s="11" t="inlineStr">
        <is>
          <t>30:25</t>
        </is>
      </c>
      <c r="G2666" s="11" t="n">
        <v>0.51</v>
      </c>
      <c r="H2666" s="12" t="inlineStr">
        <is>
          <t>★</t>
        </is>
      </c>
      <c r="I2666" s="11" t="inlineStr">
        <is>
          <t>Not started</t>
        </is>
      </c>
      <c r="J2666" s="13" t="n"/>
      <c r="K2666" s="10" t="inlineStr"/>
      <c r="L2666" s="14" t="inlineStr">
        <is>
          <t>▶ watch</t>
        </is>
      </c>
      <c r="M2666" s="10" t="inlineStr">
        <is>
          <t>Kwon et al. 2023, SOSP (PagedAttention) · Rajbhandari et al. 2020, SC'20 (ZeRO)</t>
        </is>
      </c>
      <c r="N2666" s="14" t="inlineStr">
        <is>
          <t>read ↗</t>
        </is>
      </c>
      <c r="O2666" s="11" t="inlineStr">
        <is>
          <t>section reading (2 of 3)</t>
        </is>
      </c>
      <c r="P2666" s="10" t="inlineStr"/>
    </row>
    <row r="2667">
      <c r="A2667" s="19" t="n">
        <v>2666</v>
      </c>
      <c r="B2667" s="19" t="inlineStr">
        <is>
          <t>Part IV - Performance Engineering</t>
        </is>
      </c>
      <c r="C2667" s="20" t="inlineStr">
        <is>
          <t>E.7.5 Serving, batching and memory</t>
        </is>
      </c>
      <c r="D2667" s="10" t="inlineStr">
        <is>
          <t>Faster and Cheaper Offline Batch Inference with Ray</t>
        </is>
      </c>
      <c r="E2667" s="10" t="inlineStr"/>
      <c r="F2667" s="11" t="inlineStr">
        <is>
          <t>30:25</t>
        </is>
      </c>
      <c r="G2667" s="11" t="n">
        <v>0.51</v>
      </c>
      <c r="H2667" s="12" t="inlineStr">
        <is>
          <t>★</t>
        </is>
      </c>
      <c r="I2667" s="11" t="inlineStr">
        <is>
          <t>Not started</t>
        </is>
      </c>
      <c r="J2667" s="13" t="n"/>
      <c r="K2667" s="10" t="inlineStr"/>
      <c r="L2667" s="14" t="inlineStr">
        <is>
          <t>▶ watch</t>
        </is>
      </c>
      <c r="M2667" s="10" t="inlineStr">
        <is>
          <t>Kwon et al. 2023, SOSP (PagedAttention) · Rajbhandari et al. 2020, SC'20 (ZeRO)</t>
        </is>
      </c>
      <c r="N2667" s="14" t="inlineStr">
        <is>
          <t>read ↗</t>
        </is>
      </c>
      <c r="O2667" s="11" t="inlineStr">
        <is>
          <t>section reading (2 of 3)</t>
        </is>
      </c>
      <c r="P2667" s="10" t="inlineStr"/>
    </row>
    <row r="2668">
      <c r="A2668" s="19" t="n">
        <v>2667</v>
      </c>
      <c r="B2668" s="19" t="inlineStr">
        <is>
          <t>Part IV - Performance Engineering</t>
        </is>
      </c>
      <c r="C2668" s="20" t="inlineStr">
        <is>
          <t>E.7.5 Serving, batching and memory</t>
        </is>
      </c>
      <c r="D2668" s="10" t="inlineStr">
        <is>
          <t>Faster and Cheaper Offline Batch Inference with Ray</t>
        </is>
      </c>
      <c r="E2668" s="10" t="inlineStr"/>
      <c r="F2668" s="11" t="inlineStr">
        <is>
          <t>28:04</t>
        </is>
      </c>
      <c r="G2668" s="11" t="n">
        <v>0.47</v>
      </c>
      <c r="H2668" s="12" t="inlineStr">
        <is>
          <t>★</t>
        </is>
      </c>
      <c r="I2668" s="11" t="inlineStr">
        <is>
          <t>Not started</t>
        </is>
      </c>
      <c r="J2668" s="13" t="n"/>
      <c r="K2668" s="10" t="inlineStr"/>
      <c r="L2668" s="14" t="inlineStr">
        <is>
          <t>▶ watch</t>
        </is>
      </c>
      <c r="M2668" s="10" t="inlineStr">
        <is>
          <t>Kwon et al. 2023, SOSP (PagedAttention) · Rajbhandari et al. 2020, SC'20 (ZeRO)</t>
        </is>
      </c>
      <c r="N2668" s="14" t="inlineStr">
        <is>
          <t>read ↗</t>
        </is>
      </c>
      <c r="O2668" s="11" t="inlineStr">
        <is>
          <t>section reading (2 of 3)</t>
        </is>
      </c>
      <c r="P2668" s="10" t="inlineStr"/>
    </row>
    <row r="2669">
      <c r="A2669" s="19" t="n">
        <v>2668</v>
      </c>
      <c r="B2669" s="19" t="inlineStr">
        <is>
          <t>Part IV - Performance Engineering</t>
        </is>
      </c>
      <c r="C2669" s="20" t="inlineStr">
        <is>
          <t>E.7.5 Serving, batching and memory</t>
        </is>
      </c>
      <c r="D2669" s="10" t="inlineStr">
        <is>
          <t>(see curriculum section)</t>
        </is>
      </c>
      <c r="E2669" s="10" t="inlineStr"/>
      <c r="F2669" s="11" t="inlineStr"/>
      <c r="G2669" s="11" t="n">
        <v>0</v>
      </c>
      <c r="H2669" s="12" t="inlineStr"/>
      <c r="I2669" s="11" t="inlineStr">
        <is>
          <t>Not started</t>
        </is>
      </c>
      <c r="J2669" s="13" t="n"/>
      <c r="K2669" s="10" t="inlineStr"/>
      <c r="L2669" s="14" t="inlineStr">
        <is>
          <t>▶ watch</t>
        </is>
      </c>
      <c r="M2669" s="10" t="inlineStr">
        <is>
          <t>Kwon et al. 2023, SOSP (PagedAttention) · Rajbhandari et al. 2020, SC'20 (ZeRO)</t>
        </is>
      </c>
      <c r="N2669" s="14" t="inlineStr">
        <is>
          <t>read ↗</t>
        </is>
      </c>
      <c r="O2669" s="11" t="inlineStr">
        <is>
          <t>section reading (2 of 3)</t>
        </is>
      </c>
      <c r="P2669" s="10" t="inlineStr"/>
    </row>
    <row r="2670">
      <c r="A2670" s="19" t="n">
        <v>2669</v>
      </c>
      <c r="B2670" s="19" t="inlineStr">
        <is>
          <t>Part IV - Performance Engineering</t>
        </is>
      </c>
      <c r="C2670" s="20" t="inlineStr">
        <is>
          <t>E.7.5 Serving, batching and memory</t>
        </is>
      </c>
      <c r="D2670" s="10" t="inlineStr">
        <is>
          <t>ZeRO-Offload</t>
        </is>
      </c>
      <c r="E2670" s="10" t="inlineStr"/>
      <c r="F2670" s="11" t="inlineStr"/>
      <c r="G2670" s="11" t="n">
        <v>0</v>
      </c>
      <c r="H2670" s="12" t="inlineStr"/>
      <c r="I2670" s="11" t="inlineStr">
        <is>
          <t>Not started</t>
        </is>
      </c>
      <c r="J2670" s="13" t="n"/>
      <c r="K2670" s="10" t="inlineStr"/>
      <c r="L2670" s="14" t="inlineStr">
        <is>
          <t>▶ watch</t>
        </is>
      </c>
      <c r="M2670" s="10" t="inlineStr">
        <is>
          <t>Rajbhandari et al. 2020, SC'20 (ZeRO)</t>
        </is>
      </c>
      <c r="N2670" s="14" t="inlineStr">
        <is>
          <t>read ↗</t>
        </is>
      </c>
      <c r="O2670" s="11" t="inlineStr">
        <is>
          <t>names ZERO</t>
        </is>
      </c>
      <c r="P2670" s="10" t="inlineStr"/>
    </row>
    <row r="2671">
      <c r="A2671" s="19" t="n">
        <v>2670</v>
      </c>
      <c r="B2671" s="19" t="inlineStr">
        <is>
          <t>Part IV - Performance Engineering</t>
        </is>
      </c>
      <c r="C2671" s="20" t="inlineStr">
        <is>
          <t>E.7.5 Serving, batching and memory</t>
        </is>
      </c>
      <c r="D2671" s="10" t="inlineStr">
        <is>
          <t>Too Big to Train - FSDP</t>
        </is>
      </c>
      <c r="E2671" s="10" t="inlineStr"/>
      <c r="F2671" s="11" t="inlineStr">
        <is>
          <t>47:33</t>
        </is>
      </c>
      <c r="G2671" s="11" t="n">
        <v>0.79</v>
      </c>
      <c r="H2671" s="12" t="inlineStr">
        <is>
          <t>★</t>
        </is>
      </c>
      <c r="I2671" s="11" t="inlineStr">
        <is>
          <t>Not started</t>
        </is>
      </c>
      <c r="J2671" s="13" t="n"/>
      <c r="K2671" s="10" t="inlineStr"/>
      <c r="L2671" s="14" t="inlineStr">
        <is>
          <t>▶ watch</t>
        </is>
      </c>
      <c r="M2671" s="10" t="inlineStr">
        <is>
          <t>Kwon et al. 2023, SOSP (PagedAttention) · Rajbhandari et al. 2020, SC'20 (ZeRO)</t>
        </is>
      </c>
      <c r="N2671" s="14" t="inlineStr">
        <is>
          <t>read ↗</t>
        </is>
      </c>
      <c r="O2671" s="11" t="inlineStr">
        <is>
          <t>section reading (2 of 3)</t>
        </is>
      </c>
      <c r="P2671" s="10" t="inlineStr"/>
    </row>
    <row r="2672">
      <c r="A2672" s="19" t="n">
        <v>2671</v>
      </c>
      <c r="B2672" s="19" t="inlineStr">
        <is>
          <t>Part IV - Performance Engineering</t>
        </is>
      </c>
      <c r="C2672" s="20" t="inlineStr">
        <is>
          <t>E.7.5 Serving, batching and memory</t>
        </is>
      </c>
      <c r="D2672" s="10" t="inlineStr">
        <is>
          <t>the FSDP2 rewrite</t>
        </is>
      </c>
      <c r="E2672" s="10" t="inlineStr"/>
      <c r="F2672" s="11" t="inlineStr">
        <is>
          <t>47:33</t>
        </is>
      </c>
      <c r="G2672" s="11" t="n">
        <v>0.79</v>
      </c>
      <c r="H2672" s="12" t="inlineStr">
        <is>
          <t>★</t>
        </is>
      </c>
      <c r="I2672" s="11" t="inlineStr">
        <is>
          <t>Not started</t>
        </is>
      </c>
      <c r="J2672" s="13" t="n"/>
      <c r="K2672" s="10" t="inlineStr"/>
      <c r="L2672" s="14" t="inlineStr">
        <is>
          <t>▶ watch</t>
        </is>
      </c>
      <c r="M2672" s="10" t="inlineStr">
        <is>
          <t>Kwon et al. 2023, SOSP (PagedAttention) · Rajbhandari et al. 2020, SC'20 (ZeRO)</t>
        </is>
      </c>
      <c r="N2672" s="14" t="inlineStr">
        <is>
          <t>read ↗</t>
        </is>
      </c>
      <c r="O2672" s="11" t="inlineStr">
        <is>
          <t>section reading (2 of 3)</t>
        </is>
      </c>
      <c r="P2672" s="10" t="inlineStr"/>
    </row>
    <row r="2673">
      <c r="A2673" s="19" t="n">
        <v>2672</v>
      </c>
      <c r="B2673" s="19" t="inlineStr">
        <is>
          <t>Part IV - Performance Engineering</t>
        </is>
      </c>
      <c r="C2673" s="20" t="inlineStr">
        <is>
          <t>E.7.5 Serving, batching and memory</t>
        </is>
      </c>
      <c r="D2673" s="10" t="inlineStr">
        <is>
          <t>Slaying OOMs with PyTorch FSDP and torchao</t>
        </is>
      </c>
      <c r="E2673" s="10" t="inlineStr"/>
      <c r="F2673" s="11" t="inlineStr">
        <is>
          <t>49:37</t>
        </is>
      </c>
      <c r="G2673" s="11" t="n">
        <v>0.83</v>
      </c>
      <c r="H2673" s="12" t="inlineStr">
        <is>
          <t>★</t>
        </is>
      </c>
      <c r="I2673" s="11" t="inlineStr">
        <is>
          <t>Not started</t>
        </is>
      </c>
      <c r="J2673" s="13" t="n"/>
      <c r="K2673" s="10" t="inlineStr"/>
      <c r="L2673" s="14" t="inlineStr">
        <is>
          <t>▶ watch</t>
        </is>
      </c>
      <c r="M2673" s="10" t="inlineStr">
        <is>
          <t>Kwon et al. 2023, SOSP (PagedAttention) · Rajbhandari et al. 2020, SC'20 (ZeRO)</t>
        </is>
      </c>
      <c r="N2673" s="14" t="inlineStr">
        <is>
          <t>read ↗</t>
        </is>
      </c>
      <c r="O2673" s="11" t="inlineStr">
        <is>
          <t>section reading (2 of 3)</t>
        </is>
      </c>
      <c r="P2673" s="10" t="inlineStr"/>
    </row>
    <row r="2674">
      <c r="A2674" s="19" t="n">
        <v>2673</v>
      </c>
      <c r="B2674" s="19" t="inlineStr">
        <is>
          <t>Part IV - Performance Engineering</t>
        </is>
      </c>
      <c r="C2674" s="20" t="inlineStr">
        <is>
          <t>E.7.6 The data pipeline - where the time actually goes</t>
        </is>
      </c>
      <c r="D2674" s="10" t="inlineStr">
        <is>
          <t>MMseqs software suite</t>
        </is>
      </c>
      <c r="E2674" s="10" t="inlineStr">
        <is>
          <t>Martin Steinegger</t>
        </is>
      </c>
      <c r="F2674" s="11" t="inlineStr">
        <is>
          <t>1:29:37</t>
        </is>
      </c>
      <c r="G2674" s="11" t="n">
        <v>1.49</v>
      </c>
      <c r="H2674" s="12" t="inlineStr">
        <is>
          <t>★</t>
        </is>
      </c>
      <c r="I2674" s="11" t="inlineStr">
        <is>
          <t>Not started</t>
        </is>
      </c>
      <c r="J2674" s="13" t="n"/>
      <c r="K2674" s="10" t="inlineStr"/>
      <c r="L2674" s="14" t="inlineStr">
        <is>
          <t>▶ watch</t>
        </is>
      </c>
      <c r="M2674" s="10" t="inlineStr">
        <is>
          <t>Mirdita et al. 2022, Nat Methods 19:679 (ColabFold) · Steinegger &amp; Söding 2017, Nat Biotechnol 35:1026 (MMseqs2)</t>
        </is>
      </c>
      <c r="N2674" s="14" t="inlineStr">
        <is>
          <t>read ↗</t>
        </is>
      </c>
      <c r="O2674" s="11" t="inlineStr">
        <is>
          <t>section reading (2 of 4)</t>
        </is>
      </c>
      <c r="P2674" s="10" t="inlineStr"/>
    </row>
    <row r="2675">
      <c r="A2675" s="19" t="n">
        <v>2674</v>
      </c>
      <c r="B2675" s="19" t="inlineStr">
        <is>
          <t>Part IV - Performance Engineering</t>
        </is>
      </c>
      <c r="C2675" s="20" t="inlineStr">
        <is>
          <t>E.7.6 The data pipeline - where the time actually goes</t>
        </is>
      </c>
      <c r="D2675" s="10" t="inlineStr">
        <is>
          <t>MMseqs2 profile/profile searches</t>
        </is>
      </c>
      <c r="E2675" s="10" t="inlineStr">
        <is>
          <t>Martin Steinegger</t>
        </is>
      </c>
      <c r="F2675" s="11" t="inlineStr">
        <is>
          <t>14:03</t>
        </is>
      </c>
      <c r="G2675" s="11" t="n">
        <v>0.23</v>
      </c>
      <c r="H2675" s="12" t="inlineStr"/>
      <c r="I2675" s="11" t="inlineStr">
        <is>
          <t>Not started</t>
        </is>
      </c>
      <c r="J2675" s="13" t="n"/>
      <c r="K2675" s="10" t="inlineStr"/>
      <c r="L2675" s="14" t="inlineStr">
        <is>
          <t>▶ watch</t>
        </is>
      </c>
      <c r="M2675" s="10" t="inlineStr">
        <is>
          <t>Steinegger &amp; Söding 2017, Nat Biotechnol 35:1026 (MMseqs2)</t>
        </is>
      </c>
      <c r="N2675" s="14" t="inlineStr">
        <is>
          <t>read ↗</t>
        </is>
      </c>
      <c r="O2675" s="11" t="inlineStr">
        <is>
          <t>names MMSEQS2</t>
        </is>
      </c>
      <c r="P2675" s="10" t="inlineStr"/>
    </row>
    <row r="2676">
      <c r="A2676" s="19" t="n">
        <v>2675</v>
      </c>
      <c r="B2676" s="19" t="inlineStr">
        <is>
          <t>Part IV - Performance Engineering</t>
        </is>
      </c>
      <c r="C2676" s="20" t="inlineStr">
        <is>
          <t>E.7.6 The data pipeline - where the time actually goes</t>
        </is>
      </c>
      <c r="D2676" s="10" t="inlineStr">
        <is>
          <t>Martin Steinegger (SBGrid</t>
        </is>
      </c>
      <c r="E2676" s="10" t="inlineStr">
        <is>
          <t>Foldseek</t>
        </is>
      </c>
      <c r="F2676" s="11" t="inlineStr">
        <is>
          <t>57:17</t>
        </is>
      </c>
      <c r="G2676" s="11" t="n">
        <v>0.95</v>
      </c>
      <c r="H2676" s="12" t="inlineStr">
        <is>
          <t>★</t>
        </is>
      </c>
      <c r="I2676" s="11" t="inlineStr">
        <is>
          <t>Not started</t>
        </is>
      </c>
      <c r="J2676" s="13" t="n"/>
      <c r="K2676" s="10" t="inlineStr"/>
      <c r="L2676" s="14" t="inlineStr">
        <is>
          <t>▶ watch</t>
        </is>
      </c>
      <c r="M2676" s="10" t="inlineStr">
        <is>
          <t>Mirdita et al. 2022, Nat Methods 19:679 (ColabFold) · Steinegger &amp; Söding 2017, Nat Biotechnol 35:1026 (MMseqs2)</t>
        </is>
      </c>
      <c r="N2676" s="14" t="inlineStr">
        <is>
          <t>read ↗</t>
        </is>
      </c>
      <c r="O2676" s="11" t="inlineStr">
        <is>
          <t>section reading (2 of 4)</t>
        </is>
      </c>
      <c r="P2676" s="10" t="inlineStr"/>
    </row>
    <row r="2677">
      <c r="A2677" s="19" t="n">
        <v>2676</v>
      </c>
      <c r="B2677" s="19" t="inlineStr">
        <is>
          <t>Part IV - Performance Engineering</t>
        </is>
      </c>
      <c r="C2677" s="20" t="inlineStr">
        <is>
          <t>E.7.6 The data pipeline - where the time actually goes</t>
        </is>
      </c>
      <c r="D2677" s="10" t="inlineStr">
        <is>
          <t>Faster AlphaFold predictions using ColabFold</t>
        </is>
      </c>
      <c r="E2677" s="10" t="inlineStr">
        <is>
          <t>UCSF ChimeraX</t>
        </is>
      </c>
      <c r="F2677" s="11" t="inlineStr">
        <is>
          <t>10:08</t>
        </is>
      </c>
      <c r="G2677" s="11" t="n">
        <v>0.17</v>
      </c>
      <c r="H2677" s="12" t="inlineStr"/>
      <c r="I2677" s="11" t="inlineStr">
        <is>
          <t>Not started</t>
        </is>
      </c>
      <c r="J2677" s="13" t="n"/>
      <c r="K2677" s="10" t="inlineStr"/>
      <c r="L2677" s="14" t="inlineStr">
        <is>
          <t>▶ watch</t>
        </is>
      </c>
      <c r="M2677" s="10" t="inlineStr">
        <is>
          <t>Mirdita et al. 2022, Nat Methods 19:679 (ColabFold)</t>
        </is>
      </c>
      <c r="N2677" s="14" t="inlineStr">
        <is>
          <t>read ↗</t>
        </is>
      </c>
      <c r="O2677" s="11" t="inlineStr">
        <is>
          <t>names COLABFOLD</t>
        </is>
      </c>
      <c r="P2677" s="10" t="inlineStr"/>
    </row>
    <row r="2678">
      <c r="A2678" s="19" t="n">
        <v>2677</v>
      </c>
      <c r="B2678" s="19" t="inlineStr">
        <is>
          <t>Part IV - Performance Engineering</t>
        </is>
      </c>
      <c r="C2678" s="20" t="inlineStr">
        <is>
          <t>E.7.6 The data pipeline - where the time actually goes</t>
        </is>
      </c>
      <c r="D2678" s="10" t="inlineStr">
        <is>
          <t>Joe Jevnik (PyData</t>
        </is>
      </c>
      <c r="E2678" s="10" t="inlineStr">
        <is>
          <t>Zarr vs HDF5</t>
        </is>
      </c>
      <c r="F2678" s="11" t="inlineStr">
        <is>
          <t>52:15</t>
        </is>
      </c>
      <c r="G2678" s="11" t="n">
        <v>0.87</v>
      </c>
      <c r="H2678" s="12" t="inlineStr"/>
      <c r="I2678" s="11" t="inlineStr">
        <is>
          <t>Not started</t>
        </is>
      </c>
      <c r="J2678" s="13" t="n"/>
      <c r="K2678" s="10" t="inlineStr"/>
      <c r="L2678" s="14" t="inlineStr">
        <is>
          <t>▶ watch</t>
        </is>
      </c>
      <c r="M2678" s="10" t="inlineStr">
        <is>
          <t>Mirdita et al. 2022, Nat Methods 19:679 (ColabFold) · Steinegger &amp; Söding 2017, Nat Biotechnol 35:1026 (MMseqs2)</t>
        </is>
      </c>
      <c r="N2678" s="14" t="inlineStr">
        <is>
          <t>read ↗</t>
        </is>
      </c>
      <c r="O2678" s="11" t="inlineStr">
        <is>
          <t>section reading (2 of 4)</t>
        </is>
      </c>
      <c r="P2678" s="10" t="inlineStr"/>
    </row>
    <row r="2679">
      <c r="A2679" s="19" t="n">
        <v>2678</v>
      </c>
      <c r="B2679" s="19" t="inlineStr">
        <is>
          <t>Part IV - Performance Engineering</t>
        </is>
      </c>
      <c r="C2679" s="20" t="inlineStr">
        <is>
          <t>E.7.6 The data pipeline - where the time actually goes</t>
        </is>
      </c>
      <c r="D2679" s="10" t="inlineStr">
        <is>
          <t>HDF5 at the speed of Zarr</t>
        </is>
      </c>
      <c r="E2679" s="10" t="inlineStr">
        <is>
          <t>Pangeo</t>
        </is>
      </c>
      <c r="F2679" s="11" t="inlineStr">
        <is>
          <t>25:15</t>
        </is>
      </c>
      <c r="G2679" s="11" t="n">
        <v>0.42</v>
      </c>
      <c r="H2679" s="12" t="inlineStr"/>
      <c r="I2679" s="11" t="inlineStr">
        <is>
          <t>Not started</t>
        </is>
      </c>
      <c r="J2679" s="13" t="n"/>
      <c r="K2679" s="10" t="inlineStr"/>
      <c r="L2679" s="14" t="inlineStr">
        <is>
          <t>▶ watch</t>
        </is>
      </c>
      <c r="M2679" s="10" t="inlineStr">
        <is>
          <t>Mirdita et al. 2022, Nat Methods 19:679 (ColabFold) · Steinegger &amp; Söding 2017, Nat Biotechnol 35:1026 (MMseqs2)</t>
        </is>
      </c>
      <c r="N2679" s="14" t="inlineStr">
        <is>
          <t>read ↗</t>
        </is>
      </c>
      <c r="O2679" s="11" t="inlineStr">
        <is>
          <t>section reading (2 of 4)</t>
        </is>
      </c>
      <c r="P2679" s="10" t="inlineStr"/>
    </row>
    <row r="2680">
      <c r="A2680" s="21" t="n">
        <v>2679</v>
      </c>
      <c r="B2680" s="21" t="inlineStr">
        <is>
          <t>Part V (continued) - Research Craft</t>
        </is>
      </c>
      <c r="C2680" s="22" t="inlineStr">
        <is>
          <t>C.6 Choosing problems</t>
        </is>
      </c>
      <c r="D2680" s="10" t="inlineStr">
        <is>
          <t>Richard Hamming (Naval Postgraduate School, formerly Bell Labs</t>
        </is>
      </c>
      <c r="E2680" s="10" t="inlineStr">
        <is>
          <t>You and Your Research</t>
        </is>
      </c>
      <c r="F2680" s="11" t="inlineStr">
        <is>
          <t>44:02</t>
        </is>
      </c>
      <c r="G2680" s="11" t="n">
        <v>0.73</v>
      </c>
      <c r="H2680" s="12" t="inlineStr">
        <is>
          <t>★</t>
        </is>
      </c>
      <c r="I2680" s="11" t="inlineStr">
        <is>
          <t>Not started</t>
        </is>
      </c>
      <c r="J2680" s="13" t="n"/>
      <c r="K2680" s="10" t="inlineStr"/>
      <c r="L2680" s="14" t="inlineStr">
        <is>
          <t>▶ watch</t>
        </is>
      </c>
      <c r="M2680" s="10" t="inlineStr"/>
      <c r="N2680" s="11" t="inlineStr"/>
      <c r="O2680" s="11" t="inlineStr">
        <is>
          <t>course lecture - no single paper</t>
        </is>
      </c>
      <c r="P2680" s="10" t="inlineStr"/>
    </row>
    <row r="2681">
      <c r="A2681" s="21" t="n">
        <v>2680</v>
      </c>
      <c r="B2681" s="21" t="inlineStr">
        <is>
          <t>Part V (continued) - Research Craft</t>
        </is>
      </c>
      <c r="C2681" s="22" t="inlineStr">
        <is>
          <t>C.6 Choosing problems</t>
        </is>
      </c>
      <c r="D2681" s="10" t="inlineStr">
        <is>
          <t>Richard Hamming</t>
        </is>
      </c>
      <c r="E2681" s="10" t="inlineStr">
        <is>
          <t>Creativity</t>
        </is>
      </c>
      <c r="F2681" s="11" t="inlineStr">
        <is>
          <t>1:03:47</t>
        </is>
      </c>
      <c r="G2681" s="11" t="n">
        <v>1.06</v>
      </c>
      <c r="H2681" s="12" t="inlineStr">
        <is>
          <t>★</t>
        </is>
      </c>
      <c r="I2681" s="11" t="inlineStr">
        <is>
          <t>Not started</t>
        </is>
      </c>
      <c r="J2681" s="13" t="n"/>
      <c r="K2681" s="10" t="inlineStr"/>
      <c r="L2681" s="14" t="inlineStr">
        <is>
          <t>▶ watch</t>
        </is>
      </c>
      <c r="M2681" s="10" t="inlineStr"/>
      <c r="N2681" s="11" t="inlineStr"/>
      <c r="O2681" s="11" t="inlineStr">
        <is>
          <t>course lecture - no single paper</t>
        </is>
      </c>
      <c r="P2681" s="10" t="inlineStr"/>
    </row>
    <row r="2682">
      <c r="A2682" s="21" t="n">
        <v>2681</v>
      </c>
      <c r="B2682" s="21" t="inlineStr">
        <is>
          <t>Part V (continued) - Research Craft</t>
        </is>
      </c>
      <c r="C2682" s="22" t="inlineStr">
        <is>
          <t>C.6 Choosing problems</t>
        </is>
      </c>
      <c r="D2682" s="10" t="inlineStr">
        <is>
          <t>Richard Hamming</t>
        </is>
      </c>
      <c r="E2682" s="10" t="inlineStr">
        <is>
          <t>Experts</t>
        </is>
      </c>
      <c r="F2682" s="11" t="inlineStr">
        <is>
          <t>44:31</t>
        </is>
      </c>
      <c r="G2682" s="11" t="n">
        <v>0.74</v>
      </c>
      <c r="H2682" s="12" t="inlineStr">
        <is>
          <t>★</t>
        </is>
      </c>
      <c r="I2682" s="11" t="inlineStr">
        <is>
          <t>Not started</t>
        </is>
      </c>
      <c r="J2682" s="13" t="n"/>
      <c r="K2682" s="10" t="inlineStr"/>
      <c r="L2682" s="14" t="inlineStr">
        <is>
          <t>▶ watch</t>
        </is>
      </c>
      <c r="M2682" s="10" t="inlineStr"/>
      <c r="N2682" s="11" t="inlineStr"/>
      <c r="O2682" s="11" t="inlineStr">
        <is>
          <t>course lecture - no single paper</t>
        </is>
      </c>
      <c r="P2682" s="10" t="inlineStr"/>
    </row>
    <row r="2683">
      <c r="A2683" s="21" t="n">
        <v>2682</v>
      </c>
      <c r="B2683" s="21" t="inlineStr">
        <is>
          <t>Part V (continued) - Research Craft</t>
        </is>
      </c>
      <c r="C2683" s="22" t="inlineStr">
        <is>
          <t>C.6 Choosing problems</t>
        </is>
      </c>
      <c r="D2683" s="10" t="inlineStr">
        <is>
          <t>How Do We Know What We Know</t>
        </is>
      </c>
      <c r="E2683" s="10" t="inlineStr">
        <is>
          <t>Richard Hamming</t>
        </is>
      </c>
      <c r="F2683" s="11" t="inlineStr">
        <is>
          <t>40:23</t>
        </is>
      </c>
      <c r="G2683" s="11" t="n">
        <v>0.67</v>
      </c>
      <c r="H2683" s="12" t="inlineStr"/>
      <c r="I2683" s="11" t="inlineStr">
        <is>
          <t>Not started</t>
        </is>
      </c>
      <c r="J2683" s="13" t="n"/>
      <c r="K2683" s="10" t="inlineStr"/>
      <c r="L2683" s="14" t="inlineStr">
        <is>
          <t>▶ watch</t>
        </is>
      </c>
      <c r="M2683" s="10" t="inlineStr"/>
      <c r="N2683" s="11" t="inlineStr"/>
      <c r="O2683" s="11" t="inlineStr">
        <is>
          <t>course lecture - no single paper</t>
        </is>
      </c>
      <c r="P2683" s="10" t="inlineStr"/>
    </row>
    <row r="2684">
      <c r="A2684" s="21" t="n">
        <v>2683</v>
      </c>
      <c r="B2684" s="21" t="inlineStr">
        <is>
          <t>Part V (continued) - Research Craft</t>
        </is>
      </c>
      <c r="C2684" s="22" t="inlineStr">
        <is>
          <t>C.6 Choosing problems</t>
        </is>
      </c>
      <c r="D2684" s="10" t="inlineStr">
        <is>
          <t>Why truly innovative science demands a leap into the unknown</t>
        </is>
      </c>
      <c r="E2684" s="10" t="inlineStr">
        <is>
          <t>Uri Alon (Weizmann</t>
        </is>
      </c>
      <c r="F2684" s="11" t="inlineStr">
        <is>
          <t>15:53</t>
        </is>
      </c>
      <c r="G2684" s="11" t="n">
        <v>0.26</v>
      </c>
      <c r="H2684" s="12" t="inlineStr">
        <is>
          <t>★</t>
        </is>
      </c>
      <c r="I2684" s="11" t="inlineStr">
        <is>
          <t>Not started</t>
        </is>
      </c>
      <c r="J2684" s="13" t="n"/>
      <c r="K2684" s="10" t="inlineStr"/>
      <c r="L2684" s="14" t="inlineStr">
        <is>
          <t>▶ watch</t>
        </is>
      </c>
      <c r="M2684" s="10" t="inlineStr"/>
      <c r="N2684" s="11" t="inlineStr"/>
      <c r="O2684" s="11" t="inlineStr">
        <is>
          <t>course lecture - no single paper</t>
        </is>
      </c>
      <c r="P2684" s="10" t="inlineStr"/>
    </row>
    <row r="2685">
      <c r="A2685" s="21" t="n">
        <v>2684</v>
      </c>
      <c r="B2685" s="21" t="inlineStr">
        <is>
          <t>Part V (continued) - Research Craft</t>
        </is>
      </c>
      <c r="C2685" s="22" t="inlineStr">
        <is>
          <t>C.6 Choosing problems</t>
        </is>
      </c>
      <c r="D2685" s="10" t="inlineStr">
        <is>
          <t>Social Aspects of Science, parts 1–5</t>
        </is>
      </c>
      <c r="E2685" s="10" t="inlineStr">
        <is>
          <t>Uri Alon</t>
        </is>
      </c>
      <c r="F2685" s="11" t="inlineStr">
        <is>
          <t>56:00</t>
        </is>
      </c>
      <c r="G2685" s="11" t="n">
        <v>0.93</v>
      </c>
      <c r="H2685" s="12" t="inlineStr"/>
      <c r="I2685" s="11" t="inlineStr">
        <is>
          <t>Not started</t>
        </is>
      </c>
      <c r="J2685" s="13" t="n"/>
      <c r="K2685" s="10" t="inlineStr"/>
      <c r="L2685" s="14" t="inlineStr">
        <is>
          <t>▶ watch</t>
        </is>
      </c>
      <c r="M2685" s="10" t="inlineStr"/>
      <c r="N2685" s="11" t="inlineStr"/>
      <c r="O2685" s="11" t="inlineStr">
        <is>
          <t>course lecture - no single paper</t>
        </is>
      </c>
      <c r="P2685" s="10" t="inlineStr"/>
    </row>
    <row r="2686">
      <c r="A2686" s="21" t="n">
        <v>2685</v>
      </c>
      <c r="B2686" s="21" t="inlineStr">
        <is>
          <t>Part V (continued) - Research Craft</t>
        </is>
      </c>
      <c r="C2686" s="22" t="inlineStr">
        <is>
          <t>C.6 Choosing problems</t>
        </is>
      </c>
      <c r="D2686" s="10" t="inlineStr">
        <is>
          <t>Social Aspects of Science, parts 1–5</t>
        </is>
      </c>
      <c r="E2686" s="10" t="inlineStr">
        <is>
          <t>Uri Alon</t>
        </is>
      </c>
      <c r="F2686" s="11" t="inlineStr">
        <is>
          <t>56:00</t>
        </is>
      </c>
      <c r="G2686" s="11" t="n">
        <v>0.93</v>
      </c>
      <c r="H2686" s="12" t="inlineStr"/>
      <c r="I2686" s="11" t="inlineStr">
        <is>
          <t>Not started</t>
        </is>
      </c>
      <c r="J2686" s="13" t="n"/>
      <c r="K2686" s="10" t="inlineStr"/>
      <c r="L2686" s="14" t="inlineStr">
        <is>
          <t>▶ watch</t>
        </is>
      </c>
      <c r="M2686" s="10" t="inlineStr"/>
      <c r="N2686" s="11" t="inlineStr"/>
      <c r="O2686" s="11" t="inlineStr">
        <is>
          <t>course lecture - no single paper</t>
        </is>
      </c>
      <c r="P2686" s="10" t="inlineStr"/>
    </row>
    <row r="2687">
      <c r="A2687" s="21" t="n">
        <v>2686</v>
      </c>
      <c r="B2687" s="21" t="inlineStr">
        <is>
          <t>Part V (continued) - Research Craft</t>
        </is>
      </c>
      <c r="C2687" s="22" t="inlineStr">
        <is>
          <t>C.6 Choosing problems</t>
        </is>
      </c>
      <c r="D2687" s="10" t="inlineStr">
        <is>
          <t>Social Aspects of Science, parts 1–5</t>
        </is>
      </c>
      <c r="E2687" s="10" t="inlineStr">
        <is>
          <t>Uri Alon</t>
        </is>
      </c>
      <c r="F2687" s="11" t="inlineStr">
        <is>
          <t>56:00</t>
        </is>
      </c>
      <c r="G2687" s="11" t="n">
        <v>0.93</v>
      </c>
      <c r="H2687" s="12" t="inlineStr"/>
      <c r="I2687" s="11" t="inlineStr">
        <is>
          <t>Not started</t>
        </is>
      </c>
      <c r="J2687" s="13" t="n"/>
      <c r="K2687" s="10" t="inlineStr"/>
      <c r="L2687" s="14" t="inlineStr">
        <is>
          <t>▶ watch</t>
        </is>
      </c>
      <c r="M2687" s="10" t="inlineStr"/>
      <c r="N2687" s="11" t="inlineStr"/>
      <c r="O2687" s="11" t="inlineStr">
        <is>
          <t>course lecture - no single paper</t>
        </is>
      </c>
      <c r="P2687" s="10" t="inlineStr"/>
    </row>
    <row r="2688">
      <c r="A2688" s="21" t="n">
        <v>2687</v>
      </c>
      <c r="B2688" s="21" t="inlineStr">
        <is>
          <t>Part V (continued) - Research Craft</t>
        </is>
      </c>
      <c r="C2688" s="22" t="inlineStr">
        <is>
          <t>C.6 Choosing problems</t>
        </is>
      </c>
      <c r="D2688" s="10" t="inlineStr">
        <is>
          <t>Social Aspects of Science, parts 1–5</t>
        </is>
      </c>
      <c r="E2688" s="10" t="inlineStr">
        <is>
          <t>Uri Alon</t>
        </is>
      </c>
      <c r="F2688" s="11" t="inlineStr">
        <is>
          <t>56:00</t>
        </is>
      </c>
      <c r="G2688" s="11" t="n">
        <v>0.93</v>
      </c>
      <c r="H2688" s="12" t="inlineStr"/>
      <c r="I2688" s="11" t="inlineStr">
        <is>
          <t>Not started</t>
        </is>
      </c>
      <c r="J2688" s="13" t="n"/>
      <c r="K2688" s="10" t="inlineStr"/>
      <c r="L2688" s="14" t="inlineStr">
        <is>
          <t>▶ watch</t>
        </is>
      </c>
      <c r="M2688" s="10" t="inlineStr"/>
      <c r="N2688" s="11" t="inlineStr"/>
      <c r="O2688" s="11" t="inlineStr">
        <is>
          <t>course lecture - no single paper</t>
        </is>
      </c>
      <c r="P2688" s="10" t="inlineStr"/>
    </row>
    <row r="2689">
      <c r="A2689" s="21" t="n">
        <v>2688</v>
      </c>
      <c r="B2689" s="21" t="inlineStr">
        <is>
          <t>Part V (continued) - Research Craft</t>
        </is>
      </c>
      <c r="C2689" s="22" t="inlineStr">
        <is>
          <t>C.6 Choosing problems</t>
        </is>
      </c>
      <c r="D2689" s="10" t="inlineStr">
        <is>
          <t>Social Aspects of Science, parts 1–5</t>
        </is>
      </c>
      <c r="E2689" s="10" t="inlineStr">
        <is>
          <t>Uri Alon</t>
        </is>
      </c>
      <c r="F2689" s="11" t="inlineStr">
        <is>
          <t>56:00</t>
        </is>
      </c>
      <c r="G2689" s="11" t="n">
        <v>0.93</v>
      </c>
      <c r="H2689" s="12" t="inlineStr"/>
      <c r="I2689" s="11" t="inlineStr">
        <is>
          <t>Not started</t>
        </is>
      </c>
      <c r="J2689" s="13" t="n"/>
      <c r="K2689" s="10" t="inlineStr"/>
      <c r="L2689" s="14" t="inlineStr">
        <is>
          <t>▶ watch</t>
        </is>
      </c>
      <c r="M2689" s="10" t="inlineStr"/>
      <c r="N2689" s="11" t="inlineStr"/>
      <c r="O2689" s="11" t="inlineStr">
        <is>
          <t>course lecture - no single paper</t>
        </is>
      </c>
      <c r="P2689" s="10" t="inlineStr"/>
    </row>
    <row r="2690">
      <c r="A2690" s="21" t="n">
        <v>2689</v>
      </c>
      <c r="B2690" s="21" t="inlineStr">
        <is>
          <t>Part V (continued) - Research Craft</t>
        </is>
      </c>
      <c r="C2690" s="22" t="inlineStr">
        <is>
          <t>C.6 Choosing problems</t>
        </is>
      </c>
      <c r="D2690" s="10" t="inlineStr">
        <is>
          <t>We have to change the culture of science to do better research</t>
        </is>
      </c>
      <c r="E2690" s="10" t="inlineStr">
        <is>
          <t>Uri Alon</t>
        </is>
      </c>
      <c r="F2690" s="11" t="inlineStr">
        <is>
          <t>16:16</t>
        </is>
      </c>
      <c r="G2690" s="11" t="n">
        <v>0.27</v>
      </c>
      <c r="H2690" s="12" t="inlineStr"/>
      <c r="I2690" s="11" t="inlineStr">
        <is>
          <t>Not started</t>
        </is>
      </c>
      <c r="J2690" s="13" t="n"/>
      <c r="K2690" s="10" t="inlineStr"/>
      <c r="L2690" s="14" t="inlineStr">
        <is>
          <t>▶ watch</t>
        </is>
      </c>
      <c r="M2690" s="10" t="inlineStr"/>
      <c r="N2690" s="11" t="inlineStr"/>
      <c r="O2690" s="11" t="inlineStr">
        <is>
          <t>course lecture - no single paper</t>
        </is>
      </c>
      <c r="P2690" s="10" t="inlineStr"/>
    </row>
    <row r="2691">
      <c r="A2691" s="21" t="n">
        <v>2690</v>
      </c>
      <c r="B2691" s="21" t="inlineStr">
        <is>
          <t>Part V (continued) - Research Craft</t>
        </is>
      </c>
      <c r="C2691" s="22" t="inlineStr">
        <is>
          <t>C.6 Choosing problems</t>
        </is>
      </c>
      <c r="D2691" s="10" t="inlineStr">
        <is>
          <t>The Usefulness of Useless Knowledge</t>
        </is>
      </c>
      <c r="E2691" s="10" t="inlineStr">
        <is>
          <t>Robbert Dijkgraaf (IAS</t>
        </is>
      </c>
      <c r="F2691" s="11" t="inlineStr">
        <is>
          <t>1:13:45</t>
        </is>
      </c>
      <c r="G2691" s="11" t="n">
        <v>1.23</v>
      </c>
      <c r="H2691" s="12" t="inlineStr"/>
      <c r="I2691" s="11" t="inlineStr">
        <is>
          <t>Not started</t>
        </is>
      </c>
      <c r="J2691" s="13" t="n"/>
      <c r="K2691" s="10" t="inlineStr"/>
      <c r="L2691" s="14" t="inlineStr">
        <is>
          <t>▶ watch</t>
        </is>
      </c>
      <c r="M2691" s="10" t="inlineStr"/>
      <c r="N2691" s="11" t="inlineStr"/>
      <c r="O2691" s="11" t="inlineStr">
        <is>
          <t>course lecture - no single paper</t>
        </is>
      </c>
      <c r="P2691" s="10" t="inlineStr"/>
    </row>
    <row r="2692">
      <c r="A2692" s="21" t="n">
        <v>2691</v>
      </c>
      <c r="B2692" s="21" t="inlineStr">
        <is>
          <t>Part V (continued) - Research Craft</t>
        </is>
      </c>
      <c r="C2692" s="22" t="inlineStr">
        <is>
          <t>C.6 Choosing problems</t>
        </is>
      </c>
      <c r="D2692" s="10" t="inlineStr">
        <is>
          <t>Feynman, Shannon, and Darwin Worry About Understanding</t>
        </is>
      </c>
      <c r="E2692" s="10" t="inlineStr">
        <is>
          <t>David Krakauer (Santa Fe Institute</t>
        </is>
      </c>
      <c r="F2692" s="11" t="inlineStr">
        <is>
          <t>28:15</t>
        </is>
      </c>
      <c r="G2692" s="11" t="n">
        <v>0.47</v>
      </c>
      <c r="H2692" s="12" t="inlineStr"/>
      <c r="I2692" s="11" t="inlineStr">
        <is>
          <t>Not started</t>
        </is>
      </c>
      <c r="J2692" s="13" t="n"/>
      <c r="K2692" s="10" t="inlineStr"/>
      <c r="L2692" s="14" t="inlineStr">
        <is>
          <t>▶ watch</t>
        </is>
      </c>
      <c r="M2692" s="10" t="inlineStr"/>
      <c r="N2692" s="11" t="inlineStr"/>
      <c r="O2692" s="11" t="inlineStr">
        <is>
          <t>course lecture - no single paper</t>
        </is>
      </c>
      <c r="P2692" s="10" t="inlineStr"/>
    </row>
    <row r="2693">
      <c r="A2693" s="21" t="n">
        <v>2692</v>
      </c>
      <c r="B2693" s="21" t="inlineStr">
        <is>
          <t>Part V (continued) - Research Craft</t>
        </is>
      </c>
      <c r="C2693" s="22" t="inlineStr">
        <is>
          <t>C.6 Choosing problems</t>
        </is>
      </c>
      <c r="D2693" s="10" t="inlineStr">
        <is>
          <t>Sydney Brenner (Para Limes</t>
        </is>
      </c>
      <c r="E2693" s="10" t="inlineStr">
        <is>
          <t>More is Different</t>
        </is>
      </c>
      <c r="F2693" s="11" t="inlineStr">
        <is>
          <t>1:32:01</t>
        </is>
      </c>
      <c r="G2693" s="11" t="n">
        <v>1.53</v>
      </c>
      <c r="H2693" s="12" t="inlineStr"/>
      <c r="I2693" s="11" t="inlineStr">
        <is>
          <t>Not started</t>
        </is>
      </c>
      <c r="J2693" s="13" t="n"/>
      <c r="K2693" s="10" t="inlineStr"/>
      <c r="L2693" s="14" t="inlineStr">
        <is>
          <t>▶ watch</t>
        </is>
      </c>
      <c r="M2693" s="10" t="inlineStr"/>
      <c r="N2693" s="11" t="inlineStr"/>
      <c r="O2693" s="11" t="inlineStr">
        <is>
          <t>course lecture - no single paper</t>
        </is>
      </c>
      <c r="P2693" s="10" t="inlineStr"/>
    </row>
    <row r="2694">
      <c r="A2694" s="21" t="n">
        <v>2693</v>
      </c>
      <c r="B2694" s="21" t="inlineStr">
        <is>
          <t>Part V (continued) - Research Craft</t>
        </is>
      </c>
      <c r="C2694" s="22" t="inlineStr">
        <is>
          <t>C.7 Writing</t>
        </is>
      </c>
      <c r="D2694" s="10" t="inlineStr">
        <is>
          <t>Simon Peyton Jones (Microsoft Research</t>
        </is>
      </c>
      <c r="E2694" s="10" t="inlineStr">
        <is>
          <t>How to Write a Great Research Paper</t>
        </is>
      </c>
      <c r="F2694" s="11" t="inlineStr">
        <is>
          <t>57:39</t>
        </is>
      </c>
      <c r="G2694" s="11" t="n">
        <v>0.96</v>
      </c>
      <c r="H2694" s="12" t="inlineStr">
        <is>
          <t>★</t>
        </is>
      </c>
      <c r="I2694" s="11" t="inlineStr">
        <is>
          <t>Not started</t>
        </is>
      </c>
      <c r="J2694" s="13" t="n"/>
      <c r="K2694" s="10" t="inlineStr"/>
      <c r="L2694" s="14" t="inlineStr">
        <is>
          <t>▶ watch</t>
        </is>
      </c>
      <c r="M2694" s="10" t="inlineStr"/>
      <c r="N2694" s="11" t="inlineStr"/>
      <c r="O2694" s="11" t="inlineStr">
        <is>
          <t>course lecture - no single paper</t>
        </is>
      </c>
      <c r="P2694" s="10" t="inlineStr"/>
    </row>
    <row r="2695">
      <c r="A2695" s="21" t="n">
        <v>2694</v>
      </c>
      <c r="B2695" s="21" t="inlineStr">
        <is>
          <t>Part V (continued) - Research Craft</t>
        </is>
      </c>
      <c r="C2695" s="22" t="inlineStr">
        <is>
          <t>C.7 Writing</t>
        </is>
      </c>
      <c r="D2695" s="10" t="inlineStr">
        <is>
          <t>Larry McEnerney (University of Chicago</t>
        </is>
      </c>
      <c r="E2695" s="10" t="inlineStr">
        <is>
          <t>The Craft of Writing Effectively</t>
        </is>
      </c>
      <c r="F2695" s="11" t="inlineStr">
        <is>
          <t>1:21:51</t>
        </is>
      </c>
      <c r="G2695" s="11" t="n">
        <v>1.36</v>
      </c>
      <c r="H2695" s="12" t="inlineStr">
        <is>
          <t>★</t>
        </is>
      </c>
      <c r="I2695" s="11" t="inlineStr">
        <is>
          <t>Not started</t>
        </is>
      </c>
      <c r="J2695" s="13" t="n"/>
      <c r="K2695" s="10" t="inlineStr"/>
      <c r="L2695" s="14" t="inlineStr">
        <is>
          <t>▶ watch</t>
        </is>
      </c>
      <c r="M2695" s="10" t="inlineStr"/>
      <c r="N2695" s="11" t="inlineStr"/>
      <c r="O2695" s="11" t="inlineStr">
        <is>
          <t>course lecture - no single paper</t>
        </is>
      </c>
      <c r="P2695" s="10" t="inlineStr"/>
    </row>
    <row r="2696">
      <c r="A2696" s="21" t="n">
        <v>2695</v>
      </c>
      <c r="B2696" s="21" t="inlineStr">
        <is>
          <t>Part V (continued) - Research Craft</t>
        </is>
      </c>
      <c r="C2696" s="22" t="inlineStr">
        <is>
          <t>C.7 Writing</t>
        </is>
      </c>
      <c r="D2696" s="10" t="inlineStr">
        <is>
          <t>Writing Beyond the Academy</t>
        </is>
      </c>
      <c r="E2696" s="10" t="inlineStr">
        <is>
          <t>Larry McEnerney</t>
        </is>
      </c>
      <c r="F2696" s="11" t="inlineStr">
        <is>
          <t>1:16:54</t>
        </is>
      </c>
      <c r="G2696" s="11" t="n">
        <v>1.28</v>
      </c>
      <c r="H2696" s="12" t="inlineStr"/>
      <c r="I2696" s="11" t="inlineStr">
        <is>
          <t>Not started</t>
        </is>
      </c>
      <c r="J2696" s="13" t="n"/>
      <c r="K2696" s="10" t="inlineStr"/>
      <c r="L2696" s="14" t="inlineStr">
        <is>
          <t>▶ watch</t>
        </is>
      </c>
      <c r="M2696" s="10" t="inlineStr"/>
      <c r="N2696" s="11" t="inlineStr"/>
      <c r="O2696" s="11" t="inlineStr">
        <is>
          <t>course lecture - no single paper</t>
        </is>
      </c>
      <c r="P2696" s="10" t="inlineStr"/>
    </row>
    <row r="2697">
      <c r="A2697" s="21" t="n">
        <v>2696</v>
      </c>
      <c r="B2697" s="21" t="inlineStr">
        <is>
          <t>Part V (continued) - Research Craft</t>
        </is>
      </c>
      <c r="C2697" s="22" t="inlineStr">
        <is>
          <t>C.7 Writing</t>
        </is>
      </c>
      <c r="D2697" s="10" t="inlineStr">
        <is>
          <t>Scientific Writing from the Readers' Perspective</t>
        </is>
      </c>
      <c r="E2697" s="10" t="inlineStr">
        <is>
          <t>Judith Swan (Princeton</t>
        </is>
      </c>
      <c r="F2697" s="11" t="inlineStr">
        <is>
          <t>1:15:17</t>
        </is>
      </c>
      <c r="G2697" s="11" t="n">
        <v>1.25</v>
      </c>
      <c r="H2697" s="12" t="inlineStr">
        <is>
          <t>★</t>
        </is>
      </c>
      <c r="I2697" s="11" t="inlineStr">
        <is>
          <t>Not started</t>
        </is>
      </c>
      <c r="J2697" s="13" t="n"/>
      <c r="K2697" s="10" t="inlineStr"/>
      <c r="L2697" s="14" t="inlineStr">
        <is>
          <t>▶ watch</t>
        </is>
      </c>
      <c r="M2697" s="10" t="inlineStr"/>
      <c r="N2697" s="11" t="inlineStr"/>
      <c r="O2697" s="11" t="inlineStr">
        <is>
          <t>course lecture - no single paper</t>
        </is>
      </c>
      <c r="P2697" s="10" t="inlineStr"/>
    </row>
    <row r="2698">
      <c r="A2698" s="21" t="n">
        <v>2697</v>
      </c>
      <c r="B2698" s="21" t="inlineStr">
        <is>
          <t>Part V (continued) - Research Craft</t>
        </is>
      </c>
      <c r="C2698" s="22" t="inlineStr">
        <is>
          <t>C.7 Writing</t>
        </is>
      </c>
      <c r="D2698" s="10" t="inlineStr">
        <is>
          <t>Writing in the Sciences, units 1–8</t>
        </is>
      </c>
      <c r="E2698" s="10" t="inlineStr">
        <is>
          <t>Kristin Sainani (Stanford</t>
        </is>
      </c>
      <c r="F2698" s="11" t="inlineStr">
        <is>
          <t>3:30</t>
        </is>
      </c>
      <c r="G2698" s="11" t="n">
        <v>0.06</v>
      </c>
      <c r="H2698" s="12" t="inlineStr"/>
      <c r="I2698" s="11" t="inlineStr">
        <is>
          <t>Not started</t>
        </is>
      </c>
      <c r="J2698" s="13" t="n"/>
      <c r="K2698" s="10" t="inlineStr"/>
      <c r="L2698" s="14" t="inlineStr">
        <is>
          <t>▶ watch</t>
        </is>
      </c>
      <c r="M2698" s="10" t="inlineStr"/>
      <c r="N2698" s="11" t="inlineStr"/>
      <c r="O2698" s="11" t="inlineStr">
        <is>
          <t>course lecture - no single paper</t>
        </is>
      </c>
      <c r="P2698" s="10" t="inlineStr"/>
    </row>
    <row r="2699">
      <c r="A2699" s="21" t="n">
        <v>2698</v>
      </c>
      <c r="B2699" s="21" t="inlineStr">
        <is>
          <t>Part V (continued) - Research Craft</t>
        </is>
      </c>
      <c r="C2699" s="22" t="inlineStr">
        <is>
          <t>C.7 Writing</t>
        </is>
      </c>
      <c r="D2699" s="10" t="inlineStr">
        <is>
          <t>Writing in the Sciences, units 1–8</t>
        </is>
      </c>
      <c r="E2699" s="10" t="inlineStr">
        <is>
          <t>Kristin Sainani (Stanford</t>
        </is>
      </c>
      <c r="F2699" s="11" t="inlineStr">
        <is>
          <t>3:30</t>
        </is>
      </c>
      <c r="G2699" s="11" t="n">
        <v>0.06</v>
      </c>
      <c r="H2699" s="12" t="inlineStr"/>
      <c r="I2699" s="11" t="inlineStr">
        <is>
          <t>Not started</t>
        </is>
      </c>
      <c r="J2699" s="13" t="n"/>
      <c r="K2699" s="10" t="inlineStr"/>
      <c r="L2699" s="14" t="inlineStr">
        <is>
          <t>▶ watch</t>
        </is>
      </c>
      <c r="M2699" s="10" t="inlineStr"/>
      <c r="N2699" s="11" t="inlineStr"/>
      <c r="O2699" s="11" t="inlineStr">
        <is>
          <t>course lecture - no single paper</t>
        </is>
      </c>
      <c r="P2699" s="10" t="inlineStr"/>
    </row>
    <row r="2700">
      <c r="A2700" s="21" t="n">
        <v>2699</v>
      </c>
      <c r="B2700" s="21" t="inlineStr">
        <is>
          <t>Part V (continued) - Research Craft</t>
        </is>
      </c>
      <c r="C2700" s="22" t="inlineStr">
        <is>
          <t>C.7 Writing</t>
        </is>
      </c>
      <c r="D2700" s="10" t="inlineStr">
        <is>
          <t>Writing in the Sciences, units 1–8</t>
        </is>
      </c>
      <c r="E2700" s="10" t="inlineStr">
        <is>
          <t>Kristin Sainani (Stanford</t>
        </is>
      </c>
      <c r="F2700" s="11" t="inlineStr">
        <is>
          <t>3:30</t>
        </is>
      </c>
      <c r="G2700" s="11" t="n">
        <v>0.06</v>
      </c>
      <c r="H2700" s="12" t="inlineStr"/>
      <c r="I2700" s="11" t="inlineStr">
        <is>
          <t>Not started</t>
        </is>
      </c>
      <c r="J2700" s="13" t="n"/>
      <c r="K2700" s="10" t="inlineStr"/>
      <c r="L2700" s="14" t="inlineStr">
        <is>
          <t>▶ watch</t>
        </is>
      </c>
      <c r="M2700" s="10" t="inlineStr"/>
      <c r="N2700" s="11" t="inlineStr"/>
      <c r="O2700" s="11" t="inlineStr">
        <is>
          <t>course lecture - no single paper</t>
        </is>
      </c>
      <c r="P2700" s="10" t="inlineStr"/>
    </row>
    <row r="2701">
      <c r="A2701" s="21" t="n">
        <v>2700</v>
      </c>
      <c r="B2701" s="21" t="inlineStr">
        <is>
          <t>Part V (continued) - Research Craft</t>
        </is>
      </c>
      <c r="C2701" s="22" t="inlineStr">
        <is>
          <t>C.7 Writing</t>
        </is>
      </c>
      <c r="D2701" s="10" t="inlineStr">
        <is>
          <t>Writing in the Sciences, units 1–8</t>
        </is>
      </c>
      <c r="E2701" s="10" t="inlineStr">
        <is>
          <t>Kristin Sainani (Stanford</t>
        </is>
      </c>
      <c r="F2701" s="11" t="inlineStr">
        <is>
          <t>3:30</t>
        </is>
      </c>
      <c r="G2701" s="11" t="n">
        <v>0.06</v>
      </c>
      <c r="H2701" s="12" t="inlineStr"/>
      <c r="I2701" s="11" t="inlineStr">
        <is>
          <t>Not started</t>
        </is>
      </c>
      <c r="J2701" s="13" t="n"/>
      <c r="K2701" s="10" t="inlineStr"/>
      <c r="L2701" s="14" t="inlineStr">
        <is>
          <t>▶ watch</t>
        </is>
      </c>
      <c r="M2701" s="10" t="inlineStr"/>
      <c r="N2701" s="11" t="inlineStr"/>
      <c r="O2701" s="11" t="inlineStr">
        <is>
          <t>course lecture - no single paper</t>
        </is>
      </c>
      <c r="P2701" s="10" t="inlineStr"/>
    </row>
    <row r="2702">
      <c r="A2702" s="21" t="n">
        <v>2701</v>
      </c>
      <c r="B2702" s="21" t="inlineStr">
        <is>
          <t>Part V (continued) - Research Craft</t>
        </is>
      </c>
      <c r="C2702" s="22" t="inlineStr">
        <is>
          <t>C.7 Writing</t>
        </is>
      </c>
      <c r="D2702" s="10" t="inlineStr">
        <is>
          <t>Writing in the Sciences, units 1–8</t>
        </is>
      </c>
      <c r="E2702" s="10" t="inlineStr">
        <is>
          <t>Kristin Sainani (Stanford</t>
        </is>
      </c>
      <c r="F2702" s="11" t="inlineStr">
        <is>
          <t>3:30</t>
        </is>
      </c>
      <c r="G2702" s="11" t="n">
        <v>0.06</v>
      </c>
      <c r="H2702" s="12" t="inlineStr"/>
      <c r="I2702" s="11" t="inlineStr">
        <is>
          <t>Not started</t>
        </is>
      </c>
      <c r="J2702" s="13" t="n"/>
      <c r="K2702" s="10" t="inlineStr"/>
      <c r="L2702" s="14" t="inlineStr">
        <is>
          <t>▶ watch</t>
        </is>
      </c>
      <c r="M2702" s="10" t="inlineStr"/>
      <c r="N2702" s="11" t="inlineStr"/>
      <c r="O2702" s="11" t="inlineStr">
        <is>
          <t>course lecture - no single paper</t>
        </is>
      </c>
      <c r="P2702" s="10" t="inlineStr"/>
    </row>
    <row r="2703">
      <c r="A2703" s="21" t="n">
        <v>2702</v>
      </c>
      <c r="B2703" s="21" t="inlineStr">
        <is>
          <t>Part V (continued) - Research Craft</t>
        </is>
      </c>
      <c r="C2703" s="22" t="inlineStr">
        <is>
          <t>C.7 Writing</t>
        </is>
      </c>
      <c r="D2703" s="10" t="inlineStr">
        <is>
          <t>Writing in the Sciences, units 1–8</t>
        </is>
      </c>
      <c r="E2703" s="10" t="inlineStr">
        <is>
          <t>Kristin Sainani (Stanford</t>
        </is>
      </c>
      <c r="F2703" s="11" t="inlineStr">
        <is>
          <t>3:30</t>
        </is>
      </c>
      <c r="G2703" s="11" t="n">
        <v>0.06</v>
      </c>
      <c r="H2703" s="12" t="inlineStr"/>
      <c r="I2703" s="11" t="inlineStr">
        <is>
          <t>Not started</t>
        </is>
      </c>
      <c r="J2703" s="13" t="n"/>
      <c r="K2703" s="10" t="inlineStr"/>
      <c r="L2703" s="14" t="inlineStr">
        <is>
          <t>▶ watch</t>
        </is>
      </c>
      <c r="M2703" s="10" t="inlineStr"/>
      <c r="N2703" s="11" t="inlineStr"/>
      <c r="O2703" s="11" t="inlineStr">
        <is>
          <t>course lecture - no single paper</t>
        </is>
      </c>
      <c r="P2703" s="10" t="inlineStr"/>
    </row>
    <row r="2704">
      <c r="A2704" s="21" t="n">
        <v>2703</v>
      </c>
      <c r="B2704" s="21" t="inlineStr">
        <is>
          <t>Part V (continued) - Research Craft</t>
        </is>
      </c>
      <c r="C2704" s="22" t="inlineStr">
        <is>
          <t>C.7 Writing</t>
        </is>
      </c>
      <c r="D2704" s="10" t="inlineStr">
        <is>
          <t>Writing in the Sciences, units 1–8</t>
        </is>
      </c>
      <c r="E2704" s="10" t="inlineStr">
        <is>
          <t>Kristin Sainani (Stanford</t>
        </is>
      </c>
      <c r="F2704" s="11" t="inlineStr">
        <is>
          <t>3:30</t>
        </is>
      </c>
      <c r="G2704" s="11" t="n">
        <v>0.06</v>
      </c>
      <c r="H2704" s="12" t="inlineStr"/>
      <c r="I2704" s="11" t="inlineStr">
        <is>
          <t>Not started</t>
        </is>
      </c>
      <c r="J2704" s="13" t="n"/>
      <c r="K2704" s="10" t="inlineStr"/>
      <c r="L2704" s="14" t="inlineStr">
        <is>
          <t>▶ watch</t>
        </is>
      </c>
      <c r="M2704" s="10" t="inlineStr"/>
      <c r="N2704" s="11" t="inlineStr"/>
      <c r="O2704" s="11" t="inlineStr">
        <is>
          <t>course lecture - no single paper</t>
        </is>
      </c>
      <c r="P2704" s="10" t="inlineStr"/>
    </row>
    <row r="2705">
      <c r="A2705" s="21" t="n">
        <v>2704</v>
      </c>
      <c r="B2705" s="21" t="inlineStr">
        <is>
          <t>Part V (continued) - Research Craft</t>
        </is>
      </c>
      <c r="C2705" s="22" t="inlineStr">
        <is>
          <t>C.7 Writing</t>
        </is>
      </c>
      <c r="D2705" s="10" t="inlineStr">
        <is>
          <t>Writing in the Sciences, units 1–8</t>
        </is>
      </c>
      <c r="E2705" s="10" t="inlineStr">
        <is>
          <t>Kristin Sainani (Stanford</t>
        </is>
      </c>
      <c r="F2705" s="11" t="inlineStr">
        <is>
          <t>3:30</t>
        </is>
      </c>
      <c r="G2705" s="11" t="n">
        <v>0.06</v>
      </c>
      <c r="H2705" s="12" t="inlineStr"/>
      <c r="I2705" s="11" t="inlineStr">
        <is>
          <t>Not started</t>
        </is>
      </c>
      <c r="J2705" s="13" t="n"/>
      <c r="K2705" s="10" t="inlineStr"/>
      <c r="L2705" s="14" t="inlineStr">
        <is>
          <t>▶ watch</t>
        </is>
      </c>
      <c r="M2705" s="10" t="inlineStr"/>
      <c r="N2705" s="11" t="inlineStr"/>
      <c r="O2705" s="11" t="inlineStr">
        <is>
          <t>course lecture - no single paper</t>
        </is>
      </c>
      <c r="P2705" s="10" t="inlineStr"/>
    </row>
    <row r="2706">
      <c r="A2706" s="21" t="n">
        <v>2705</v>
      </c>
      <c r="B2706" s="21" t="inlineStr">
        <is>
          <t>Part V (continued) - Research Craft</t>
        </is>
      </c>
      <c r="C2706" s="22" t="inlineStr">
        <is>
          <t>C.7 Writing</t>
        </is>
      </c>
      <c r="D2706" s="10" t="inlineStr">
        <is>
          <t>Linguistics, Style and Writing in the 21st Century</t>
        </is>
      </c>
      <c r="E2706" s="10" t="inlineStr">
        <is>
          <t>Steven Pinker (Harvard</t>
        </is>
      </c>
      <c r="F2706" s="11" t="inlineStr">
        <is>
          <t>53:40</t>
        </is>
      </c>
      <c r="G2706" s="11" t="n">
        <v>0.89</v>
      </c>
      <c r="H2706" s="12" t="inlineStr"/>
      <c r="I2706" s="11" t="inlineStr">
        <is>
          <t>Not started</t>
        </is>
      </c>
      <c r="J2706" s="13" t="n"/>
      <c r="K2706" s="10" t="inlineStr"/>
      <c r="L2706" s="14" t="inlineStr">
        <is>
          <t>▶ watch</t>
        </is>
      </c>
      <c r="M2706" s="10" t="inlineStr"/>
      <c r="N2706" s="11" t="inlineStr"/>
      <c r="O2706" s="11" t="inlineStr">
        <is>
          <t>course lecture - no single paper</t>
        </is>
      </c>
      <c r="P2706" s="10" t="inlineStr"/>
    </row>
    <row r="2707">
      <c r="A2707" s="21" t="n">
        <v>2706</v>
      </c>
      <c r="B2707" s="21" t="inlineStr">
        <is>
          <t>Part V (continued) - Research Craft</t>
        </is>
      </c>
      <c r="C2707" s="22" t="inlineStr">
        <is>
          <t>C.7 Writing</t>
        </is>
      </c>
      <c r="D2707" s="10" t="inlineStr">
        <is>
          <t>How to Write a Paper to Communicate Your Research</t>
        </is>
      </c>
      <c r="E2707" s="10" t="inlineStr">
        <is>
          <t>George Whitesides (Harvard</t>
        </is>
      </c>
      <c r="F2707" s="11" t="inlineStr">
        <is>
          <t>8:39</t>
        </is>
      </c>
      <c r="G2707" s="11" t="n">
        <v>0.14</v>
      </c>
      <c r="H2707" s="12" t="inlineStr">
        <is>
          <t>★</t>
        </is>
      </c>
      <c r="I2707" s="11" t="inlineStr">
        <is>
          <t>Not started</t>
        </is>
      </c>
      <c r="J2707" s="13" t="n"/>
      <c r="K2707" s="10" t="inlineStr"/>
      <c r="L2707" s="14" t="inlineStr">
        <is>
          <t>▶ watch</t>
        </is>
      </c>
      <c r="M2707" s="10" t="inlineStr"/>
      <c r="N2707" s="11" t="inlineStr"/>
      <c r="O2707" s="11" t="inlineStr">
        <is>
          <t>course lecture - no single paper</t>
        </is>
      </c>
      <c r="P2707" s="10" t="inlineStr"/>
    </row>
    <row r="2708">
      <c r="A2708" s="21" t="n">
        <v>2707</v>
      </c>
      <c r="B2708" s="21" t="inlineStr">
        <is>
          <t>Part V (continued) - Research Craft</t>
        </is>
      </c>
      <c r="C2708" s="22" t="inlineStr">
        <is>
          <t>C.8 Talks and posters</t>
        </is>
      </c>
      <c r="D2708" s="10" t="inlineStr">
        <is>
          <t>Patrick Winston (MIT</t>
        </is>
      </c>
      <c r="E2708" s="10" t="inlineStr">
        <is>
          <t>How to Speak</t>
        </is>
      </c>
      <c r="F2708" s="11" t="inlineStr">
        <is>
          <t>1:03:42</t>
        </is>
      </c>
      <c r="G2708" s="11" t="n">
        <v>1.06</v>
      </c>
      <c r="H2708" s="12" t="inlineStr">
        <is>
          <t>★</t>
        </is>
      </c>
      <c r="I2708" s="11" t="inlineStr">
        <is>
          <t>Not started</t>
        </is>
      </c>
      <c r="J2708" s="13" t="n"/>
      <c r="K2708" s="10" t="inlineStr"/>
      <c r="L2708" s="14" t="inlineStr">
        <is>
          <t>▶ watch</t>
        </is>
      </c>
      <c r="M2708" s="10" t="inlineStr"/>
      <c r="N2708" s="11" t="inlineStr"/>
      <c r="O2708" s="11" t="inlineStr">
        <is>
          <t>course lecture - no single paper</t>
        </is>
      </c>
      <c r="P2708" s="10" t="inlineStr"/>
    </row>
    <row r="2709">
      <c r="A2709" s="21" t="n">
        <v>2708</v>
      </c>
      <c r="B2709" s="21" t="inlineStr">
        <is>
          <t>Part V (continued) - Research Craft</t>
        </is>
      </c>
      <c r="C2709" s="22" t="inlineStr">
        <is>
          <t>C.8 Talks and posters</t>
        </is>
      </c>
      <c r="D2709" s="10" t="inlineStr">
        <is>
          <t>How to Give a Great Research Talk</t>
        </is>
      </c>
      <c r="E2709" s="10" t="inlineStr">
        <is>
          <t>Simon Peyton Jones</t>
        </is>
      </c>
      <c r="F2709" s="11" t="inlineStr">
        <is>
          <t>58:41</t>
        </is>
      </c>
      <c r="G2709" s="11" t="n">
        <v>0.98</v>
      </c>
      <c r="H2709" s="12" t="inlineStr">
        <is>
          <t>★</t>
        </is>
      </c>
      <c r="I2709" s="11" t="inlineStr">
        <is>
          <t>Not started</t>
        </is>
      </c>
      <c r="J2709" s="13" t="n"/>
      <c r="K2709" s="10" t="inlineStr"/>
      <c r="L2709" s="14" t="inlineStr">
        <is>
          <t>▶ watch</t>
        </is>
      </c>
      <c r="M2709" s="10" t="inlineStr"/>
      <c r="N2709" s="11" t="inlineStr"/>
      <c r="O2709" s="11" t="inlineStr">
        <is>
          <t>course lecture - no single paper</t>
        </is>
      </c>
      <c r="P2709" s="10" t="inlineStr"/>
    </row>
    <row r="2710">
      <c r="A2710" s="21" t="n">
        <v>2709</v>
      </c>
      <c r="B2710" s="21" t="inlineStr">
        <is>
          <t>Part V (continued) - Research Craft</t>
        </is>
      </c>
      <c r="C2710" s="22" t="inlineStr">
        <is>
          <t>C.8 Talks and posters</t>
        </is>
      </c>
      <c r="D2710" s="10" t="inlineStr">
        <is>
          <t>Jean-luc Doumont (Stanford CTL</t>
        </is>
      </c>
      <c r="E2710" s="10" t="inlineStr">
        <is>
          <t>Creating effective slides</t>
        </is>
      </c>
      <c r="F2710" s="11" t="inlineStr">
        <is>
          <t>1:03:34</t>
        </is>
      </c>
      <c r="G2710" s="11" t="n">
        <v>1.06</v>
      </c>
      <c r="H2710" s="12" t="inlineStr">
        <is>
          <t>★</t>
        </is>
      </c>
      <c r="I2710" s="11" t="inlineStr">
        <is>
          <t>Not started</t>
        </is>
      </c>
      <c r="J2710" s="13" t="n"/>
      <c r="K2710" s="10" t="inlineStr"/>
      <c r="L2710" s="14" t="inlineStr">
        <is>
          <t>▶ watch</t>
        </is>
      </c>
      <c r="M2710" s="10" t="inlineStr"/>
      <c r="N2710" s="11" t="inlineStr"/>
      <c r="O2710" s="11" t="inlineStr">
        <is>
          <t>course lecture - no single paper</t>
        </is>
      </c>
      <c r="P2710" s="10" t="inlineStr"/>
    </row>
    <row r="2711">
      <c r="A2711" s="21" t="n">
        <v>2710</v>
      </c>
      <c r="B2711" s="21" t="inlineStr">
        <is>
          <t>Part V (continued) - Research Craft</t>
        </is>
      </c>
      <c r="C2711" s="22" t="inlineStr">
        <is>
          <t>C.8 Talks and posters</t>
        </is>
      </c>
      <c r="D2711" s="10" t="inlineStr">
        <is>
          <t>Designing effective scientific presentations</t>
        </is>
      </c>
      <c r="E2711" s="10" t="inlineStr">
        <is>
          <t>Susan McConnell (Stanford, iBiology</t>
        </is>
      </c>
      <c r="F2711" s="11" t="inlineStr">
        <is>
          <t>42:09</t>
        </is>
      </c>
      <c r="G2711" s="11" t="n">
        <v>0.7</v>
      </c>
      <c r="H2711" s="12" t="inlineStr"/>
      <c r="I2711" s="11" t="inlineStr">
        <is>
          <t>Not started</t>
        </is>
      </c>
      <c r="J2711" s="13" t="n"/>
      <c r="K2711" s="10" t="inlineStr"/>
      <c r="L2711" s="14" t="inlineStr">
        <is>
          <t>▶ watch</t>
        </is>
      </c>
      <c r="M2711" s="10" t="inlineStr"/>
      <c r="N2711" s="11" t="inlineStr"/>
      <c r="O2711" s="11" t="inlineStr">
        <is>
          <t>course lecture - no single paper</t>
        </is>
      </c>
      <c r="P2711" s="10" t="inlineStr"/>
    </row>
    <row r="2712">
      <c r="A2712" s="21" t="n">
        <v>2711</v>
      </c>
      <c r="B2712" s="21" t="inlineStr">
        <is>
          <t>Part V (continued) - Research Craft</t>
        </is>
      </c>
      <c r="C2712" s="22" t="inlineStr">
        <is>
          <t>C.8 Talks and posters</t>
        </is>
      </c>
      <c r="D2712" s="10" t="inlineStr">
        <is>
          <t>The Assertion-Evidence Approach</t>
        </is>
      </c>
      <c r="E2712" s="10" t="inlineStr">
        <is>
          <t>Michael Alley (Penn State</t>
        </is>
      </c>
      <c r="F2712" s="11" t="inlineStr">
        <is>
          <t>25:56</t>
        </is>
      </c>
      <c r="G2712" s="11" t="n">
        <v>0.43</v>
      </c>
      <c r="H2712" s="12" t="inlineStr">
        <is>
          <t>★</t>
        </is>
      </c>
      <c r="I2712" s="11" t="inlineStr">
        <is>
          <t>Not started</t>
        </is>
      </c>
      <c r="J2712" s="13" t="n"/>
      <c r="K2712" s="10" t="inlineStr"/>
      <c r="L2712" s="14" t="inlineStr">
        <is>
          <t>▶ watch</t>
        </is>
      </c>
      <c r="M2712" s="10" t="inlineStr"/>
      <c r="N2712" s="11" t="inlineStr"/>
      <c r="O2712" s="11" t="inlineStr">
        <is>
          <t>course lecture - no single paper</t>
        </is>
      </c>
      <c r="P2712" s="10" t="inlineStr"/>
    </row>
    <row r="2713">
      <c r="A2713" s="21" t="n">
        <v>2712</v>
      </c>
      <c r="B2713" s="21" t="inlineStr">
        <is>
          <t>Part V (continued) - Research Craft</t>
        </is>
      </c>
      <c r="C2713" s="22" t="inlineStr">
        <is>
          <t>C.8 Talks and posters</t>
        </is>
      </c>
      <c r="D2713" s="10" t="inlineStr">
        <is>
          <t>How to create a better research poster in less time</t>
        </is>
      </c>
      <c r="E2713" s="10" t="inlineStr">
        <is>
          <t>Mike Morrison</t>
        </is>
      </c>
      <c r="F2713" s="11" t="inlineStr">
        <is>
          <t>20:53</t>
        </is>
      </c>
      <c r="G2713" s="11" t="n">
        <v>0.35</v>
      </c>
      <c r="H2713" s="12" t="inlineStr"/>
      <c r="I2713" s="11" t="inlineStr">
        <is>
          <t>Not started</t>
        </is>
      </c>
      <c r="J2713" s="13" t="n"/>
      <c r="K2713" s="10" t="inlineStr"/>
      <c r="L2713" s="14" t="inlineStr">
        <is>
          <t>▶ watch</t>
        </is>
      </c>
      <c r="M2713" s="10" t="inlineStr"/>
      <c r="N2713" s="11" t="inlineStr"/>
      <c r="O2713" s="11" t="inlineStr">
        <is>
          <t>course lecture - no single paper</t>
        </is>
      </c>
      <c r="P2713" s="10" t="inlineStr"/>
    </row>
    <row r="2714">
      <c r="A2714" s="21" t="n">
        <v>2713</v>
      </c>
      <c r="B2714" s="21" t="inlineStr">
        <is>
          <t>Part V (continued) - Research Craft</t>
        </is>
      </c>
      <c r="C2714" s="22" t="inlineStr">
        <is>
          <t>C.9 Refereeing</t>
        </is>
      </c>
      <c r="D2714" s="10" t="inlineStr">
        <is>
          <t>How CS Conference Reviewing Works and How to Write a Good Review</t>
        </is>
      </c>
      <c r="E2714" s="10" t="inlineStr">
        <is>
          <t>Jordan Boyd-Graber (Maryland</t>
        </is>
      </c>
      <c r="F2714" s="11" t="inlineStr">
        <is>
          <t>17:46</t>
        </is>
      </c>
      <c r="G2714" s="11" t="n">
        <v>0.3</v>
      </c>
      <c r="H2714" s="12" t="inlineStr">
        <is>
          <t>★</t>
        </is>
      </c>
      <c r="I2714" s="11" t="inlineStr">
        <is>
          <t>Not started</t>
        </is>
      </c>
      <c r="J2714" s="13" t="n"/>
      <c r="K2714" s="10" t="inlineStr"/>
      <c r="L2714" s="14" t="inlineStr">
        <is>
          <t>▶ watch</t>
        </is>
      </c>
      <c r="M2714" s="10" t="inlineStr"/>
      <c r="N2714" s="11" t="inlineStr"/>
      <c r="O2714" s="11" t="inlineStr">
        <is>
          <t>course lecture - no single paper</t>
        </is>
      </c>
      <c r="P2714" s="10" t="inlineStr"/>
    </row>
    <row r="2715">
      <c r="A2715" s="21" t="n">
        <v>2714</v>
      </c>
      <c r="B2715" s="21" t="inlineStr">
        <is>
          <t>Part V (continued) - Research Craft</t>
        </is>
      </c>
      <c r="C2715" s="22" t="inlineStr">
        <is>
          <t>C.9 Refereeing</t>
        </is>
      </c>
      <c r="D2715" s="10" t="inlineStr">
        <is>
          <t>How to write a good review (CVPR tutorial</t>
        </is>
      </c>
      <c r="E2715" s="10" t="inlineStr">
        <is>
          <t>Sattler (Chalmers) &amp; Leal-Taixé (TUM</t>
        </is>
      </c>
      <c r="F2715" s="11" t="inlineStr">
        <is>
          <t>5:04:04</t>
        </is>
      </c>
      <c r="G2715" s="11" t="n">
        <v>5.07</v>
      </c>
      <c r="H2715" s="12" t="inlineStr">
        <is>
          <t>★</t>
        </is>
      </c>
      <c r="I2715" s="11" t="inlineStr">
        <is>
          <t>Not started</t>
        </is>
      </c>
      <c r="J2715" s="13" t="n"/>
      <c r="K2715" s="10" t="inlineStr"/>
      <c r="L2715" s="14" t="inlineStr">
        <is>
          <t>▶ watch</t>
        </is>
      </c>
      <c r="M2715" s="10" t="inlineStr"/>
      <c r="N2715" s="11" t="inlineStr"/>
      <c r="O2715" s="11" t="inlineStr">
        <is>
          <t>course lecture - no single paper</t>
        </is>
      </c>
      <c r="P2715" s="10" t="inlineStr"/>
    </row>
    <row r="2716">
      <c r="A2716" s="21" t="n">
        <v>2715</v>
      </c>
      <c r="B2716" s="21" t="inlineStr">
        <is>
          <t>Part V (continued) - Research Craft</t>
        </is>
      </c>
      <c r="C2716" s="22" t="inlineStr">
        <is>
          <t>C.9 Refereeing</t>
        </is>
      </c>
      <c r="D2716" s="10" t="inlineStr">
        <is>
          <t>Custodians of High-Quality Science: Are Editors and Peer Reviewers Good Enough?</t>
        </is>
      </c>
      <c r="E2716" s="10" t="inlineStr">
        <is>
          <t>David Moher (Ottawa</t>
        </is>
      </c>
      <c r="F2716" s="11" t="inlineStr">
        <is>
          <t>30:14</t>
        </is>
      </c>
      <c r="G2716" s="11" t="n">
        <v>0.5</v>
      </c>
      <c r="H2716" s="12" t="inlineStr">
        <is>
          <t>★</t>
        </is>
      </c>
      <c r="I2716" s="11" t="inlineStr">
        <is>
          <t>Not started</t>
        </is>
      </c>
      <c r="J2716" s="13" t="n"/>
      <c r="K2716" s="10" t="inlineStr"/>
      <c r="L2716" s="14" t="inlineStr">
        <is>
          <t>▶ watch</t>
        </is>
      </c>
      <c r="M2716" s="10" t="inlineStr"/>
      <c r="N2716" s="11" t="inlineStr"/>
      <c r="O2716" s="11" t="inlineStr">
        <is>
          <t>course lecture - no single paper</t>
        </is>
      </c>
      <c r="P2716" s="10" t="inlineStr"/>
    </row>
    <row r="2717">
      <c r="A2717" s="21" t="n">
        <v>2716</v>
      </c>
      <c r="B2717" s="21" t="inlineStr">
        <is>
          <t>Part V (continued) - Research Craft</t>
        </is>
      </c>
      <c r="C2717" s="22" t="inlineStr">
        <is>
          <t>C.9 Refereeing</t>
        </is>
      </c>
      <c r="D2717" s="10" t="inlineStr">
        <is>
          <t>Peer Review: Are We Looking at the Right Things?</t>
        </is>
      </c>
      <c r="E2717" s="10" t="inlineStr">
        <is>
          <t>Lisa Bero (Colorado</t>
        </is>
      </c>
      <c r="F2717" s="11" t="inlineStr">
        <is>
          <t>22:03</t>
        </is>
      </c>
      <c r="G2717" s="11" t="n">
        <v>0.37</v>
      </c>
      <c r="H2717" s="12" t="inlineStr">
        <is>
          <t>★</t>
        </is>
      </c>
      <c r="I2717" s="11" t="inlineStr">
        <is>
          <t>Not started</t>
        </is>
      </c>
      <c r="J2717" s="13" t="n"/>
      <c r="K2717" s="10" t="inlineStr"/>
      <c r="L2717" s="14" t="inlineStr">
        <is>
          <t>▶ watch</t>
        </is>
      </c>
      <c r="M2717" s="10" t="inlineStr"/>
      <c r="N2717" s="11" t="inlineStr"/>
      <c r="O2717" s="11" t="inlineStr">
        <is>
          <t>course lecture - no single paper</t>
        </is>
      </c>
      <c r="P2717" s="10" t="inlineStr"/>
    </row>
    <row r="2718">
      <c r="A2718" s="21" t="n">
        <v>2717</v>
      </c>
      <c r="B2718" s="21" t="inlineStr">
        <is>
          <t>Part V (continued) - Research Craft</t>
        </is>
      </c>
      <c r="C2718" s="22" t="inlineStr">
        <is>
          <t>C.9 Refereeing</t>
        </is>
      </c>
      <c r="D2718" s="10" t="inlineStr">
        <is>
          <t>Open Collaborative Peer Review</t>
        </is>
      </c>
      <c r="E2718" s="10" t="inlineStr">
        <is>
          <t>ASAPbio and PREreview</t>
        </is>
      </c>
      <c r="F2718" s="11" t="inlineStr">
        <is>
          <t>59:01</t>
        </is>
      </c>
      <c r="G2718" s="11" t="n">
        <v>0.98</v>
      </c>
      <c r="H2718" s="12" t="inlineStr"/>
      <c r="I2718" s="11" t="inlineStr">
        <is>
          <t>Not started</t>
        </is>
      </c>
      <c r="J2718" s="13" t="n"/>
      <c r="K2718" s="10" t="inlineStr"/>
      <c r="L2718" s="14" t="inlineStr">
        <is>
          <t>▶ watch</t>
        </is>
      </c>
      <c r="M2718" s="10" t="inlineStr"/>
      <c r="N2718" s="11" t="inlineStr"/>
      <c r="O2718" s="11" t="inlineStr">
        <is>
          <t>course lecture - no single paper</t>
        </is>
      </c>
      <c r="P2718" s="10" t="inlineStr"/>
    </row>
    <row r="2719">
      <c r="A2719" s="21" t="n">
        <v>2718</v>
      </c>
      <c r="B2719" s="21" t="inlineStr">
        <is>
          <t>Part V (continued) - Research Craft</t>
        </is>
      </c>
      <c r="C2719" s="22" t="inlineStr">
        <is>
          <t>C.10 Reproducibility and not fooling yourself</t>
        </is>
      </c>
      <c r="D2719" s="10" t="inlineStr">
        <is>
          <t>Leakage and the Reproducibility Crisis in ML-based Science</t>
        </is>
      </c>
      <c r="E2719" s="10" t="inlineStr">
        <is>
          <t>Sayash Kapoor (Princeton</t>
        </is>
      </c>
      <c r="F2719" s="11" t="inlineStr">
        <is>
          <t>48:10</t>
        </is>
      </c>
      <c r="G2719" s="11" t="n">
        <v>0.8</v>
      </c>
      <c r="H2719" s="12" t="inlineStr">
        <is>
          <t>★</t>
        </is>
      </c>
      <c r="I2719" s="11" t="inlineStr">
        <is>
          <t>Not started</t>
        </is>
      </c>
      <c r="J2719" s="13" t="n"/>
      <c r="K2719" s="10" t="inlineStr"/>
      <c r="L2719" s="14" t="inlineStr">
        <is>
          <t>▶ watch</t>
        </is>
      </c>
      <c r="M2719" s="10" t="inlineStr">
        <is>
          <t>Kapoor &amp; Narayanan 2023, Patterns 4:100804 · Ioannidis 2005, PLoS Med 2:e124</t>
        </is>
      </c>
      <c r="N2719" s="14" t="inlineStr">
        <is>
          <t>read ↗</t>
        </is>
      </c>
      <c r="O2719" s="11" t="inlineStr">
        <is>
          <t>section reading (2 of 3)</t>
        </is>
      </c>
      <c r="P2719" s="10" t="inlineStr"/>
    </row>
    <row r="2720">
      <c r="A2720" s="21" t="n">
        <v>2719</v>
      </c>
      <c r="B2720" s="21" t="inlineStr">
        <is>
          <t>Part V (continued) - Research Craft</t>
        </is>
      </c>
      <c r="C2720" s="22" t="inlineStr">
        <is>
          <t>C.10 Reproducibility and not fooling yourself</t>
        </is>
      </c>
      <c r="D2720" s="10" t="inlineStr">
        <is>
          <t>same, shorter</t>
        </is>
      </c>
      <c r="E2720" s="10" t="inlineStr">
        <is>
          <t>Sayash Kapoor</t>
        </is>
      </c>
      <c r="F2720" s="11" t="inlineStr">
        <is>
          <t>35:00</t>
        </is>
      </c>
      <c r="G2720" s="11" t="n">
        <v>0.58</v>
      </c>
      <c r="H2720" s="12" t="inlineStr"/>
      <c r="I2720" s="11" t="inlineStr">
        <is>
          <t>Not started</t>
        </is>
      </c>
      <c r="J2720" s="13" t="n"/>
      <c r="K2720" s="10" t="inlineStr"/>
      <c r="L2720" s="14" t="inlineStr">
        <is>
          <t>▶ watch</t>
        </is>
      </c>
      <c r="M2720" s="10" t="inlineStr">
        <is>
          <t>Kapoor &amp; Narayanan 2023, Patterns 4:100804 · Ioannidis 2005, PLoS Med 2:e124</t>
        </is>
      </c>
      <c r="N2720" s="14" t="inlineStr">
        <is>
          <t>read ↗</t>
        </is>
      </c>
      <c r="O2720" s="11" t="inlineStr">
        <is>
          <t>section reading (2 of 3)</t>
        </is>
      </c>
      <c r="P2720" s="10" t="inlineStr"/>
    </row>
    <row r="2721">
      <c r="A2721" s="21" t="n">
        <v>2720</v>
      </c>
      <c r="B2721" s="21" t="inlineStr">
        <is>
          <t>Part V (continued) - Research Craft</t>
        </is>
      </c>
      <c r="C2721" s="22" t="inlineStr">
        <is>
          <t>C.10 Reproducibility and not fooling yourself</t>
        </is>
      </c>
      <c r="D2721" s="10" t="inlineStr">
        <is>
          <t>Empirical Research on Research and the Reproducibility Crisis</t>
        </is>
      </c>
      <c r="E2721" s="10" t="inlineStr">
        <is>
          <t>John Ioannidis (Stanford</t>
        </is>
      </c>
      <c r="F2721" s="11" t="inlineStr">
        <is>
          <t>1:26:42</t>
        </is>
      </c>
      <c r="G2721" s="11" t="n">
        <v>1.45</v>
      </c>
      <c r="H2721" s="12" t="inlineStr">
        <is>
          <t>★</t>
        </is>
      </c>
      <c r="I2721" s="11" t="inlineStr">
        <is>
          <t>Not started</t>
        </is>
      </c>
      <c r="J2721" s="13" t="n"/>
      <c r="K2721" s="10" t="inlineStr"/>
      <c r="L2721" s="14" t="inlineStr">
        <is>
          <t>▶ watch</t>
        </is>
      </c>
      <c r="M2721" s="10" t="inlineStr">
        <is>
          <t>Kapoor &amp; Narayanan 2023, Patterns 4:100804 · Ioannidis 2005, PLoS Med 2:e124</t>
        </is>
      </c>
      <c r="N2721" s="14" t="inlineStr">
        <is>
          <t>read ↗</t>
        </is>
      </c>
      <c r="O2721" s="11" t="inlineStr">
        <is>
          <t>section reading (2 of 3)</t>
        </is>
      </c>
      <c r="P2721" s="10" t="inlineStr"/>
    </row>
    <row r="2722">
      <c r="A2722" s="21" t="n">
        <v>2721</v>
      </c>
      <c r="B2722" s="21" t="inlineStr">
        <is>
          <t>Part V (continued) - Research Craft</t>
        </is>
      </c>
      <c r="C2722" s="22" t="inlineStr">
        <is>
          <t>C.10 Reproducibility and not fooling yourself</t>
        </is>
      </c>
      <c r="D2722" s="10" t="inlineStr">
        <is>
          <t>Brian Nosek (Center for Open Science</t>
        </is>
      </c>
      <c r="E2722" s="10" t="inlineStr">
        <is>
          <t>Improving Reproducibility</t>
        </is>
      </c>
      <c r="F2722" s="11" t="inlineStr">
        <is>
          <t>41:40</t>
        </is>
      </c>
      <c r="G2722" s="11" t="n">
        <v>0.6899999999999999</v>
      </c>
      <c r="H2722" s="12" t="inlineStr">
        <is>
          <t>★</t>
        </is>
      </c>
      <c r="I2722" s="11" t="inlineStr">
        <is>
          <t>Not started</t>
        </is>
      </c>
      <c r="J2722" s="13" t="n"/>
      <c r="K2722" s="10" t="inlineStr"/>
      <c r="L2722" s="14" t="inlineStr">
        <is>
          <t>▶ watch</t>
        </is>
      </c>
      <c r="M2722" s="10" t="inlineStr">
        <is>
          <t>Kapoor &amp; Narayanan 2023, Patterns 4:100804 · Ioannidis 2005, PLoS Med 2:e124</t>
        </is>
      </c>
      <c r="N2722" s="14" t="inlineStr">
        <is>
          <t>read ↗</t>
        </is>
      </c>
      <c r="O2722" s="11" t="inlineStr">
        <is>
          <t>section reading (2 of 3)</t>
        </is>
      </c>
      <c r="P2722" s="10" t="inlineStr"/>
    </row>
    <row r="2723">
      <c r="A2723" s="21" t="n">
        <v>2722</v>
      </c>
      <c r="B2723" s="21" t="inlineStr">
        <is>
          <t>Part V (continued) - Research Craft</t>
        </is>
      </c>
      <c r="C2723" s="22" t="inlineStr">
        <is>
          <t>C.10 Reproducibility and not fooling yourself</t>
        </is>
      </c>
      <c r="D2723" s="10" t="inlineStr">
        <is>
          <t>Culture change toward open, rigorous, reproducible research</t>
        </is>
      </c>
      <c r="E2723" s="10" t="inlineStr">
        <is>
          <t>Brian Nosek</t>
        </is>
      </c>
      <c r="F2723" s="11" t="inlineStr">
        <is>
          <t>1:04:32</t>
        </is>
      </c>
      <c r="G2723" s="11" t="n">
        <v>1.08</v>
      </c>
      <c r="H2723" s="12" t="inlineStr"/>
      <c r="I2723" s="11" t="inlineStr">
        <is>
          <t>Not started</t>
        </is>
      </c>
      <c r="J2723" s="13" t="n"/>
      <c r="K2723" s="10" t="inlineStr"/>
      <c r="L2723" s="14" t="inlineStr">
        <is>
          <t>▶ watch</t>
        </is>
      </c>
      <c r="M2723" s="10" t="inlineStr">
        <is>
          <t>Kapoor &amp; Narayanan 2023, Patterns 4:100804 · Ioannidis 2005, PLoS Med 2:e124</t>
        </is>
      </c>
      <c r="N2723" s="14" t="inlineStr">
        <is>
          <t>read ↗</t>
        </is>
      </c>
      <c r="O2723" s="11" t="inlineStr">
        <is>
          <t>section reading (2 of 3)</t>
        </is>
      </c>
      <c r="P2723" s="10" t="inlineStr"/>
    </row>
    <row r="2724">
      <c r="A2724" s="21" t="n">
        <v>2723</v>
      </c>
      <c r="B2724" s="21" t="inlineStr">
        <is>
          <t>Part V (continued) - Research Craft</t>
        </is>
      </c>
      <c r="C2724" s="22" t="inlineStr">
        <is>
          <t>C.10 Reproducibility and not fooling yourself</t>
        </is>
      </c>
      <c r="D2724" s="10" t="inlineStr">
        <is>
          <t>Pre-Registration and Registered Reports</t>
        </is>
      </c>
      <c r="E2724" s="10" t="inlineStr">
        <is>
          <t>Daniël Lakens (Eindhoven</t>
        </is>
      </c>
      <c r="F2724" s="11" t="inlineStr">
        <is>
          <t>52:11</t>
        </is>
      </c>
      <c r="G2724" s="11" t="n">
        <v>0.87</v>
      </c>
      <c r="H2724" s="12" t="inlineStr"/>
      <c r="I2724" s="11" t="inlineStr">
        <is>
          <t>Not started</t>
        </is>
      </c>
      <c r="J2724" s="13" t="n"/>
      <c r="K2724" s="10" t="inlineStr"/>
      <c r="L2724" s="14" t="inlineStr">
        <is>
          <t>▶ watch</t>
        </is>
      </c>
      <c r="M2724" s="10" t="inlineStr">
        <is>
          <t>Kapoor &amp; Narayanan 2023, Patterns 4:100804 · Ioannidis 2005, PLoS Med 2:e124</t>
        </is>
      </c>
      <c r="N2724" s="14" t="inlineStr">
        <is>
          <t>read ↗</t>
        </is>
      </c>
      <c r="O2724" s="11" t="inlineStr">
        <is>
          <t>section reading (2 of 3)</t>
        </is>
      </c>
      <c r="P2724" s="10" t="inlineStr"/>
    </row>
    <row r="2725">
      <c r="A2725" s="21" t="n">
        <v>2724</v>
      </c>
      <c r="B2725" s="21" t="inlineStr">
        <is>
          <t>Part V (continued) - Research Craft</t>
        </is>
      </c>
      <c r="C2725" s="22" t="inlineStr">
        <is>
          <t>C.10 Reproducibility and not fooling yourself</t>
        </is>
      </c>
      <c r="D2725" s="10" t="inlineStr">
        <is>
          <t>The Dark Side of Science: Misconduct in Biomedical Research</t>
        </is>
      </c>
      <c r="E2725" s="10" t="inlineStr">
        <is>
          <t>Elisabeth Bik</t>
        </is>
      </c>
      <c r="F2725" s="11" t="inlineStr">
        <is>
          <t>1:06:35</t>
        </is>
      </c>
      <c r="G2725" s="11" t="n">
        <v>1.11</v>
      </c>
      <c r="H2725" s="12" t="inlineStr">
        <is>
          <t>★</t>
        </is>
      </c>
      <c r="I2725" s="11" t="inlineStr">
        <is>
          <t>Not started</t>
        </is>
      </c>
      <c r="J2725" s="13" t="n"/>
      <c r="K2725" s="10" t="inlineStr"/>
      <c r="L2725" s="14" t="inlineStr">
        <is>
          <t>▶ watch</t>
        </is>
      </c>
      <c r="M2725" s="10" t="inlineStr">
        <is>
          <t>Kapoor &amp; Narayanan 2023, Patterns 4:100804 · Ioannidis 2005, PLoS Med 2:e124</t>
        </is>
      </c>
      <c r="N2725" s="14" t="inlineStr">
        <is>
          <t>read ↗</t>
        </is>
      </c>
      <c r="O2725" s="11" t="inlineStr">
        <is>
          <t>section reading (2 of 3)</t>
        </is>
      </c>
      <c r="P2725" s="10" t="inlineStr"/>
    </row>
    <row r="2726">
      <c r="A2726" s="21" t="n">
        <v>2725</v>
      </c>
      <c r="B2726" s="21" t="inlineStr">
        <is>
          <t>Part V (continued) - Research Craft</t>
        </is>
      </c>
      <c r="C2726" s="22" t="inlineStr">
        <is>
          <t>C.10 Reproducibility and not fooling yourself</t>
        </is>
      </c>
      <c r="D2726" s="10" t="inlineStr">
        <is>
          <t>12 Ways to Fool the Masses with Irreproducible Results</t>
        </is>
      </c>
      <c r="E2726" s="10" t="inlineStr">
        <is>
          <t>Lorena Barba (GWU</t>
        </is>
      </c>
      <c r="F2726" s="11" t="inlineStr">
        <is>
          <t>37:12</t>
        </is>
      </c>
      <c r="G2726" s="11" t="n">
        <v>0.62</v>
      </c>
      <c r="H2726" s="12" t="inlineStr">
        <is>
          <t>★</t>
        </is>
      </c>
      <c r="I2726" s="11" t="inlineStr">
        <is>
          <t>Not started</t>
        </is>
      </c>
      <c r="J2726" s="13" t="n"/>
      <c r="K2726" s="10" t="inlineStr"/>
      <c r="L2726" s="14" t="inlineStr">
        <is>
          <t>▶ watch</t>
        </is>
      </c>
      <c r="M2726" s="10" t="inlineStr">
        <is>
          <t>Kapoor &amp; Narayanan 2023, Patterns 4:100804 · Ioannidis 2005, PLoS Med 2:e124</t>
        </is>
      </c>
      <c r="N2726" s="14" t="inlineStr">
        <is>
          <t>read ↗</t>
        </is>
      </c>
      <c r="O2726" s="11" t="inlineStr">
        <is>
          <t>section reading (2 of 3)</t>
        </is>
      </c>
      <c r="P2726" s="10" t="inlineStr"/>
    </row>
    <row r="2727">
      <c r="A2727" s="21" t="n">
        <v>2726</v>
      </c>
      <c r="B2727" s="21" t="inlineStr">
        <is>
          <t>Part V (continued) - Research Craft</t>
        </is>
      </c>
      <c r="C2727" s="22" t="inlineStr">
        <is>
          <t>C.10 Reproducibility and not fooling yourself</t>
        </is>
      </c>
      <c r="D2727" s="10" t="inlineStr">
        <is>
          <t>Reproducible, Reusable, and Robust Reinforcement Learning</t>
        </is>
      </c>
      <c r="E2727" s="10" t="inlineStr">
        <is>
          <t>Joelle Pineau (McGill/Meta</t>
        </is>
      </c>
      <c r="F2727" s="11" t="inlineStr">
        <is>
          <t>39:53</t>
        </is>
      </c>
      <c r="G2727" s="11" t="n">
        <v>0.66</v>
      </c>
      <c r="H2727" s="12" t="inlineStr">
        <is>
          <t>★</t>
        </is>
      </c>
      <c r="I2727" s="11" t="inlineStr">
        <is>
          <t>Not started</t>
        </is>
      </c>
      <c r="J2727" s="13" t="n"/>
      <c r="K2727" s="10" t="inlineStr"/>
      <c r="L2727" s="14" t="inlineStr">
        <is>
          <t>▶ watch</t>
        </is>
      </c>
      <c r="M2727" s="10" t="inlineStr">
        <is>
          <t>Kapoor &amp; Narayanan 2023, Patterns 4:100804 · Ioannidis 2005, PLoS Med 2:e124</t>
        </is>
      </c>
      <c r="N2727" s="14" t="inlineStr">
        <is>
          <t>read ↗</t>
        </is>
      </c>
      <c r="O2727" s="11" t="inlineStr">
        <is>
          <t>section reading (2 of 3)</t>
        </is>
      </c>
      <c r="P2727" s="10" t="inlineStr"/>
    </row>
    <row r="2728">
      <c r="A2728" s="21" t="n">
        <v>2727</v>
      </c>
      <c r="B2728" s="21" t="inlineStr">
        <is>
          <t>Part V (continued) - Research Craft</t>
        </is>
      </c>
      <c r="C2728" s="22" t="inlineStr">
        <is>
          <t>C.10 Reproducibility and not fooling yourself</t>
        </is>
      </c>
      <c r="D2728" s="10" t="inlineStr">
        <is>
          <t>Calling Bullshit: Skepticism in a Data-Driven World</t>
        </is>
      </c>
      <c r="E2728" s="10" t="inlineStr">
        <is>
          <t>Bergstrom &amp; West (UW</t>
        </is>
      </c>
      <c r="F2728" s="11" t="inlineStr">
        <is>
          <t>58:45</t>
        </is>
      </c>
      <c r="G2728" s="11" t="n">
        <v>0.98</v>
      </c>
      <c r="H2728" s="12" t="inlineStr"/>
      <c r="I2728" s="11" t="inlineStr">
        <is>
          <t>Not started</t>
        </is>
      </c>
      <c r="J2728" s="13" t="n"/>
      <c r="K2728" s="10" t="inlineStr"/>
      <c r="L2728" s="14" t="inlineStr">
        <is>
          <t>▶ watch</t>
        </is>
      </c>
      <c r="M2728" s="10" t="inlineStr">
        <is>
          <t>Kapoor &amp; Narayanan 2023, Patterns 4:100804 · Ioannidis 2005, PLoS Med 2:e124</t>
        </is>
      </c>
      <c r="N2728" s="14" t="inlineStr">
        <is>
          <t>read ↗</t>
        </is>
      </c>
      <c r="O2728" s="11" t="inlineStr">
        <is>
          <t>section reading (2 of 3)</t>
        </is>
      </c>
      <c r="P2728" s="10" t="inlineStr"/>
    </row>
    <row r="2729">
      <c r="A2729" s="21" t="n">
        <v>2728</v>
      </c>
      <c r="B2729" s="21" t="inlineStr">
        <is>
          <t>Part V (continued) - Research Craft</t>
        </is>
      </c>
      <c r="C2729" s="22" t="inlineStr">
        <is>
          <t>C.10 Reproducibility and not fooling yourself</t>
        </is>
      </c>
      <c r="D2729" s="10" t="inlineStr">
        <is>
          <t>Ivan Oransky (Retraction Watch</t>
        </is>
      </c>
      <c r="E2729" s="10" t="inlineStr">
        <is>
          <t>Does Science Self-Correct?</t>
        </is>
      </c>
      <c r="F2729" s="11" t="inlineStr">
        <is>
          <t>33:40</t>
        </is>
      </c>
      <c r="G2729" s="11" t="n">
        <v>0.5600000000000001</v>
      </c>
      <c r="H2729" s="12" t="inlineStr"/>
      <c r="I2729" s="11" t="inlineStr">
        <is>
          <t>Not started</t>
        </is>
      </c>
      <c r="J2729" s="13" t="n"/>
      <c r="K2729" s="10" t="inlineStr"/>
      <c r="L2729" s="14" t="inlineStr">
        <is>
          <t>▶ watch</t>
        </is>
      </c>
      <c r="M2729" s="10" t="inlineStr">
        <is>
          <t>Kapoor &amp; Narayanan 2023, Patterns 4:100804 · Ioannidis 2005, PLoS Med 2:e124</t>
        </is>
      </c>
      <c r="N2729" s="14" t="inlineStr">
        <is>
          <t>read ↗</t>
        </is>
      </c>
      <c r="O2729" s="11" t="inlineStr">
        <is>
          <t>section reading (2 of 3)</t>
        </is>
      </c>
      <c r="P2729" s="10" t="inlineStr"/>
    </row>
    <row r="2730">
      <c r="A2730" s="21" t="n">
        <v>2729</v>
      </c>
      <c r="B2730" s="21" t="inlineStr">
        <is>
          <t>Part V (continued) - Research Craft</t>
        </is>
      </c>
      <c r="C2730" s="22" t="inlineStr">
        <is>
          <t>C.11 Statistics and inference hygiene</t>
        </is>
      </c>
      <c r="D2730" s="10" t="inlineStr">
        <is>
          <t>Introduction to Bayesian Workflow</t>
        </is>
      </c>
      <c r="E2730" s="10" t="inlineStr">
        <is>
          <t>Multilevel Models</t>
        </is>
      </c>
      <c r="F2730" s="11" t="inlineStr">
        <is>
          <t>1:00:49</t>
        </is>
      </c>
      <c r="G2730" s="11" t="n">
        <v>1.01</v>
      </c>
      <c r="H2730" s="12" t="inlineStr"/>
      <c r="I2730" s="11" t="inlineStr">
        <is>
          <t>Not started</t>
        </is>
      </c>
      <c r="J2730" s="13" t="n"/>
      <c r="K2730" s="10" t="inlineStr"/>
      <c r="L2730" s="14" t="inlineStr">
        <is>
          <t>▶ watch</t>
        </is>
      </c>
      <c r="M2730" s="10" t="inlineStr">
        <is>
          <t>Kapoor &amp; Narayanan 2023, Patterns 4:100804 · Ioannidis 2005, PLoS Med 2:e124</t>
        </is>
      </c>
      <c r="N2730" s="14" t="inlineStr">
        <is>
          <t>read ↗</t>
        </is>
      </c>
      <c r="O2730" s="11" t="inlineStr">
        <is>
          <t>reading for C.10 Reproducibility and not fooling you</t>
        </is>
      </c>
      <c r="P2730" s="10" t="inlineStr"/>
    </row>
    <row r="2731">
      <c r="A2731" s="21" t="n">
        <v>2730</v>
      </c>
      <c r="B2731" s="21" t="inlineStr">
        <is>
          <t>Part V (continued) - Research Craft</t>
        </is>
      </c>
      <c r="C2731" s="22" t="inlineStr">
        <is>
          <t>C.11 Statistics and inference hygiene</t>
        </is>
      </c>
      <c r="D2731" s="10" t="inlineStr">
        <is>
          <t>Introduction to Bayesian Workflow</t>
        </is>
      </c>
      <c r="E2731" s="10" t="inlineStr">
        <is>
          <t>Multilevel Models</t>
        </is>
      </c>
      <c r="F2731" s="11" t="inlineStr">
        <is>
          <t>1:00:49</t>
        </is>
      </c>
      <c r="G2731" s="11" t="n">
        <v>1.01</v>
      </c>
      <c r="H2731" s="12" t="inlineStr"/>
      <c r="I2731" s="11" t="inlineStr">
        <is>
          <t>Not started</t>
        </is>
      </c>
      <c r="J2731" s="13" t="n"/>
      <c r="K2731" s="10" t="inlineStr"/>
      <c r="L2731" s="14" t="inlineStr">
        <is>
          <t>▶ watch</t>
        </is>
      </c>
      <c r="M2731" s="10" t="inlineStr">
        <is>
          <t>Kapoor &amp; Narayanan 2023, Patterns 4:100804 · Ioannidis 2005, PLoS Med 2:e124</t>
        </is>
      </c>
      <c r="N2731" s="14" t="inlineStr">
        <is>
          <t>read ↗</t>
        </is>
      </c>
      <c r="O2731" s="11" t="inlineStr">
        <is>
          <t>reading for C.10 Reproducibility and not fooling you</t>
        </is>
      </c>
      <c r="P2731" s="10" t="inlineStr"/>
    </row>
    <row r="2732">
      <c r="A2732" s="21" t="n">
        <v>2731</v>
      </c>
      <c r="B2732" s="21" t="inlineStr">
        <is>
          <t>Part V (continued) - Research Craft</t>
        </is>
      </c>
      <c r="C2732" s="22" t="inlineStr">
        <is>
          <t>C.11 Statistics and inference hygiene</t>
        </is>
      </c>
      <c r="D2732" s="10" t="inlineStr">
        <is>
          <t>Multilevel Model Expansion</t>
        </is>
      </c>
      <c r="E2732" s="10" t="inlineStr">
        <is>
          <t>Garden of Forking Data</t>
        </is>
      </c>
      <c r="F2732" s="11" t="inlineStr">
        <is>
          <t>59:32</t>
        </is>
      </c>
      <c r="G2732" s="11" t="n">
        <v>0.99</v>
      </c>
      <c r="H2732" s="12" t="inlineStr">
        <is>
          <t>★</t>
        </is>
      </c>
      <c r="I2732" s="11" t="inlineStr">
        <is>
          <t>Not started</t>
        </is>
      </c>
      <c r="J2732" s="13" t="n"/>
      <c r="K2732" s="10" t="inlineStr"/>
      <c r="L2732" s="14" t="inlineStr">
        <is>
          <t>▶ watch</t>
        </is>
      </c>
      <c r="M2732" s="10" t="inlineStr">
        <is>
          <t>Kapoor &amp; Narayanan 2023, Patterns 4:100804 · Ioannidis 2005, PLoS Med 2:e124</t>
        </is>
      </c>
      <c r="N2732" s="14" t="inlineStr">
        <is>
          <t>read ↗</t>
        </is>
      </c>
      <c r="O2732" s="11" t="inlineStr">
        <is>
          <t>reading for C.10 Reproducibility and not fooling you</t>
        </is>
      </c>
      <c r="P2732" s="10" t="inlineStr"/>
    </row>
    <row r="2733">
      <c r="A2733" s="21" t="n">
        <v>2732</v>
      </c>
      <c r="B2733" s="21" t="inlineStr">
        <is>
          <t>Part V (continued) - Research Craft</t>
        </is>
      </c>
      <c r="C2733" s="22" t="inlineStr">
        <is>
          <t>C.11 Statistics and inference hygiene</t>
        </is>
      </c>
      <c r="D2733" s="10" t="inlineStr">
        <is>
          <t>Multilevel Model Expansion</t>
        </is>
      </c>
      <c r="E2733" s="10" t="inlineStr">
        <is>
          <t>Garden of Forking Data</t>
        </is>
      </c>
      <c r="F2733" s="11" t="inlineStr">
        <is>
          <t>59:32</t>
        </is>
      </c>
      <c r="G2733" s="11" t="n">
        <v>0.99</v>
      </c>
      <c r="H2733" s="12" t="inlineStr">
        <is>
          <t>★</t>
        </is>
      </c>
      <c r="I2733" s="11" t="inlineStr">
        <is>
          <t>Not started</t>
        </is>
      </c>
      <c r="J2733" s="13" t="n"/>
      <c r="K2733" s="10" t="inlineStr"/>
      <c r="L2733" s="14" t="inlineStr">
        <is>
          <t>▶ watch</t>
        </is>
      </c>
      <c r="M2733" s="10" t="inlineStr">
        <is>
          <t>Kapoor &amp; Narayanan 2023, Patterns 4:100804 · Ioannidis 2005, PLoS Med 2:e124</t>
        </is>
      </c>
      <c r="N2733" s="14" t="inlineStr">
        <is>
          <t>read ↗</t>
        </is>
      </c>
      <c r="O2733" s="11" t="inlineStr">
        <is>
          <t>reading for C.10 Reproducibility and not fooling you</t>
        </is>
      </c>
      <c r="P2733" s="10" t="inlineStr"/>
    </row>
    <row r="2734">
      <c r="A2734" s="21" t="n">
        <v>2733</v>
      </c>
      <c r="B2734" s="21" t="inlineStr">
        <is>
          <t>Part V (continued) - Research Craft</t>
        </is>
      </c>
      <c r="C2734" s="22" t="inlineStr">
        <is>
          <t>C.11 Statistics and inference hygiene</t>
        </is>
      </c>
      <c r="D2734" s="10" t="inlineStr">
        <is>
          <t>Adventures in Covariance</t>
        </is>
      </c>
      <c r="E2734" s="10" t="inlineStr">
        <is>
          <t>Geocentric Models</t>
        </is>
      </c>
      <c r="F2734" s="11" t="inlineStr">
        <is>
          <t>1:01:16</t>
        </is>
      </c>
      <c r="G2734" s="11" t="n">
        <v>1.02</v>
      </c>
      <c r="H2734" s="12" t="inlineStr"/>
      <c r="I2734" s="11" t="inlineStr">
        <is>
          <t>Not started</t>
        </is>
      </c>
      <c r="J2734" s="13" t="n"/>
      <c r="K2734" s="10" t="inlineStr"/>
      <c r="L2734" s="14" t="inlineStr">
        <is>
          <t>▶ watch</t>
        </is>
      </c>
      <c r="M2734" s="10" t="inlineStr">
        <is>
          <t>Kapoor &amp; Narayanan 2023, Patterns 4:100804 · Ioannidis 2005, PLoS Med 2:e124</t>
        </is>
      </c>
      <c r="N2734" s="14" t="inlineStr">
        <is>
          <t>read ↗</t>
        </is>
      </c>
      <c r="O2734" s="11" t="inlineStr">
        <is>
          <t>reading for C.10 Reproducibility and not fooling you</t>
        </is>
      </c>
      <c r="P2734" s="10" t="inlineStr"/>
    </row>
    <row r="2735">
      <c r="A2735" s="21" t="n">
        <v>2734</v>
      </c>
      <c r="B2735" s="21" t="inlineStr">
        <is>
          <t>Part V (continued) - Research Craft</t>
        </is>
      </c>
      <c r="C2735" s="22" t="inlineStr">
        <is>
          <t>C.11 Statistics and inference hygiene</t>
        </is>
      </c>
      <c r="D2735" s="10" t="inlineStr">
        <is>
          <t>Adventures in Covariance</t>
        </is>
      </c>
      <c r="E2735" s="10" t="inlineStr">
        <is>
          <t>Geocentric Models</t>
        </is>
      </c>
      <c r="F2735" s="11" t="inlineStr">
        <is>
          <t>1:01:16</t>
        </is>
      </c>
      <c r="G2735" s="11" t="n">
        <v>1.02</v>
      </c>
      <c r="H2735" s="12" t="inlineStr"/>
      <c r="I2735" s="11" t="inlineStr">
        <is>
          <t>Not started</t>
        </is>
      </c>
      <c r="J2735" s="13" t="n"/>
      <c r="K2735" s="10" t="inlineStr"/>
      <c r="L2735" s="14" t="inlineStr">
        <is>
          <t>▶ watch</t>
        </is>
      </c>
      <c r="M2735" s="10" t="inlineStr">
        <is>
          <t>Kapoor &amp; Narayanan 2023, Patterns 4:100804 · Ioannidis 2005, PLoS Med 2:e124</t>
        </is>
      </c>
      <c r="N2735" s="14" t="inlineStr">
        <is>
          <t>read ↗</t>
        </is>
      </c>
      <c r="O2735" s="11" t="inlineStr">
        <is>
          <t>reading for C.10 Reproducibility and not fooling you</t>
        </is>
      </c>
      <c r="P2735" s="10" t="inlineStr"/>
    </row>
    <row r="2736">
      <c r="A2736" s="21" t="n">
        <v>2735</v>
      </c>
      <c r="B2736" s="21" t="inlineStr">
        <is>
          <t>Part V (continued) - Research Craft</t>
        </is>
      </c>
      <c r="C2736" s="22" t="inlineStr">
        <is>
          <t>C.11 Statistics and inference hygiene</t>
        </is>
      </c>
      <c r="D2736" s="10" t="inlineStr">
        <is>
          <t>Group-level Confounding</t>
        </is>
      </c>
      <c r="E2736" s="10" t="inlineStr">
        <is>
          <t>Categories and Causes</t>
        </is>
      </c>
      <c r="F2736" s="11" t="inlineStr">
        <is>
          <t>1:03:11</t>
        </is>
      </c>
      <c r="G2736" s="11" t="n">
        <v>1.05</v>
      </c>
      <c r="H2736" s="12" t="inlineStr"/>
      <c r="I2736" s="11" t="inlineStr">
        <is>
          <t>Not started</t>
        </is>
      </c>
      <c r="J2736" s="13" t="n"/>
      <c r="K2736" s="10" t="inlineStr"/>
      <c r="L2736" s="14" t="inlineStr">
        <is>
          <t>▶ watch</t>
        </is>
      </c>
      <c r="M2736" s="10" t="inlineStr">
        <is>
          <t>Kapoor &amp; Narayanan 2023, Patterns 4:100804 · Ioannidis 2005, PLoS Med 2:e124</t>
        </is>
      </c>
      <c r="N2736" s="14" t="inlineStr">
        <is>
          <t>read ↗</t>
        </is>
      </c>
      <c r="O2736" s="11" t="inlineStr">
        <is>
          <t>reading for C.10 Reproducibility and not fooling you</t>
        </is>
      </c>
      <c r="P2736" s="10" t="inlineStr"/>
    </row>
    <row r="2737">
      <c r="A2737" s="21" t="n">
        <v>2736</v>
      </c>
      <c r="B2737" s="21" t="inlineStr">
        <is>
          <t>Part V (continued) - Research Craft</t>
        </is>
      </c>
      <c r="C2737" s="22" t="inlineStr">
        <is>
          <t>C.11 Statistics and inference hygiene</t>
        </is>
      </c>
      <c r="D2737" s="10" t="inlineStr">
        <is>
          <t>Group-level Confounding</t>
        </is>
      </c>
      <c r="E2737" s="10" t="inlineStr">
        <is>
          <t>Categories and Causes</t>
        </is>
      </c>
      <c r="F2737" s="11" t="inlineStr">
        <is>
          <t>1:03:11</t>
        </is>
      </c>
      <c r="G2737" s="11" t="n">
        <v>1.05</v>
      </c>
      <c r="H2737" s="12" t="inlineStr"/>
      <c r="I2737" s="11" t="inlineStr">
        <is>
          <t>Not started</t>
        </is>
      </c>
      <c r="J2737" s="13" t="n"/>
      <c r="K2737" s="10" t="inlineStr"/>
      <c r="L2737" s="14" t="inlineStr">
        <is>
          <t>▶ watch</t>
        </is>
      </c>
      <c r="M2737" s="10" t="inlineStr">
        <is>
          <t>Kapoor &amp; Narayanan 2023, Patterns 4:100804 · Ioannidis 2005, PLoS Med 2:e124</t>
        </is>
      </c>
      <c r="N2737" s="14" t="inlineStr">
        <is>
          <t>read ↗</t>
        </is>
      </c>
      <c r="O2737" s="11" t="inlineStr">
        <is>
          <t>reading for C.10 Reproducibility and not fooling you</t>
        </is>
      </c>
      <c r="P2737" s="10" t="inlineStr"/>
    </row>
    <row r="2738">
      <c r="A2738" s="21" t="n">
        <v>2737</v>
      </c>
      <c r="B2738" s="21" t="inlineStr">
        <is>
          <t>Part V (continued) - Research Craft</t>
        </is>
      </c>
      <c r="C2738" s="22" t="inlineStr">
        <is>
          <t>C.11 Statistics and inference hygiene</t>
        </is>
      </c>
      <c r="D2738" s="10" t="inlineStr">
        <is>
          <t>Estimands and Estiplans</t>
        </is>
      </c>
      <c r="E2738" s="10" t="inlineStr">
        <is>
          <t>Social Networks II</t>
        </is>
      </c>
      <c r="F2738" s="11" t="inlineStr">
        <is>
          <t>1:02:34</t>
        </is>
      </c>
      <c r="G2738" s="11" t="n">
        <v>1.04</v>
      </c>
      <c r="H2738" s="12" t="inlineStr"/>
      <c r="I2738" s="11" t="inlineStr">
        <is>
          <t>Not started</t>
        </is>
      </c>
      <c r="J2738" s="13" t="n"/>
      <c r="K2738" s="10" t="inlineStr"/>
      <c r="L2738" s="14" t="inlineStr">
        <is>
          <t>▶ watch</t>
        </is>
      </c>
      <c r="M2738" s="10" t="inlineStr">
        <is>
          <t>Kapoor &amp; Narayanan 2023, Patterns 4:100804 · Ioannidis 2005, PLoS Med 2:e124</t>
        </is>
      </c>
      <c r="N2738" s="14" t="inlineStr">
        <is>
          <t>read ↗</t>
        </is>
      </c>
      <c r="O2738" s="11" t="inlineStr">
        <is>
          <t>reading for C.10 Reproducibility and not fooling you</t>
        </is>
      </c>
      <c r="P2738" s="10" t="inlineStr"/>
    </row>
    <row r="2739">
      <c r="A2739" s="21" t="n">
        <v>2738</v>
      </c>
      <c r="B2739" s="21" t="inlineStr">
        <is>
          <t>Part V (continued) - Research Craft</t>
        </is>
      </c>
      <c r="C2739" s="22" t="inlineStr">
        <is>
          <t>C.11 Statistics and inference hygiene</t>
        </is>
      </c>
      <c r="D2739" s="10" t="inlineStr">
        <is>
          <t>Estimands and Estiplans</t>
        </is>
      </c>
      <c r="E2739" s="10" t="inlineStr">
        <is>
          <t>Social Networks II</t>
        </is>
      </c>
      <c r="F2739" s="11" t="inlineStr">
        <is>
          <t>1:02:34</t>
        </is>
      </c>
      <c r="G2739" s="11" t="n">
        <v>1.04</v>
      </c>
      <c r="H2739" s="12" t="inlineStr"/>
      <c r="I2739" s="11" t="inlineStr">
        <is>
          <t>Not started</t>
        </is>
      </c>
      <c r="J2739" s="13" t="n"/>
      <c r="K2739" s="10" t="inlineStr"/>
      <c r="L2739" s="14" t="inlineStr">
        <is>
          <t>▶ watch</t>
        </is>
      </c>
      <c r="M2739" s="10" t="inlineStr">
        <is>
          <t>Kapoor &amp; Narayanan 2023, Patterns 4:100804 · Ioannidis 2005, PLoS Med 2:e124</t>
        </is>
      </c>
      <c r="N2739" s="14" t="inlineStr">
        <is>
          <t>read ↗</t>
        </is>
      </c>
      <c r="O2739" s="11" t="inlineStr">
        <is>
          <t>reading for C.10 Reproducibility and not fooling you</t>
        </is>
      </c>
      <c r="P2739" s="10" t="inlineStr"/>
    </row>
    <row r="2740">
      <c r="A2740" s="21" t="n">
        <v>2739</v>
      </c>
      <c r="B2740" s="21" t="inlineStr">
        <is>
          <t>Part V (continued) - Research Craft</t>
        </is>
      </c>
      <c r="C2740" s="22" t="inlineStr">
        <is>
          <t>C.11 Statistics and inference hygiene</t>
        </is>
      </c>
      <c r="D2740" s="10" t="inlineStr">
        <is>
          <t>Elemental Confounds</t>
        </is>
      </c>
      <c r="E2740" s="10" t="inlineStr">
        <is>
          <t>Gaussian Processes</t>
        </is>
      </c>
      <c r="F2740" s="11" t="inlineStr">
        <is>
          <t>1:01:31</t>
        </is>
      </c>
      <c r="G2740" s="11" t="n">
        <v>1.03</v>
      </c>
      <c r="H2740" s="12" t="inlineStr"/>
      <c r="I2740" s="11" t="inlineStr">
        <is>
          <t>Not started</t>
        </is>
      </c>
      <c r="J2740" s="13" t="n"/>
      <c r="K2740" s="10" t="inlineStr"/>
      <c r="L2740" s="14" t="inlineStr">
        <is>
          <t>▶ watch</t>
        </is>
      </c>
      <c r="M2740" s="10" t="inlineStr">
        <is>
          <t>Kapoor &amp; Narayanan 2023, Patterns 4:100804 · Ioannidis 2005, PLoS Med 2:e124</t>
        </is>
      </c>
      <c r="N2740" s="14" t="inlineStr">
        <is>
          <t>read ↗</t>
        </is>
      </c>
      <c r="O2740" s="11" t="inlineStr">
        <is>
          <t>reading for C.10 Reproducibility and not fooling you</t>
        </is>
      </c>
      <c r="P2740" s="10" t="inlineStr"/>
    </row>
    <row r="2741">
      <c r="A2741" s="21" t="n">
        <v>2740</v>
      </c>
      <c r="B2741" s="21" t="inlineStr">
        <is>
          <t>Part V (continued) - Research Craft</t>
        </is>
      </c>
      <c r="C2741" s="22" t="inlineStr">
        <is>
          <t>C.11 Statistics and inference hygiene</t>
        </is>
      </c>
      <c r="D2741" s="10" t="inlineStr">
        <is>
          <t>Elemental Confounds</t>
        </is>
      </c>
      <c r="E2741" s="10" t="inlineStr">
        <is>
          <t>Gaussian Processes</t>
        </is>
      </c>
      <c r="F2741" s="11" t="inlineStr">
        <is>
          <t>1:01:31</t>
        </is>
      </c>
      <c r="G2741" s="11" t="n">
        <v>1.03</v>
      </c>
      <c r="H2741" s="12" t="inlineStr"/>
      <c r="I2741" s="11" t="inlineStr">
        <is>
          <t>Not started</t>
        </is>
      </c>
      <c r="J2741" s="13" t="n"/>
      <c r="K2741" s="10" t="inlineStr"/>
      <c r="L2741" s="14" t="inlineStr">
        <is>
          <t>▶ watch</t>
        </is>
      </c>
      <c r="M2741" s="10" t="inlineStr">
        <is>
          <t>Kapoor &amp; Narayanan 2023, Patterns 4:100804 · Ioannidis 2005, PLoS Med 2:e124</t>
        </is>
      </c>
      <c r="N2741" s="14" t="inlineStr">
        <is>
          <t>read ↗</t>
        </is>
      </c>
      <c r="O2741" s="11" t="inlineStr">
        <is>
          <t>reading for C.10 Reproducibility and not fooling you</t>
        </is>
      </c>
      <c r="P2741" s="10" t="inlineStr"/>
    </row>
    <row r="2742">
      <c r="A2742" s="21" t="n">
        <v>2741</v>
      </c>
      <c r="B2742" s="21" t="inlineStr">
        <is>
          <t>Part V (continued) - Research Craft</t>
        </is>
      </c>
      <c r="C2742" s="22" t="inlineStr">
        <is>
          <t>C.11 Statistics and inference hygiene</t>
        </is>
      </c>
      <c r="D2742" s="10" t="inlineStr">
        <is>
          <t>Good and Bad Controls</t>
        </is>
      </c>
      <c r="E2742" s="10" t="inlineStr">
        <is>
          <t>Measurement Models</t>
        </is>
      </c>
      <c r="F2742" s="11" t="inlineStr">
        <is>
          <t>1:00:44</t>
        </is>
      </c>
      <c r="G2742" s="11" t="n">
        <v>1.01</v>
      </c>
      <c r="H2742" s="12" t="inlineStr">
        <is>
          <t>★</t>
        </is>
      </c>
      <c r="I2742" s="11" t="inlineStr">
        <is>
          <t>Not started</t>
        </is>
      </c>
      <c r="J2742" s="13" t="n"/>
      <c r="K2742" s="10" t="inlineStr"/>
      <c r="L2742" s="14" t="inlineStr">
        <is>
          <t>▶ watch</t>
        </is>
      </c>
      <c r="M2742" s="10" t="inlineStr">
        <is>
          <t>Kapoor &amp; Narayanan 2023, Patterns 4:100804 · Ioannidis 2005, PLoS Med 2:e124</t>
        </is>
      </c>
      <c r="N2742" s="14" t="inlineStr">
        <is>
          <t>read ↗</t>
        </is>
      </c>
      <c r="O2742" s="11" t="inlineStr">
        <is>
          <t>reading for C.10 Reproducibility and not fooling you</t>
        </is>
      </c>
      <c r="P2742" s="10" t="inlineStr"/>
    </row>
    <row r="2743">
      <c r="A2743" s="21" t="n">
        <v>2742</v>
      </c>
      <c r="B2743" s="21" t="inlineStr">
        <is>
          <t>Part V (continued) - Research Craft</t>
        </is>
      </c>
      <c r="C2743" s="22" t="inlineStr">
        <is>
          <t>C.11 Statistics and inference hygiene</t>
        </is>
      </c>
      <c r="D2743" s="10" t="inlineStr">
        <is>
          <t>Good and Bad Controls</t>
        </is>
      </c>
      <c r="E2743" s="10" t="inlineStr">
        <is>
          <t>Measurement Models</t>
        </is>
      </c>
      <c r="F2743" s="11" t="inlineStr">
        <is>
          <t>1:00:44</t>
        </is>
      </c>
      <c r="G2743" s="11" t="n">
        <v>1.01</v>
      </c>
      <c r="H2743" s="12" t="inlineStr">
        <is>
          <t>★</t>
        </is>
      </c>
      <c r="I2743" s="11" t="inlineStr">
        <is>
          <t>Not started</t>
        </is>
      </c>
      <c r="J2743" s="13" t="n"/>
      <c r="K2743" s="10" t="inlineStr"/>
      <c r="L2743" s="14" t="inlineStr">
        <is>
          <t>▶ watch</t>
        </is>
      </c>
      <c r="M2743" s="10" t="inlineStr">
        <is>
          <t>Kapoor &amp; Narayanan 2023, Patterns 4:100804 · Ioannidis 2005, PLoS Med 2:e124</t>
        </is>
      </c>
      <c r="N2743" s="14" t="inlineStr">
        <is>
          <t>read ↗</t>
        </is>
      </c>
      <c r="O2743" s="11" t="inlineStr">
        <is>
          <t>reading for C.10 Reproducibility and not fooling you</t>
        </is>
      </c>
      <c r="P2743" s="10" t="inlineStr"/>
    </row>
    <row r="2744">
      <c r="A2744" s="21" t="n">
        <v>2743</v>
      </c>
      <c r="B2744" s="21" t="inlineStr">
        <is>
          <t>Part V (continued) - Research Craft</t>
        </is>
      </c>
      <c r="C2744" s="22" t="inlineStr">
        <is>
          <t>C.11 Statistics and inference hygiene</t>
        </is>
      </c>
      <c r="D2744" s="10" t="inlineStr">
        <is>
          <t>MCMC and Item Response Models</t>
        </is>
      </c>
      <c r="E2744" s="10" t="inlineStr">
        <is>
          <t>Missing and Censored Data</t>
        </is>
      </c>
      <c r="F2744" s="11" t="inlineStr">
        <is>
          <t>1:07:42</t>
        </is>
      </c>
      <c r="G2744" s="11" t="n">
        <v>1.13</v>
      </c>
      <c r="H2744" s="12" t="inlineStr"/>
      <c r="I2744" s="11" t="inlineStr">
        <is>
          <t>Not started</t>
        </is>
      </c>
      <c r="J2744" s="13" t="n"/>
      <c r="K2744" s="10" t="inlineStr"/>
      <c r="L2744" s="14" t="inlineStr">
        <is>
          <t>▶ watch</t>
        </is>
      </c>
      <c r="M2744" s="10" t="inlineStr">
        <is>
          <t>Kapoor &amp; Narayanan 2023, Patterns 4:100804 · Ioannidis 2005, PLoS Med 2:e124</t>
        </is>
      </c>
      <c r="N2744" s="14" t="inlineStr">
        <is>
          <t>read ↗</t>
        </is>
      </c>
      <c r="O2744" s="11" t="inlineStr">
        <is>
          <t>reading for C.10 Reproducibility and not fooling you</t>
        </is>
      </c>
      <c r="P2744" s="10" t="inlineStr"/>
    </row>
    <row r="2745">
      <c r="A2745" s="21" t="n">
        <v>2744</v>
      </c>
      <c r="B2745" s="21" t="inlineStr">
        <is>
          <t>Part V (continued) - Research Craft</t>
        </is>
      </c>
      <c r="C2745" s="22" t="inlineStr">
        <is>
          <t>C.11 Statistics and inference hygiene</t>
        </is>
      </c>
      <c r="D2745" s="10" t="inlineStr">
        <is>
          <t>MCMC and Item Response Models</t>
        </is>
      </c>
      <c r="E2745" s="10" t="inlineStr">
        <is>
          <t>Missing and Censored Data</t>
        </is>
      </c>
      <c r="F2745" s="11" t="inlineStr">
        <is>
          <t>1:07:42</t>
        </is>
      </c>
      <c r="G2745" s="11" t="n">
        <v>1.13</v>
      </c>
      <c r="H2745" s="12" t="inlineStr"/>
      <c r="I2745" s="11" t="inlineStr">
        <is>
          <t>Not started</t>
        </is>
      </c>
      <c r="J2745" s="13" t="n"/>
      <c r="K2745" s="10" t="inlineStr"/>
      <c r="L2745" s="14" t="inlineStr">
        <is>
          <t>▶ watch</t>
        </is>
      </c>
      <c r="M2745" s="10" t="inlineStr">
        <is>
          <t>Kapoor &amp; Narayanan 2023, Patterns 4:100804 · Ioannidis 2005, PLoS Med 2:e124</t>
        </is>
      </c>
      <c r="N2745" s="14" t="inlineStr">
        <is>
          <t>read ↗</t>
        </is>
      </c>
      <c r="O2745" s="11" t="inlineStr">
        <is>
          <t>reading for C.10 Reproducibility and not fooling you</t>
        </is>
      </c>
      <c r="P2745" s="10" t="inlineStr"/>
    </row>
    <row r="2746">
      <c r="A2746" s="21" t="n">
        <v>2745</v>
      </c>
      <c r="B2746" s="21" t="inlineStr">
        <is>
          <t>Part V (continued) - Research Craft</t>
        </is>
      </c>
      <c r="C2746" s="22" t="inlineStr">
        <is>
          <t>C.11 Statistics and inference hygiene</t>
        </is>
      </c>
      <c r="D2746" s="10" t="inlineStr">
        <is>
          <t>Generalized Linear Madness</t>
        </is>
      </c>
      <c r="E2746" s="10" t="inlineStr">
        <is>
          <t>Modeling Events</t>
        </is>
      </c>
      <c r="F2746" s="11" t="inlineStr">
        <is>
          <t>1:00:00</t>
        </is>
      </c>
      <c r="G2746" s="11" t="n">
        <v>1</v>
      </c>
      <c r="H2746" s="12" t="inlineStr"/>
      <c r="I2746" s="11" t="inlineStr">
        <is>
          <t>Not started</t>
        </is>
      </c>
      <c r="J2746" s="13" t="n"/>
      <c r="K2746" s="10" t="inlineStr"/>
      <c r="L2746" s="14" t="inlineStr">
        <is>
          <t>▶ watch</t>
        </is>
      </c>
      <c r="M2746" s="10" t="inlineStr">
        <is>
          <t>Kapoor &amp; Narayanan 2023, Patterns 4:100804 · Ioannidis 2005, PLoS Med 2:e124</t>
        </is>
      </c>
      <c r="N2746" s="14" t="inlineStr">
        <is>
          <t>read ↗</t>
        </is>
      </c>
      <c r="O2746" s="11" t="inlineStr">
        <is>
          <t>reading for C.10 Reproducibility and not fooling you</t>
        </is>
      </c>
      <c r="P2746" s="10" t="inlineStr"/>
    </row>
    <row r="2747">
      <c r="A2747" s="21" t="n">
        <v>2746</v>
      </c>
      <c r="B2747" s="21" t="inlineStr">
        <is>
          <t>Part V (continued) - Research Craft</t>
        </is>
      </c>
      <c r="C2747" s="22" t="inlineStr">
        <is>
          <t>C.11 Statistics and inference hygiene</t>
        </is>
      </c>
      <c r="D2747" s="10" t="inlineStr">
        <is>
          <t>Generalized Linear Madness</t>
        </is>
      </c>
      <c r="E2747" s="10" t="inlineStr">
        <is>
          <t>Modeling Events</t>
        </is>
      </c>
      <c r="F2747" s="11" t="inlineStr">
        <is>
          <t>1:00:00</t>
        </is>
      </c>
      <c r="G2747" s="11" t="n">
        <v>1</v>
      </c>
      <c r="H2747" s="12" t="inlineStr"/>
      <c r="I2747" s="11" t="inlineStr">
        <is>
          <t>Not started</t>
        </is>
      </c>
      <c r="J2747" s="13" t="n"/>
      <c r="K2747" s="10" t="inlineStr"/>
      <c r="L2747" s="14" t="inlineStr">
        <is>
          <t>▶ watch</t>
        </is>
      </c>
      <c r="M2747" s="10" t="inlineStr">
        <is>
          <t>Kapoor &amp; Narayanan 2023, Patterns 4:100804 · Ioannidis 2005, PLoS Med 2:e124</t>
        </is>
      </c>
      <c r="N2747" s="14" t="inlineStr">
        <is>
          <t>read ↗</t>
        </is>
      </c>
      <c r="O2747" s="11" t="inlineStr">
        <is>
          <t>reading for C.10 Reproducibility and not fooling you</t>
        </is>
      </c>
      <c r="P2747" s="10" t="inlineStr"/>
    </row>
    <row r="2748">
      <c r="A2748" s="21" t="n">
        <v>2747</v>
      </c>
      <c r="B2748" s="21" t="inlineStr">
        <is>
          <t>Part V (continued) - Research Craft</t>
        </is>
      </c>
      <c r="C2748" s="22" t="inlineStr">
        <is>
          <t>C.11 Statistics and inference hygiene</t>
        </is>
      </c>
      <c r="D2748" s="10" t="inlineStr">
        <is>
          <t>Hidden Confounds and Sensitivity Analysis</t>
        </is>
      </c>
      <c r="E2748" s="10" t="inlineStr">
        <is>
          <t>Hidden Markov Models</t>
        </is>
      </c>
      <c r="F2748" s="11" t="inlineStr">
        <is>
          <t>1:00:05</t>
        </is>
      </c>
      <c r="G2748" s="11" t="n">
        <v>1</v>
      </c>
      <c r="H2748" s="12" t="inlineStr"/>
      <c r="I2748" s="11" t="inlineStr">
        <is>
          <t>Not started</t>
        </is>
      </c>
      <c r="J2748" s="13" t="n"/>
      <c r="K2748" s="10" t="inlineStr"/>
      <c r="L2748" s="14" t="inlineStr">
        <is>
          <t>▶ watch</t>
        </is>
      </c>
      <c r="M2748" s="10" t="inlineStr">
        <is>
          <t>Kapoor &amp; Narayanan 2023, Patterns 4:100804 · Ioannidis 2005, PLoS Med 2:e124</t>
        </is>
      </c>
      <c r="N2748" s="14" t="inlineStr">
        <is>
          <t>read ↗</t>
        </is>
      </c>
      <c r="O2748" s="11" t="inlineStr">
        <is>
          <t>reading for C.10 Reproducibility and not fooling you</t>
        </is>
      </c>
      <c r="P2748" s="10" t="inlineStr"/>
    </row>
    <row r="2749">
      <c r="A2749" s="21" t="n">
        <v>2748</v>
      </c>
      <c r="B2749" s="21" t="inlineStr">
        <is>
          <t>Part V (continued) - Research Craft</t>
        </is>
      </c>
      <c r="C2749" s="22" t="inlineStr">
        <is>
          <t>C.11 Statistics and inference hygiene</t>
        </is>
      </c>
      <c r="D2749" s="10" t="inlineStr">
        <is>
          <t>Hidden Confounds and Sensitivity Analysis</t>
        </is>
      </c>
      <c r="E2749" s="10" t="inlineStr">
        <is>
          <t>Hidden Markov Models</t>
        </is>
      </c>
      <c r="F2749" s="11" t="inlineStr">
        <is>
          <t>1:00:05</t>
        </is>
      </c>
      <c r="G2749" s="11" t="n">
        <v>1</v>
      </c>
      <c r="H2749" s="12" t="inlineStr"/>
      <c r="I2749" s="11" t="inlineStr">
        <is>
          <t>Not started</t>
        </is>
      </c>
      <c r="J2749" s="13" t="n"/>
      <c r="K2749" s="10" t="inlineStr"/>
      <c r="L2749" s="14" t="inlineStr">
        <is>
          <t>▶ watch</t>
        </is>
      </c>
      <c r="M2749" s="10" t="inlineStr">
        <is>
          <t>Kapoor &amp; Narayanan 2023, Patterns 4:100804 · Ioannidis 2005, PLoS Med 2:e124</t>
        </is>
      </c>
      <c r="N2749" s="14" t="inlineStr">
        <is>
          <t>read ↗</t>
        </is>
      </c>
      <c r="O2749" s="11" t="inlineStr">
        <is>
          <t>reading for C.10 Reproducibility and not fooling you</t>
        </is>
      </c>
      <c r="P2749" s="10" t="inlineStr"/>
    </row>
    <row r="2750">
      <c r="A2750" s="21" t="n">
        <v>2749</v>
      </c>
      <c r="B2750" s="21" t="inlineStr">
        <is>
          <t>Part V (continued) - Research Craft</t>
        </is>
      </c>
      <c r="C2750" s="22" t="inlineStr">
        <is>
          <t>C.11 Statistics and inference hygiene</t>
        </is>
      </c>
      <c r="D2750" s="10" t="inlineStr">
        <is>
          <t>(see curriculum section)</t>
        </is>
      </c>
      <c r="E2750" s="10" t="inlineStr"/>
      <c r="F2750" s="11" t="inlineStr"/>
      <c r="G2750" s="11" t="n">
        <v>0</v>
      </c>
      <c r="H2750" s="12" t="inlineStr"/>
      <c r="I2750" s="11" t="inlineStr">
        <is>
          <t>Not started</t>
        </is>
      </c>
      <c r="J2750" s="13" t="n"/>
      <c r="K2750" s="10" t="inlineStr"/>
      <c r="L2750" s="14" t="inlineStr">
        <is>
          <t>▶ watch</t>
        </is>
      </c>
      <c r="M2750" s="10" t="inlineStr">
        <is>
          <t>Kapoor &amp; Narayanan 2023, Patterns 4:100804 · Ioannidis 2005, PLoS Med 2:e124</t>
        </is>
      </c>
      <c r="N2750" s="14" t="inlineStr">
        <is>
          <t>read ↗</t>
        </is>
      </c>
      <c r="O2750" s="11" t="inlineStr">
        <is>
          <t>reading for C.10 Reproducibility and not fooling you</t>
        </is>
      </c>
      <c r="P2750" s="10" t="inlineStr"/>
    </row>
    <row r="2751">
      <c r="A2751" s="21" t="n">
        <v>2750</v>
      </c>
      <c r="B2751" s="21" t="inlineStr">
        <is>
          <t>Part V (continued) - Research Craft</t>
        </is>
      </c>
      <c r="C2751" s="22" t="inlineStr">
        <is>
          <t>C.11 Statistics and inference hygiene</t>
        </is>
      </c>
      <c r="D2751" s="10" t="inlineStr">
        <is>
          <t>Solve All Your Statistics Problems Using P-Values</t>
        </is>
      </c>
      <c r="E2751" s="10" t="inlineStr"/>
      <c r="F2751" s="11" t="inlineStr"/>
      <c r="G2751" s="11" t="n">
        <v>0</v>
      </c>
      <c r="H2751" s="12" t="inlineStr"/>
      <c r="I2751" s="11" t="inlineStr">
        <is>
          <t>Not started</t>
        </is>
      </c>
      <c r="J2751" s="13" t="n"/>
      <c r="K2751" s="10" t="inlineStr"/>
      <c r="L2751" s="14" t="inlineStr">
        <is>
          <t>▶ watch</t>
        </is>
      </c>
      <c r="M2751" s="10" t="inlineStr">
        <is>
          <t>Kapoor &amp; Narayanan 2023, Patterns 4:100804 · Ioannidis 2005, PLoS Med 2:e124</t>
        </is>
      </c>
      <c r="N2751" s="14" t="inlineStr">
        <is>
          <t>read ↗</t>
        </is>
      </c>
      <c r="O2751" s="11" t="inlineStr">
        <is>
          <t>reading for C.10 Reproducibility and not fooling you</t>
        </is>
      </c>
      <c r="P2751" s="10" t="inlineStr"/>
    </row>
    <row r="2752">
      <c r="A2752" s="21" t="n">
        <v>2751</v>
      </c>
      <c r="B2752" s="21" t="inlineStr">
        <is>
          <t>Part V (continued) - Research Craft</t>
        </is>
      </c>
      <c r="C2752" s="22" t="inlineStr">
        <is>
          <t>C.11 Statistics and inference hygiene</t>
        </is>
      </c>
      <c r="D2752" s="10" t="inlineStr">
        <is>
          <t>Solve All Your Statistics Problems Using P-Values</t>
        </is>
      </c>
      <c r="E2752" s="10" t="inlineStr"/>
      <c r="F2752" s="11" t="inlineStr"/>
      <c r="G2752" s="11" t="n">
        <v>0</v>
      </c>
      <c r="H2752" s="12" t="inlineStr"/>
      <c r="I2752" s="11" t="inlineStr">
        <is>
          <t>Not started</t>
        </is>
      </c>
      <c r="J2752" s="13" t="n"/>
      <c r="K2752" s="10" t="inlineStr"/>
      <c r="L2752" s="14" t="inlineStr">
        <is>
          <t>▶ watch</t>
        </is>
      </c>
      <c r="M2752" s="10" t="inlineStr">
        <is>
          <t>Kapoor &amp; Narayanan 2023, Patterns 4:100804 · Ioannidis 2005, PLoS Med 2:e124</t>
        </is>
      </c>
      <c r="N2752" s="14" t="inlineStr">
        <is>
          <t>read ↗</t>
        </is>
      </c>
      <c r="O2752" s="11" t="inlineStr">
        <is>
          <t>reading for C.10 Reproducibility and not fooling you</t>
        </is>
      </c>
      <c r="P2752" s="10" t="inlineStr"/>
    </row>
    <row r="2753">
      <c r="A2753" s="21" t="n">
        <v>2752</v>
      </c>
      <c r="B2753" s="21" t="inlineStr">
        <is>
          <t>Part V (continued) - Research Craft</t>
        </is>
      </c>
      <c r="C2753" s="22" t="inlineStr">
        <is>
          <t>C.12 Software, grants and career</t>
        </is>
      </c>
      <c r="D2753" s="10" t="inlineStr">
        <is>
          <t>(see curriculum section)</t>
        </is>
      </c>
      <c r="E2753" s="10" t="inlineStr"/>
      <c r="F2753" s="11" t="inlineStr"/>
      <c r="G2753" s="11" t="n">
        <v>0</v>
      </c>
      <c r="H2753" s="12" t="inlineStr"/>
      <c r="I2753" s="11" t="inlineStr">
        <is>
          <t>Not started</t>
        </is>
      </c>
      <c r="J2753" s="13" t="n"/>
      <c r="K2753" s="10" t="inlineStr"/>
      <c r="L2753" s="14" t="inlineStr">
        <is>
          <t>▶ watch</t>
        </is>
      </c>
      <c r="M2753" s="10" t="inlineStr">
        <is>
          <t>Kapoor &amp; Narayanan 2023, Patterns 4:100804 · Ioannidis 2005, PLoS Med 2:e124</t>
        </is>
      </c>
      <c r="N2753" s="14" t="inlineStr">
        <is>
          <t>read ↗</t>
        </is>
      </c>
      <c r="O2753" s="11" t="inlineStr">
        <is>
          <t>reading for C.10 Reproducibility and not fooling you</t>
        </is>
      </c>
      <c r="P2753" s="10" t="inlineStr"/>
    </row>
    <row r="2754">
      <c r="A2754" s="21" t="n">
        <v>2753</v>
      </c>
      <c r="B2754" s="21" t="inlineStr">
        <is>
          <t>Part V (continued) - Research Craft</t>
        </is>
      </c>
      <c r="C2754" s="22" t="inlineStr">
        <is>
          <t>C.12 Software, grants and career</t>
        </is>
      </c>
      <c r="D2754" s="10" t="inlineStr">
        <is>
          <t>Software Carpentry: Lessons Learned</t>
        </is>
      </c>
      <c r="E2754" s="10" t="inlineStr"/>
      <c r="F2754" s="11" t="inlineStr"/>
      <c r="G2754" s="11" t="n">
        <v>0</v>
      </c>
      <c r="H2754" s="12" t="inlineStr"/>
      <c r="I2754" s="11" t="inlineStr">
        <is>
          <t>Not started</t>
        </is>
      </c>
      <c r="J2754" s="13" t="n"/>
      <c r="K2754" s="10" t="inlineStr"/>
      <c r="L2754" s="14" t="inlineStr">
        <is>
          <t>▶ watch</t>
        </is>
      </c>
      <c r="M2754" s="10" t="inlineStr">
        <is>
          <t>Kapoor &amp; Narayanan 2023, Patterns 4:100804 · Ioannidis 2005, PLoS Med 2:e124</t>
        </is>
      </c>
      <c r="N2754" s="14" t="inlineStr">
        <is>
          <t>read ↗</t>
        </is>
      </c>
      <c r="O2754" s="11" t="inlineStr">
        <is>
          <t>reading for C.10 Reproducibility and not fooling you</t>
        </is>
      </c>
      <c r="P2754" s="10" t="inlineStr"/>
    </row>
    <row r="2755">
      <c r="A2755" s="21" t="n">
        <v>2754</v>
      </c>
      <c r="B2755" s="21" t="inlineStr">
        <is>
          <t>Part V (continued) - Research Craft</t>
        </is>
      </c>
      <c r="C2755" s="22" t="inlineStr">
        <is>
          <t>C.12 Software, grants and career</t>
        </is>
      </c>
      <c r="D2755" s="10" t="inlineStr">
        <is>
          <t>Academic Open Source</t>
        </is>
      </c>
      <c r="E2755" s="10" t="inlineStr"/>
      <c r="F2755" s="11" t="inlineStr">
        <is>
          <t>45:26</t>
        </is>
      </c>
      <c r="G2755" s="11" t="n">
        <v>0.76</v>
      </c>
      <c r="H2755" s="12" t="inlineStr">
        <is>
          <t>★</t>
        </is>
      </c>
      <c r="I2755" s="11" t="inlineStr">
        <is>
          <t>Not started</t>
        </is>
      </c>
      <c r="J2755" s="13" t="n"/>
      <c r="K2755" s="10" t="inlineStr"/>
      <c r="L2755" s="14" t="inlineStr">
        <is>
          <t>▶ watch</t>
        </is>
      </c>
      <c r="M2755" s="10" t="inlineStr">
        <is>
          <t>Kapoor &amp; Narayanan 2023, Patterns 4:100804 · Ioannidis 2005, PLoS Med 2:e124</t>
        </is>
      </c>
      <c r="N2755" s="14" t="inlineStr">
        <is>
          <t>read ↗</t>
        </is>
      </c>
      <c r="O2755" s="11" t="inlineStr">
        <is>
          <t>reading for C.10 Reproducibility and not fooling you</t>
        </is>
      </c>
      <c r="P2755" s="10" t="inlineStr"/>
    </row>
    <row r="2756">
      <c r="A2756" s="21" t="n">
        <v>2755</v>
      </c>
      <c r="B2756" s="21" t="inlineStr">
        <is>
          <t>Part V (continued) - Research Craft</t>
        </is>
      </c>
      <c r="C2756" s="22" t="inlineStr">
        <is>
          <t>C.12 Software, grants and career</t>
        </is>
      </c>
      <c r="D2756" s="10" t="inlineStr">
        <is>
          <t>The Making and Maintenance of our Open Source Infrastructure</t>
        </is>
      </c>
      <c r="E2756" s="10" t="inlineStr"/>
      <c r="F2756" s="11" t="inlineStr">
        <is>
          <t>1:09:04</t>
        </is>
      </c>
      <c r="G2756" s="11" t="n">
        <v>1.15</v>
      </c>
      <c r="H2756" s="12" t="inlineStr">
        <is>
          <t>★</t>
        </is>
      </c>
      <c r="I2756" s="11" t="inlineStr">
        <is>
          <t>Not started</t>
        </is>
      </c>
      <c r="J2756" s="13" t="n"/>
      <c r="K2756" s="10" t="inlineStr"/>
      <c r="L2756" s="14" t="inlineStr">
        <is>
          <t>▶ watch</t>
        </is>
      </c>
      <c r="M2756" s="10" t="inlineStr">
        <is>
          <t>Kapoor &amp; Narayanan 2023, Patterns 4:100804 · Ioannidis 2005, PLoS Med 2:e124</t>
        </is>
      </c>
      <c r="N2756" s="14" t="inlineStr">
        <is>
          <t>read ↗</t>
        </is>
      </c>
      <c r="O2756" s="11" t="inlineStr">
        <is>
          <t>reading for C.10 Reproducibility and not fooling you</t>
        </is>
      </c>
      <c r="P2756" s="10" t="inlineStr"/>
    </row>
    <row r="2757">
      <c r="A2757" s="21" t="n">
        <v>2756</v>
      </c>
      <c r="B2757" s="21" t="inlineStr">
        <is>
          <t>Part V (continued) - Research Craft</t>
        </is>
      </c>
      <c r="C2757" s="22" t="inlineStr">
        <is>
          <t>C.12 Software, grants and career</t>
        </is>
      </c>
      <c r="D2757" s="10" t="inlineStr">
        <is>
          <t>The Rise of the Research Software Engineer</t>
        </is>
      </c>
      <c r="E2757" s="10" t="inlineStr"/>
      <c r="F2757" s="11" t="inlineStr">
        <is>
          <t>39:59</t>
        </is>
      </c>
      <c r="G2757" s="11" t="n">
        <v>0.67</v>
      </c>
      <c r="H2757" s="12" t="inlineStr">
        <is>
          <t>★</t>
        </is>
      </c>
      <c r="I2757" s="11" t="inlineStr">
        <is>
          <t>Not started</t>
        </is>
      </c>
      <c r="J2757" s="13" t="n"/>
      <c r="K2757" s="10" t="inlineStr"/>
      <c r="L2757" s="14" t="inlineStr">
        <is>
          <t>▶ watch</t>
        </is>
      </c>
      <c r="M2757" s="10" t="inlineStr">
        <is>
          <t>Kapoor &amp; Narayanan 2023, Patterns 4:100804 · Ioannidis 2005, PLoS Med 2:e124</t>
        </is>
      </c>
      <c r="N2757" s="14" t="inlineStr">
        <is>
          <t>read ↗</t>
        </is>
      </c>
      <c r="O2757" s="11" t="inlineStr">
        <is>
          <t>reading for C.10 Reproducibility and not fooling you</t>
        </is>
      </c>
      <c r="P2757" s="10" t="inlineStr"/>
    </row>
    <row r="2758">
      <c r="A2758" s="21" t="n">
        <v>2757</v>
      </c>
      <c r="B2758" s="21" t="inlineStr">
        <is>
          <t>Part V (continued) - Research Craft</t>
        </is>
      </c>
      <c r="C2758" s="22" t="inlineStr">
        <is>
          <t>C.12 Software, grants and career</t>
        </is>
      </c>
      <c r="D2758" s="10" t="inlineStr">
        <is>
          <t>Jones, 57:41</t>
        </is>
      </c>
      <c r="E2758" s="10" t="inlineStr"/>
      <c r="F2758" s="11" t="inlineStr">
        <is>
          <t>57:41</t>
        </is>
      </c>
      <c r="G2758" s="11" t="n">
        <v>0.96</v>
      </c>
      <c r="H2758" s="12" t="inlineStr"/>
      <c r="I2758" s="11" t="inlineStr">
        <is>
          <t>Not started</t>
        </is>
      </c>
      <c r="J2758" s="13" t="n"/>
      <c r="K2758" s="10" t="inlineStr"/>
      <c r="L2758" s="14" t="inlineStr">
        <is>
          <t>▶ watch</t>
        </is>
      </c>
      <c r="M2758" s="10" t="inlineStr">
        <is>
          <t>Kapoor &amp; Narayanan 2023, Patterns 4:100804 · Ioannidis 2005, PLoS Med 2:e124</t>
        </is>
      </c>
      <c r="N2758" s="14" t="inlineStr">
        <is>
          <t>read ↗</t>
        </is>
      </c>
      <c r="O2758" s="11" t="inlineStr">
        <is>
          <t>reading for C.10 Reproducibility and not fooling you</t>
        </is>
      </c>
      <c r="P2758" s="10" t="inlineStr"/>
    </row>
    <row r="2759">
      <c r="A2759" s="21" t="n">
        <v>2758</v>
      </c>
      <c r="B2759" s="21" t="inlineStr">
        <is>
          <t>Part V (continued) - Research Craft</t>
        </is>
      </c>
      <c r="C2759" s="22" t="inlineStr">
        <is>
          <t>C.12 Software, grants and career</t>
        </is>
      </c>
      <c r="D2759" s="10" t="inlineStr">
        <is>
          <t>How to Have a Bad Career</t>
        </is>
      </c>
      <c r="E2759" s="10" t="inlineStr"/>
      <c r="F2759" s="11" t="inlineStr">
        <is>
          <t>58:37</t>
        </is>
      </c>
      <c r="G2759" s="11" t="n">
        <v>0.98</v>
      </c>
      <c r="H2759" s="12" t="inlineStr">
        <is>
          <t>★</t>
        </is>
      </c>
      <c r="I2759" s="11" t="inlineStr">
        <is>
          <t>Not started</t>
        </is>
      </c>
      <c r="J2759" s="13" t="n"/>
      <c r="K2759" s="10" t="inlineStr"/>
      <c r="L2759" s="14" t="inlineStr">
        <is>
          <t>▶ watch</t>
        </is>
      </c>
      <c r="M2759" s="10" t="inlineStr">
        <is>
          <t>Kapoor &amp; Narayanan 2023, Patterns 4:100804 · Ioannidis 2005, PLoS Med 2:e124</t>
        </is>
      </c>
      <c r="N2759" s="14" t="inlineStr">
        <is>
          <t>read ↗</t>
        </is>
      </c>
      <c r="O2759" s="11" t="inlineStr">
        <is>
          <t>reading for C.10 Reproducibility and not fooling you</t>
        </is>
      </c>
      <c r="P2759" s="10" t="inlineStr"/>
    </row>
    <row r="2760">
      <c r="A2760" s="21" t="n">
        <v>2759</v>
      </c>
      <c r="B2760" s="21" t="inlineStr">
        <is>
          <t>Part V (continued) - Research Craft</t>
        </is>
      </c>
      <c r="C2760" s="22" t="inlineStr">
        <is>
          <t>C.12 Software, grants and career</t>
        </is>
      </c>
      <c r="D2760" s="10" t="inlineStr">
        <is>
          <t>A Simplified Mock NIH Peer Review Meeting</t>
        </is>
      </c>
      <c r="E2760" s="10" t="inlineStr"/>
      <c r="F2760" s="11" t="inlineStr">
        <is>
          <t>58:37</t>
        </is>
      </c>
      <c r="G2760" s="11" t="n">
        <v>0.98</v>
      </c>
      <c r="H2760" s="12" t="inlineStr">
        <is>
          <t>★</t>
        </is>
      </c>
      <c r="I2760" s="11" t="inlineStr">
        <is>
          <t>Not started</t>
        </is>
      </c>
      <c r="J2760" s="13" t="n"/>
      <c r="K2760" s="10" t="inlineStr"/>
      <c r="L2760" s="14" t="inlineStr">
        <is>
          <t>▶ watch</t>
        </is>
      </c>
      <c r="M2760" s="10" t="inlineStr">
        <is>
          <t>Kapoor &amp; Narayanan 2023, Patterns 4:100804 · Ioannidis 2005, PLoS Med 2:e124</t>
        </is>
      </c>
      <c r="N2760" s="14" t="inlineStr">
        <is>
          <t>read ↗</t>
        </is>
      </c>
      <c r="O2760" s="11" t="inlineStr">
        <is>
          <t>reading for C.10 Reproducibility and not fooling you</t>
        </is>
      </c>
      <c r="P2760" s="10" t="inlineStr"/>
    </row>
    <row r="2761">
      <c r="A2761" s="21" t="n">
        <v>2760</v>
      </c>
      <c r="B2761" s="21" t="inlineStr">
        <is>
          <t>Part V (continued) - Research Craft</t>
        </is>
      </c>
      <c r="C2761" s="22" t="inlineStr">
        <is>
          <t>C.12 Software, grants and career</t>
        </is>
      </c>
      <c r="D2761" s="10" t="inlineStr">
        <is>
          <t>A Simplified Mock NIH Peer Review Meeting</t>
        </is>
      </c>
      <c r="E2761" s="10" t="inlineStr"/>
      <c r="F2761" s="11" t="inlineStr"/>
      <c r="G2761" s="11" t="n">
        <v>0</v>
      </c>
      <c r="H2761" s="12" t="inlineStr">
        <is>
          <t>★</t>
        </is>
      </c>
      <c r="I2761" s="11" t="inlineStr">
        <is>
          <t>Not started</t>
        </is>
      </c>
      <c r="J2761" s="13" t="n"/>
      <c r="K2761" s="10" t="inlineStr"/>
      <c r="L2761" s="14" t="inlineStr">
        <is>
          <t>▶ watch</t>
        </is>
      </c>
      <c r="M2761" s="10" t="inlineStr">
        <is>
          <t>Kapoor &amp; Narayanan 2023, Patterns 4:100804 · Ioannidis 2005, PLoS Med 2:e124</t>
        </is>
      </c>
      <c r="N2761" s="14" t="inlineStr">
        <is>
          <t>read ↗</t>
        </is>
      </c>
      <c r="O2761" s="11" t="inlineStr">
        <is>
          <t>reading for C.10 Reproducibility and not fooling you</t>
        </is>
      </c>
      <c r="P2761" s="10" t="inlineStr"/>
    </row>
    <row r="2762">
      <c r="A2762" s="21" t="n">
        <v>2761</v>
      </c>
      <c r="B2762" s="21" t="inlineStr">
        <is>
          <t>Part V (continued) - Research Craft</t>
        </is>
      </c>
      <c r="C2762" s="22" t="inlineStr">
        <is>
          <t>C.12 Software, grants and career</t>
        </is>
      </c>
      <c r="D2762" s="10" t="inlineStr">
        <is>
          <t>A Simplified Mock NIH Peer Review Meeting</t>
        </is>
      </c>
      <c r="E2762" s="10" t="inlineStr"/>
      <c r="F2762" s="11" t="inlineStr"/>
      <c r="G2762" s="11" t="n">
        <v>0</v>
      </c>
      <c r="H2762" s="12" t="inlineStr"/>
      <c r="I2762" s="11" t="inlineStr">
        <is>
          <t>Not started</t>
        </is>
      </c>
      <c r="J2762" s="13" t="n"/>
      <c r="K2762" s="10" t="inlineStr"/>
      <c r="L2762" s="14" t="inlineStr">
        <is>
          <t>▶ watch</t>
        </is>
      </c>
      <c r="M2762" s="10" t="inlineStr">
        <is>
          <t>Kapoor &amp; Narayanan 2023, Patterns 4:100804 · Ioannidis 2005, PLoS Med 2:e124</t>
        </is>
      </c>
      <c r="N2762" s="14" t="inlineStr">
        <is>
          <t>read ↗</t>
        </is>
      </c>
      <c r="O2762" s="11" t="inlineStr">
        <is>
          <t>reading for C.10 Reproducibility and not fooling you</t>
        </is>
      </c>
      <c r="P2762" s="10" t="inlineStr"/>
    </row>
    <row r="2763">
      <c r="A2763" s="21" t="n">
        <v>2762</v>
      </c>
      <c r="B2763" s="21" t="inlineStr">
        <is>
          <t>Part V (continued) - Research Craft</t>
        </is>
      </c>
      <c r="C2763" s="22" t="inlineStr">
        <is>
          <t>C.12 Software, grants and career</t>
        </is>
      </c>
      <c r="D2763" s="10" t="inlineStr">
        <is>
          <t>Biomedical Research</t>
        </is>
      </c>
      <c r="E2763" s="10" t="inlineStr"/>
      <c r="F2763" s="11" t="inlineStr"/>
      <c r="G2763" s="11" t="n">
        <v>0</v>
      </c>
      <c r="H2763" s="12" t="inlineStr"/>
      <c r="I2763" s="11" t="inlineStr">
        <is>
          <t>Not started</t>
        </is>
      </c>
      <c r="J2763" s="13" t="n"/>
      <c r="K2763" s="10" t="inlineStr"/>
      <c r="L2763" s="14" t="inlineStr">
        <is>
          <t>▶ watch</t>
        </is>
      </c>
      <c r="M2763" s="10" t="inlineStr">
        <is>
          <t>Kapoor &amp; Narayanan 2023, Patterns 4:100804 · Ioannidis 2005, PLoS Med 2:e124</t>
        </is>
      </c>
      <c r="N2763" s="14" t="inlineStr">
        <is>
          <t>read ↗</t>
        </is>
      </c>
      <c r="O2763" s="11" t="inlineStr">
        <is>
          <t>reading for C.10 Reproducibility and not fooling you</t>
        </is>
      </c>
      <c r="P2763" s="10" t="inlineStr"/>
    </row>
    <row r="2764">
      <c r="A2764" s="21" t="n">
        <v>2763</v>
      </c>
      <c r="B2764" s="21" t="inlineStr">
        <is>
          <t>Part V (continued) - Research Craft</t>
        </is>
      </c>
      <c r="C2764" s="22" t="inlineStr">
        <is>
          <t>C.12 Software, grants and career</t>
        </is>
      </c>
      <c r="D2764" s="10" t="inlineStr">
        <is>
          <t>Biomedical Research and Righting the Ship</t>
        </is>
      </c>
      <c r="E2764" s="10" t="inlineStr"/>
      <c r="F2764" s="11" t="inlineStr"/>
      <c r="G2764" s="11" t="n">
        <v>0</v>
      </c>
      <c r="H2764" s="12" t="inlineStr"/>
      <c r="I2764" s="11" t="inlineStr">
        <is>
          <t>Not started</t>
        </is>
      </c>
      <c r="J2764" s="13" t="n"/>
      <c r="K2764" s="10" t="inlineStr"/>
      <c r="L2764" s="14" t="inlineStr">
        <is>
          <t>▶ watch</t>
        </is>
      </c>
      <c r="M2764" s="10" t="inlineStr">
        <is>
          <t>Kapoor &amp; Narayanan 2023, Patterns 4:100804 · Ioannidis 2005, PLoS Med 2:e124</t>
        </is>
      </c>
      <c r="N2764" s="14" t="inlineStr">
        <is>
          <t>read ↗</t>
        </is>
      </c>
      <c r="O2764" s="11" t="inlineStr">
        <is>
          <t>reading for C.10 Reproducibility and not fooling you</t>
        </is>
      </c>
      <c r="P2764" s="10" t="inlineStr"/>
    </row>
    <row r="2765">
      <c r="A2765" s="23" t="n">
        <v>2764</v>
      </c>
      <c r="B2765" s="23" t="inlineStr">
        <is>
          <t>Part VI - Appendices</t>
        </is>
      </c>
      <c r="C2765" s="24" t="inlineStr">
        <is>
          <t>2022</t>
        </is>
      </c>
      <c r="D2765" s="10" t="inlineStr">
        <is>
          <t>Optimal Design of Stochastic DNA Synthesis Protocols based on Generative Sequence Models</t>
        </is>
      </c>
      <c r="E2765" s="10" t="inlineStr">
        <is>
          <t>Eli Weinstein (Harvard</t>
        </is>
      </c>
      <c r="F2765" s="11" t="inlineStr">
        <is>
          <t>59:50</t>
        </is>
      </c>
      <c r="G2765" s="11" t="n">
        <v>1</v>
      </c>
      <c r="H2765" s="12" t="inlineStr"/>
      <c r="I2765" s="11" t="inlineStr">
        <is>
          <t>Not started</t>
        </is>
      </c>
      <c r="J2765" s="13" t="n"/>
      <c r="K2765" s="10" t="inlineStr"/>
      <c r="L2765" s="14" t="inlineStr">
        <is>
          <t>▶ watch</t>
        </is>
      </c>
      <c r="M2765" s="10" t="inlineStr"/>
      <c r="N2765" s="11" t="inlineStr"/>
      <c r="O2765" s="11" t="inlineStr">
        <is>
          <t>course lecture - no single paper</t>
        </is>
      </c>
      <c r="P2765" s="10" t="inlineStr"/>
    </row>
    <row r="2766">
      <c r="A2766" s="23" t="n">
        <v>2765</v>
      </c>
      <c r="B2766" s="23" t="inlineStr">
        <is>
          <t>Part VI - Appendices</t>
        </is>
      </c>
      <c r="C2766" s="24" t="inlineStr">
        <is>
          <t>2022</t>
        </is>
      </c>
      <c r="D2766" s="10" t="inlineStr">
        <is>
          <t>ML-Assisted Protein Engineering with ftMLDE and evSeq</t>
        </is>
      </c>
      <c r="E2766" s="10" t="inlineStr">
        <is>
          <t>Bruce Wittman (Caltech, Arnold lab</t>
        </is>
      </c>
      <c r="F2766" s="11" t="inlineStr">
        <is>
          <t>54:23</t>
        </is>
      </c>
      <c r="G2766" s="11" t="n">
        <v>0.91</v>
      </c>
      <c r="H2766" s="12" t="inlineStr"/>
      <c r="I2766" s="11" t="inlineStr">
        <is>
          <t>Not started</t>
        </is>
      </c>
      <c r="J2766" s="13" t="n"/>
      <c r="K2766" s="10" t="inlineStr"/>
      <c r="L2766" s="14" t="inlineStr">
        <is>
          <t>▶ watch</t>
        </is>
      </c>
      <c r="M2766" s="10" t="inlineStr"/>
      <c r="N2766" s="11" t="inlineStr"/>
      <c r="O2766" s="11" t="inlineStr">
        <is>
          <t>course lecture - no single paper</t>
        </is>
      </c>
      <c r="P2766" s="10" t="inlineStr"/>
    </row>
    <row r="2767">
      <c r="A2767" s="23" t="n">
        <v>2766</v>
      </c>
      <c r="B2767" s="23" t="inlineStr">
        <is>
          <t>Part VI - Appendices</t>
        </is>
      </c>
      <c r="C2767" s="24" t="inlineStr">
        <is>
          <t>2022</t>
        </is>
      </c>
      <c r="D2767" s="10" t="inlineStr">
        <is>
          <t>Systematic molecular evolution using PRANCE</t>
        </is>
      </c>
      <c r="E2767" s="10" t="inlineStr">
        <is>
          <t>Erika DeBenedictis (UW</t>
        </is>
      </c>
      <c r="F2767" s="11" t="inlineStr">
        <is>
          <t>50:45</t>
        </is>
      </c>
      <c r="G2767" s="11" t="n">
        <v>0.85</v>
      </c>
      <c r="H2767" s="12" t="inlineStr"/>
      <c r="I2767" s="11" t="inlineStr">
        <is>
          <t>Not started</t>
        </is>
      </c>
      <c r="J2767" s="13" t="n"/>
      <c r="K2767" s="10" t="inlineStr"/>
      <c r="L2767" s="14" t="inlineStr">
        <is>
          <t>▶ watch</t>
        </is>
      </c>
      <c r="M2767" s="10" t="inlineStr"/>
      <c r="N2767" s="11" t="inlineStr"/>
      <c r="O2767" s="11" t="inlineStr">
        <is>
          <t>course lecture - no single paper</t>
        </is>
      </c>
      <c r="P2767" s="10" t="inlineStr"/>
    </row>
    <row r="2768">
      <c r="A2768" s="23" t="n">
        <v>2767</v>
      </c>
      <c r="B2768" s="23" t="inlineStr">
        <is>
          <t>Part VI - Appendices</t>
        </is>
      </c>
      <c r="C2768" s="24" t="inlineStr">
        <is>
          <t>2022</t>
        </is>
      </c>
      <c r="D2768" s="10" t="inlineStr">
        <is>
          <t>Iterative Refinement GNN for Antibody Docking and Design</t>
        </is>
      </c>
      <c r="E2768" s="10" t="inlineStr">
        <is>
          <t>Wengong Jin (Broad</t>
        </is>
      </c>
      <c r="F2768" s="11" t="inlineStr">
        <is>
          <t>1:00:14</t>
        </is>
      </c>
      <c r="G2768" s="11" t="n">
        <v>1</v>
      </c>
      <c r="H2768" s="12" t="inlineStr"/>
      <c r="I2768" s="11" t="inlineStr">
        <is>
          <t>Not started</t>
        </is>
      </c>
      <c r="J2768" s="13" t="n"/>
      <c r="K2768" s="10" t="inlineStr"/>
      <c r="L2768" s="14" t="inlineStr">
        <is>
          <t>▶ watch</t>
        </is>
      </c>
      <c r="M2768" s="10" t="inlineStr"/>
      <c r="N2768" s="11" t="inlineStr"/>
      <c r="O2768" s="11" t="inlineStr">
        <is>
          <t>course lecture - no single paper</t>
        </is>
      </c>
      <c r="P2768" s="10" t="inlineStr"/>
    </row>
    <row r="2769">
      <c r="A2769" s="23" t="n">
        <v>2768</v>
      </c>
      <c r="B2769" s="23" t="inlineStr">
        <is>
          <t>Part VI - Appendices</t>
        </is>
      </c>
      <c r="C2769" s="24" t="inlineStr">
        <is>
          <t>2022</t>
        </is>
      </c>
      <c r="D2769" s="10" t="inlineStr">
        <is>
          <t>ML-guided engineering of fatty acyl-ACP reductases</t>
        </is>
      </c>
      <c r="E2769" s="10" t="inlineStr">
        <is>
          <t>Jonathan Greenhalgh (A-Alpha Bio</t>
        </is>
      </c>
      <c r="F2769" s="11" t="inlineStr">
        <is>
          <t>45:31</t>
        </is>
      </c>
      <c r="G2769" s="11" t="n">
        <v>0.76</v>
      </c>
      <c r="H2769" s="12" t="inlineStr"/>
      <c r="I2769" s="11" t="inlineStr">
        <is>
          <t>Not started</t>
        </is>
      </c>
      <c r="J2769" s="13" t="n"/>
      <c r="K2769" s="10" t="inlineStr"/>
      <c r="L2769" s="14" t="inlineStr">
        <is>
          <t>▶ watch</t>
        </is>
      </c>
      <c r="M2769" s="10" t="inlineStr"/>
      <c r="N2769" s="11" t="inlineStr"/>
      <c r="O2769" s="11" t="inlineStr">
        <is>
          <t>course lecture - no single paper</t>
        </is>
      </c>
      <c r="P2769" s="10" t="inlineStr"/>
    </row>
    <row r="2770">
      <c r="A2770" s="23" t="n">
        <v>2769</v>
      </c>
      <c r="B2770" s="23" t="inlineStr">
        <is>
          <t>Part VI - Appendices</t>
        </is>
      </c>
      <c r="C2770" s="24" t="inlineStr">
        <is>
          <t>2022</t>
        </is>
      </c>
      <c r="D2770" s="10" t="inlineStr">
        <is>
          <t>Multi-segment preserving sampling for deep manifold sampler</t>
        </is>
      </c>
      <c r="E2770" s="10" t="inlineStr">
        <is>
          <t>Daniel Berenberg (NYU</t>
        </is>
      </c>
      <c r="F2770" s="11" t="inlineStr">
        <is>
          <t>1:00:38</t>
        </is>
      </c>
      <c r="G2770" s="11" t="n">
        <v>1.01</v>
      </c>
      <c r="H2770" s="12" t="inlineStr"/>
      <c r="I2770" s="11" t="inlineStr">
        <is>
          <t>Not started</t>
        </is>
      </c>
      <c r="J2770" s="13" t="n"/>
      <c r="K2770" s="10" t="inlineStr"/>
      <c r="L2770" s="14" t="inlineStr">
        <is>
          <t>▶ watch</t>
        </is>
      </c>
      <c r="M2770" s="10" t="inlineStr"/>
      <c r="N2770" s="11" t="inlineStr"/>
      <c r="O2770" s="11" t="inlineStr">
        <is>
          <t>course lecture - no single paper</t>
        </is>
      </c>
      <c r="P2770" s="10" t="inlineStr"/>
    </row>
    <row r="2771">
      <c r="A2771" s="23" t="n">
        <v>2770</v>
      </c>
      <c r="B2771" s="23" t="inlineStr">
        <is>
          <t>Part VI - Appendices</t>
        </is>
      </c>
      <c r="C2771" s="24" t="inlineStr">
        <is>
          <t>2023</t>
        </is>
      </c>
      <c r="D2771" s="10" t="inlineStr">
        <is>
          <t>Multi-objective engineering of therapeutic antibodies</t>
        </is>
      </c>
      <c r="E2771" s="10" t="inlineStr">
        <is>
          <t>Emily Makowski (Michigan</t>
        </is>
      </c>
      <c r="F2771" s="11" t="inlineStr">
        <is>
          <t>52:40</t>
        </is>
      </c>
      <c r="G2771" s="11" t="n">
        <v>0.88</v>
      </c>
      <c r="H2771" s="12" t="inlineStr"/>
      <c r="I2771" s="11" t="inlineStr">
        <is>
          <t>Not started</t>
        </is>
      </c>
      <c r="J2771" s="13" t="n"/>
      <c r="K2771" s="10" t="inlineStr"/>
      <c r="L2771" s="14" t="inlineStr">
        <is>
          <t>▶ watch</t>
        </is>
      </c>
      <c r="M2771" s="10" t="inlineStr"/>
      <c r="N2771" s="11" t="inlineStr"/>
      <c r="O2771" s="11" t="inlineStr">
        <is>
          <t>course lecture - no single paper</t>
        </is>
      </c>
      <c r="P2771" s="10" t="inlineStr"/>
    </row>
    <row r="2772">
      <c r="A2772" s="23" t="n">
        <v>2771</v>
      </c>
      <c r="B2772" s="23" t="inlineStr">
        <is>
          <t>Part VI - Appendices</t>
        </is>
      </c>
      <c r="C2772" s="24" t="inlineStr">
        <is>
          <t>2023</t>
        </is>
      </c>
      <c r="D2772" s="10" t="inlineStr">
        <is>
          <t>Deploying protein machine learning models on the web</t>
        </is>
      </c>
      <c r="E2772" s="10" t="inlineStr">
        <is>
          <t>Simon Dürr (EPFL</t>
        </is>
      </c>
      <c r="F2772" s="11" t="inlineStr">
        <is>
          <t>46:32</t>
        </is>
      </c>
      <c r="G2772" s="11" t="n">
        <v>0.78</v>
      </c>
      <c r="H2772" s="12" t="inlineStr"/>
      <c r="I2772" s="11" t="inlineStr">
        <is>
          <t>Not started</t>
        </is>
      </c>
      <c r="J2772" s="13" t="n"/>
      <c r="K2772" s="10" t="inlineStr"/>
      <c r="L2772" s="14" t="inlineStr">
        <is>
          <t>▶ watch</t>
        </is>
      </c>
      <c r="M2772" s="10" t="inlineStr"/>
      <c r="N2772" s="11" t="inlineStr"/>
      <c r="O2772" s="11" t="inlineStr">
        <is>
          <t>course lecture - no single paper</t>
        </is>
      </c>
      <c r="P2772" s="10" t="inlineStr"/>
    </row>
    <row r="2773">
      <c r="A2773" s="23" t="n">
        <v>2772</v>
      </c>
      <c r="B2773" s="23" t="inlineStr">
        <is>
          <t>Part VI - Appendices</t>
        </is>
      </c>
      <c r="C2773" s="24" t="inlineStr">
        <is>
          <t>2023</t>
        </is>
      </c>
      <c r="D2773" s="10" t="inlineStr">
        <is>
          <t>SAMPLE: A Self-Driving Laboratory System for Protein Engineering</t>
        </is>
      </c>
      <c r="E2773" s="10" t="inlineStr">
        <is>
          <t>Jacob Rapp (UW-Madison</t>
        </is>
      </c>
      <c r="F2773" s="11" t="inlineStr">
        <is>
          <t>46:35</t>
        </is>
      </c>
      <c r="G2773" s="11" t="n">
        <v>0.78</v>
      </c>
      <c r="H2773" s="12" t="inlineStr"/>
      <c r="I2773" s="11" t="inlineStr">
        <is>
          <t>Not started</t>
        </is>
      </c>
      <c r="J2773" s="13" t="n"/>
      <c r="K2773" s="10" t="inlineStr"/>
      <c r="L2773" s="14" t="inlineStr">
        <is>
          <t>▶ watch</t>
        </is>
      </c>
      <c r="M2773" s="10" t="inlineStr"/>
      <c r="N2773" s="11" t="inlineStr"/>
      <c r="O2773" s="11" t="inlineStr">
        <is>
          <t>course lecture - no single paper</t>
        </is>
      </c>
      <c r="P2773" s="10" t="inlineStr"/>
    </row>
    <row r="2774">
      <c r="A2774" s="23" t="n">
        <v>2773</v>
      </c>
      <c r="B2774" s="23" t="inlineStr">
        <is>
          <t>Part VI - Appendices</t>
        </is>
      </c>
      <c r="C2774" s="24" t="inlineStr">
        <is>
          <t>2023</t>
        </is>
      </c>
      <c r="D2774" s="10" t="inlineStr">
        <is>
          <t>Protein Discovery with Discrete Walk-Jump Sampling</t>
        </is>
      </c>
      <c r="E2774" s="10" t="inlineStr">
        <is>
          <t>Nathan Frey (Prescient Design</t>
        </is>
      </c>
      <c r="F2774" s="11" t="inlineStr">
        <is>
          <t>26:36</t>
        </is>
      </c>
      <c r="G2774" s="11" t="n">
        <v>0.44</v>
      </c>
      <c r="H2774" s="12" t="inlineStr"/>
      <c r="I2774" s="11" t="inlineStr">
        <is>
          <t>Not started</t>
        </is>
      </c>
      <c r="J2774" s="13" t="n"/>
      <c r="K2774" s="10" t="inlineStr"/>
      <c r="L2774" s="14" t="inlineStr">
        <is>
          <t>▶ watch</t>
        </is>
      </c>
      <c r="M2774" s="10" t="inlineStr"/>
      <c r="N2774" s="11" t="inlineStr"/>
      <c r="O2774" s="11" t="inlineStr">
        <is>
          <t>course lecture - no single paper</t>
        </is>
      </c>
      <c r="P2774" s="10" t="inlineStr"/>
    </row>
    <row r="2775">
      <c r="A2775" s="23" t="n">
        <v>2774</v>
      </c>
      <c r="B2775" s="23" t="inlineStr">
        <is>
          <t>Part VI - Appendices</t>
        </is>
      </c>
      <c r="C2775" s="24" t="inlineStr">
        <is>
          <t>2023</t>
        </is>
      </c>
      <c r="D2775" s="10" t="inlineStr">
        <is>
          <t>Decoupling catalysis and TS-analog binding in a phosphatase (HT-MEK</t>
        </is>
      </c>
      <c r="E2775" s="10" t="inlineStr">
        <is>
          <t>Craig Markin (Stanford</t>
        </is>
      </c>
      <c r="F2775" s="11" t="inlineStr">
        <is>
          <t>59:49</t>
        </is>
      </c>
      <c r="G2775" s="11" t="n">
        <v>1</v>
      </c>
      <c r="H2775" s="12" t="inlineStr"/>
      <c r="I2775" s="11" t="inlineStr">
        <is>
          <t>Not started</t>
        </is>
      </c>
      <c r="J2775" s="13" t="n"/>
      <c r="K2775" s="10" t="inlineStr"/>
      <c r="L2775" s="14" t="inlineStr">
        <is>
          <t>▶ watch</t>
        </is>
      </c>
      <c r="M2775" s="10" t="inlineStr"/>
      <c r="N2775" s="11" t="inlineStr"/>
      <c r="O2775" s="11" t="inlineStr">
        <is>
          <t>course lecture - no single paper</t>
        </is>
      </c>
      <c r="P2775" s="10" t="inlineStr"/>
    </row>
    <row r="2776">
      <c r="A2776" s="23" t="n">
        <v>2775</v>
      </c>
      <c r="B2776" s="23" t="inlineStr">
        <is>
          <t>Part VI - Appendices</t>
        </is>
      </c>
      <c r="C2776" s="24" t="inlineStr">
        <is>
          <t>2024</t>
        </is>
      </c>
      <c r="D2776" s="10" t="inlineStr">
        <is>
          <t>CHEAP: Tokenized and Continuous Embedding Compressions</t>
        </is>
      </c>
      <c r="E2776" s="10" t="inlineStr">
        <is>
          <t>Amy Lu (UC Berkeley</t>
        </is>
      </c>
      <c r="F2776" s="11" t="inlineStr">
        <is>
          <t>53:32</t>
        </is>
      </c>
      <c r="G2776" s="11" t="n">
        <v>0.89</v>
      </c>
      <c r="H2776" s="12" t="inlineStr"/>
      <c r="I2776" s="11" t="inlineStr">
        <is>
          <t>Not started</t>
        </is>
      </c>
      <c r="J2776" s="13" t="n"/>
      <c r="K2776" s="10" t="inlineStr"/>
      <c r="L2776" s="14" t="inlineStr">
        <is>
          <t>▶ watch</t>
        </is>
      </c>
      <c r="M2776" s="10" t="inlineStr"/>
      <c r="N2776" s="11" t="inlineStr"/>
      <c r="O2776" s="11" t="inlineStr">
        <is>
          <t>course lecture - no single paper</t>
        </is>
      </c>
      <c r="P2776" s="10" t="inlineStr"/>
    </row>
    <row r="2777">
      <c r="A2777" s="23" t="n">
        <v>2776</v>
      </c>
      <c r="B2777" s="23" t="inlineStr">
        <is>
          <t>Part VI - Appendices</t>
        </is>
      </c>
      <c r="C2777" s="24" t="inlineStr">
        <is>
          <t>2025</t>
        </is>
      </c>
      <c r="D2777" s="10" t="inlineStr">
        <is>
          <t>Mapping olfactory receptor–perception coding with deep learning</t>
        </is>
      </c>
      <c r="E2777" s="10" t="inlineStr">
        <is>
          <t>Seyone Chithrananda (Berkeley</t>
        </is>
      </c>
      <c r="F2777" s="11" t="inlineStr">
        <is>
          <t>40:03</t>
        </is>
      </c>
      <c r="G2777" s="11" t="n">
        <v>0.67</v>
      </c>
      <c r="H2777" s="12" t="inlineStr"/>
      <c r="I2777" s="11" t="inlineStr">
        <is>
          <t>Not started</t>
        </is>
      </c>
      <c r="J2777" s="13" t="n"/>
      <c r="K2777" s="10" t="inlineStr"/>
      <c r="L2777" s="14" t="inlineStr">
        <is>
          <t>▶ watch</t>
        </is>
      </c>
      <c r="M2777" s="10" t="inlineStr"/>
      <c r="N2777" s="11" t="inlineStr"/>
      <c r="O2777" s="11" t="inlineStr">
        <is>
          <t>course lecture - no single paper</t>
        </is>
      </c>
      <c r="P2777" s="10" t="inlineStr"/>
    </row>
    <row r="2778">
      <c r="A2778" s="23" t="n">
        <v>2777</v>
      </c>
      <c r="B2778" s="23" t="inlineStr">
        <is>
          <t>Part VI - Appendices</t>
        </is>
      </c>
      <c r="C2778" s="24" t="inlineStr">
        <is>
          <t>2025</t>
        </is>
      </c>
      <c r="D2778" s="10" t="inlineStr">
        <is>
          <t>ProtComposer: Compositional Protein Structure Generation with 3D Ellipsoids</t>
        </is>
      </c>
      <c r="E2778" s="10" t="inlineStr">
        <is>
          <t>Jing &amp; Stark (MIT</t>
        </is>
      </c>
      <c r="F2778" s="11" t="inlineStr">
        <is>
          <t>53:49</t>
        </is>
      </c>
      <c r="G2778" s="11" t="n">
        <v>0.9</v>
      </c>
      <c r="H2778" s="12" t="inlineStr"/>
      <c r="I2778" s="11" t="inlineStr">
        <is>
          <t>Not started</t>
        </is>
      </c>
      <c r="J2778" s="13" t="n"/>
      <c r="K2778" s="10" t="inlineStr"/>
      <c r="L2778" s="14" t="inlineStr">
        <is>
          <t>▶ watch</t>
        </is>
      </c>
      <c r="M2778" s="10" t="inlineStr"/>
      <c r="N2778" s="11" t="inlineStr"/>
      <c r="O2778" s="11" t="inlineStr">
        <is>
          <t>course lecture - no single paper</t>
        </is>
      </c>
      <c r="P2778" s="10" t="inlineStr"/>
    </row>
    <row r="2779">
      <c r="A2779" s="23" t="n">
        <v>2778</v>
      </c>
      <c r="B2779" s="23" t="inlineStr">
        <is>
          <t>Part VI - Appendices</t>
        </is>
      </c>
      <c r="C2779" s="24" t="inlineStr">
        <is>
          <t>2025</t>
        </is>
      </c>
      <c r="D2779" s="10" t="inlineStr">
        <is>
          <t>Functional alignment of protein language models via reinforcement learning</t>
        </is>
      </c>
      <c r="E2779" s="10" t="inlineStr">
        <is>
          <t>speaker not named</t>
        </is>
      </c>
      <c r="F2779" s="11" t="inlineStr">
        <is>
          <t>40:50</t>
        </is>
      </c>
      <c r="G2779" s="11" t="n">
        <v>0.68</v>
      </c>
      <c r="H2779" s="12" t="inlineStr"/>
      <c r="I2779" s="11" t="inlineStr">
        <is>
          <t>Not started</t>
        </is>
      </c>
      <c r="J2779" s="13" t="n"/>
      <c r="K2779" s="10" t="inlineStr"/>
      <c r="L2779" s="14" t="inlineStr">
        <is>
          <t>▶ watch</t>
        </is>
      </c>
      <c r="M2779" s="10" t="inlineStr"/>
      <c r="N2779" s="11" t="inlineStr"/>
      <c r="O2779" s="11" t="inlineStr">
        <is>
          <t>course lecture - no single paper</t>
        </is>
      </c>
      <c r="P2779" s="10" t="inlineStr"/>
    </row>
    <row r="2780">
      <c r="A2780" s="23" t="n">
        <v>2779</v>
      </c>
      <c r="B2780" s="23" t="inlineStr">
        <is>
          <t>Part VI - Appendices</t>
        </is>
      </c>
      <c r="C2780" s="24" t="inlineStr">
        <is>
          <t>2026 - posted but not on the schedule page</t>
        </is>
      </c>
      <c r="D2780" s="10" t="inlineStr">
        <is>
          <t>Language Modeling Materializes a World Model of Protein Biology</t>
        </is>
      </c>
      <c r="E2780" s="10" t="inlineStr">
        <is>
          <t>speaker not named</t>
        </is>
      </c>
      <c r="F2780" s="11" t="inlineStr">
        <is>
          <t>1:59:23</t>
        </is>
      </c>
      <c r="G2780" s="11" t="n">
        <v>1.99</v>
      </c>
      <c r="H2780" s="12" t="inlineStr"/>
      <c r="I2780" s="11" t="inlineStr">
        <is>
          <t>Not started</t>
        </is>
      </c>
      <c r="J2780" s="13" t="n"/>
      <c r="K2780" s="10" t="inlineStr"/>
      <c r="L2780" s="14" t="inlineStr">
        <is>
          <t>▶ watch</t>
        </is>
      </c>
      <c r="M2780" s="10" t="inlineStr"/>
      <c r="N2780" s="11" t="inlineStr"/>
      <c r="O2780" s="11" t="inlineStr">
        <is>
          <t>course lecture - no single paper</t>
        </is>
      </c>
      <c r="P2780" s="10" t="inlineStr"/>
    </row>
    <row r="2781">
      <c r="A2781" s="23" t="n">
        <v>2780</v>
      </c>
      <c r="B2781" s="23" t="inlineStr">
        <is>
          <t>Part VI - Appendices</t>
        </is>
      </c>
      <c r="C2781" s="24" t="inlineStr">
        <is>
          <t>2026 - posted but not on the schedule page</t>
        </is>
      </c>
      <c r="D2781" s="10" t="inlineStr">
        <is>
          <t>General Multimodal Protein Design Enables DNA-Encoding of Chemistry</t>
        </is>
      </c>
      <c r="E2781" s="10" t="inlineStr">
        <is>
          <t>speaker not named</t>
        </is>
      </c>
      <c r="F2781" s="11" t="inlineStr">
        <is>
          <t>43:27</t>
        </is>
      </c>
      <c r="G2781" s="11" t="n">
        <v>0.72</v>
      </c>
      <c r="H2781" s="12" t="inlineStr"/>
      <c r="I2781" s="11" t="inlineStr">
        <is>
          <t>Not started</t>
        </is>
      </c>
      <c r="J2781" s="13" t="n"/>
      <c r="K2781" s="10" t="inlineStr"/>
      <c r="L2781" s="14" t="inlineStr">
        <is>
          <t>▶ watch</t>
        </is>
      </c>
      <c r="M2781" s="10" t="inlineStr"/>
      <c r="N2781" s="11" t="inlineStr"/>
      <c r="O2781" s="11" t="inlineStr">
        <is>
          <t>course lecture - no single paper</t>
        </is>
      </c>
      <c r="P2781" s="10" t="inlineStr"/>
    </row>
    <row r="2782">
      <c r="A2782" s="23" t="n">
        <v>2781</v>
      </c>
      <c r="B2782" s="23" t="inlineStr">
        <is>
          <t>Part VI - Appendices</t>
        </is>
      </c>
      <c r="C2782" s="24" t="inlineStr">
        <is>
          <t>2026 - posted but not on the schedule page</t>
        </is>
      </c>
      <c r="D2782" s="10" t="inlineStr">
        <is>
          <t>Extensive Gene Evolution on Laboratory Timescale</t>
        </is>
      </c>
      <c r="E2782" s="10" t="inlineStr">
        <is>
          <t>Chang Liu (UC Irvine</t>
        </is>
      </c>
      <c r="F2782" s="11" t="inlineStr">
        <is>
          <t>1:02:46</t>
        </is>
      </c>
      <c r="G2782" s="11" t="n">
        <v>1.05</v>
      </c>
      <c r="H2782" s="12" t="inlineStr"/>
      <c r="I2782" s="11" t="inlineStr">
        <is>
          <t>Not started</t>
        </is>
      </c>
      <c r="J2782" s="13" t="n"/>
      <c r="K2782" s="10" t="inlineStr"/>
      <c r="L2782" s="14" t="inlineStr">
        <is>
          <t>▶ watch</t>
        </is>
      </c>
      <c r="M2782" s="10" t="inlineStr"/>
      <c r="N2782" s="11" t="inlineStr"/>
      <c r="O2782" s="11" t="inlineStr">
        <is>
          <t>course lecture - no single paper</t>
        </is>
      </c>
      <c r="P2782" s="10" t="inlineStr"/>
    </row>
    <row r="2783">
      <c r="A2783" s="23" t="n">
        <v>2782</v>
      </c>
      <c r="B2783" s="23" t="inlineStr">
        <is>
          <t>Part VI - Appendices</t>
        </is>
      </c>
      <c r="C2783" s="24" t="inlineStr">
        <is>
          <t>ML4PE Early Career Seminar Series - 15 talks</t>
        </is>
      </c>
      <c r="D2783" s="10" t="inlineStr">
        <is>
          <t>Columbia, Systems Biology</t>
        </is>
      </c>
      <c r="E2783" s="10" t="inlineStr">
        <is>
          <t>Mohammed AlQuraishi</t>
        </is>
      </c>
      <c r="F2783" s="11" t="inlineStr">
        <is>
          <t>1:05:58</t>
        </is>
      </c>
      <c r="G2783" s="11" t="n">
        <v>1.1</v>
      </c>
      <c r="H2783" s="12" t="inlineStr">
        <is>
          <t>★</t>
        </is>
      </c>
      <c r="I2783" s="11" t="inlineStr">
        <is>
          <t>Not started</t>
        </is>
      </c>
      <c r="J2783" s="13" t="n"/>
      <c r="K2783" s="10" t="inlineStr"/>
      <c r="L2783" s="14" t="inlineStr">
        <is>
          <t>▶ watch</t>
        </is>
      </c>
      <c r="M2783" s="10" t="inlineStr"/>
      <c r="N2783" s="11" t="inlineStr"/>
      <c r="O2783" s="11" t="inlineStr">
        <is>
          <t>course lecture - no single paper</t>
        </is>
      </c>
      <c r="P2783" s="10" t="inlineStr"/>
    </row>
    <row r="2784">
      <c r="A2784" s="23" t="n">
        <v>2783</v>
      </c>
      <c r="B2784" s="23" t="inlineStr">
        <is>
          <t>Part VI - Appendices</t>
        </is>
      </c>
      <c r="C2784" s="24" t="inlineStr">
        <is>
          <t>ML4PE Early Career Seminar Series - 15 talks</t>
        </is>
      </c>
      <c r="D2784" s="10" t="inlineStr">
        <is>
          <t>Northeastern / Broad</t>
        </is>
      </c>
      <c r="E2784" s="10" t="inlineStr">
        <is>
          <t>Wengong Jin</t>
        </is>
      </c>
      <c r="F2784" s="11" t="inlineStr">
        <is>
          <t>1:12:24</t>
        </is>
      </c>
      <c r="G2784" s="11" t="n">
        <v>1.21</v>
      </c>
      <c r="H2784" s="12" t="inlineStr"/>
      <c r="I2784" s="11" t="inlineStr">
        <is>
          <t>Not started</t>
        </is>
      </c>
      <c r="J2784" s="13" t="n"/>
      <c r="K2784" s="10" t="inlineStr"/>
      <c r="L2784" s="14" t="inlineStr">
        <is>
          <t>▶ watch</t>
        </is>
      </c>
      <c r="M2784" s="10" t="inlineStr"/>
      <c r="N2784" s="11" t="inlineStr"/>
      <c r="O2784" s="11" t="inlineStr">
        <is>
          <t>course lecture - no single paper</t>
        </is>
      </c>
      <c r="P2784" s="10" t="inlineStr"/>
    </row>
    <row r="2785">
      <c r="A2785" s="23" t="n">
        <v>2784</v>
      </c>
      <c r="B2785" s="23" t="inlineStr">
        <is>
          <t>Part VI - Appendices</t>
        </is>
      </c>
      <c r="C2785" s="24" t="inlineStr">
        <is>
          <t>ML4PE Early Career Seminar Series - 15 talks</t>
        </is>
      </c>
      <c r="D2785" s="10" t="inlineStr">
        <is>
          <t>Possu Huang</t>
        </is>
      </c>
      <c r="E2785" s="10" t="inlineStr">
        <is>
          <t>Stanford</t>
        </is>
      </c>
      <c r="F2785" s="11" t="inlineStr">
        <is>
          <t>1:16:22</t>
        </is>
      </c>
      <c r="G2785" s="11" t="n">
        <v>1.27</v>
      </c>
      <c r="H2785" s="12" t="inlineStr">
        <is>
          <t>★</t>
        </is>
      </c>
      <c r="I2785" s="11" t="inlineStr">
        <is>
          <t>Not started</t>
        </is>
      </c>
      <c r="J2785" s="13" t="n"/>
      <c r="K2785" s="10" t="inlineStr"/>
      <c r="L2785" s="14" t="inlineStr">
        <is>
          <t>▶ watch</t>
        </is>
      </c>
      <c r="M2785" s="10" t="inlineStr"/>
      <c r="N2785" s="11" t="inlineStr"/>
      <c r="O2785" s="11" t="inlineStr">
        <is>
          <t>course lecture - no single paper</t>
        </is>
      </c>
      <c r="P2785" s="10" t="inlineStr"/>
    </row>
    <row r="2786">
      <c r="A2786" s="23" t="n">
        <v>2785</v>
      </c>
      <c r="B2786" s="23" t="inlineStr">
        <is>
          <t>Part VI - Appendices</t>
        </is>
      </c>
      <c r="C2786" s="24" t="inlineStr">
        <is>
          <t>ML4PE Early Career Seminar Series - 15 talks</t>
        </is>
      </c>
      <c r="D2786" s="10" t="inlineStr">
        <is>
          <t>UPenn, Bioengineering &amp; CIS</t>
        </is>
      </c>
      <c r="E2786" s="10" t="inlineStr">
        <is>
          <t>Pranam Chatterjee</t>
        </is>
      </c>
      <c r="F2786" s="11" t="inlineStr">
        <is>
          <t>1:03:29</t>
        </is>
      </c>
      <c r="G2786" s="11" t="n">
        <v>1.06</v>
      </c>
      <c r="H2786" s="12" t="inlineStr">
        <is>
          <t>★</t>
        </is>
      </c>
      <c r="I2786" s="11" t="inlineStr">
        <is>
          <t>Not started</t>
        </is>
      </c>
      <c r="J2786" s="13" t="n"/>
      <c r="K2786" s="10" t="inlineStr"/>
      <c r="L2786" s="14" t="inlineStr">
        <is>
          <t>▶ watch</t>
        </is>
      </c>
      <c r="M2786" s="10" t="inlineStr"/>
      <c r="N2786" s="11" t="inlineStr"/>
      <c r="O2786" s="11" t="inlineStr">
        <is>
          <t>course lecture - no single paper</t>
        </is>
      </c>
      <c r="P2786" s="10" t="inlineStr"/>
    </row>
    <row r="2787">
      <c r="A2787" s="23" t="n">
        <v>2786</v>
      </c>
      <c r="B2787" s="23" t="inlineStr">
        <is>
          <t>Part VI - Appendices</t>
        </is>
      </c>
      <c r="C2787" s="24" t="inlineStr">
        <is>
          <t>ML4PE Early Career Seminar Series - 15 talks</t>
        </is>
      </c>
      <c r="D2787" s="10" t="inlineStr">
        <is>
          <t>Rohit Singh</t>
        </is>
      </c>
      <c r="E2787" s="10" t="inlineStr">
        <is>
          <t>Duke</t>
        </is>
      </c>
      <c r="F2787" s="11" t="inlineStr">
        <is>
          <t>1:04:52</t>
        </is>
      </c>
      <c r="G2787" s="11" t="n">
        <v>1.08</v>
      </c>
      <c r="H2787" s="12" t="inlineStr"/>
      <c r="I2787" s="11" t="inlineStr">
        <is>
          <t>Not started</t>
        </is>
      </c>
      <c r="J2787" s="13" t="n"/>
      <c r="K2787" s="10" t="inlineStr"/>
      <c r="L2787" s="14" t="inlineStr">
        <is>
          <t>▶ watch</t>
        </is>
      </c>
      <c r="M2787" s="10" t="inlineStr"/>
      <c r="N2787" s="11" t="inlineStr"/>
      <c r="O2787" s="11" t="inlineStr">
        <is>
          <t>course lecture - no single paper</t>
        </is>
      </c>
      <c r="P2787" s="10" t="inlineStr"/>
    </row>
    <row r="2788">
      <c r="A2788" s="23" t="n">
        <v>2787</v>
      </c>
      <c r="B2788" s="23" t="inlineStr">
        <is>
          <t>Part VI - Appendices</t>
        </is>
      </c>
      <c r="C2788" s="24" t="inlineStr">
        <is>
          <t>ML4PE Early Career Seminar Series - 15 talks</t>
        </is>
      </c>
      <c r="D2788" s="10" t="inlineStr">
        <is>
          <t>Mila / Montréal</t>
        </is>
      </c>
      <c r="E2788" s="10" t="inlineStr">
        <is>
          <t>Alex Tong</t>
        </is>
      </c>
      <c r="F2788" s="11" t="inlineStr">
        <is>
          <t>55:10</t>
        </is>
      </c>
      <c r="G2788" s="11" t="n">
        <v>0.92</v>
      </c>
      <c r="H2788" s="12" t="inlineStr"/>
      <c r="I2788" s="11" t="inlineStr">
        <is>
          <t>Not started</t>
        </is>
      </c>
      <c r="J2788" s="13" t="n"/>
      <c r="K2788" s="10" t="inlineStr"/>
      <c r="L2788" s="14" t="inlineStr">
        <is>
          <t>▶ watch</t>
        </is>
      </c>
      <c r="M2788" s="10" t="inlineStr"/>
      <c r="N2788" s="11" t="inlineStr"/>
      <c r="O2788" s="11" t="inlineStr">
        <is>
          <t>course lecture - no single paper</t>
        </is>
      </c>
      <c r="P2788" s="10" t="inlineStr"/>
    </row>
    <row r="2789">
      <c r="A2789" s="23" t="n">
        <v>2788</v>
      </c>
      <c r="B2789" s="23" t="inlineStr">
        <is>
          <t>Part VI - Appendices</t>
        </is>
      </c>
      <c r="C2789" s="24" t="inlineStr">
        <is>
          <t>ML4PE Early Career Seminar Series - 15 talks</t>
        </is>
      </c>
      <c r="D2789" s="10" t="inlineStr">
        <is>
          <t>NYU Courant</t>
        </is>
      </c>
      <c r="E2789" s="10" t="inlineStr">
        <is>
          <t>Alan Amin</t>
        </is>
      </c>
      <c r="F2789" s="11" t="inlineStr">
        <is>
          <t>49:42</t>
        </is>
      </c>
      <c r="G2789" s="11" t="n">
        <v>0.83</v>
      </c>
      <c r="H2789" s="12" t="inlineStr"/>
      <c r="I2789" s="11" t="inlineStr">
        <is>
          <t>Not started</t>
        </is>
      </c>
      <c r="J2789" s="13" t="n"/>
      <c r="K2789" s="10" t="inlineStr"/>
      <c r="L2789" s="14" t="inlineStr">
        <is>
          <t>▶ watch</t>
        </is>
      </c>
      <c r="M2789" s="10" t="inlineStr"/>
      <c r="N2789" s="11" t="inlineStr"/>
      <c r="O2789" s="11" t="inlineStr">
        <is>
          <t>course lecture - no single paper</t>
        </is>
      </c>
      <c r="P2789" s="10" t="inlineStr"/>
    </row>
    <row r="2790">
      <c r="A2790" s="23" t="n">
        <v>2789</v>
      </c>
      <c r="B2790" s="23" t="inlineStr">
        <is>
          <t>Part VI - Appendices</t>
        </is>
      </c>
      <c r="C2790" s="24" t="inlineStr">
        <is>
          <t>ML4PE Early Career Seminar Series - 15 talks</t>
        </is>
      </c>
      <c r="D2790" s="10" t="inlineStr">
        <is>
          <t>Columbia / Harvard</t>
        </is>
      </c>
      <c r="E2790" s="10" t="inlineStr">
        <is>
          <t>Eli N. Weinstein</t>
        </is>
      </c>
      <c r="F2790" s="11" t="inlineStr">
        <is>
          <t>51:20</t>
        </is>
      </c>
      <c r="G2790" s="11" t="n">
        <v>0.86</v>
      </c>
      <c r="H2790" s="12" t="inlineStr"/>
      <c r="I2790" s="11" t="inlineStr">
        <is>
          <t>Not started</t>
        </is>
      </c>
      <c r="J2790" s="13" t="n"/>
      <c r="K2790" s="10" t="inlineStr"/>
      <c r="L2790" s="14" t="inlineStr">
        <is>
          <t>▶ watch</t>
        </is>
      </c>
      <c r="M2790" s="10" t="inlineStr"/>
      <c r="N2790" s="11" t="inlineStr"/>
      <c r="O2790" s="11" t="inlineStr">
        <is>
          <t>course lecture - no single paper</t>
        </is>
      </c>
      <c r="P2790" s="10" t="inlineStr"/>
    </row>
    <row r="2791">
      <c r="A2791" s="23" t="n">
        <v>2790</v>
      </c>
      <c r="B2791" s="23" t="inlineStr">
        <is>
          <t>Part VI - Appendices</t>
        </is>
      </c>
      <c r="C2791" s="24" t="inlineStr">
        <is>
          <t>ML4PE Early Career Seminar Series - 15 talks</t>
        </is>
      </c>
      <c r="D2791" s="10" t="inlineStr">
        <is>
          <t>MIT / Marks lab</t>
        </is>
      </c>
      <c r="E2791" s="10" t="inlineStr">
        <is>
          <t>Sarah Gurev</t>
        </is>
      </c>
      <c r="F2791" s="11" t="inlineStr">
        <is>
          <t>59:36</t>
        </is>
      </c>
      <c r="G2791" s="11" t="n">
        <v>0.99</v>
      </c>
      <c r="H2791" s="12" t="inlineStr"/>
      <c r="I2791" s="11" t="inlineStr">
        <is>
          <t>Not started</t>
        </is>
      </c>
      <c r="J2791" s="13" t="n"/>
      <c r="K2791" s="10" t="inlineStr"/>
      <c r="L2791" s="14" t="inlineStr">
        <is>
          <t>▶ watch</t>
        </is>
      </c>
      <c r="M2791" s="10" t="inlineStr"/>
      <c r="N2791" s="11" t="inlineStr"/>
      <c r="O2791" s="11" t="inlineStr">
        <is>
          <t>course lecture - no single paper</t>
        </is>
      </c>
      <c r="P2791" s="10" t="inlineStr"/>
    </row>
    <row r="2792">
      <c r="A2792" s="23" t="n">
        <v>2791</v>
      </c>
      <c r="B2792" s="23" t="inlineStr">
        <is>
          <t>Part VI - Appendices</t>
        </is>
      </c>
      <c r="C2792" s="24" t="inlineStr">
        <is>
          <t>2026</t>
        </is>
      </c>
      <c r="D2792" s="10" t="inlineStr">
        <is>
          <t>Energy-Based Models of Protein Structure, Dynamics, and Folding</t>
        </is>
      </c>
      <c r="E2792" s="10" t="inlineStr">
        <is>
          <t>James Roney</t>
        </is>
      </c>
      <c r="F2792" s="11" t="inlineStr">
        <is>
          <t>1:18:18</t>
        </is>
      </c>
      <c r="G2792" s="11" t="n">
        <v>1.3</v>
      </c>
      <c r="H2792" s="12" t="inlineStr">
        <is>
          <t>★</t>
        </is>
      </c>
      <c r="I2792" s="11" t="inlineStr">
        <is>
          <t>Not started</t>
        </is>
      </c>
      <c r="J2792" s="13" t="n"/>
      <c r="K2792" s="10" t="inlineStr"/>
      <c r="L2792" s="14" t="inlineStr">
        <is>
          <t>▶ watch</t>
        </is>
      </c>
      <c r="M2792" s="10" t="inlineStr"/>
      <c r="N2792" s="11" t="inlineStr"/>
      <c r="O2792" s="11" t="inlineStr">
        <is>
          <t>course lecture - no single paper</t>
        </is>
      </c>
      <c r="P2792" s="10" t="inlineStr"/>
    </row>
    <row r="2793">
      <c r="A2793" s="23" t="n">
        <v>2792</v>
      </c>
      <c r="B2793" s="23" t="inlineStr">
        <is>
          <t>Part VI - Appendices</t>
        </is>
      </c>
      <c r="C2793" s="24" t="inlineStr">
        <is>
          <t>2025</t>
        </is>
      </c>
      <c r="D2793" s="10" t="inlineStr">
        <is>
          <t>From DNA Origami to Protein Design: Symmetry-Guided Principles Across Scales</t>
        </is>
      </c>
      <c r="E2793" s="10" t="inlineStr">
        <is>
          <t>Seth Fraden (Brandeis</t>
        </is>
      </c>
      <c r="F2793" s="11" t="inlineStr">
        <is>
          <t>1:18:28</t>
        </is>
      </c>
      <c r="G2793" s="11" t="n">
        <v>1.31</v>
      </c>
      <c r="H2793" s="12" t="inlineStr"/>
      <c r="I2793" s="11" t="inlineStr">
        <is>
          <t>Not started</t>
        </is>
      </c>
      <c r="J2793" s="13" t="n"/>
      <c r="K2793" s="10" t="inlineStr"/>
      <c r="L2793" s="14" t="inlineStr">
        <is>
          <t>▶ watch</t>
        </is>
      </c>
      <c r="M2793" s="10" t="inlineStr"/>
      <c r="N2793" s="11" t="inlineStr"/>
      <c r="O2793" s="11" t="inlineStr">
        <is>
          <t>course lecture - no single paper</t>
        </is>
      </c>
      <c r="P2793" s="10" t="inlineStr"/>
    </row>
    <row r="2794">
      <c r="A2794" s="23" t="n">
        <v>2793</v>
      </c>
      <c r="B2794" s="23" t="inlineStr">
        <is>
          <t>Part VI - Appendices</t>
        </is>
      </c>
      <c r="C2794" s="24" t="inlineStr">
        <is>
          <t>2025</t>
        </is>
      </c>
      <c r="D2794" s="10" t="inlineStr">
        <is>
          <t>Designing new and improved functions in natural protein folds</t>
        </is>
      </c>
      <c r="E2794" s="10" t="inlineStr">
        <is>
          <t>Sarel Fleishman (Weizmann</t>
        </is>
      </c>
      <c r="F2794" s="11" t="inlineStr">
        <is>
          <t>1:21:26</t>
        </is>
      </c>
      <c r="G2794" s="11" t="n">
        <v>1.36</v>
      </c>
      <c r="H2794" s="12" t="inlineStr"/>
      <c r="I2794" s="11" t="inlineStr">
        <is>
          <t>Not started</t>
        </is>
      </c>
      <c r="J2794" s="13" t="n"/>
      <c r="K2794" s="10" t="inlineStr"/>
      <c r="L2794" s="14" t="inlineStr">
        <is>
          <t>▶ watch</t>
        </is>
      </c>
      <c r="M2794" s="10" t="inlineStr"/>
      <c r="N2794" s="11" t="inlineStr"/>
      <c r="O2794" s="11" t="inlineStr">
        <is>
          <t>course lecture - no single paper</t>
        </is>
      </c>
      <c r="P2794" s="10" t="inlineStr"/>
    </row>
    <row r="2795">
      <c r="A2795" s="23" t="n">
        <v>2794</v>
      </c>
      <c r="B2795" s="23" t="inlineStr">
        <is>
          <t>Part VI - Appendices</t>
        </is>
      </c>
      <c r="C2795" s="24" t="inlineStr">
        <is>
          <t>2025</t>
        </is>
      </c>
      <c r="D2795" s="10" t="inlineStr">
        <is>
          <t>Empowering Biomedical Discovery with "AI Scientists"</t>
        </is>
      </c>
      <c r="E2795" s="10" t="inlineStr">
        <is>
          <t>Marinka Zitnik (HMS</t>
        </is>
      </c>
      <c r="F2795" s="11" t="inlineStr">
        <is>
          <t>1:25:29</t>
        </is>
      </c>
      <c r="G2795" s="11" t="n">
        <v>1.42</v>
      </c>
      <c r="H2795" s="12" t="inlineStr"/>
      <c r="I2795" s="11" t="inlineStr">
        <is>
          <t>Not started</t>
        </is>
      </c>
      <c r="J2795" s="13" t="n"/>
      <c r="K2795" s="10" t="inlineStr"/>
      <c r="L2795" s="14" t="inlineStr">
        <is>
          <t>▶ watch</t>
        </is>
      </c>
      <c r="M2795" s="10" t="inlineStr"/>
      <c r="N2795" s="11" t="inlineStr"/>
      <c r="O2795" s="11" t="inlineStr">
        <is>
          <t>course lecture - no single paper</t>
        </is>
      </c>
      <c r="P2795" s="10" t="inlineStr"/>
    </row>
    <row r="2796">
      <c r="A2796" s="23" t="n">
        <v>2795</v>
      </c>
      <c r="B2796" s="23" t="inlineStr">
        <is>
          <t>Part VI - Appendices</t>
        </is>
      </c>
      <c r="C2796" s="24" t="inlineStr">
        <is>
          <t>2024</t>
        </is>
      </c>
      <c r="D2796" s="10" t="inlineStr">
        <is>
          <t>Unsupervised early warning of viral antibody escape</t>
        </is>
      </c>
      <c r="E2796" s="10" t="inlineStr">
        <is>
          <t>Gurev &amp; Youssef (Harvard/MIT</t>
        </is>
      </c>
      <c r="F2796" s="11" t="inlineStr">
        <is>
          <t>1:26:30</t>
        </is>
      </c>
      <c r="G2796" s="11" t="n">
        <v>1.44</v>
      </c>
      <c r="H2796" s="12" t="inlineStr"/>
      <c r="I2796" s="11" t="inlineStr">
        <is>
          <t>Not started</t>
        </is>
      </c>
      <c r="J2796" s="13" t="n"/>
      <c r="K2796" s="10" t="inlineStr"/>
      <c r="L2796" s="14" t="inlineStr">
        <is>
          <t>▶ watch</t>
        </is>
      </c>
      <c r="M2796" s="10" t="inlineStr"/>
      <c r="N2796" s="11" t="inlineStr"/>
      <c r="O2796" s="11" t="inlineStr">
        <is>
          <t>course lecture - no single paper</t>
        </is>
      </c>
      <c r="P2796" s="10" t="inlineStr"/>
    </row>
    <row r="2797">
      <c r="A2797" s="23" t="n">
        <v>2796</v>
      </c>
      <c r="B2797" s="23" t="inlineStr">
        <is>
          <t>Part VI - Appendices</t>
        </is>
      </c>
      <c r="C2797" s="24" t="inlineStr">
        <is>
          <t>2024</t>
        </is>
      </c>
      <c r="D2797" s="10" t="inlineStr">
        <is>
          <t>Computational Design of non-porous, pH-responsive antibody nanoparticles</t>
        </is>
      </c>
      <c r="E2797" s="10" t="inlineStr">
        <is>
          <t>Erin Yang</t>
        </is>
      </c>
      <c r="F2797" s="11" t="inlineStr">
        <is>
          <t>58:58</t>
        </is>
      </c>
      <c r="G2797" s="11" t="n">
        <v>0.98</v>
      </c>
      <c r="H2797" s="12" t="inlineStr"/>
      <c r="I2797" s="11" t="inlineStr">
        <is>
          <t>Not started</t>
        </is>
      </c>
      <c r="J2797" s="13" t="n"/>
      <c r="K2797" s="10" t="inlineStr"/>
      <c r="L2797" s="14" t="inlineStr">
        <is>
          <t>▶ watch</t>
        </is>
      </c>
      <c r="M2797" s="10" t="inlineStr"/>
      <c r="N2797" s="11" t="inlineStr"/>
      <c r="O2797" s="11" t="inlineStr">
        <is>
          <t>course lecture - no single paper</t>
        </is>
      </c>
      <c r="P2797" s="10" t="inlineStr"/>
    </row>
    <row r="2798">
      <c r="A2798" s="23" t="n">
        <v>2797</v>
      </c>
      <c r="B2798" s="23" t="inlineStr">
        <is>
          <t>Part VI - Appendices</t>
        </is>
      </c>
      <c r="C2798" s="24" t="inlineStr">
        <is>
          <t>2024</t>
        </is>
      </c>
      <c r="D2798" s="10" t="inlineStr">
        <is>
          <t>Physics-aware agentic AI to model, design and discover proteins</t>
        </is>
      </c>
      <c r="E2798" s="10" t="inlineStr">
        <is>
          <t>Markus Buehler (MIT</t>
        </is>
      </c>
      <c r="F2798" s="11" t="inlineStr">
        <is>
          <t>1:29:17</t>
        </is>
      </c>
      <c r="G2798" s="11" t="n">
        <v>1.49</v>
      </c>
      <c r="H2798" s="12" t="inlineStr"/>
      <c r="I2798" s="11" t="inlineStr">
        <is>
          <t>Not started</t>
        </is>
      </c>
      <c r="J2798" s="13" t="n"/>
      <c r="K2798" s="10" t="inlineStr"/>
      <c r="L2798" s="14" t="inlineStr">
        <is>
          <t>▶ watch</t>
        </is>
      </c>
      <c r="M2798" s="10" t="inlineStr"/>
      <c r="N2798" s="11" t="inlineStr"/>
      <c r="O2798" s="11" t="inlineStr">
        <is>
          <t>course lecture - no single paper</t>
        </is>
      </c>
      <c r="P2798" s="10" t="inlineStr"/>
    </row>
    <row r="2799">
      <c r="A2799" s="23" t="n">
        <v>2798</v>
      </c>
      <c r="B2799" s="23" t="inlineStr">
        <is>
          <t>Part VI - Appendices</t>
        </is>
      </c>
      <c r="C2799" s="24" t="inlineStr">
        <is>
          <t>2023</t>
        </is>
      </c>
      <c r="D2799" s="10" t="inlineStr">
        <is>
          <t>Expanding the Universe of Functional Proteins by Computational Design</t>
        </is>
      </c>
      <c r="E2799" s="10" t="inlineStr">
        <is>
          <t>Bruno Correia (EPFL</t>
        </is>
      </c>
      <c r="F2799" s="11" t="inlineStr">
        <is>
          <t>1:17:45</t>
        </is>
      </c>
      <c r="G2799" s="11" t="n">
        <v>1.3</v>
      </c>
      <c r="H2799" s="12" t="inlineStr"/>
      <c r="I2799" s="11" t="inlineStr">
        <is>
          <t>Not started</t>
        </is>
      </c>
      <c r="J2799" s="13" t="n"/>
      <c r="K2799" s="10" t="inlineStr"/>
      <c r="L2799" s="14" t="inlineStr">
        <is>
          <t>▶ watch</t>
        </is>
      </c>
      <c r="M2799" s="10" t="inlineStr"/>
      <c r="N2799" s="11" t="inlineStr"/>
      <c r="O2799" s="11" t="inlineStr">
        <is>
          <t>course lecture - no single paper</t>
        </is>
      </c>
      <c r="P2799" s="10" t="inlineStr"/>
    </row>
    <row r="2800">
      <c r="A2800" s="23" t="n">
        <v>2799</v>
      </c>
      <c r="B2800" s="23" t="inlineStr">
        <is>
          <t>Part VI - Appendices</t>
        </is>
      </c>
      <c r="C2800" s="24" t="inlineStr">
        <is>
          <t>2023</t>
        </is>
      </c>
      <c r="D2800" s="10" t="inlineStr">
        <is>
          <t>Building a global data supply chain to improve protein design</t>
        </is>
      </c>
      <c r="E2800" s="10" t="inlineStr">
        <is>
          <t>Philipp Lorenz (Basecamp</t>
        </is>
      </c>
      <c r="F2800" s="11" t="inlineStr">
        <is>
          <t>1:05:28</t>
        </is>
      </c>
      <c r="G2800" s="11" t="n">
        <v>1.09</v>
      </c>
      <c r="H2800" s="12" t="inlineStr"/>
      <c r="I2800" s="11" t="inlineStr">
        <is>
          <t>Not started</t>
        </is>
      </c>
      <c r="J2800" s="13" t="n"/>
      <c r="K2800" s="10" t="inlineStr"/>
      <c r="L2800" s="14" t="inlineStr">
        <is>
          <t>▶ watch</t>
        </is>
      </c>
      <c r="M2800" s="10" t="inlineStr"/>
      <c r="N2800" s="11" t="inlineStr"/>
      <c r="O2800" s="11" t="inlineStr">
        <is>
          <t>course lecture - no single paper</t>
        </is>
      </c>
      <c r="P2800" s="10" t="inlineStr"/>
    </row>
    <row r="2801">
      <c r="A2801" s="23" t="n">
        <v>2800</v>
      </c>
      <c r="B2801" s="23" t="inlineStr">
        <is>
          <t>Part VI - Appendices</t>
        </is>
      </c>
      <c r="C2801" s="24" t="inlineStr">
        <is>
          <t>2023</t>
        </is>
      </c>
      <c r="D2801" s="10" t="inlineStr">
        <is>
          <t>Exploration of novel functional sequence space using evolution-informed design</t>
        </is>
      </c>
      <c r="E2801" s="10" t="inlineStr">
        <is>
          <t>Nick Gauthier</t>
        </is>
      </c>
      <c r="F2801" s="11" t="inlineStr">
        <is>
          <t>1:16:42</t>
        </is>
      </c>
      <c r="G2801" s="11" t="n">
        <v>1.28</v>
      </c>
      <c r="H2801" s="12" t="inlineStr"/>
      <c r="I2801" s="11" t="inlineStr">
        <is>
          <t>Not started</t>
        </is>
      </c>
      <c r="J2801" s="13" t="n"/>
      <c r="K2801" s="10" t="inlineStr"/>
      <c r="L2801" s="14" t="inlineStr">
        <is>
          <t>▶ watch</t>
        </is>
      </c>
      <c r="M2801" s="10" t="inlineStr"/>
      <c r="N2801" s="11" t="inlineStr"/>
      <c r="O2801" s="11" t="inlineStr">
        <is>
          <t>course lecture - no single paper</t>
        </is>
      </c>
      <c r="P2801" s="10" t="inlineStr"/>
    </row>
    <row r="2802">
      <c r="A2802" s="23" t="n">
        <v>2801</v>
      </c>
      <c r="B2802" s="23" t="inlineStr">
        <is>
          <t>Part VI - Appendices</t>
        </is>
      </c>
      <c r="C2802" s="24" t="inlineStr">
        <is>
          <t>2023</t>
        </is>
      </c>
      <c r="D2802" s="10" t="inlineStr">
        <is>
          <t>Bridging Biophysics and AI to Optimize Protein Design</t>
        </is>
      </c>
      <c r="E2802" s="10" t="inlineStr">
        <is>
          <t>Ava Amini (MSR</t>
        </is>
      </c>
      <c r="F2802" s="11" t="inlineStr">
        <is>
          <t>1:28:45</t>
        </is>
      </c>
      <c r="G2802" s="11" t="n">
        <v>1.48</v>
      </c>
      <c r="H2802" s="12" t="inlineStr"/>
      <c r="I2802" s="11" t="inlineStr">
        <is>
          <t>Not started</t>
        </is>
      </c>
      <c r="J2802" s="13" t="n"/>
      <c r="K2802" s="10" t="inlineStr"/>
      <c r="L2802" s="14" t="inlineStr">
        <is>
          <t>▶ watch</t>
        </is>
      </c>
      <c r="M2802" s="10" t="inlineStr"/>
      <c r="N2802" s="11" t="inlineStr"/>
      <c r="O2802" s="11" t="inlineStr">
        <is>
          <t>course lecture - no single paper</t>
        </is>
      </c>
      <c r="P2802" s="10" t="inlineStr"/>
    </row>
    <row r="2803">
      <c r="A2803" s="23" t="n">
        <v>2802</v>
      </c>
      <c r="B2803" s="23" t="inlineStr">
        <is>
          <t>Part VI - Appendices</t>
        </is>
      </c>
      <c r="C2803" s="24" t="inlineStr">
        <is>
          <t>2023</t>
        </is>
      </c>
      <c r="D2803" s="10" t="inlineStr">
        <is>
          <t>Learning transferable protein backmapping from conformational ensembles</t>
        </is>
      </c>
      <c r="E2803" s="10" t="inlineStr">
        <is>
          <t>Soojung Yang (MIT</t>
        </is>
      </c>
      <c r="F2803" s="11" t="inlineStr">
        <is>
          <t>1:03:00</t>
        </is>
      </c>
      <c r="G2803" s="11" t="n">
        <v>1.05</v>
      </c>
      <c r="H2803" s="12" t="inlineStr">
        <is>
          <t>★</t>
        </is>
      </c>
      <c r="I2803" s="11" t="inlineStr">
        <is>
          <t>Not started</t>
        </is>
      </c>
      <c r="J2803" s="13" t="n"/>
      <c r="K2803" s="10" t="inlineStr"/>
      <c r="L2803" s="14" t="inlineStr">
        <is>
          <t>▶ watch</t>
        </is>
      </c>
      <c r="M2803" s="10" t="inlineStr"/>
      <c r="N2803" s="11" t="inlineStr"/>
      <c r="O2803" s="11" t="inlineStr">
        <is>
          <t>course lecture - no single paper</t>
        </is>
      </c>
      <c r="P2803" s="10" t="inlineStr"/>
    </row>
    <row r="2804">
      <c r="A2804" s="23" t="n">
        <v>2803</v>
      </c>
      <c r="B2804" s="23" t="inlineStr">
        <is>
          <t>Part VI - Appendices</t>
        </is>
      </c>
      <c r="C2804" s="24" t="inlineStr">
        <is>
          <t>2022</t>
        </is>
      </c>
      <c r="D2804" s="10" t="inlineStr">
        <is>
          <t>Learning from natural antibodies for sequence generation and fast structure prediction</t>
        </is>
      </c>
      <c r="E2804" s="10" t="inlineStr">
        <is>
          <t>Jeff Ruffolo (JHU</t>
        </is>
      </c>
      <c r="F2804" s="11" t="inlineStr">
        <is>
          <t>58:51</t>
        </is>
      </c>
      <c r="G2804" s="11" t="n">
        <v>0.98</v>
      </c>
      <c r="H2804" s="12" t="inlineStr"/>
      <c r="I2804" s="11" t="inlineStr">
        <is>
          <t>Not started</t>
        </is>
      </c>
      <c r="J2804" s="13" t="n"/>
      <c r="K2804" s="10" t="inlineStr"/>
      <c r="L2804" s="14" t="inlineStr">
        <is>
          <t>▶ watch</t>
        </is>
      </c>
      <c r="M2804" s="10" t="inlineStr"/>
      <c r="N2804" s="11" t="inlineStr"/>
      <c r="O2804" s="11" t="inlineStr">
        <is>
          <t>course lecture - no single paper</t>
        </is>
      </c>
      <c r="P2804" s="10" t="inlineStr"/>
    </row>
    <row r="2805">
      <c r="A2805" s="23" t="n">
        <v>2804</v>
      </c>
      <c r="B2805" s="23" t="inlineStr">
        <is>
          <t>Part VI - Appendices</t>
        </is>
      </c>
      <c r="C2805" s="24" t="inlineStr">
        <is>
          <t>2022</t>
        </is>
      </c>
      <c r="D2805" s="10" t="inlineStr">
        <is>
          <t>From large to small: protein design for stability and de novo interfaces</t>
        </is>
      </c>
      <c r="E2805" s="10" t="inlineStr">
        <is>
          <t>Eva-Maria Strauch (Georgia</t>
        </is>
      </c>
      <c r="F2805" s="11" t="inlineStr">
        <is>
          <t>1:07:37</t>
        </is>
      </c>
      <c r="G2805" s="11" t="n">
        <v>1.13</v>
      </c>
      <c r="H2805" s="12" t="inlineStr"/>
      <c r="I2805" s="11" t="inlineStr">
        <is>
          <t>Not started</t>
        </is>
      </c>
      <c r="J2805" s="13" t="n"/>
      <c r="K2805" s="10" t="inlineStr"/>
      <c r="L2805" s="14" t="inlineStr">
        <is>
          <t>▶ watch</t>
        </is>
      </c>
      <c r="M2805" s="10" t="inlineStr"/>
      <c r="N2805" s="11" t="inlineStr"/>
      <c r="O2805" s="11" t="inlineStr">
        <is>
          <t>course lecture - no single paper</t>
        </is>
      </c>
      <c r="P2805" s="10" t="inlineStr"/>
    </row>
    <row r="2806">
      <c r="A2806" s="23" t="n">
        <v>2805</v>
      </c>
      <c r="B2806" s="23" t="inlineStr">
        <is>
          <t>Part VI - Appendices</t>
        </is>
      </c>
      <c r="C2806" s="24" t="inlineStr">
        <is>
          <t>2021</t>
        </is>
      </c>
      <c r="D2806" s="10" t="inlineStr">
        <is>
          <t>The 7 Habits of Highly Successful Protein Therapeutics</t>
        </is>
      </c>
      <c r="E2806" s="10" t="inlineStr">
        <is>
          <t>Chris Ing</t>
        </is>
      </c>
      <c r="F2806" s="11" t="inlineStr">
        <is>
          <t>1:01:04</t>
        </is>
      </c>
      <c r="G2806" s="11" t="n">
        <v>1.02</v>
      </c>
      <c r="H2806" s="12" t="inlineStr"/>
      <c r="I2806" s="11" t="inlineStr">
        <is>
          <t>Not started</t>
        </is>
      </c>
      <c r="J2806" s="13" t="n"/>
      <c r="K2806" s="10" t="inlineStr"/>
      <c r="L2806" s="14" t="inlineStr">
        <is>
          <t>▶ watch</t>
        </is>
      </c>
      <c r="M2806" s="10" t="inlineStr"/>
      <c r="N2806" s="11" t="inlineStr"/>
      <c r="O2806" s="11" t="inlineStr">
        <is>
          <t>course lecture - no single paper</t>
        </is>
      </c>
      <c r="P2806" s="10" t="inlineStr"/>
    </row>
    <row r="2807">
      <c r="A2807" s="23" t="n">
        <v>2806</v>
      </c>
      <c r="B2807" s="23" t="inlineStr">
        <is>
          <t>Part VI - Appendices</t>
        </is>
      </c>
      <c r="C2807" s="24" t="inlineStr">
        <is>
          <t>2021</t>
        </is>
      </c>
      <c r="D2807" s="10" t="inlineStr">
        <is>
          <t>De novo design of mini-proteins to inhibit bacterial biofilm formation</t>
        </is>
      </c>
      <c r="E2807" s="10" t="inlineStr">
        <is>
          <t>Andrea Garavito</t>
        </is>
      </c>
      <c r="F2807" s="11" t="inlineStr">
        <is>
          <t>1:00:01</t>
        </is>
      </c>
      <c r="G2807" s="11" t="n">
        <v>1</v>
      </c>
      <c r="H2807" s="12" t="inlineStr"/>
      <c r="I2807" s="11" t="inlineStr">
        <is>
          <t>Not started</t>
        </is>
      </c>
      <c r="J2807" s="13" t="n"/>
      <c r="K2807" s="10" t="inlineStr"/>
      <c r="L2807" s="14" t="inlineStr">
        <is>
          <t>▶ watch</t>
        </is>
      </c>
      <c r="M2807" s="10" t="inlineStr"/>
      <c r="N2807" s="11" t="inlineStr"/>
      <c r="O2807" s="11" t="inlineStr">
        <is>
          <t>course lecture - no single paper</t>
        </is>
      </c>
      <c r="P2807" s="10" t="inlineStr"/>
    </row>
    <row r="2808">
      <c r="A2808" s="23" t="n">
        <v>2807</v>
      </c>
      <c r="B2808" s="23" t="inlineStr">
        <is>
          <t>Part VI - Appendices</t>
        </is>
      </c>
      <c r="C2808" s="24" t="inlineStr">
        <is>
          <t>2021</t>
        </is>
      </c>
      <c r="D2808" s="10" t="inlineStr">
        <is>
          <t>New tools for studying the mechanics of single proteins</t>
        </is>
      </c>
      <c r="E2808" s="10" t="inlineStr">
        <is>
          <t>Pallav Kosuri (Salk</t>
        </is>
      </c>
      <c r="F2808" s="11" t="inlineStr">
        <is>
          <t>1:18:03</t>
        </is>
      </c>
      <c r="G2808" s="11" t="n">
        <v>1.3</v>
      </c>
      <c r="H2808" s="12" t="inlineStr"/>
      <c r="I2808" s="11" t="inlineStr">
        <is>
          <t>Not started</t>
        </is>
      </c>
      <c r="J2808" s="13" t="n"/>
      <c r="K2808" s="10" t="inlineStr"/>
      <c r="L2808" s="14" t="inlineStr">
        <is>
          <t>▶ watch</t>
        </is>
      </c>
      <c r="M2808" s="10" t="inlineStr"/>
      <c r="N2808" s="11" t="inlineStr"/>
      <c r="O2808" s="11" t="inlineStr">
        <is>
          <t>course lecture - no single paper</t>
        </is>
      </c>
      <c r="P2808" s="10" t="inlineStr"/>
    </row>
    <row r="2809">
      <c r="A2809" s="23" t="n">
        <v>2808</v>
      </c>
      <c r="B2809" s="23" t="inlineStr">
        <is>
          <t>Part VI - Appendices</t>
        </is>
      </c>
      <c r="C2809" s="24" t="inlineStr">
        <is>
          <t>2021</t>
        </is>
      </c>
      <c r="D2809" s="10" t="inlineStr">
        <is>
          <t>How local changes in secondary structure flexibility drive protein function</t>
        </is>
      </c>
      <c r="E2809" s="10" t="inlineStr">
        <is>
          <t>Anum Glasgow (Columbia</t>
        </is>
      </c>
      <c r="F2809" s="11" t="inlineStr">
        <is>
          <t>1:05:03</t>
        </is>
      </c>
      <c r="G2809" s="11" t="n">
        <v>1.08</v>
      </c>
      <c r="H2809" s="12" t="inlineStr">
        <is>
          <t>★</t>
        </is>
      </c>
      <c r="I2809" s="11" t="inlineStr">
        <is>
          <t>Not started</t>
        </is>
      </c>
      <c r="J2809" s="13" t="n"/>
      <c r="K2809" s="10" t="inlineStr"/>
      <c r="L2809" s="14" t="inlineStr">
        <is>
          <t>▶ watch</t>
        </is>
      </c>
      <c r="M2809" s="10" t="inlineStr"/>
      <c r="N2809" s="11" t="inlineStr"/>
      <c r="O2809" s="11" t="inlineStr">
        <is>
          <t>course lecture - no single paper</t>
        </is>
      </c>
      <c r="P2809" s="10" t="inlineStr"/>
    </row>
    <row r="2810">
      <c r="A2810" s="23" t="n">
        <v>2809</v>
      </c>
      <c r="B2810" s="23" t="inlineStr">
        <is>
          <t>Part VI - Appendices</t>
        </is>
      </c>
      <c r="C2810" s="24" t="inlineStr">
        <is>
          <t>ML for Protein Design Bootcamp (2026) - 13 videos</t>
        </is>
      </c>
      <c r="D2810" s="10" t="inlineStr">
        <is>
          <t>Tools intro: PyMOL &amp; VS Code</t>
        </is>
      </c>
      <c r="E2810" s="10" t="inlineStr"/>
      <c r="F2810" s="11" t="inlineStr">
        <is>
          <t>13:49</t>
        </is>
      </c>
      <c r="G2810" s="11" t="n">
        <v>0.23</v>
      </c>
      <c r="H2810" s="12" t="inlineStr"/>
      <c r="I2810" s="11" t="inlineStr">
        <is>
          <t>Not started</t>
        </is>
      </c>
      <c r="J2810" s="13" t="n"/>
      <c r="K2810" s="10" t="inlineStr"/>
      <c r="L2810" s="14" t="inlineStr">
        <is>
          <t>▶ watch</t>
        </is>
      </c>
      <c r="M2810" s="10" t="inlineStr"/>
      <c r="N2810" s="11" t="inlineStr"/>
      <c r="O2810" s="11" t="inlineStr">
        <is>
          <t>course lecture - no single paper</t>
        </is>
      </c>
      <c r="P2810" s="10" t="inlineStr"/>
    </row>
    <row r="2811">
      <c r="A2811" s="23" t="n">
        <v>2810</v>
      </c>
      <c r="B2811" s="23" t="inlineStr">
        <is>
          <t>Part VI - Appendices</t>
        </is>
      </c>
      <c r="C2811" s="24" t="inlineStr">
        <is>
          <t>ML for Protein Design Bootcamp (2026) - 13 videos</t>
        </is>
      </c>
      <c r="D2811" s="10" t="inlineStr">
        <is>
          <t>Protein structure prediction: history, challenges, AI breakthroughs</t>
        </is>
      </c>
      <c r="E2811" s="10" t="inlineStr"/>
      <c r="F2811" s="11" t="inlineStr">
        <is>
          <t>10:42</t>
        </is>
      </c>
      <c r="G2811" s="11" t="n">
        <v>0.18</v>
      </c>
      <c r="H2811" s="12" t="inlineStr"/>
      <c r="I2811" s="11" t="inlineStr">
        <is>
          <t>Not started</t>
        </is>
      </c>
      <c r="J2811" s="13" t="n"/>
      <c r="K2811" s="10" t="inlineStr"/>
      <c r="L2811" s="14" t="inlineStr">
        <is>
          <t>▶ watch</t>
        </is>
      </c>
      <c r="M2811" s="10" t="inlineStr"/>
      <c r="N2811" s="11" t="inlineStr"/>
      <c r="O2811" s="11" t="inlineStr">
        <is>
          <t>course lecture - no single paper</t>
        </is>
      </c>
      <c r="P2811" s="10" t="inlineStr"/>
    </row>
    <row r="2812">
      <c r="A2812" s="23" t="n">
        <v>2811</v>
      </c>
      <c r="B2812" s="23" t="inlineStr">
        <is>
          <t>Part VI - Appendices</t>
        </is>
      </c>
      <c r="C2812" s="24" t="inlineStr">
        <is>
          <t>ML for Protein Design Bootcamp (2026) - 13 videos</t>
        </is>
      </c>
      <c r="D2812" s="10" t="inlineStr">
        <is>
          <t>AlphaFold2 Structure Prediction</t>
        </is>
      </c>
      <c r="E2812" s="10" t="inlineStr"/>
      <c r="F2812" s="11" t="inlineStr">
        <is>
          <t>45:48</t>
        </is>
      </c>
      <c r="G2812" s="11" t="n">
        <v>0.76</v>
      </c>
      <c r="H2812" s="12" t="inlineStr"/>
      <c r="I2812" s="11" t="inlineStr">
        <is>
          <t>Not started</t>
        </is>
      </c>
      <c r="J2812" s="13" t="n"/>
      <c r="K2812" s="10" t="inlineStr"/>
      <c r="L2812" s="14" t="inlineStr">
        <is>
          <t>▶ watch</t>
        </is>
      </c>
      <c r="M2812" s="10" t="inlineStr"/>
      <c r="N2812" s="11" t="inlineStr"/>
      <c r="O2812" s="11" t="inlineStr">
        <is>
          <t>course lecture - no single paper</t>
        </is>
      </c>
      <c r="P2812" s="10" t="inlineStr"/>
    </row>
    <row r="2813">
      <c r="A2813" s="23" t="n">
        <v>2812</v>
      </c>
      <c r="B2813" s="23" t="inlineStr">
        <is>
          <t>Part VI - Appendices</t>
        </is>
      </c>
      <c r="C2813" s="24" t="inlineStr">
        <is>
          <t>ML for Protein Design Bootcamp (2026) - 13 videos</t>
        </is>
      </c>
      <c r="D2813" s="10" t="inlineStr">
        <is>
          <t>ESMFold Structure Prediction</t>
        </is>
      </c>
      <c r="E2813" s="10" t="inlineStr"/>
      <c r="F2813" s="11" t="inlineStr">
        <is>
          <t>16:20</t>
        </is>
      </c>
      <c r="G2813" s="11" t="n">
        <v>0.27</v>
      </c>
      <c r="H2813" s="12" t="inlineStr"/>
      <c r="I2813" s="11" t="inlineStr">
        <is>
          <t>Not started</t>
        </is>
      </c>
      <c r="J2813" s="13" t="n"/>
      <c r="K2813" s="10" t="inlineStr"/>
      <c r="L2813" s="14" t="inlineStr">
        <is>
          <t>▶ watch</t>
        </is>
      </c>
      <c r="M2813" s="10" t="inlineStr"/>
      <c r="N2813" s="11" t="inlineStr"/>
      <c r="O2813" s="11" t="inlineStr">
        <is>
          <t>course lecture - no single paper</t>
        </is>
      </c>
      <c r="P2813" s="10" t="inlineStr"/>
    </row>
    <row r="2814">
      <c r="A2814" s="23" t="n">
        <v>2813</v>
      </c>
      <c r="B2814" s="23" t="inlineStr">
        <is>
          <t>Part VI - Appendices</t>
        </is>
      </c>
      <c r="C2814" s="24" t="inlineStr">
        <is>
          <t>ML for Protein Design Bootcamp (2026) - 13 videos</t>
        </is>
      </c>
      <c r="D2814" s="10" t="inlineStr">
        <is>
          <t>PyTorch explained: from neural networks to real-world models</t>
        </is>
      </c>
      <c r="E2814" s="10" t="inlineStr"/>
      <c r="F2814" s="11" t="inlineStr">
        <is>
          <t>33:10</t>
        </is>
      </c>
      <c r="G2814" s="11" t="n">
        <v>0.55</v>
      </c>
      <c r="H2814" s="12" t="inlineStr"/>
      <c r="I2814" s="11" t="inlineStr">
        <is>
          <t>Not started</t>
        </is>
      </c>
      <c r="J2814" s="13" t="n"/>
      <c r="K2814" s="10" t="inlineStr"/>
      <c r="L2814" s="14" t="inlineStr">
        <is>
          <t>▶ watch</t>
        </is>
      </c>
      <c r="M2814" s="10" t="inlineStr"/>
      <c r="N2814" s="11" t="inlineStr"/>
      <c r="O2814" s="11" t="inlineStr">
        <is>
          <t>course lecture - no single paper</t>
        </is>
      </c>
      <c r="P2814" s="10" t="inlineStr"/>
    </row>
    <row r="2815">
      <c r="A2815" s="23" t="n">
        <v>2814</v>
      </c>
      <c r="B2815" s="23" t="inlineStr">
        <is>
          <t>Part VI - Appendices</t>
        </is>
      </c>
      <c r="C2815" s="24" t="inlineStr">
        <is>
          <t>ML for Protein Design Bootcamp (2026) - 13 videos</t>
        </is>
      </c>
      <c r="D2815" s="10" t="inlineStr">
        <is>
          <t>Backbone generation in protein design workflows</t>
        </is>
      </c>
      <c r="E2815" s="10" t="inlineStr"/>
      <c r="F2815" s="11" t="inlineStr">
        <is>
          <t>22:25</t>
        </is>
      </c>
      <c r="G2815" s="11" t="n">
        <v>0.37</v>
      </c>
      <c r="H2815" s="12" t="inlineStr"/>
      <c r="I2815" s="11" t="inlineStr">
        <is>
          <t>Not started</t>
        </is>
      </c>
      <c r="J2815" s="13" t="n"/>
      <c r="K2815" s="10" t="inlineStr"/>
      <c r="L2815" s="14" t="inlineStr">
        <is>
          <t>▶ watch</t>
        </is>
      </c>
      <c r="M2815" s="10" t="inlineStr"/>
      <c r="N2815" s="11" t="inlineStr"/>
      <c r="O2815" s="11" t="inlineStr">
        <is>
          <t>course lecture - no single paper</t>
        </is>
      </c>
      <c r="P2815" s="10" t="inlineStr"/>
    </row>
    <row r="2816">
      <c r="A2816" s="23" t="n">
        <v>2815</v>
      </c>
      <c r="B2816" s="23" t="inlineStr">
        <is>
          <t>Part VI - Appendices</t>
        </is>
      </c>
      <c r="C2816" s="24" t="inlineStr">
        <is>
          <t>ML for Protein Design Bootcamp (2026) - 13 videos</t>
        </is>
      </c>
      <c r="D2816" s="10" t="inlineStr">
        <is>
          <t>Cutting-edge ML tools for protein design pipelines</t>
        </is>
      </c>
      <c r="E2816" s="10" t="inlineStr"/>
      <c r="F2816" s="11" t="inlineStr">
        <is>
          <t>33:32</t>
        </is>
      </c>
      <c r="G2816" s="11" t="n">
        <v>0.5600000000000001</v>
      </c>
      <c r="H2816" s="12" t="inlineStr"/>
      <c r="I2816" s="11" t="inlineStr">
        <is>
          <t>Not started</t>
        </is>
      </c>
      <c r="J2816" s="13" t="n"/>
      <c r="K2816" s="10" t="inlineStr"/>
      <c r="L2816" s="14" t="inlineStr">
        <is>
          <t>▶ watch</t>
        </is>
      </c>
      <c r="M2816" s="10" t="inlineStr"/>
      <c r="N2816" s="11" t="inlineStr"/>
      <c r="O2816" s="11" t="inlineStr">
        <is>
          <t>course lecture - no single paper</t>
        </is>
      </c>
      <c r="P2816" s="10" t="inlineStr"/>
    </row>
    <row r="2817">
      <c r="A2817" s="23" t="n">
        <v>2816</v>
      </c>
      <c r="B2817" s="23" t="inlineStr">
        <is>
          <t>Part VI - Appendices</t>
        </is>
      </c>
      <c r="C2817" s="24" t="inlineStr">
        <is>
          <t>ML for Protein Design Bootcamp (2026) - 13 videos</t>
        </is>
      </c>
      <c r="D2817" s="10" t="inlineStr">
        <is>
          <t>Protein design compute: when to use GPU vs CPU</t>
        </is>
      </c>
      <c r="E2817" s="10" t="inlineStr"/>
      <c r="F2817" s="11" t="inlineStr">
        <is>
          <t>19:25</t>
        </is>
      </c>
      <c r="G2817" s="11" t="n">
        <v>0.32</v>
      </c>
      <c r="H2817" s="12" t="inlineStr"/>
      <c r="I2817" s="11" t="inlineStr">
        <is>
          <t>Not started</t>
        </is>
      </c>
      <c r="J2817" s="13" t="n"/>
      <c r="K2817" s="10" t="inlineStr"/>
      <c r="L2817" s="14" t="inlineStr">
        <is>
          <t>▶ watch</t>
        </is>
      </c>
      <c r="M2817" s="10" t="inlineStr"/>
      <c r="N2817" s="11" t="inlineStr"/>
      <c r="O2817" s="11" t="inlineStr">
        <is>
          <t>course lecture - no single paper</t>
        </is>
      </c>
      <c r="P2817" s="10" t="inlineStr"/>
    </row>
    <row r="2818">
      <c r="A2818" s="23" t="n">
        <v>2817</v>
      </c>
      <c r="B2818" s="23" t="inlineStr">
        <is>
          <t>Part VI - Appendices</t>
        </is>
      </c>
      <c r="C2818" s="24" t="inlineStr">
        <is>
          <t>ML for Protein Design Bootcamp (2026) - 13 videos</t>
        </is>
      </c>
      <c r="D2818" s="10" t="inlineStr">
        <is>
          <t>Modern Protein Docking: Traditional Methods vs AI Tools</t>
        </is>
      </c>
      <c r="E2818" s="10" t="inlineStr"/>
      <c r="F2818" s="11" t="inlineStr">
        <is>
          <t>24:21</t>
        </is>
      </c>
      <c r="G2818" s="11" t="n">
        <v>0.41</v>
      </c>
      <c r="H2818" s="12" t="inlineStr"/>
      <c r="I2818" s="11" t="inlineStr">
        <is>
          <t>Not started</t>
        </is>
      </c>
      <c r="J2818" s="13" t="n"/>
      <c r="K2818" s="10" t="inlineStr"/>
      <c r="L2818" s="14" t="inlineStr">
        <is>
          <t>▶ watch</t>
        </is>
      </c>
      <c r="M2818" s="10" t="inlineStr"/>
      <c r="N2818" s="11" t="inlineStr"/>
      <c r="O2818" s="11" t="inlineStr">
        <is>
          <t>course lecture - no single paper</t>
        </is>
      </c>
      <c r="P2818" s="10" t="inlineStr"/>
    </row>
    <row r="2819">
      <c r="A2819" s="23" t="n">
        <v>2818</v>
      </c>
      <c r="B2819" s="23" t="inlineStr">
        <is>
          <t>Part VI - Appendices</t>
        </is>
      </c>
      <c r="C2819" s="24" t="inlineStr">
        <is>
          <t>ML for Protein Design Bootcamp (2026) - 13 videos</t>
        </is>
      </c>
      <c r="D2819" s="10" t="inlineStr">
        <is>
          <t>AI-driven protein design workflow: a practical example</t>
        </is>
      </c>
      <c r="E2819" s="10" t="inlineStr"/>
      <c r="F2819" s="11" t="inlineStr">
        <is>
          <t>21:12</t>
        </is>
      </c>
      <c r="G2819" s="11" t="n">
        <v>0.35</v>
      </c>
      <c r="H2819" s="12" t="inlineStr"/>
      <c r="I2819" s="11" t="inlineStr">
        <is>
          <t>Not started</t>
        </is>
      </c>
      <c r="J2819" s="13" t="n"/>
      <c r="K2819" s="10" t="inlineStr"/>
      <c r="L2819" s="14" t="inlineStr">
        <is>
          <t>▶ watch</t>
        </is>
      </c>
      <c r="M2819" s="10" t="inlineStr"/>
      <c r="N2819" s="11" t="inlineStr"/>
      <c r="O2819" s="11" t="inlineStr">
        <is>
          <t>course lecture - no single paper</t>
        </is>
      </c>
      <c r="P2819" s="10" t="inlineStr"/>
    </row>
    <row r="2820">
      <c r="A2820" s="23" t="n">
        <v>2819</v>
      </c>
      <c r="B2820" s="23" t="inlineStr">
        <is>
          <t>Part VI - Appendices</t>
        </is>
      </c>
      <c r="C2820" s="24" t="inlineStr">
        <is>
          <t>ML Methods for Protein Modeling (2025) - 18 videos</t>
        </is>
      </c>
      <c r="D2820" s="10" t="inlineStr">
        <is>
          <t>Introduction to Protein Design with ML</t>
        </is>
      </c>
      <c r="E2820" s="10" t="inlineStr"/>
      <c r="F2820" s="11" t="inlineStr">
        <is>
          <t>10:33</t>
        </is>
      </c>
      <c r="G2820" s="11" t="n">
        <v>0.18</v>
      </c>
      <c r="H2820" s="12" t="inlineStr"/>
      <c r="I2820" s="11" t="inlineStr">
        <is>
          <t>Not started</t>
        </is>
      </c>
      <c r="J2820" s="13" t="n"/>
      <c r="K2820" s="10" t="inlineStr"/>
      <c r="L2820" s="14" t="inlineStr">
        <is>
          <t>▶ watch</t>
        </is>
      </c>
      <c r="M2820" s="10" t="inlineStr"/>
      <c r="N2820" s="11" t="inlineStr"/>
      <c r="O2820" s="11" t="inlineStr">
        <is>
          <t>course lecture - no single paper</t>
        </is>
      </c>
      <c r="P2820" s="10" t="inlineStr"/>
    </row>
    <row r="2821">
      <c r="A2821" s="23" t="n">
        <v>2820</v>
      </c>
      <c r="B2821" s="23" t="inlineStr">
        <is>
          <t>Part VI - Appendices</t>
        </is>
      </c>
      <c r="C2821" s="24" t="inlineStr">
        <is>
          <t>ML Methods for Protein Modeling (2025) - 18 videos</t>
        </is>
      </c>
      <c r="D2821" s="10" t="inlineStr">
        <is>
          <t>PyMOL and VS Code (mini-session</t>
        </is>
      </c>
      <c r="E2821" s="10" t="inlineStr"/>
      <c r="F2821" s="11" t="inlineStr">
        <is>
          <t>29:40</t>
        </is>
      </c>
      <c r="G2821" s="11" t="n">
        <v>0.49</v>
      </c>
      <c r="H2821" s="12" t="inlineStr"/>
      <c r="I2821" s="11" t="inlineStr">
        <is>
          <t>Not started</t>
        </is>
      </c>
      <c r="J2821" s="13" t="n"/>
      <c r="K2821" s="10" t="inlineStr"/>
      <c r="L2821" s="14" t="inlineStr">
        <is>
          <t>▶ watch</t>
        </is>
      </c>
      <c r="M2821" s="10" t="inlineStr"/>
      <c r="N2821" s="11" t="inlineStr"/>
      <c r="O2821" s="11" t="inlineStr">
        <is>
          <t>course lecture - no single paper</t>
        </is>
      </c>
      <c r="P2821" s="10" t="inlineStr"/>
    </row>
    <row r="2822">
      <c r="A2822" s="23" t="n">
        <v>2821</v>
      </c>
      <c r="B2822" s="23" t="inlineStr">
        <is>
          <t>Part VI - Appendices</t>
        </is>
      </c>
      <c r="C2822" s="24" t="inlineStr">
        <is>
          <t>ML Methods for Protein Modeling (2025) - 18 videos</t>
        </is>
      </c>
      <c r="D2822" s="10" t="inlineStr">
        <is>
          <t>Protein Structure Prediction Introduction</t>
        </is>
      </c>
      <c r="E2822" s="10" t="inlineStr"/>
      <c r="F2822" s="11" t="inlineStr">
        <is>
          <t>20:22</t>
        </is>
      </c>
      <c r="G2822" s="11" t="n">
        <v>0.34</v>
      </c>
      <c r="H2822" s="12" t="inlineStr"/>
      <c r="I2822" s="11" t="inlineStr">
        <is>
          <t>Not started</t>
        </is>
      </c>
      <c r="J2822" s="13" t="n"/>
      <c r="K2822" s="10" t="inlineStr"/>
      <c r="L2822" s="14" t="inlineStr">
        <is>
          <t>▶ watch</t>
        </is>
      </c>
      <c r="M2822" s="10" t="inlineStr"/>
      <c r="N2822" s="11" t="inlineStr"/>
      <c r="O2822" s="11" t="inlineStr">
        <is>
          <t>course lecture - no single paper</t>
        </is>
      </c>
      <c r="P2822" s="10" t="inlineStr"/>
    </row>
    <row r="2823">
      <c r="A2823" s="23" t="n">
        <v>2822</v>
      </c>
      <c r="B2823" s="23" t="inlineStr">
        <is>
          <t>Part VI - Appendices</t>
        </is>
      </c>
      <c r="C2823" s="24" t="inlineStr">
        <is>
          <t>ML Methods for Protein Modeling (2025) - 18 videos</t>
        </is>
      </c>
      <c r="D2823" s="10" t="inlineStr">
        <is>
          <t>Version Control with Git (mini-session</t>
        </is>
      </c>
      <c r="E2823" s="10" t="inlineStr"/>
      <c r="F2823" s="11" t="inlineStr">
        <is>
          <t>11:31</t>
        </is>
      </c>
      <c r="G2823" s="11" t="n">
        <v>0.19</v>
      </c>
      <c r="H2823" s="12" t="inlineStr"/>
      <c r="I2823" s="11" t="inlineStr">
        <is>
          <t>Not started</t>
        </is>
      </c>
      <c r="J2823" s="13" t="n"/>
      <c r="K2823" s="10" t="inlineStr"/>
      <c r="L2823" s="14" t="inlineStr">
        <is>
          <t>▶ watch</t>
        </is>
      </c>
      <c r="M2823" s="10" t="inlineStr"/>
      <c r="N2823" s="11" t="inlineStr"/>
      <c r="O2823" s="11" t="inlineStr">
        <is>
          <t>course lecture - no single paper</t>
        </is>
      </c>
      <c r="P2823" s="10" t="inlineStr"/>
    </row>
    <row r="2824">
      <c r="A2824" s="23" t="n">
        <v>2823</v>
      </c>
      <c r="B2824" s="23" t="inlineStr">
        <is>
          <t>Part VI - Appendices</t>
        </is>
      </c>
      <c r="C2824" s="24" t="inlineStr">
        <is>
          <t>ML Methods for Protein Modeling (2025) - 18 videos</t>
        </is>
      </c>
      <c r="D2824" s="10" t="inlineStr">
        <is>
          <t>Structure Prediction with AlphaFold3</t>
        </is>
      </c>
      <c r="E2824" s="10" t="inlineStr"/>
      <c r="F2824" s="11" t="inlineStr">
        <is>
          <t>42:51</t>
        </is>
      </c>
      <c r="G2824" s="11" t="n">
        <v>0.71</v>
      </c>
      <c r="H2824" s="12" t="inlineStr"/>
      <c r="I2824" s="11" t="inlineStr">
        <is>
          <t>Not started</t>
        </is>
      </c>
      <c r="J2824" s="13" t="n"/>
      <c r="K2824" s="10" t="inlineStr"/>
      <c r="L2824" s="14" t="inlineStr">
        <is>
          <t>▶ watch</t>
        </is>
      </c>
      <c r="M2824" s="10" t="inlineStr"/>
      <c r="N2824" s="11" t="inlineStr"/>
      <c r="O2824" s="11" t="inlineStr">
        <is>
          <t>course lecture - no single paper</t>
        </is>
      </c>
      <c r="P2824" s="10" t="inlineStr"/>
    </row>
    <row r="2825">
      <c r="A2825" s="23" t="n">
        <v>2824</v>
      </c>
      <c r="B2825" s="23" t="inlineStr">
        <is>
          <t>Part VI - Appendices</t>
        </is>
      </c>
      <c r="C2825" s="24" t="inlineStr">
        <is>
          <t>ML Methods for Protein Modeling (2025) - 18 videos</t>
        </is>
      </c>
      <c r="D2825" s="10" t="inlineStr">
        <is>
          <t>Developing ML models with PyTorch (mini-session</t>
        </is>
      </c>
      <c r="E2825" s="10" t="inlineStr"/>
      <c r="F2825" s="11" t="inlineStr">
        <is>
          <t>36:49</t>
        </is>
      </c>
      <c r="G2825" s="11" t="n">
        <v>0.61</v>
      </c>
      <c r="H2825" s="12" t="inlineStr"/>
      <c r="I2825" s="11" t="inlineStr">
        <is>
          <t>Not started</t>
        </is>
      </c>
      <c r="J2825" s="13" t="n"/>
      <c r="K2825" s="10" t="inlineStr"/>
      <c r="L2825" s="14" t="inlineStr">
        <is>
          <t>▶ watch</t>
        </is>
      </c>
      <c r="M2825" s="10" t="inlineStr"/>
      <c r="N2825" s="11" t="inlineStr"/>
      <c r="O2825" s="11" t="inlineStr">
        <is>
          <t>course lecture - no single paper</t>
        </is>
      </c>
      <c r="P2825" s="10" t="inlineStr"/>
    </row>
    <row r="2826">
      <c r="A2826" s="23" t="n">
        <v>2825</v>
      </c>
      <c r="B2826" s="23" t="inlineStr">
        <is>
          <t>Part VI - Appendices</t>
        </is>
      </c>
      <c r="C2826" s="24" t="inlineStr">
        <is>
          <t>ML Methods for Protein Modeling (2025) - 18 videos</t>
        </is>
      </c>
      <c r="D2826" s="10" t="inlineStr">
        <is>
          <t>Backbone Generation Introduction</t>
        </is>
      </c>
      <c r="E2826" s="10" t="inlineStr"/>
      <c r="F2826" s="11" t="inlineStr">
        <is>
          <t>11:05</t>
        </is>
      </c>
      <c r="G2826" s="11" t="n">
        <v>0.18</v>
      </c>
      <c r="H2826" s="12" t="inlineStr"/>
      <c r="I2826" s="11" t="inlineStr">
        <is>
          <t>Not started</t>
        </is>
      </c>
      <c r="J2826" s="13" t="n"/>
      <c r="K2826" s="10" t="inlineStr"/>
      <c r="L2826" s="14" t="inlineStr">
        <is>
          <t>▶ watch</t>
        </is>
      </c>
      <c r="M2826" s="10" t="inlineStr"/>
      <c r="N2826" s="11" t="inlineStr"/>
      <c r="O2826" s="11" t="inlineStr">
        <is>
          <t>course lecture - no single paper</t>
        </is>
      </c>
      <c r="P2826" s="10" t="inlineStr"/>
    </row>
    <row r="2827">
      <c r="A2827" s="23" t="n">
        <v>2826</v>
      </c>
      <c r="B2827" s="23" t="inlineStr">
        <is>
          <t>Part VI - Appendices</t>
        </is>
      </c>
      <c r="C2827" s="24" t="inlineStr">
        <is>
          <t>ML Methods for Protein Modeling (2025) - 18 videos</t>
        </is>
      </c>
      <c r="D2827" s="10" t="inlineStr">
        <is>
          <t>CPU vs GPU Hardware for Protein Design (mini-session</t>
        </is>
      </c>
      <c r="E2827" s="10" t="inlineStr"/>
      <c r="F2827" s="11" t="inlineStr">
        <is>
          <t>15:36</t>
        </is>
      </c>
      <c r="G2827" s="11" t="n">
        <v>0.26</v>
      </c>
      <c r="H2827" s="12" t="inlineStr"/>
      <c r="I2827" s="11" t="inlineStr">
        <is>
          <t>Not started</t>
        </is>
      </c>
      <c r="J2827" s="13" t="n"/>
      <c r="K2827" s="10" t="inlineStr"/>
      <c r="L2827" s="14" t="inlineStr">
        <is>
          <t>▶ watch</t>
        </is>
      </c>
      <c r="M2827" s="10" t="inlineStr"/>
      <c r="N2827" s="11" t="inlineStr"/>
      <c r="O2827" s="11" t="inlineStr">
        <is>
          <t>course lecture - no single paper</t>
        </is>
      </c>
      <c r="P2827" s="10" t="inlineStr"/>
    </row>
    <row r="2828">
      <c r="A2828" s="23" t="n">
        <v>2827</v>
      </c>
      <c r="B2828" s="23" t="inlineStr">
        <is>
          <t>Part VI - Appendices</t>
        </is>
      </c>
      <c r="C2828" s="24" t="inlineStr">
        <is>
          <t>ML Methods for Protein Modeling (2025) - 18 videos</t>
        </is>
      </c>
      <c r="D2828" s="10" t="inlineStr">
        <is>
          <t>Protein Docking Introduction</t>
        </is>
      </c>
      <c r="E2828" s="10" t="inlineStr"/>
      <c r="F2828" s="11" t="inlineStr">
        <is>
          <t>11:18</t>
        </is>
      </c>
      <c r="G2828" s="11" t="n">
        <v>0.19</v>
      </c>
      <c r="H2828" s="12" t="inlineStr"/>
      <c r="I2828" s="11" t="inlineStr">
        <is>
          <t>Not started</t>
        </is>
      </c>
      <c r="J2828" s="13" t="n"/>
      <c r="K2828" s="10" t="inlineStr"/>
      <c r="L2828" s="14" t="inlineStr">
        <is>
          <t>▶ watch</t>
        </is>
      </c>
      <c r="M2828" s="10" t="inlineStr"/>
      <c r="N2828" s="11" t="inlineStr"/>
      <c r="O2828" s="11" t="inlineStr">
        <is>
          <t>course lecture - no single paper</t>
        </is>
      </c>
      <c r="P2828" s="10" t="inlineStr"/>
    </row>
    <row r="2829">
      <c r="A2829" s="23" t="n">
        <v>2828</v>
      </c>
      <c r="B2829" s="23" t="inlineStr">
        <is>
          <t>Part VI - Appendices</t>
        </is>
      </c>
      <c r="C2829" s="24" t="inlineStr">
        <is>
          <t>ML Methods for Protein Modeling (2025) - 18 videos</t>
        </is>
      </c>
      <c r="D2829" s="10" t="inlineStr">
        <is>
          <t>Other Protein ML Tools</t>
        </is>
      </c>
      <c r="E2829" s="10" t="inlineStr"/>
      <c r="F2829" s="11" t="inlineStr">
        <is>
          <t>25:35</t>
        </is>
      </c>
      <c r="G2829" s="11" t="n">
        <v>0.43</v>
      </c>
      <c r="H2829" s="12" t="inlineStr"/>
      <c r="I2829" s="11" t="inlineStr">
        <is>
          <t>Not started</t>
        </is>
      </c>
      <c r="J2829" s="13" t="n"/>
      <c r="K2829" s="10" t="inlineStr"/>
      <c r="L2829" s="14" t="inlineStr">
        <is>
          <t>▶ watch</t>
        </is>
      </c>
      <c r="M2829" s="10" t="inlineStr"/>
      <c r="N2829" s="11" t="inlineStr"/>
      <c r="O2829" s="11" t="inlineStr">
        <is>
          <t>course lecture - no single paper</t>
        </is>
      </c>
      <c r="P2829" s="10" t="inlineStr"/>
    </row>
    <row r="2830">
      <c r="A2830" s="23" t="n">
        <v>2829</v>
      </c>
      <c r="B2830" s="23" t="inlineStr">
        <is>
          <t>Part VI - Appendices</t>
        </is>
      </c>
      <c r="C2830" s="24" t="inlineStr">
        <is>
          <t>RaMP Bootcamp 2023 - 12 videos (the PyRosetta core</t>
        </is>
      </c>
      <c r="D2830" s="10" t="inlineStr">
        <is>
          <t>Intro to PyRosetta - Pose Basics</t>
        </is>
      </c>
      <c r="E2830" s="10" t="inlineStr"/>
      <c r="F2830" s="11" t="inlineStr">
        <is>
          <t>26:32</t>
        </is>
      </c>
      <c r="G2830" s="11" t="n">
        <v>0.44</v>
      </c>
      <c r="H2830" s="12" t="inlineStr"/>
      <c r="I2830" s="11" t="inlineStr">
        <is>
          <t>Not started</t>
        </is>
      </c>
      <c r="J2830" s="13" t="n"/>
      <c r="K2830" s="10" t="inlineStr"/>
      <c r="L2830" s="14" t="inlineStr">
        <is>
          <t>▶ watch</t>
        </is>
      </c>
      <c r="M2830" s="10" t="inlineStr"/>
      <c r="N2830" s="11" t="inlineStr"/>
      <c r="O2830" s="11" t="inlineStr">
        <is>
          <t>course lecture - no single paper</t>
        </is>
      </c>
      <c r="P2830" s="10" t="inlineStr"/>
    </row>
    <row r="2831">
      <c r="A2831" s="23" t="n">
        <v>2830</v>
      </c>
      <c r="B2831" s="23" t="inlineStr">
        <is>
          <t>Part VI - Appendices</t>
        </is>
      </c>
      <c r="C2831" s="24" t="inlineStr">
        <is>
          <t>RaMP Bootcamp 2023 - 12 videos (the PyRosetta core</t>
        </is>
      </c>
      <c r="D2831" s="10" t="inlineStr">
        <is>
          <t>Modeling Macromolecules with RosettaScripts Movers</t>
        </is>
      </c>
      <c r="E2831" s="10" t="inlineStr"/>
      <c r="F2831" s="11" t="inlineStr">
        <is>
          <t>13:57</t>
        </is>
      </c>
      <c r="G2831" s="11" t="n">
        <v>0.23</v>
      </c>
      <c r="H2831" s="12" t="inlineStr"/>
      <c r="I2831" s="11" t="inlineStr">
        <is>
          <t>Not started</t>
        </is>
      </c>
      <c r="J2831" s="13" t="n"/>
      <c r="K2831" s="10" t="inlineStr"/>
      <c r="L2831" s="14" t="inlineStr">
        <is>
          <t>▶ watch</t>
        </is>
      </c>
      <c r="M2831" s="10" t="inlineStr"/>
      <c r="N2831" s="11" t="inlineStr"/>
      <c r="O2831" s="11" t="inlineStr">
        <is>
          <t>course lecture - no single paper</t>
        </is>
      </c>
      <c r="P2831" s="10" t="inlineStr"/>
    </row>
    <row r="2832">
      <c r="A2832" s="23" t="n">
        <v>2831</v>
      </c>
      <c r="B2832" s="23" t="inlineStr">
        <is>
          <t>Part VI - Appendices</t>
        </is>
      </c>
      <c r="C2832" s="24" t="inlineStr">
        <is>
          <t>RaMP Bootcamp 2023 - 12 videos (the PyRosetta core</t>
        </is>
      </c>
      <c r="D2832" s="10" t="inlineStr">
        <is>
          <t>Machine learning basics for protein modeling and design</t>
        </is>
      </c>
      <c r="E2832" s="10" t="inlineStr"/>
      <c r="F2832" s="11" t="inlineStr">
        <is>
          <t>1:02:34</t>
        </is>
      </c>
      <c r="G2832" s="11" t="n">
        <v>1.04</v>
      </c>
      <c r="H2832" s="12" t="inlineStr"/>
      <c r="I2832" s="11" t="inlineStr">
        <is>
          <t>Not started</t>
        </is>
      </c>
      <c r="J2832" s="13" t="n"/>
      <c r="K2832" s="10" t="inlineStr"/>
      <c r="L2832" s="14" t="inlineStr">
        <is>
          <t>▶ watch</t>
        </is>
      </c>
      <c r="M2832" s="10" t="inlineStr"/>
      <c r="N2832" s="11" t="inlineStr"/>
      <c r="O2832" s="11" t="inlineStr">
        <is>
          <t>course lecture - no single paper</t>
        </is>
      </c>
      <c r="P2832" s="10" t="inlineStr"/>
    </row>
    <row r="2833">
      <c r="A2833" s="23" t="n">
        <v>2832</v>
      </c>
      <c r="B2833" s="23" t="inlineStr">
        <is>
          <t>Part VI - Appendices</t>
        </is>
      </c>
      <c r="C2833" s="24" t="inlineStr">
        <is>
          <t>RaMP Bootcamp 2023 - 12 videos (the PyRosetta core</t>
        </is>
      </c>
      <c r="D2833" s="10" t="inlineStr">
        <is>
          <t>AlphaFold - ML for protein structure prediction</t>
        </is>
      </c>
      <c r="E2833" s="10" t="inlineStr"/>
      <c r="F2833" s="11" t="inlineStr">
        <is>
          <t>50:40</t>
        </is>
      </c>
      <c r="G2833" s="11" t="n">
        <v>0.84</v>
      </c>
      <c r="H2833" s="12" t="inlineStr"/>
      <c r="I2833" s="11" t="inlineStr">
        <is>
          <t>Not started</t>
        </is>
      </c>
      <c r="J2833" s="13" t="n"/>
      <c r="K2833" s="10" t="inlineStr"/>
      <c r="L2833" s="14" t="inlineStr">
        <is>
          <t>▶ watch</t>
        </is>
      </c>
      <c r="M2833" s="10" t="inlineStr"/>
      <c r="N2833" s="11" t="inlineStr"/>
      <c r="O2833" s="11" t="inlineStr">
        <is>
          <t>course lecture - no single paper</t>
        </is>
      </c>
      <c r="P2833" s="10" t="inlineStr"/>
    </row>
    <row r="2834">
      <c r="A2834" s="23" t="n">
        <v>2833</v>
      </c>
      <c r="B2834" s="23" t="inlineStr">
        <is>
          <t>Part VI - Appendices</t>
        </is>
      </c>
      <c r="C2834" s="24" t="inlineStr">
        <is>
          <t>RaMP Bootcamp 2023 - 12 videos (the PyRosetta core</t>
        </is>
      </c>
      <c r="D2834" s="10" t="inlineStr">
        <is>
          <t>Hallucinating Protein Backbones and Sequences</t>
        </is>
      </c>
      <c r="E2834" s="10" t="inlineStr"/>
      <c r="F2834" s="11" t="inlineStr">
        <is>
          <t>12:32</t>
        </is>
      </c>
      <c r="G2834" s="11" t="n">
        <v>0.21</v>
      </c>
      <c r="H2834" s="12" t="inlineStr"/>
      <c r="I2834" s="11" t="inlineStr">
        <is>
          <t>Not started</t>
        </is>
      </c>
      <c r="J2834" s="13" t="n"/>
      <c r="K2834" s="10" t="inlineStr"/>
      <c r="L2834" s="14" t="inlineStr">
        <is>
          <t>▶ watch</t>
        </is>
      </c>
      <c r="M2834" s="10" t="inlineStr"/>
      <c r="N2834" s="11" t="inlineStr"/>
      <c r="O2834" s="11" t="inlineStr">
        <is>
          <t>course lecture - no single paper</t>
        </is>
      </c>
      <c r="P2834" s="10" t="inlineStr"/>
    </row>
    <row r="2835">
      <c r="A2835" s="23" t="n">
        <v>2834</v>
      </c>
      <c r="B2835" s="23" t="inlineStr">
        <is>
          <t>Part VI - Appendices</t>
        </is>
      </c>
      <c r="C2835" s="24" t="inlineStr">
        <is>
          <t>Rosetta++ Bootcamp (2026) - 20 videos</t>
        </is>
      </c>
      <c r="D2835" s="10" t="inlineStr">
        <is>
          <t>C++ object-oriented programming (with Python comparisons</t>
        </is>
      </c>
      <c r="E2835" s="10" t="inlineStr"/>
      <c r="F2835" s="11" t="inlineStr">
        <is>
          <t>17:49</t>
        </is>
      </c>
      <c r="G2835" s="11" t="n">
        <v>0.3</v>
      </c>
      <c r="H2835" s="12" t="inlineStr"/>
      <c r="I2835" s="11" t="inlineStr">
        <is>
          <t>Not started</t>
        </is>
      </c>
      <c r="J2835" s="13" t="n"/>
      <c r="K2835" s="10" t="inlineStr"/>
      <c r="L2835" s="14" t="inlineStr">
        <is>
          <t>▶ watch</t>
        </is>
      </c>
      <c r="M2835" s="10" t="inlineStr"/>
      <c r="N2835" s="11" t="inlineStr"/>
      <c r="O2835" s="11" t="inlineStr">
        <is>
          <t>course lecture - no single paper</t>
        </is>
      </c>
      <c r="P2835" s="10" t="inlineStr"/>
    </row>
    <row r="2836">
      <c r="A2836" s="23" t="n">
        <v>2835</v>
      </c>
      <c r="B2836" s="23" t="inlineStr">
        <is>
          <t>Part VI - Appendices</t>
        </is>
      </c>
      <c r="C2836" s="24" t="inlineStr">
        <is>
          <t>Rosetta++ Bootcamp (2026) - 20 videos</t>
        </is>
      </c>
      <c r="D2836" s="10" t="inlineStr">
        <is>
          <t>Introduction to Version Control with Git</t>
        </is>
      </c>
      <c r="E2836" s="10" t="inlineStr"/>
      <c r="F2836" s="11" t="inlineStr">
        <is>
          <t>48:38</t>
        </is>
      </c>
      <c r="G2836" s="11" t="n">
        <v>0.8100000000000001</v>
      </c>
      <c r="H2836" s="12" t="inlineStr"/>
      <c r="I2836" s="11" t="inlineStr">
        <is>
          <t>Not started</t>
        </is>
      </c>
      <c r="J2836" s="13" t="n"/>
      <c r="K2836" s="10" t="inlineStr"/>
      <c r="L2836" s="14" t="inlineStr">
        <is>
          <t>▶ watch</t>
        </is>
      </c>
      <c r="M2836" s="10" t="inlineStr"/>
      <c r="N2836" s="11" t="inlineStr"/>
      <c r="O2836" s="11" t="inlineStr">
        <is>
          <t>course lecture - no single paper</t>
        </is>
      </c>
      <c r="P2836" s="10" t="inlineStr"/>
    </row>
    <row r="2837">
      <c r="A2837" s="23" t="n">
        <v>2836</v>
      </c>
      <c r="B2837" s="23" t="inlineStr">
        <is>
          <t>Part VI - Appendices</t>
        </is>
      </c>
      <c r="C2837" s="24" t="inlineStr">
        <is>
          <t>Rosetta++ Bootcamp (2026) - 20 videos</t>
        </is>
      </c>
      <c r="D2837" s="10" t="inlineStr">
        <is>
          <t>Graph algorithms in Rosetta: trees, DAGs, and energy graphs</t>
        </is>
      </c>
      <c r="E2837" s="10" t="inlineStr"/>
      <c r="F2837" s="11" t="inlineStr">
        <is>
          <t>22:17</t>
        </is>
      </c>
      <c r="G2837" s="11" t="n">
        <v>0.37</v>
      </c>
      <c r="H2837" s="12" t="inlineStr">
        <is>
          <t>★</t>
        </is>
      </c>
      <c r="I2837" s="11" t="inlineStr">
        <is>
          <t>Not started</t>
        </is>
      </c>
      <c r="J2837" s="13" t="n"/>
      <c r="K2837" s="10" t="inlineStr"/>
      <c r="L2837" s="14" t="inlineStr">
        <is>
          <t>▶ watch</t>
        </is>
      </c>
      <c r="M2837" s="10" t="inlineStr"/>
      <c r="N2837" s="11" t="inlineStr"/>
      <c r="O2837" s="11" t="inlineStr">
        <is>
          <t>course lecture - no single paper</t>
        </is>
      </c>
      <c r="P2837" s="10" t="inlineStr"/>
    </row>
    <row r="2838">
      <c r="A2838" s="23" t="n">
        <v>2837</v>
      </c>
      <c r="B2838" s="23" t="inlineStr">
        <is>
          <t>Part VI - Appendices</t>
        </is>
      </c>
      <c r="C2838" s="24" t="inlineStr">
        <is>
          <t>Rosetta++ Bootcamp (2026) - 20 videos</t>
        </is>
      </c>
      <c r="D2838" s="10" t="inlineStr">
        <is>
          <t>Rosetta Library Structure 1</t>
        </is>
      </c>
      <c r="E2838" s="10" t="inlineStr"/>
      <c r="F2838" s="11" t="inlineStr">
        <is>
          <t>33:28</t>
        </is>
      </c>
      <c r="G2838" s="11" t="n">
        <v>0.5600000000000001</v>
      </c>
      <c r="H2838" s="12" t="inlineStr"/>
      <c r="I2838" s="11" t="inlineStr">
        <is>
          <t>Not started</t>
        </is>
      </c>
      <c r="J2838" s="13" t="n"/>
      <c r="K2838" s="10" t="inlineStr"/>
      <c r="L2838" s="14" t="inlineStr">
        <is>
          <t>▶ watch</t>
        </is>
      </c>
      <c r="M2838" s="10" t="inlineStr"/>
      <c r="N2838" s="11" t="inlineStr"/>
      <c r="O2838" s="11" t="inlineStr">
        <is>
          <t>course lecture - no single paper</t>
        </is>
      </c>
      <c r="P2838" s="10" t="inlineStr"/>
    </row>
    <row r="2839">
      <c r="A2839" s="23" t="n">
        <v>2838</v>
      </c>
      <c r="B2839" s="23" t="inlineStr">
        <is>
          <t>Part VI - Appendices</t>
        </is>
      </c>
      <c r="C2839" s="24" t="inlineStr">
        <is>
          <t>Rosetta++ Bootcamp (2026) - 20 videos</t>
        </is>
      </c>
      <c r="D2839" s="10" t="inlineStr">
        <is>
          <t>Rosetta Library Structure 2</t>
        </is>
      </c>
      <c r="E2839" s="10" t="inlineStr"/>
      <c r="F2839" s="11" t="inlineStr">
        <is>
          <t>35:52</t>
        </is>
      </c>
      <c r="G2839" s="11" t="n">
        <v>0.6</v>
      </c>
      <c r="H2839" s="12" t="inlineStr"/>
      <c r="I2839" s="11" t="inlineStr">
        <is>
          <t>Not started</t>
        </is>
      </c>
      <c r="J2839" s="13" t="n"/>
      <c r="K2839" s="10" t="inlineStr"/>
      <c r="L2839" s="14" t="inlineStr">
        <is>
          <t>▶ watch</t>
        </is>
      </c>
      <c r="M2839" s="10" t="inlineStr"/>
      <c r="N2839" s="11" t="inlineStr"/>
      <c r="O2839" s="11" t="inlineStr">
        <is>
          <t>course lecture - no single paper</t>
        </is>
      </c>
      <c r="P2839" s="10" t="inlineStr"/>
    </row>
    <row r="2840">
      <c r="A2840" s="23" t="n">
        <v>2839</v>
      </c>
      <c r="B2840" s="23" t="inlineStr">
        <is>
          <t>Part VI - Appendices</t>
        </is>
      </c>
      <c r="C2840" s="24" t="inlineStr">
        <is>
          <t>Rosetta++ Bootcamp (2026) - 20 videos</t>
        </is>
      </c>
      <c r="D2840" s="10" t="inlineStr">
        <is>
          <t>Unit testing in Rosetta</t>
        </is>
      </c>
      <c r="E2840" s="10" t="inlineStr"/>
      <c r="F2840" s="11" t="inlineStr">
        <is>
          <t>25:10</t>
        </is>
      </c>
      <c r="G2840" s="11" t="n">
        <v>0.42</v>
      </c>
      <c r="H2840" s="12" t="inlineStr"/>
      <c r="I2840" s="11" t="inlineStr">
        <is>
          <t>Not started</t>
        </is>
      </c>
      <c r="J2840" s="13" t="n"/>
      <c r="K2840" s="10" t="inlineStr"/>
      <c r="L2840" s="14" t="inlineStr">
        <is>
          <t>▶ watch</t>
        </is>
      </c>
      <c r="M2840" s="10" t="inlineStr"/>
      <c r="N2840" s="11" t="inlineStr"/>
      <c r="O2840" s="11" t="inlineStr">
        <is>
          <t>course lecture - no single paper</t>
        </is>
      </c>
      <c r="P2840" s="10" t="inlineStr"/>
    </row>
    <row r="2841">
      <c r="A2841" s="23" t="n">
        <v>2840</v>
      </c>
      <c r="B2841" s="23" t="inlineStr">
        <is>
          <t>Part VI - Appendices</t>
        </is>
      </c>
      <c r="C2841" s="24" t="inlineStr">
        <is>
          <t>Rosetta++ Bootcamp (2026) - 20 videos</t>
        </is>
      </c>
      <c r="D2841" s="10" t="inlineStr">
        <is>
          <t>Rosetta Library Structure 3</t>
        </is>
      </c>
      <c r="E2841" s="10" t="inlineStr"/>
      <c r="F2841" s="11" t="inlineStr">
        <is>
          <t>35:18</t>
        </is>
      </c>
      <c r="G2841" s="11" t="n">
        <v>0.59</v>
      </c>
      <c r="H2841" s="12" t="inlineStr"/>
      <c r="I2841" s="11" t="inlineStr">
        <is>
          <t>Not started</t>
        </is>
      </c>
      <c r="J2841" s="13" t="n"/>
      <c r="K2841" s="10" t="inlineStr"/>
      <c r="L2841" s="14" t="inlineStr">
        <is>
          <t>▶ watch</t>
        </is>
      </c>
      <c r="M2841" s="10" t="inlineStr"/>
      <c r="N2841" s="11" t="inlineStr"/>
      <c r="O2841" s="11" t="inlineStr">
        <is>
          <t>course lecture - no single paper</t>
        </is>
      </c>
      <c r="P2841" s="10" t="inlineStr"/>
    </row>
    <row r="2842">
      <c r="A2842" s="23" t="n">
        <v>2841</v>
      </c>
      <c r="B2842" s="23" t="inlineStr">
        <is>
          <t>Part VI - Appendices</t>
        </is>
      </c>
      <c r="C2842" s="24" t="inlineStr">
        <is>
          <t>Rosetta++ Bootcamp (2026) - 20 videos</t>
        </is>
      </c>
      <c r="D2842" s="10" t="inlineStr">
        <is>
          <t>RosettaScripts explained: building custom protocols</t>
        </is>
      </c>
      <c r="E2842" s="10" t="inlineStr"/>
      <c r="F2842" s="11" t="inlineStr">
        <is>
          <t>34:56</t>
        </is>
      </c>
      <c r="G2842" s="11" t="n">
        <v>0.58</v>
      </c>
      <c r="H2842" s="12" t="inlineStr"/>
      <c r="I2842" s="11" t="inlineStr">
        <is>
          <t>Not started</t>
        </is>
      </c>
      <c r="J2842" s="13" t="n"/>
      <c r="K2842" s="10" t="inlineStr"/>
      <c r="L2842" s="14" t="inlineStr">
        <is>
          <t>▶ watch</t>
        </is>
      </c>
      <c r="M2842" s="10" t="inlineStr"/>
      <c r="N2842" s="11" t="inlineStr"/>
      <c r="O2842" s="11" t="inlineStr">
        <is>
          <t>course lecture - no single paper</t>
        </is>
      </c>
      <c r="P2842" s="10" t="inlineStr"/>
    </row>
    <row r="2843">
      <c r="A2843" s="23" t="n">
        <v>2842</v>
      </c>
      <c r="B2843" s="23" t="inlineStr">
        <is>
          <t>Part VI - Appendices</t>
        </is>
      </c>
      <c r="C2843" s="24" t="inlineStr">
        <is>
          <t>Rosetta++ Bootcamp (2026) - 20 videos</t>
        </is>
      </c>
      <c r="D2843" s="10" t="inlineStr">
        <is>
          <t>RosettaScripts in action: designing your first workflow</t>
        </is>
      </c>
      <c r="E2843" s="10" t="inlineStr"/>
      <c r="F2843" s="11" t="inlineStr">
        <is>
          <t>13:53</t>
        </is>
      </c>
      <c r="G2843" s="11" t="n">
        <v>0.23</v>
      </c>
      <c r="H2843" s="12" t="inlineStr"/>
      <c r="I2843" s="11" t="inlineStr">
        <is>
          <t>Not started</t>
        </is>
      </c>
      <c r="J2843" s="13" t="n"/>
      <c r="K2843" s="10" t="inlineStr"/>
      <c r="L2843" s="14" t="inlineStr">
        <is>
          <t>▶ watch</t>
        </is>
      </c>
      <c r="M2843" s="10" t="inlineStr"/>
      <c r="N2843" s="11" t="inlineStr"/>
      <c r="O2843" s="11" t="inlineStr">
        <is>
          <t>course lecture - no single paper</t>
        </is>
      </c>
      <c r="P2843" s="10" t="inlineStr"/>
    </row>
    <row r="2844">
      <c r="A2844" s="23" t="n">
        <v>2843</v>
      </c>
      <c r="B2844" s="23" t="inlineStr">
        <is>
          <t>Part VI - Appendices</t>
        </is>
      </c>
      <c r="C2844" s="24" t="inlineStr">
        <is>
          <t>Rosetta++ Bootcamp (2026) - 20 videos</t>
        </is>
      </c>
      <c r="D2844" s="10" t="inlineStr">
        <is>
          <t>More C++ classes: this pointer, const, function signatures</t>
        </is>
      </c>
      <c r="E2844" s="10" t="inlineStr"/>
      <c r="F2844" s="11" t="inlineStr">
        <is>
          <t>47:41</t>
        </is>
      </c>
      <c r="G2844" s="11" t="n">
        <v>0.79</v>
      </c>
      <c r="H2844" s="12" t="inlineStr"/>
      <c r="I2844" s="11" t="inlineStr">
        <is>
          <t>Not started</t>
        </is>
      </c>
      <c r="J2844" s="13" t="n"/>
      <c r="K2844" s="10" t="inlineStr"/>
      <c r="L2844" s="14" t="inlineStr">
        <is>
          <t>▶ watch</t>
        </is>
      </c>
      <c r="M2844" s="10" t="inlineStr"/>
      <c r="N2844" s="11" t="inlineStr"/>
      <c r="O2844" s="11" t="inlineStr">
        <is>
          <t>course lecture - no single paper</t>
        </is>
      </c>
      <c r="P2844" s="10" t="inlineStr"/>
    </row>
    <row r="2845">
      <c r="A2845" s="23" t="n">
        <v>2844</v>
      </c>
      <c r="B2845" s="23" t="inlineStr">
        <is>
          <t>Part VI - Appendices</t>
        </is>
      </c>
      <c r="C2845" s="24" t="inlineStr">
        <is>
          <t>Rosetta++ Bootcamp (2026) - 20 videos</t>
        </is>
      </c>
      <c r="D2845" s="10" t="inlineStr">
        <is>
          <t>RosettaScripts Mover subclassing: building your first mover class</t>
        </is>
      </c>
      <c r="E2845" s="10" t="inlineStr"/>
      <c r="F2845" s="11" t="inlineStr">
        <is>
          <t>22:57</t>
        </is>
      </c>
      <c r="G2845" s="11" t="n">
        <v>0.38</v>
      </c>
      <c r="H2845" s="12" t="inlineStr">
        <is>
          <t>★</t>
        </is>
      </c>
      <c r="I2845" s="11" t="inlineStr">
        <is>
          <t>Not started</t>
        </is>
      </c>
      <c r="J2845" s="13" t="n"/>
      <c r="K2845" s="10" t="inlineStr"/>
      <c r="L2845" s="14" t="inlineStr">
        <is>
          <t>▶ watch</t>
        </is>
      </c>
      <c r="M2845" s="10" t="inlineStr"/>
      <c r="N2845" s="11" t="inlineStr"/>
      <c r="O2845" s="11" t="inlineStr">
        <is>
          <t>course lecture - no single paper</t>
        </is>
      </c>
      <c r="P2845" s="10" t="inlineStr"/>
    </row>
    <row r="2846">
      <c r="A2846" s="23" t="n">
        <v>2845</v>
      </c>
      <c r="B2846" s="23" t="inlineStr">
        <is>
          <t>Part VI - Appendices</t>
        </is>
      </c>
      <c r="C2846" s="24" t="inlineStr">
        <is>
          <t>Rosetta++ Bootcamp (2026) - 20 videos</t>
        </is>
      </c>
      <c r="D2846" s="10" t="inlineStr">
        <is>
          <t>Rosetta Library Structure 4</t>
        </is>
      </c>
      <c r="E2846" s="10" t="inlineStr"/>
      <c r="F2846" s="11" t="inlineStr">
        <is>
          <t>35:51</t>
        </is>
      </c>
      <c r="G2846" s="11" t="n">
        <v>0.6</v>
      </c>
      <c r="H2846" s="12" t="inlineStr"/>
      <c r="I2846" s="11" t="inlineStr">
        <is>
          <t>Not started</t>
        </is>
      </c>
      <c r="J2846" s="13" t="n"/>
      <c r="K2846" s="10" t="inlineStr"/>
      <c r="L2846" s="14" t="inlineStr">
        <is>
          <t>▶ watch</t>
        </is>
      </c>
      <c r="M2846" s="10" t="inlineStr"/>
      <c r="N2846" s="11" t="inlineStr"/>
      <c r="O2846" s="11" t="inlineStr">
        <is>
          <t>course lecture - no single paper</t>
        </is>
      </c>
      <c r="P2846" s="10" t="inlineStr"/>
    </row>
    <row r="2847">
      <c r="A2847" s="23" t="n">
        <v>2846</v>
      </c>
      <c r="B2847" s="23" t="inlineStr">
        <is>
          <t>Part VI - Appendices</t>
        </is>
      </c>
      <c r="C2847" s="24" t="inlineStr">
        <is>
          <t>Rosetta++ Bootcamp (2026) - 20 videos</t>
        </is>
      </c>
      <c r="D2847" s="10" t="inlineStr">
        <is>
          <t>Shell scripting essentials for large-scale data processing</t>
        </is>
      </c>
      <c r="E2847" s="10" t="inlineStr"/>
      <c r="F2847" s="11" t="inlineStr">
        <is>
          <t>26:51</t>
        </is>
      </c>
      <c r="G2847" s="11" t="n">
        <v>0.45</v>
      </c>
      <c r="H2847" s="12" t="inlineStr"/>
      <c r="I2847" s="11" t="inlineStr">
        <is>
          <t>Not started</t>
        </is>
      </c>
      <c r="J2847" s="13" t="n"/>
      <c r="K2847" s="10" t="inlineStr"/>
      <c r="L2847" s="14" t="inlineStr">
        <is>
          <t>▶ watch</t>
        </is>
      </c>
      <c r="M2847" s="10" t="inlineStr"/>
      <c r="N2847" s="11" t="inlineStr"/>
      <c r="O2847" s="11" t="inlineStr">
        <is>
          <t>course lecture - no single paper</t>
        </is>
      </c>
      <c r="P2847" s="10" t="inlineStr"/>
    </row>
    <row r="2848">
      <c r="A2848" s="23" t="n">
        <v>2847</v>
      </c>
      <c r="B2848" s="23" t="inlineStr">
        <is>
          <t>Part VI - Appendices</t>
        </is>
      </c>
      <c r="C2848" s="24" t="inlineStr">
        <is>
          <t>Rosetta++ Bootcamp (2026) - 20 videos</t>
        </is>
      </c>
      <c r="D2848" s="10" t="inlineStr">
        <is>
          <t>Controlling flexibility in Rosetta</t>
        </is>
      </c>
      <c r="E2848" s="10" t="inlineStr"/>
      <c r="F2848" s="11" t="inlineStr">
        <is>
          <t>36:28</t>
        </is>
      </c>
      <c r="G2848" s="11" t="n">
        <v>0.61</v>
      </c>
      <c r="H2848" s="12" t="inlineStr">
        <is>
          <t>★</t>
        </is>
      </c>
      <c r="I2848" s="11" t="inlineStr">
        <is>
          <t>Not started</t>
        </is>
      </c>
      <c r="J2848" s="13" t="n"/>
      <c r="K2848" s="10" t="inlineStr"/>
      <c r="L2848" s="14" t="inlineStr">
        <is>
          <t>▶ watch</t>
        </is>
      </c>
      <c r="M2848" s="10" t="inlineStr"/>
      <c r="N2848" s="11" t="inlineStr"/>
      <c r="O2848" s="11" t="inlineStr">
        <is>
          <t>course lecture - no single paper</t>
        </is>
      </c>
      <c r="P2848" s="10" t="inlineStr"/>
    </row>
    <row r="2849">
      <c r="A2849" s="23" t="n">
        <v>2848</v>
      </c>
      <c r="B2849" s="23" t="inlineStr">
        <is>
          <t>Part VI - Appendices</t>
        </is>
      </c>
      <c r="C2849" s="24" t="inlineStr">
        <is>
          <t>Rosetta++ Bootcamp (2026) - 20 videos</t>
        </is>
      </c>
      <c r="D2849" s="10" t="inlineStr">
        <is>
          <t>Loop modeling workflows in Rosetta</t>
        </is>
      </c>
      <c r="E2849" s="10" t="inlineStr"/>
      <c r="F2849" s="11" t="inlineStr">
        <is>
          <t>7:32</t>
        </is>
      </c>
      <c r="G2849" s="11" t="n">
        <v>0.13</v>
      </c>
      <c r="H2849" s="12" t="inlineStr"/>
      <c r="I2849" s="11" t="inlineStr">
        <is>
          <t>Not started</t>
        </is>
      </c>
      <c r="J2849" s="13" t="n"/>
      <c r="K2849" s="10" t="inlineStr"/>
      <c r="L2849" s="14" t="inlineStr">
        <is>
          <t>▶ watch</t>
        </is>
      </c>
      <c r="M2849" s="10" t="inlineStr"/>
      <c r="N2849" s="11" t="inlineStr"/>
      <c r="O2849" s="11" t="inlineStr">
        <is>
          <t>course lecture - no single paper</t>
        </is>
      </c>
      <c r="P2849" s="10" t="inlineStr"/>
    </row>
    <row r="2850">
      <c r="A2850" s="23" t="n">
        <v>2849</v>
      </c>
      <c r="B2850" s="23" t="inlineStr">
        <is>
          <t>Part VI - Appendices</t>
        </is>
      </c>
      <c r="C2850" s="24" t="inlineStr">
        <is>
          <t>Rosetta++ Bootcamp (2026) - 20 videos</t>
        </is>
      </c>
      <c r="D2850" s="10" t="inlineStr">
        <is>
          <t>Rosetta development guide: resources, conventions, best practices</t>
        </is>
      </c>
      <c r="E2850" s="10" t="inlineStr"/>
      <c r="F2850" s="11" t="inlineStr">
        <is>
          <t>55:18</t>
        </is>
      </c>
      <c r="G2850" s="11" t="n">
        <v>0.92</v>
      </c>
      <c r="H2850" s="12" t="inlineStr"/>
      <c r="I2850" s="11" t="inlineStr">
        <is>
          <t>Not started</t>
        </is>
      </c>
      <c r="J2850" s="13" t="n"/>
      <c r="K2850" s="10" t="inlineStr"/>
      <c r="L2850" s="14" t="inlineStr">
        <is>
          <t>▶ watch</t>
        </is>
      </c>
      <c r="M2850" s="10" t="inlineStr"/>
      <c r="N2850" s="11" t="inlineStr"/>
      <c r="O2850" s="11" t="inlineStr">
        <is>
          <t>course lecture - no single paper</t>
        </is>
      </c>
      <c r="P2850" s="10" t="inlineStr"/>
    </row>
    <row r="2851">
      <c r="A2851" s="23" t="n">
        <v>2850</v>
      </c>
      <c r="B2851" s="23" t="inlineStr">
        <is>
          <t>Part VI - Appendices</t>
        </is>
      </c>
      <c r="C2851" s="24" t="inlineStr">
        <is>
          <t>Rosetta++ Bootcamp (2026) - 20 videos</t>
        </is>
      </c>
      <c r="D2851" s="10" t="inlineStr">
        <is>
          <t>SimpleMetric Subclassing</t>
        </is>
      </c>
      <c r="E2851" s="10" t="inlineStr"/>
      <c r="F2851" s="11" t="inlineStr">
        <is>
          <t>11:08</t>
        </is>
      </c>
      <c r="G2851" s="11" t="n">
        <v>0.19</v>
      </c>
      <c r="H2851" s="12" t="inlineStr"/>
      <c r="I2851" s="11" t="inlineStr">
        <is>
          <t>Not started</t>
        </is>
      </c>
      <c r="J2851" s="13" t="n"/>
      <c r="K2851" s="10" t="inlineStr"/>
      <c r="L2851" s="14" t="inlineStr">
        <is>
          <t>▶ watch</t>
        </is>
      </c>
      <c r="M2851" s="10" t="inlineStr"/>
      <c r="N2851" s="11" t="inlineStr"/>
      <c r="O2851" s="11" t="inlineStr">
        <is>
          <t>course lecture - no single paper</t>
        </is>
      </c>
      <c r="P2851" s="10" t="inlineStr"/>
    </row>
    <row r="2852">
      <c r="A2852" s="23" t="n">
        <v>2851</v>
      </c>
      <c r="B2852" s="23" t="inlineStr">
        <is>
          <t>Part VI - Appendices</t>
        </is>
      </c>
      <c r="C2852" s="24" t="inlineStr">
        <is>
          <t>Rosetta++ Bootcamp (2026) - 20 videos</t>
        </is>
      </c>
      <c r="D2852" s="10" t="inlineStr">
        <is>
          <t>Adding Code to Rosetta</t>
        </is>
      </c>
      <c r="E2852" s="10" t="inlineStr"/>
      <c r="F2852" s="11" t="inlineStr">
        <is>
          <t>35:22</t>
        </is>
      </c>
      <c r="G2852" s="11" t="n">
        <v>0.59</v>
      </c>
      <c r="H2852" s="12" t="inlineStr"/>
      <c r="I2852" s="11" t="inlineStr">
        <is>
          <t>Not started</t>
        </is>
      </c>
      <c r="J2852" s="13" t="n"/>
      <c r="K2852" s="10" t="inlineStr"/>
      <c r="L2852" s="14" t="inlineStr">
        <is>
          <t>▶ watch</t>
        </is>
      </c>
      <c r="M2852" s="10" t="inlineStr"/>
      <c r="N2852" s="11" t="inlineStr"/>
      <c r="O2852" s="11" t="inlineStr">
        <is>
          <t>course lecture - no single paper</t>
        </is>
      </c>
      <c r="P2852" s="10" t="inlineStr"/>
    </row>
    <row r="2853">
      <c r="A2853" s="23" t="n">
        <v>2852</v>
      </c>
      <c r="B2853" s="23" t="inlineStr">
        <is>
          <t>Part VI - Appendices</t>
        </is>
      </c>
      <c r="C2853" s="24" t="inlineStr">
        <is>
          <t>Rosetta++ Bootcamp (2026) - 20 videos</t>
        </is>
      </c>
      <c r="D2853" s="10" t="inlineStr">
        <is>
          <t>How to create software that others want to use</t>
        </is>
      </c>
      <c r="E2853" s="10" t="inlineStr"/>
      <c r="F2853" s="11" t="inlineStr">
        <is>
          <t>41:46</t>
        </is>
      </c>
      <c r="G2853" s="11" t="n">
        <v>0.7</v>
      </c>
      <c r="H2853" s="12" t="inlineStr">
        <is>
          <t>★</t>
        </is>
      </c>
      <c r="I2853" s="11" t="inlineStr">
        <is>
          <t>Not started</t>
        </is>
      </c>
      <c r="J2853" s="13" t="n"/>
      <c r="K2853" s="10" t="inlineStr"/>
      <c r="L2853" s="14" t="inlineStr">
        <is>
          <t>▶ watch</t>
        </is>
      </c>
      <c r="M2853" s="10" t="inlineStr"/>
      <c r="N2853" s="11" t="inlineStr"/>
      <c r="O2853" s="11" t="inlineStr">
        <is>
          <t>course lecture - no single paper</t>
        </is>
      </c>
      <c r="P2853" s="10" t="inlineStr"/>
    </row>
    <row r="2854">
      <c r="A2854" s="23" t="n">
        <v>2853</v>
      </c>
      <c r="B2854" s="23" t="inlineStr">
        <is>
          <t>Part VI - Appendices</t>
        </is>
      </c>
      <c r="C2854" s="24" t="inlineStr">
        <is>
          <t>Protein Design Workflows - 14 videos</t>
        </is>
      </c>
      <c r="D2854" s="10" t="inlineStr">
        <is>
          <t>Protein Design Workflows introduction</t>
        </is>
      </c>
      <c r="E2854" s="10" t="inlineStr"/>
      <c r="F2854" s="11" t="inlineStr">
        <is>
          <t>4:27</t>
        </is>
      </c>
      <c r="G2854" s="11" t="n">
        <v>0.07000000000000001</v>
      </c>
      <c r="H2854" s="12" t="inlineStr"/>
      <c r="I2854" s="11" t="inlineStr">
        <is>
          <t>Not started</t>
        </is>
      </c>
      <c r="J2854" s="13" t="n"/>
      <c r="K2854" s="10" t="inlineStr"/>
      <c r="L2854" s="14" t="inlineStr">
        <is>
          <t>▶ watch</t>
        </is>
      </c>
      <c r="M2854" s="10" t="inlineStr"/>
      <c r="N2854" s="11" t="inlineStr"/>
      <c r="O2854" s="11" t="inlineStr">
        <is>
          <t>course lecture - no single paper</t>
        </is>
      </c>
      <c r="P2854" s="10" t="inlineStr"/>
    </row>
    <row r="2855">
      <c r="A2855" s="23" t="n">
        <v>2854</v>
      </c>
      <c r="B2855" s="23" t="inlineStr">
        <is>
          <t>Part VI - Appendices</t>
        </is>
      </c>
      <c r="C2855" s="24" t="inlineStr">
        <is>
          <t>Protein Design Workflows - 14 videos</t>
        </is>
      </c>
      <c r="D2855" s="10" t="inlineStr">
        <is>
          <t>Ovo, an Open-Source Ecosystem for De Novo Protein Design</t>
        </is>
      </c>
      <c r="E2855" s="10" t="inlineStr"/>
      <c r="F2855" s="11" t="inlineStr">
        <is>
          <t>37:56</t>
        </is>
      </c>
      <c r="G2855" s="11" t="n">
        <v>0.63</v>
      </c>
      <c r="H2855" s="12" t="inlineStr"/>
      <c r="I2855" s="11" t="inlineStr">
        <is>
          <t>Not started</t>
        </is>
      </c>
      <c r="J2855" s="13" t="n"/>
      <c r="K2855" s="10" t="inlineStr"/>
      <c r="L2855" s="14" t="inlineStr">
        <is>
          <t>▶ watch</t>
        </is>
      </c>
      <c r="M2855" s="10" t="inlineStr"/>
      <c r="N2855" s="11" t="inlineStr"/>
      <c r="O2855" s="11" t="inlineStr">
        <is>
          <t>course lecture - no single paper</t>
        </is>
      </c>
      <c r="P2855" s="10" t="inlineStr"/>
    </row>
    <row r="2856">
      <c r="A2856" s="23" t="n">
        <v>2855</v>
      </c>
      <c r="B2856" s="23" t="inlineStr">
        <is>
          <t>Part VI - Appendices</t>
        </is>
      </c>
      <c r="C2856" s="24" t="inlineStr">
        <is>
          <t>Protein Design Workflows - 14 videos</t>
        </is>
      </c>
      <c r="D2856" s="10" t="inlineStr">
        <is>
          <t>Ovo Tutorial: developing a plugin</t>
        </is>
      </c>
      <c r="E2856" s="10" t="inlineStr"/>
      <c r="F2856" s="11" t="inlineStr">
        <is>
          <t>1:00:30</t>
        </is>
      </c>
      <c r="G2856" s="11" t="n">
        <v>1.01</v>
      </c>
      <c r="H2856" s="12" t="inlineStr"/>
      <c r="I2856" s="11" t="inlineStr">
        <is>
          <t>Not started</t>
        </is>
      </c>
      <c r="J2856" s="13" t="n"/>
      <c r="K2856" s="10" t="inlineStr"/>
      <c r="L2856" s="14" t="inlineStr">
        <is>
          <t>▶ watch</t>
        </is>
      </c>
      <c r="M2856" s="10" t="inlineStr"/>
      <c r="N2856" s="11" t="inlineStr"/>
      <c r="O2856" s="11" t="inlineStr">
        <is>
          <t>course lecture - no single paper</t>
        </is>
      </c>
      <c r="P2856" s="10" t="inlineStr"/>
    </row>
    <row r="2857">
      <c r="A2857" s="23" t="n">
        <v>2856</v>
      </c>
      <c r="B2857" s="23" t="inlineStr">
        <is>
          <t>Part VI - Appendices</t>
        </is>
      </c>
      <c r="C2857" s="24" t="inlineStr">
        <is>
          <t>Protein Design Workflows - 14 videos</t>
        </is>
      </c>
      <c r="D2857" s="10" t="inlineStr">
        <is>
          <t>Automating protein design with ProtFlow</t>
        </is>
      </c>
      <c r="E2857" s="10" t="inlineStr"/>
      <c r="F2857" s="11" t="inlineStr">
        <is>
          <t>34:45</t>
        </is>
      </c>
      <c r="G2857" s="11" t="n">
        <v>0.58</v>
      </c>
      <c r="H2857" s="12" t="inlineStr"/>
      <c r="I2857" s="11" t="inlineStr">
        <is>
          <t>Not started</t>
        </is>
      </c>
      <c r="J2857" s="13" t="n"/>
      <c r="K2857" s="10" t="inlineStr"/>
      <c r="L2857" s="14" t="inlineStr">
        <is>
          <t>▶ watch</t>
        </is>
      </c>
      <c r="M2857" s="10" t="inlineStr"/>
      <c r="N2857" s="11" t="inlineStr"/>
      <c r="O2857" s="11" t="inlineStr">
        <is>
          <t>course lecture - no single paper</t>
        </is>
      </c>
      <c r="P2857" s="10" t="inlineStr"/>
    </row>
    <row r="2858">
      <c r="A2858" s="23" t="n">
        <v>2857</v>
      </c>
      <c r="B2858" s="23" t="inlineStr">
        <is>
          <t>Part VI - Appendices</t>
        </is>
      </c>
      <c r="C2858" s="24" t="inlineStr">
        <is>
          <t>Protein Design Workflows - 14 videos</t>
        </is>
      </c>
      <c r="D2858" s="10" t="inlineStr">
        <is>
          <t>Prosculpt - an open-source pipeline for accessible protein design</t>
        </is>
      </c>
      <c r="E2858" s="10" t="inlineStr"/>
      <c r="F2858" s="11" t="inlineStr">
        <is>
          <t>27:29</t>
        </is>
      </c>
      <c r="G2858" s="11" t="n">
        <v>0.46</v>
      </c>
      <c r="H2858" s="12" t="inlineStr"/>
      <c r="I2858" s="11" t="inlineStr">
        <is>
          <t>Not started</t>
        </is>
      </c>
      <c r="J2858" s="13" t="n"/>
      <c r="K2858" s="10" t="inlineStr"/>
      <c r="L2858" s="14" t="inlineStr">
        <is>
          <t>▶ watch</t>
        </is>
      </c>
      <c r="M2858" s="10" t="inlineStr"/>
      <c r="N2858" s="11" t="inlineStr"/>
      <c r="O2858" s="11" t="inlineStr">
        <is>
          <t>course lecture - no single paper</t>
        </is>
      </c>
      <c r="P2858" s="10" t="inlineStr"/>
    </row>
    <row r="2859">
      <c r="A2859" s="23" t="n">
        <v>2858</v>
      </c>
      <c r="B2859" s="23" t="inlineStr">
        <is>
          <t>Part VI - Appendices</t>
        </is>
      </c>
      <c r="C2859" s="24" t="inlineStr">
        <is>
          <t>Protein Design Workflows - 14 videos</t>
        </is>
      </c>
      <c r="D2859" s="10" t="inlineStr">
        <is>
          <t>PyRosetta, RosettaScripts and RosettaLink</t>
        </is>
      </c>
      <c r="E2859" s="10" t="inlineStr"/>
      <c r="F2859" s="11" t="inlineStr">
        <is>
          <t>30:23</t>
        </is>
      </c>
      <c r="G2859" s="11" t="n">
        <v>0.51</v>
      </c>
      <c r="H2859" s="12" t="inlineStr"/>
      <c r="I2859" s="11" t="inlineStr">
        <is>
          <t>Not started</t>
        </is>
      </c>
      <c r="J2859" s="13" t="n"/>
      <c r="K2859" s="10" t="inlineStr"/>
      <c r="L2859" s="14" t="inlineStr">
        <is>
          <t>▶ watch</t>
        </is>
      </c>
      <c r="M2859" s="10" t="inlineStr"/>
      <c r="N2859" s="11" t="inlineStr"/>
      <c r="O2859" s="11" t="inlineStr">
        <is>
          <t>course lecture - no single paper</t>
        </is>
      </c>
      <c r="P2859" s="10" t="inlineStr"/>
    </row>
    <row r="2860">
      <c r="A2860" s="23" t="n">
        <v>2859</v>
      </c>
      <c r="B2860" s="23" t="inlineStr">
        <is>
          <t>Part VI - Appendices</t>
        </is>
      </c>
      <c r="C2860" s="24" t="inlineStr">
        <is>
          <t>Protein Design Workflows - 14 videos</t>
        </is>
      </c>
      <c r="D2860" s="10" t="inlineStr">
        <is>
          <t>GradioBio: interoperable and portable protein design workflows</t>
        </is>
      </c>
      <c r="E2860" s="10" t="inlineStr"/>
      <c r="F2860" s="11" t="inlineStr">
        <is>
          <t>28:45</t>
        </is>
      </c>
      <c r="G2860" s="11" t="n">
        <v>0.48</v>
      </c>
      <c r="H2860" s="12" t="inlineStr"/>
      <c r="I2860" s="11" t="inlineStr">
        <is>
          <t>Not started</t>
        </is>
      </c>
      <c r="J2860" s="13" t="n"/>
      <c r="K2860" s="10" t="inlineStr"/>
      <c r="L2860" s="14" t="inlineStr">
        <is>
          <t>▶ watch</t>
        </is>
      </c>
      <c r="M2860" s="10" t="inlineStr"/>
      <c r="N2860" s="11" t="inlineStr"/>
      <c r="O2860" s="11" t="inlineStr">
        <is>
          <t>course lecture - no single paper</t>
        </is>
      </c>
      <c r="P2860" s="10" t="inlineStr"/>
    </row>
    <row r="2861">
      <c r="A2861" s="23" t="n">
        <v>2860</v>
      </c>
      <c r="B2861" s="23" t="inlineStr">
        <is>
          <t>Part VI - Appendices</t>
        </is>
      </c>
      <c r="C2861" s="24" t="inlineStr">
        <is>
          <t>Protein Design Workflows - 14 videos</t>
        </is>
      </c>
      <c r="D2861" s="10" t="inlineStr">
        <is>
          <t>Flexible and scalable protein design with pipelines</t>
        </is>
      </c>
      <c r="E2861" s="10" t="inlineStr"/>
      <c r="F2861" s="11" t="inlineStr">
        <is>
          <t>24:46</t>
        </is>
      </c>
      <c r="G2861" s="11" t="n">
        <v>0.41</v>
      </c>
      <c r="H2861" s="12" t="inlineStr"/>
      <c r="I2861" s="11" t="inlineStr">
        <is>
          <t>Not started</t>
        </is>
      </c>
      <c r="J2861" s="13" t="n"/>
      <c r="K2861" s="10" t="inlineStr"/>
      <c r="L2861" s="14" t="inlineStr">
        <is>
          <t>▶ watch</t>
        </is>
      </c>
      <c r="M2861" s="10" t="inlineStr"/>
      <c r="N2861" s="11" t="inlineStr"/>
      <c r="O2861" s="11" t="inlineStr">
        <is>
          <t>course lecture - no single paper</t>
        </is>
      </c>
      <c r="P2861" s="10" t="inlineStr"/>
    </row>
    <row r="2862">
      <c r="A2862" s="23" t="n">
        <v>2861</v>
      </c>
      <c r="B2862" s="23" t="inlineStr">
        <is>
          <t>Part VI - Appendices</t>
        </is>
      </c>
      <c r="C2862" s="24" t="inlineStr">
        <is>
          <t>Protein Design Workflows - 14 videos</t>
        </is>
      </c>
      <c r="D2862" s="10" t="inlineStr">
        <is>
          <t>RC-run: making biomolecular workflows easier to build and run</t>
        </is>
      </c>
      <c r="E2862" s="10" t="inlineStr"/>
      <c r="F2862" s="11" t="inlineStr">
        <is>
          <t>2:32</t>
        </is>
      </c>
      <c r="G2862" s="11" t="n">
        <v>0.04</v>
      </c>
      <c r="H2862" s="12" t="inlineStr"/>
      <c r="I2862" s="11" t="inlineStr">
        <is>
          <t>Not started</t>
        </is>
      </c>
      <c r="J2862" s="13" t="n"/>
      <c r="K2862" s="10" t="inlineStr"/>
      <c r="L2862" s="14" t="inlineStr">
        <is>
          <t>▶ watch</t>
        </is>
      </c>
      <c r="M2862" s="10" t="inlineStr"/>
      <c r="N2862" s="11" t="inlineStr"/>
      <c r="O2862" s="11" t="inlineStr">
        <is>
          <t>course lecture - no single paper</t>
        </is>
      </c>
      <c r="P2862" s="10" t="inlineStr"/>
    </row>
    <row r="2863">
      <c r="A2863" s="23" t="n">
        <v>2862</v>
      </c>
      <c r="B2863" s="23" t="inlineStr">
        <is>
          <t>Part VI - Appendices</t>
        </is>
      </c>
      <c r="C2863" s="24" t="inlineStr">
        <is>
          <t>Protein Design Workflows - 14 videos</t>
        </is>
      </c>
      <c r="D2863" s="10" t="inlineStr">
        <is>
          <t>AI.zymes: a modular platform for evolutionary enzyme design</t>
        </is>
      </c>
      <c r="E2863" s="10" t="inlineStr"/>
      <c r="F2863" s="11" t="inlineStr">
        <is>
          <t>33:10</t>
        </is>
      </c>
      <c r="G2863" s="11" t="n">
        <v>0.55</v>
      </c>
      <c r="H2863" s="12" t="inlineStr"/>
      <c r="I2863" s="11" t="inlineStr">
        <is>
          <t>Not started</t>
        </is>
      </c>
      <c r="J2863" s="13" t="n"/>
      <c r="K2863" s="10" t="inlineStr"/>
      <c r="L2863" s="14" t="inlineStr">
        <is>
          <t>▶ watch</t>
        </is>
      </c>
      <c r="M2863" s="10" t="inlineStr"/>
      <c r="N2863" s="11" t="inlineStr"/>
      <c r="O2863" s="11" t="inlineStr">
        <is>
          <t>course lecture - no single paper</t>
        </is>
      </c>
      <c r="P2863" s="10" t="inlineStr"/>
    </row>
    <row r="2864">
      <c r="A2864" s="23" t="n">
        <v>2863</v>
      </c>
      <c r="B2864" s="23" t="inlineStr">
        <is>
          <t>Part VI - Appendices</t>
        </is>
      </c>
      <c r="C2864" s="24" t="inlineStr">
        <is>
          <t>Protein Design Workflows - 14 videos</t>
        </is>
      </c>
      <c r="D2864" s="10" t="inlineStr">
        <is>
          <t>BoltzGen: Toward Universal Binder Design</t>
        </is>
      </c>
      <c r="E2864" s="10" t="inlineStr"/>
      <c r="F2864" s="11" t="inlineStr">
        <is>
          <t>32:45</t>
        </is>
      </c>
      <c r="G2864" s="11" t="n">
        <v>0.55</v>
      </c>
      <c r="H2864" s="12" t="inlineStr">
        <is>
          <t>★</t>
        </is>
      </c>
      <c r="I2864" s="11" t="inlineStr">
        <is>
          <t>Not started</t>
        </is>
      </c>
      <c r="J2864" s="13" t="n"/>
      <c r="K2864" s="10" t="inlineStr"/>
      <c r="L2864" s="14" t="inlineStr">
        <is>
          <t>▶ watch</t>
        </is>
      </c>
      <c r="M2864" s="10" t="inlineStr"/>
      <c r="N2864" s="11" t="inlineStr"/>
      <c r="O2864" s="11" t="inlineStr">
        <is>
          <t>course lecture - no single paper</t>
        </is>
      </c>
      <c r="P2864" s="10" t="inlineStr"/>
    </row>
    <row r="2865">
      <c r="A2865" s="23" t="n">
        <v>2864</v>
      </c>
      <c r="B2865" s="23" t="inlineStr">
        <is>
          <t>Part VI - Appendices</t>
        </is>
      </c>
      <c r="C2865" s="24" t="inlineStr">
        <is>
          <t>Protein Design Workflows - 14 videos</t>
        </is>
      </c>
      <c r="D2865" s="10" t="inlineStr">
        <is>
          <t>BioPipelines: composable protein and ligand design on HPC and Colab</t>
        </is>
      </c>
      <c r="E2865" s="10" t="inlineStr"/>
      <c r="F2865" s="11" t="inlineStr">
        <is>
          <t>35:06</t>
        </is>
      </c>
      <c r="G2865" s="11" t="n">
        <v>0.58</v>
      </c>
      <c r="H2865" s="12" t="inlineStr"/>
      <c r="I2865" s="11" t="inlineStr">
        <is>
          <t>Not started</t>
        </is>
      </c>
      <c r="J2865" s="13" t="n"/>
      <c r="K2865" s="10" t="inlineStr"/>
      <c r="L2865" s="14" t="inlineStr">
        <is>
          <t>▶ watch</t>
        </is>
      </c>
      <c r="M2865" s="10" t="inlineStr"/>
      <c r="N2865" s="11" t="inlineStr"/>
      <c r="O2865" s="11" t="inlineStr">
        <is>
          <t>course lecture - no single paper</t>
        </is>
      </c>
      <c r="P2865" s="10" t="inlineStr"/>
    </row>
    <row r="2866">
      <c r="A2866" s="23" t="n">
        <v>2865</v>
      </c>
      <c r="B2866" s="23" t="inlineStr">
        <is>
          <t>Part VI - Appendices</t>
        </is>
      </c>
      <c r="C2866" s="24" t="inlineStr">
        <is>
          <t>Designing Protein-Protein Interactions (2025) - 8 videos</t>
        </is>
      </c>
      <c r="D2866" s="10" t="inlineStr">
        <is>
          <t>PPI Workshop Overview</t>
        </is>
      </c>
      <c r="E2866" s="10" t="inlineStr"/>
      <c r="F2866" s="11" t="inlineStr">
        <is>
          <t>3:53</t>
        </is>
      </c>
      <c r="G2866" s="11" t="n">
        <v>0.06</v>
      </c>
      <c r="H2866" s="12" t="inlineStr"/>
      <c r="I2866" s="11" t="inlineStr">
        <is>
          <t>Not started</t>
        </is>
      </c>
      <c r="J2866" s="13" t="n"/>
      <c r="K2866" s="10" t="inlineStr"/>
      <c r="L2866" s="14" t="inlineStr">
        <is>
          <t>▶ watch</t>
        </is>
      </c>
      <c r="M2866" s="10" t="inlineStr"/>
      <c r="N2866" s="11" t="inlineStr"/>
      <c r="O2866" s="11" t="inlineStr">
        <is>
          <t>course lecture - no single paper</t>
        </is>
      </c>
      <c r="P2866" s="10" t="inlineStr"/>
    </row>
    <row r="2867">
      <c r="A2867" s="23" t="n">
        <v>2866</v>
      </c>
      <c r="B2867" s="23" t="inlineStr">
        <is>
          <t>Part VI - Appendices</t>
        </is>
      </c>
      <c r="C2867" s="24" t="inlineStr">
        <is>
          <t>Designing Protein-Protein Interactions (2025) - 8 videos</t>
        </is>
      </c>
      <c r="D2867" s="10" t="inlineStr">
        <is>
          <t>Intro to Deep Learning for Protein Design</t>
        </is>
      </c>
      <c r="E2867" s="10" t="inlineStr"/>
      <c r="F2867" s="11" t="inlineStr">
        <is>
          <t>21:29</t>
        </is>
      </c>
      <c r="G2867" s="11" t="n">
        <v>0.36</v>
      </c>
      <c r="H2867" s="12" t="inlineStr"/>
      <c r="I2867" s="11" t="inlineStr">
        <is>
          <t>Not started</t>
        </is>
      </c>
      <c r="J2867" s="13" t="n"/>
      <c r="K2867" s="10" t="inlineStr"/>
      <c r="L2867" s="14" t="inlineStr">
        <is>
          <t>▶ watch</t>
        </is>
      </c>
      <c r="M2867" s="10" t="inlineStr"/>
      <c r="N2867" s="11" t="inlineStr"/>
      <c r="O2867" s="11" t="inlineStr">
        <is>
          <t>course lecture - no single paper</t>
        </is>
      </c>
      <c r="P2867" s="10" t="inlineStr"/>
    </row>
    <row r="2868">
      <c r="A2868" s="23" t="n">
        <v>2867</v>
      </c>
      <c r="B2868" s="23" t="inlineStr">
        <is>
          <t>Part VI - Appendices</t>
        </is>
      </c>
      <c r="C2868" s="24" t="inlineStr">
        <is>
          <t>Designing Protein-Protein Interactions (2025) - 8 videos</t>
        </is>
      </c>
      <c r="D2868" s="10" t="inlineStr">
        <is>
          <t>BindCraft (hands-on</t>
        </is>
      </c>
      <c r="E2868" s="10" t="inlineStr"/>
      <c r="F2868" s="11" t="inlineStr">
        <is>
          <t>23:06</t>
        </is>
      </c>
      <c r="G2868" s="11" t="n">
        <v>0.39</v>
      </c>
      <c r="H2868" s="12" t="inlineStr"/>
      <c r="I2868" s="11" t="inlineStr">
        <is>
          <t>Not started</t>
        </is>
      </c>
      <c r="J2868" s="13" t="n"/>
      <c r="K2868" s="10" t="inlineStr"/>
      <c r="L2868" s="14" t="inlineStr">
        <is>
          <t>▶ watch</t>
        </is>
      </c>
      <c r="M2868" s="10" t="inlineStr"/>
      <c r="N2868" s="11" t="inlineStr"/>
      <c r="O2868" s="11" t="inlineStr">
        <is>
          <t>course lecture - no single paper</t>
        </is>
      </c>
      <c r="P2868" s="10" t="inlineStr"/>
    </row>
    <row r="2869">
      <c r="A2869" s="23" t="n">
        <v>2868</v>
      </c>
      <c r="B2869" s="23" t="inlineStr">
        <is>
          <t>Part VI - Appendices</t>
        </is>
      </c>
      <c r="C2869" s="24" t="inlineStr">
        <is>
          <t>Designing Protein-Protein Interactions (2025) - 8 videos</t>
        </is>
      </c>
      <c r="D2869" s="10" t="inlineStr">
        <is>
          <t>Symmetric Protein Assemblies</t>
        </is>
      </c>
      <c r="E2869" s="10" t="inlineStr"/>
      <c r="F2869" s="11" t="inlineStr">
        <is>
          <t>2:18</t>
        </is>
      </c>
      <c r="G2869" s="11" t="n">
        <v>0.04</v>
      </c>
      <c r="H2869" s="12" t="inlineStr"/>
      <c r="I2869" s="11" t="inlineStr">
        <is>
          <t>Not started</t>
        </is>
      </c>
      <c r="J2869" s="13" t="n"/>
      <c r="K2869" s="10" t="inlineStr"/>
      <c r="L2869" s="14" t="inlineStr">
        <is>
          <t>▶ watch</t>
        </is>
      </c>
      <c r="M2869" s="10" t="inlineStr"/>
      <c r="N2869" s="11" t="inlineStr"/>
      <c r="O2869" s="11" t="inlineStr">
        <is>
          <t>course lecture - no single paper</t>
        </is>
      </c>
      <c r="P2869" s="10" t="inlineStr"/>
    </row>
    <row r="2870">
      <c r="A2870" s="23" t="n">
        <v>2869</v>
      </c>
      <c r="B2870" s="23" t="inlineStr">
        <is>
          <t>Part VI - Appendices</t>
        </is>
      </c>
      <c r="C2870" s="24" t="inlineStr">
        <is>
          <t>Designing Protein-Protein Interactions (2025) - 8 videos</t>
        </is>
      </c>
      <c r="D2870" s="10" t="inlineStr">
        <is>
          <t>Designing Self-Assembling Protein Nanoparticles</t>
        </is>
      </c>
      <c r="E2870" s="10" t="inlineStr"/>
      <c r="F2870" s="11" t="inlineStr">
        <is>
          <t>34:59</t>
        </is>
      </c>
      <c r="G2870" s="11" t="n">
        <v>0.58</v>
      </c>
      <c r="H2870" s="12" t="inlineStr"/>
      <c r="I2870" s="11" t="inlineStr">
        <is>
          <t>Not started</t>
        </is>
      </c>
      <c r="J2870" s="13" t="n"/>
      <c r="K2870" s="10" t="inlineStr"/>
      <c r="L2870" s="14" t="inlineStr">
        <is>
          <t>▶ watch</t>
        </is>
      </c>
      <c r="M2870" s="10" t="inlineStr"/>
      <c r="N2870" s="11" t="inlineStr"/>
      <c r="O2870" s="11" t="inlineStr">
        <is>
          <t>course lecture - no single paper</t>
        </is>
      </c>
      <c r="P2870" s="10" t="inlineStr"/>
    </row>
    <row r="2871">
      <c r="A2871" s="23" t="n">
        <v>2870</v>
      </c>
      <c r="B2871" s="23" t="inlineStr">
        <is>
          <t>Part VI - Appendices</t>
        </is>
      </c>
      <c r="C2871" s="24" t="inlineStr">
        <is>
          <t>Tech Tea Time - 9 videos</t>
        </is>
      </c>
      <c r="D2871" s="10" t="inlineStr">
        <is>
          <t>Docker containers</t>
        </is>
      </c>
      <c r="E2871" s="10" t="inlineStr"/>
      <c r="F2871" s="11" t="inlineStr">
        <is>
          <t>13:02</t>
        </is>
      </c>
      <c r="G2871" s="11" t="n">
        <v>0.22</v>
      </c>
      <c r="H2871" s="12" t="inlineStr"/>
      <c r="I2871" s="11" t="inlineStr">
        <is>
          <t>Not started</t>
        </is>
      </c>
      <c r="J2871" s="13" t="n"/>
      <c r="K2871" s="10" t="inlineStr"/>
      <c r="L2871" s="14" t="inlineStr">
        <is>
          <t>▶ watch</t>
        </is>
      </c>
      <c r="M2871" s="10" t="inlineStr"/>
      <c r="N2871" s="11" t="inlineStr"/>
      <c r="O2871" s="11" t="inlineStr">
        <is>
          <t>course lecture - no single paper</t>
        </is>
      </c>
      <c r="P2871" s="10" t="inlineStr"/>
    </row>
    <row r="2872">
      <c r="A2872" s="23" t="n">
        <v>2871</v>
      </c>
      <c r="B2872" s="23" t="inlineStr">
        <is>
          <t>Part VI - Appendices</t>
        </is>
      </c>
      <c r="C2872" s="24" t="inlineStr">
        <is>
          <t>Tech Tea Time - 9 videos</t>
        </is>
      </c>
      <c r="D2872" s="10" t="inlineStr">
        <is>
          <t>Protpardelle-1c Tutorial: motif scaffolding, multi-chain, all-atom design</t>
        </is>
      </c>
      <c r="E2872" s="10" t="inlineStr"/>
      <c r="F2872" s="11" t="inlineStr">
        <is>
          <t>30:00</t>
        </is>
      </c>
      <c r="G2872" s="11" t="n">
        <v>0.5</v>
      </c>
      <c r="H2872" s="12" t="inlineStr"/>
      <c r="I2872" s="11" t="inlineStr">
        <is>
          <t>Not started</t>
        </is>
      </c>
      <c r="J2872" s="13" t="n"/>
      <c r="K2872" s="10" t="inlineStr"/>
      <c r="L2872" s="14" t="inlineStr">
        <is>
          <t>▶ watch</t>
        </is>
      </c>
      <c r="M2872" s="10" t="inlineStr"/>
      <c r="N2872" s="11" t="inlineStr"/>
      <c r="O2872" s="11" t="inlineStr">
        <is>
          <t>course lecture - no single paper</t>
        </is>
      </c>
      <c r="P2872" s="10" t="inlineStr"/>
    </row>
    <row r="2873">
      <c r="A2873" s="23" t="n">
        <v>2872</v>
      </c>
      <c r="B2873" s="23" t="inlineStr">
        <is>
          <t>Part VI - Appendices</t>
        </is>
      </c>
      <c r="C2873" s="24" t="inlineStr">
        <is>
          <t>Tech Tea Time - 9 videos</t>
        </is>
      </c>
      <c r="D2873" s="10" t="inlineStr">
        <is>
          <t>uv for Python package management</t>
        </is>
      </c>
      <c r="E2873" s="10" t="inlineStr"/>
      <c r="F2873" s="11" t="inlineStr">
        <is>
          <t>12:14</t>
        </is>
      </c>
      <c r="G2873" s="11" t="n">
        <v>0.2</v>
      </c>
      <c r="H2873" s="12" t="inlineStr"/>
      <c r="I2873" s="11" t="inlineStr">
        <is>
          <t>Not started</t>
        </is>
      </c>
      <c r="J2873" s="13" t="n"/>
      <c r="K2873" s="10" t="inlineStr"/>
      <c r="L2873" s="14" t="inlineStr">
        <is>
          <t>▶ watch</t>
        </is>
      </c>
      <c r="M2873" s="10" t="inlineStr"/>
      <c r="N2873" s="11" t="inlineStr"/>
      <c r="O2873" s="11" t="inlineStr">
        <is>
          <t>course lecture - no single paper</t>
        </is>
      </c>
      <c r="P2873" s="10" t="inlineStr"/>
    </row>
    <row r="2874">
      <c r="A2874" s="23" t="n">
        <v>2873</v>
      </c>
      <c r="B2874" s="23" t="inlineStr">
        <is>
          <t>Part VI - Appendices</t>
        </is>
      </c>
      <c r="C2874" s="24" t="inlineStr">
        <is>
          <t>Tech Tea Time - 9 videos</t>
        </is>
      </c>
      <c r="D2874" s="10" t="inlineStr">
        <is>
          <t>Caliby: Protein Sequence Design for Structurally Complex Backbones</t>
        </is>
      </c>
      <c r="E2874" s="10" t="inlineStr"/>
      <c r="F2874" s="11" t="inlineStr">
        <is>
          <t>38:32</t>
        </is>
      </c>
      <c r="G2874" s="11" t="n">
        <v>0.64</v>
      </c>
      <c r="H2874" s="12" t="inlineStr"/>
      <c r="I2874" s="11" t="inlineStr">
        <is>
          <t>Not started</t>
        </is>
      </c>
      <c r="J2874" s="13" t="n"/>
      <c r="K2874" s="10" t="inlineStr"/>
      <c r="L2874" s="14" t="inlineStr">
        <is>
          <t>▶ watch</t>
        </is>
      </c>
      <c r="M2874" s="10" t="inlineStr"/>
      <c r="N2874" s="11" t="inlineStr"/>
      <c r="O2874" s="11" t="inlineStr">
        <is>
          <t>course lecture - no single paper</t>
        </is>
      </c>
      <c r="P2874" s="10" t="inlineStr"/>
    </row>
    <row r="2875">
      <c r="A2875" s="23" t="n">
        <v>2874</v>
      </c>
      <c r="B2875" s="23" t="inlineStr">
        <is>
          <t>Part VI - Appendices</t>
        </is>
      </c>
      <c r="C2875" s="24" t="inlineStr">
        <is>
          <t>Tech Tea Time - 9 videos</t>
        </is>
      </c>
      <c r="D2875" s="10" t="inlineStr">
        <is>
          <t>HBDesigner: rapid, versatile hydrogen bond network design</t>
        </is>
      </c>
      <c r="E2875" s="10" t="inlineStr"/>
      <c r="F2875" s="11" t="inlineStr">
        <is>
          <t>27:21</t>
        </is>
      </c>
      <c r="G2875" s="11" t="n">
        <v>0.46</v>
      </c>
      <c r="H2875" s="12" t="inlineStr"/>
      <c r="I2875" s="11" t="inlineStr">
        <is>
          <t>Not started</t>
        </is>
      </c>
      <c r="J2875" s="13" t="n"/>
      <c r="K2875" s="10" t="inlineStr"/>
      <c r="L2875" s="14" t="inlineStr">
        <is>
          <t>▶ watch</t>
        </is>
      </c>
      <c r="M2875" s="10" t="inlineStr"/>
      <c r="N2875" s="11" t="inlineStr"/>
      <c r="O2875" s="11" t="inlineStr">
        <is>
          <t>course lecture - no single paper</t>
        </is>
      </c>
      <c r="P2875" s="10" t="inlineStr"/>
    </row>
    <row r="2876">
      <c r="A2876" s="23" t="n">
        <v>2875</v>
      </c>
      <c r="B2876" s="23" t="inlineStr">
        <is>
          <t>Part VI - Appendices</t>
        </is>
      </c>
      <c r="C2876" s="24" t="inlineStr">
        <is>
          <t>Tech Tea Time - 9 videos</t>
        </is>
      </c>
      <c r="D2876" s="10" t="inlineStr">
        <is>
          <t>The State of AI Agents in Scientific Coding</t>
        </is>
      </c>
      <c r="E2876" s="10" t="inlineStr"/>
      <c r="F2876" s="11" t="inlineStr">
        <is>
          <t>33:20</t>
        </is>
      </c>
      <c r="G2876" s="11" t="n">
        <v>0.5600000000000001</v>
      </c>
      <c r="H2876" s="12" t="inlineStr"/>
      <c r="I2876" s="11" t="inlineStr">
        <is>
          <t>Not started</t>
        </is>
      </c>
      <c r="J2876" s="13" t="n"/>
      <c r="K2876" s="10" t="inlineStr"/>
      <c r="L2876" s="14" t="inlineStr">
        <is>
          <t>▶ watch</t>
        </is>
      </c>
      <c r="M2876" s="10" t="inlineStr"/>
      <c r="N2876" s="11" t="inlineStr"/>
      <c r="O2876" s="11" t="inlineStr">
        <is>
          <t>course lecture - no single paper</t>
        </is>
      </c>
      <c r="P2876" s="10" t="inlineStr"/>
    </row>
    <row r="2877">
      <c r="A2877" s="23" t="n">
        <v>2876</v>
      </c>
      <c r="B2877" s="23" t="inlineStr">
        <is>
          <t>Part VI - Appendices</t>
        </is>
      </c>
      <c r="C2877" s="24" t="inlineStr">
        <is>
          <t>Tech Tea Time - 9 videos</t>
        </is>
      </c>
      <c r="D2877" s="10" t="inlineStr">
        <is>
          <t>Using AI Agents for Scientific Workflows in Industry</t>
        </is>
      </c>
      <c r="E2877" s="10" t="inlineStr"/>
      <c r="F2877" s="11" t="inlineStr">
        <is>
          <t>16:52</t>
        </is>
      </c>
      <c r="G2877" s="11" t="n">
        <v>0.28</v>
      </c>
      <c r="H2877" s="12" t="inlineStr"/>
      <c r="I2877" s="11" t="inlineStr">
        <is>
          <t>Not started</t>
        </is>
      </c>
      <c r="J2877" s="13" t="n"/>
      <c r="K2877" s="10" t="inlineStr"/>
      <c r="L2877" s="14" t="inlineStr">
        <is>
          <t>▶ watch</t>
        </is>
      </c>
      <c r="M2877" s="10" t="inlineStr"/>
      <c r="N2877" s="11" t="inlineStr"/>
      <c r="O2877" s="11" t="inlineStr">
        <is>
          <t>course lecture - no single paper</t>
        </is>
      </c>
      <c r="P2877" s="10" t="inlineStr"/>
    </row>
    <row r="2878">
      <c r="A2878" s="23" t="n">
        <v>2877</v>
      </c>
      <c r="B2878" s="23" t="inlineStr">
        <is>
          <t>Part VI - Appendices</t>
        </is>
      </c>
      <c r="C2878" s="24" t="inlineStr">
        <is>
          <t>Guided Tutorials - 5 videos</t>
        </is>
      </c>
      <c r="D2878" s="10" t="inlineStr">
        <is>
          <t>RFdiffusion3 installation with Foundry</t>
        </is>
      </c>
      <c r="E2878" s="10" t="inlineStr"/>
      <c r="F2878" s="11" t="inlineStr">
        <is>
          <t>6:31</t>
        </is>
      </c>
      <c r="G2878" s="11" t="n">
        <v>0.11</v>
      </c>
      <c r="H2878" s="12" t="inlineStr"/>
      <c r="I2878" s="11" t="inlineStr">
        <is>
          <t>Not started</t>
        </is>
      </c>
      <c r="J2878" s="13" t="n"/>
      <c r="K2878" s="10" t="inlineStr"/>
      <c r="L2878" s="14" t="inlineStr">
        <is>
          <t>▶ watch</t>
        </is>
      </c>
      <c r="M2878" s="10" t="inlineStr"/>
      <c r="N2878" s="11" t="inlineStr"/>
      <c r="O2878" s="11" t="inlineStr">
        <is>
          <t>course lecture - no single paper</t>
        </is>
      </c>
      <c r="P2878" s="10" t="inlineStr"/>
    </row>
    <row r="2879">
      <c r="A2879" s="23" t="n">
        <v>2878</v>
      </c>
      <c r="B2879" s="23" t="inlineStr">
        <is>
          <t>Part VI - Appendices</t>
        </is>
      </c>
      <c r="C2879" s="24" t="inlineStr">
        <is>
          <t>Guided Tutorials - 5 videos</t>
        </is>
      </c>
      <c r="D2879" s="10" t="inlineStr">
        <is>
          <t>Binder Design with RFdiffusion3</t>
        </is>
      </c>
      <c r="E2879" s="10" t="inlineStr"/>
      <c r="F2879" s="11" t="inlineStr">
        <is>
          <t>9:07</t>
        </is>
      </c>
      <c r="G2879" s="11" t="n">
        <v>0.15</v>
      </c>
      <c r="H2879" s="12" t="inlineStr"/>
      <c r="I2879" s="11" t="inlineStr">
        <is>
          <t>Not started</t>
        </is>
      </c>
      <c r="J2879" s="13" t="n"/>
      <c r="K2879" s="10" t="inlineStr"/>
      <c r="L2879" s="14" t="inlineStr">
        <is>
          <t>▶ watch</t>
        </is>
      </c>
      <c r="M2879" s="10" t="inlineStr"/>
      <c r="N2879" s="11" t="inlineStr"/>
      <c r="O2879" s="11" t="inlineStr">
        <is>
          <t>course lecture - no single paper</t>
        </is>
      </c>
      <c r="P2879" s="10" t="inlineStr"/>
    </row>
    <row r="2880">
      <c r="A2880" s="23" t="n">
        <v>2879</v>
      </c>
      <c r="B2880" s="23" t="inlineStr">
        <is>
          <t>Part VI - Appendices</t>
        </is>
      </c>
      <c r="C2880" s="24" t="inlineStr">
        <is>
          <t>Proteins, structure, molecular design</t>
        </is>
      </c>
      <c r="D2880" s="10" t="inlineStr">
        <is>
          <t>Machine Learning &amp; the Life Sciences: Beyond Data Analysis</t>
        </is>
      </c>
      <c r="E2880" s="10" t="inlineStr">
        <is>
          <t>Ryan Adams (Harvard/Princeton</t>
        </is>
      </c>
      <c r="F2880" s="11" t="inlineStr">
        <is>
          <t>53:34</t>
        </is>
      </c>
      <c r="G2880" s="11" t="n">
        <v>0.89</v>
      </c>
      <c r="H2880" s="12" t="inlineStr"/>
      <c r="I2880" s="11" t="inlineStr">
        <is>
          <t>Not started</t>
        </is>
      </c>
      <c r="J2880" s="13" t="n"/>
      <c r="K2880" s="10" t="inlineStr"/>
      <c r="L2880" s="14" t="inlineStr">
        <is>
          <t>▶ watch</t>
        </is>
      </c>
      <c r="M2880" s="10" t="inlineStr"/>
      <c r="N2880" s="11" t="inlineStr"/>
      <c r="O2880" s="11" t="inlineStr">
        <is>
          <t>course lecture - no single paper</t>
        </is>
      </c>
      <c r="P2880" s="10" t="inlineStr"/>
    </row>
    <row r="2881">
      <c r="A2881" s="23" t="n">
        <v>2880</v>
      </c>
      <c r="B2881" s="23" t="inlineStr">
        <is>
          <t>Part VI - Appendices</t>
        </is>
      </c>
      <c r="C2881" s="24" t="inlineStr">
        <is>
          <t>Proteins, structure, molecular design</t>
        </is>
      </c>
      <c r="D2881" s="10" t="inlineStr">
        <is>
          <t>Geometry and Gene Regulation</t>
        </is>
      </c>
      <c r="E2881" s="10" t="inlineStr">
        <is>
          <t>Caroline Uhler (MIT</t>
        </is>
      </c>
      <c r="F2881" s="11" t="inlineStr">
        <is>
          <t>1:04:11</t>
        </is>
      </c>
      <c r="G2881" s="11" t="n">
        <v>1.07</v>
      </c>
      <c r="H2881" s="12" t="inlineStr"/>
      <c r="I2881" s="11" t="inlineStr">
        <is>
          <t>Not started</t>
        </is>
      </c>
      <c r="J2881" s="13" t="n"/>
      <c r="K2881" s="10" t="inlineStr"/>
      <c r="L2881" s="14" t="inlineStr">
        <is>
          <t>▶ watch</t>
        </is>
      </c>
      <c r="M2881" s="10" t="inlineStr"/>
      <c r="N2881" s="11" t="inlineStr"/>
      <c r="O2881" s="11" t="inlineStr">
        <is>
          <t>course lecture - no single paper</t>
        </is>
      </c>
      <c r="P2881" s="10" t="inlineStr"/>
    </row>
    <row r="2882">
      <c r="A2882" s="23" t="n">
        <v>2881</v>
      </c>
      <c r="B2882" s="23" t="inlineStr">
        <is>
          <t>Part VI - Appendices</t>
        </is>
      </c>
      <c r="C2882" s="24" t="inlineStr">
        <is>
          <t>Proteins, structure, molecular design</t>
        </is>
      </c>
      <c r="D2882" s="10" t="inlineStr">
        <is>
          <t>Unmixing next-gen mass spec proteomics</t>
        </is>
      </c>
      <c r="E2882" s="10" t="inlineStr">
        <is>
          <t>Peckner; primer Krug</t>
        </is>
      </c>
      <c r="F2882" s="11" t="inlineStr">
        <is>
          <t>1:45:58</t>
        </is>
      </c>
      <c r="G2882" s="11" t="n">
        <v>1.77</v>
      </c>
      <c r="H2882" s="12" t="inlineStr"/>
      <c r="I2882" s="11" t="inlineStr">
        <is>
          <t>Not started</t>
        </is>
      </c>
      <c r="J2882" s="13" t="n"/>
      <c r="K2882" s="10" t="inlineStr"/>
      <c r="L2882" s="14" t="inlineStr">
        <is>
          <t>▶ watch</t>
        </is>
      </c>
      <c r="M2882" s="10" t="inlineStr"/>
      <c r="N2882" s="11" t="inlineStr"/>
      <c r="O2882" s="11" t="inlineStr">
        <is>
          <t>course lecture - no single paper</t>
        </is>
      </c>
      <c r="P2882" s="10" t="inlineStr"/>
    </row>
    <row r="2883">
      <c r="A2883" s="23" t="n">
        <v>2882</v>
      </c>
      <c r="B2883" s="23" t="inlineStr">
        <is>
          <t>Part VI - Appendices</t>
        </is>
      </c>
      <c r="C2883" s="24" t="inlineStr">
        <is>
          <t>Proteins, structure, molecular design</t>
        </is>
      </c>
      <c r="D2883" s="10" t="inlineStr">
        <is>
          <t>Deep learning chemical space</t>
        </is>
      </c>
      <c r="E2883" s="10" t="inlineStr">
        <is>
          <t>Rafa Gómez-Bombarelli (MIT</t>
        </is>
      </c>
      <c r="F2883" s="11" t="inlineStr">
        <is>
          <t>57:31</t>
        </is>
      </c>
      <c r="G2883" s="11" t="n">
        <v>0.96</v>
      </c>
      <c r="H2883" s="12" t="inlineStr"/>
      <c r="I2883" s="11" t="inlineStr">
        <is>
          <t>Not started</t>
        </is>
      </c>
      <c r="J2883" s="13" t="n"/>
      <c r="K2883" s="10" t="inlineStr"/>
      <c r="L2883" s="14" t="inlineStr">
        <is>
          <t>▶ watch</t>
        </is>
      </c>
      <c r="M2883" s="10" t="inlineStr"/>
      <c r="N2883" s="11" t="inlineStr"/>
      <c r="O2883" s="11" t="inlineStr">
        <is>
          <t>course lecture - no single paper</t>
        </is>
      </c>
      <c r="P2883" s="10" t="inlineStr"/>
    </row>
    <row r="2884">
      <c r="A2884" s="23" t="n">
        <v>2883</v>
      </c>
      <c r="B2884" s="23" t="inlineStr">
        <is>
          <t>Part VI - Appendices</t>
        </is>
      </c>
      <c r="C2884" s="24" t="inlineStr">
        <is>
          <t>Proteins, structure, molecular design</t>
        </is>
      </c>
      <c r="D2884" s="10" t="inlineStr">
        <is>
          <t>Continuous directed evolution: advances, applications, opportunities</t>
        </is>
      </c>
      <c r="E2884" s="10" t="inlineStr">
        <is>
          <t>Ahmed Badran (Broad</t>
        </is>
      </c>
      <c r="F2884" s="11" t="inlineStr">
        <is>
          <t>54:49</t>
        </is>
      </c>
      <c r="G2884" s="11" t="n">
        <v>0.91</v>
      </c>
      <c r="H2884" s="12" t="inlineStr"/>
      <c r="I2884" s="11" t="inlineStr">
        <is>
          <t>Not started</t>
        </is>
      </c>
      <c r="J2884" s="13" t="n"/>
      <c r="K2884" s="10" t="inlineStr"/>
      <c r="L2884" s="14" t="inlineStr">
        <is>
          <t>▶ watch</t>
        </is>
      </c>
      <c r="M2884" s="10" t="inlineStr"/>
      <c r="N2884" s="11" t="inlineStr"/>
      <c r="O2884" s="11" t="inlineStr">
        <is>
          <t>course lecture - no single paper</t>
        </is>
      </c>
      <c r="P2884" s="10" t="inlineStr"/>
    </row>
    <row r="2885">
      <c r="A2885" s="23" t="n">
        <v>2884</v>
      </c>
      <c r="B2885" s="23" t="inlineStr">
        <is>
          <t>Part VI - Appendices</t>
        </is>
      </c>
      <c r="C2885" s="24" t="inlineStr">
        <is>
          <t>Proteins, structure, molecular design</t>
        </is>
      </c>
      <c r="D2885" s="10" t="inlineStr">
        <is>
          <t>Improving endogenous antigen prediction for cancer vaccines</t>
        </is>
      </c>
      <c r="E2885" s="10" t="inlineStr">
        <is>
          <t>Sarkizova &amp; Rooney</t>
        </is>
      </c>
      <c r="F2885" s="11" t="inlineStr">
        <is>
          <t>1:38:35</t>
        </is>
      </c>
      <c r="G2885" s="11" t="n">
        <v>1.64</v>
      </c>
      <c r="H2885" s="12" t="inlineStr"/>
      <c r="I2885" s="11" t="inlineStr">
        <is>
          <t>Not started</t>
        </is>
      </c>
      <c r="J2885" s="13" t="n"/>
      <c r="K2885" s="10" t="inlineStr"/>
      <c r="L2885" s="14" t="inlineStr">
        <is>
          <t>▶ watch</t>
        </is>
      </c>
      <c r="M2885" s="10" t="inlineStr"/>
      <c r="N2885" s="11" t="inlineStr"/>
      <c r="O2885" s="11" t="inlineStr">
        <is>
          <t>course lecture - no single paper</t>
        </is>
      </c>
      <c r="P2885" s="10" t="inlineStr"/>
    </row>
    <row r="2886">
      <c r="A2886" s="23" t="n">
        <v>2885</v>
      </c>
      <c r="B2886" s="23" t="inlineStr">
        <is>
          <t>Part VI - Appendices</t>
        </is>
      </c>
      <c r="C2886" s="24" t="inlineStr">
        <is>
          <t>Proteins, structure, molecular design</t>
        </is>
      </c>
      <c r="D2886" s="10" t="inlineStr">
        <is>
          <t>Message passing algorithms for cryo-EM and synchronization</t>
        </is>
      </c>
      <c r="E2886" s="10" t="inlineStr">
        <is>
          <t>Alex Wein (NYU</t>
        </is>
      </c>
      <c r="F2886" s="11" t="inlineStr">
        <is>
          <t>58:29</t>
        </is>
      </c>
      <c r="G2886" s="11" t="n">
        <v>0.97</v>
      </c>
      <c r="H2886" s="12" t="inlineStr">
        <is>
          <t>★</t>
        </is>
      </c>
      <c r="I2886" s="11" t="inlineStr">
        <is>
          <t>Not started</t>
        </is>
      </c>
      <c r="J2886" s="13" t="n"/>
      <c r="K2886" s="10" t="inlineStr"/>
      <c r="L2886" s="14" t="inlineStr">
        <is>
          <t>▶ watch</t>
        </is>
      </c>
      <c r="M2886" s="10" t="inlineStr"/>
      <c r="N2886" s="11" t="inlineStr"/>
      <c r="O2886" s="11" t="inlineStr">
        <is>
          <t>course lecture - no single paper</t>
        </is>
      </c>
      <c r="P2886" s="10" t="inlineStr"/>
    </row>
    <row r="2887">
      <c r="A2887" s="23" t="n">
        <v>2886</v>
      </c>
      <c r="B2887" s="23" t="inlineStr">
        <is>
          <t>Part VI - Appendices</t>
        </is>
      </c>
      <c r="C2887" s="24" t="inlineStr">
        <is>
          <t>Proteins, structure, molecular design</t>
        </is>
      </c>
      <c r="D2887" s="10" t="inlineStr">
        <is>
          <t>Machine-Learning-Based CRISPR Guide Design</t>
        </is>
      </c>
      <c r="E2887" s="10" t="inlineStr">
        <is>
          <t>Jennifer Listgarten (Berkeley</t>
        </is>
      </c>
      <c r="F2887" s="11" t="inlineStr">
        <is>
          <t>56:19</t>
        </is>
      </c>
      <c r="G2887" s="11" t="n">
        <v>0.9399999999999999</v>
      </c>
      <c r="H2887" s="12" t="inlineStr"/>
      <c r="I2887" s="11" t="inlineStr">
        <is>
          <t>Not started</t>
        </is>
      </c>
      <c r="J2887" s="13" t="n"/>
      <c r="K2887" s="10" t="inlineStr"/>
      <c r="L2887" s="14" t="inlineStr">
        <is>
          <t>▶ watch</t>
        </is>
      </c>
      <c r="M2887" s="10" t="inlineStr"/>
      <c r="N2887" s="11" t="inlineStr"/>
      <c r="O2887" s="11" t="inlineStr">
        <is>
          <t>course lecture - no single paper</t>
        </is>
      </c>
      <c r="P2887" s="10" t="inlineStr"/>
    </row>
    <row r="2888">
      <c r="A2888" s="23" t="n">
        <v>2887</v>
      </c>
      <c r="B2888" s="23" t="inlineStr">
        <is>
          <t>Part VI - Appendices</t>
        </is>
      </c>
      <c r="C2888" s="24" t="inlineStr">
        <is>
          <t>Proteins, structure, molecular design</t>
        </is>
      </c>
      <c r="D2888" s="10" t="inlineStr">
        <is>
          <t>Learning protein structure with a differentiable simulator</t>
        </is>
      </c>
      <c r="E2888" s="10" t="inlineStr">
        <is>
          <t>John Ingraham (Harvard</t>
        </is>
      </c>
      <c r="F2888" s="11" t="inlineStr">
        <is>
          <t>55:13</t>
        </is>
      </c>
      <c r="G2888" s="11" t="n">
        <v>0.92</v>
      </c>
      <c r="H2888" s="12" t="inlineStr">
        <is>
          <t>★</t>
        </is>
      </c>
      <c r="I2888" s="11" t="inlineStr">
        <is>
          <t>Not started</t>
        </is>
      </c>
      <c r="J2888" s="13" t="n"/>
      <c r="K2888" s="10" t="inlineStr"/>
      <c r="L2888" s="14" t="inlineStr">
        <is>
          <t>▶ watch</t>
        </is>
      </c>
      <c r="M2888" s="10" t="inlineStr"/>
      <c r="N2888" s="11" t="inlineStr"/>
      <c r="O2888" s="11" t="inlineStr">
        <is>
          <t>course lecture - no single paper</t>
        </is>
      </c>
      <c r="P2888" s="10" t="inlineStr"/>
    </row>
    <row r="2889">
      <c r="A2889" s="23" t="n">
        <v>2888</v>
      </c>
      <c r="B2889" s="23" t="inlineStr">
        <is>
          <t>Part VI - Appendices</t>
        </is>
      </c>
      <c r="C2889" s="24" t="inlineStr">
        <is>
          <t>Proteins, structure, molecular design</t>
        </is>
      </c>
      <c r="D2889" s="10" t="inlineStr">
        <is>
          <t>Hamilton's rule makes no prediction and cannot be tested empirically</t>
        </is>
      </c>
      <c r="E2889" s="10" t="inlineStr">
        <is>
          <t>Martin Nowak (Harvard</t>
        </is>
      </c>
      <c r="F2889" s="11" t="inlineStr">
        <is>
          <t>45:52</t>
        </is>
      </c>
      <c r="G2889" s="11" t="n">
        <v>0.76</v>
      </c>
      <c r="H2889" s="12" t="inlineStr"/>
      <c r="I2889" s="11" t="inlineStr">
        <is>
          <t>Not started</t>
        </is>
      </c>
      <c r="J2889" s="13" t="n"/>
      <c r="K2889" s="10" t="inlineStr"/>
      <c r="L2889" s="14" t="inlineStr">
        <is>
          <t>▶ watch</t>
        </is>
      </c>
      <c r="M2889" s="10" t="inlineStr"/>
      <c r="N2889" s="11" t="inlineStr"/>
      <c r="O2889" s="11" t="inlineStr">
        <is>
          <t>course lecture - no single paper</t>
        </is>
      </c>
      <c r="P2889" s="10" t="inlineStr"/>
    </row>
    <row r="2890">
      <c r="A2890" s="23" t="n">
        <v>2889</v>
      </c>
      <c r="B2890" s="23" t="inlineStr">
        <is>
          <t>Part VI - Appendices</t>
        </is>
      </c>
      <c r="C2890" s="24" t="inlineStr">
        <is>
          <t>Proteins, structure, molecular design</t>
        </is>
      </c>
      <c r="D2890" s="10" t="inlineStr">
        <is>
          <t>Convolutional models of molecular structure</t>
        </is>
      </c>
      <c r="E2890" s="10" t="inlineStr">
        <is>
          <t>Boomsma &amp; Frellsen</t>
        </is>
      </c>
      <c r="F2890" s="11" t="inlineStr">
        <is>
          <t>1:47:16</t>
        </is>
      </c>
      <c r="G2890" s="11" t="n">
        <v>1.79</v>
      </c>
      <c r="H2890" s="12" t="inlineStr"/>
      <c r="I2890" s="11" t="inlineStr">
        <is>
          <t>Not started</t>
        </is>
      </c>
      <c r="J2890" s="13" t="n"/>
      <c r="K2890" s="10" t="inlineStr"/>
      <c r="L2890" s="14" t="inlineStr">
        <is>
          <t>▶ watch</t>
        </is>
      </c>
      <c r="M2890" s="10" t="inlineStr"/>
      <c r="N2890" s="11" t="inlineStr"/>
      <c r="O2890" s="11" t="inlineStr">
        <is>
          <t>course lecture - no single paper</t>
        </is>
      </c>
      <c r="P2890" s="10" t="inlineStr"/>
    </row>
    <row r="2891">
      <c r="A2891" s="23" t="n">
        <v>2890</v>
      </c>
      <c r="B2891" s="23" t="inlineStr">
        <is>
          <t>Part VI - Appendices</t>
        </is>
      </c>
      <c r="C2891" s="24" t="inlineStr">
        <is>
          <t>Proteins, structure, molecular design</t>
        </is>
      </c>
      <c r="D2891" s="10" t="inlineStr">
        <is>
          <t>Rapid mutation &amp; continuous directed evolution in vivo</t>
        </is>
      </c>
      <c r="E2891" s="10" t="inlineStr">
        <is>
          <t>Chang Liu (UCI); Badran</t>
        </is>
      </c>
      <c r="F2891" s="11" t="inlineStr">
        <is>
          <t>1:43:18</t>
        </is>
      </c>
      <c r="G2891" s="11" t="n">
        <v>1.72</v>
      </c>
      <c r="H2891" s="12" t="inlineStr"/>
      <c r="I2891" s="11" t="inlineStr">
        <is>
          <t>Not started</t>
        </is>
      </c>
      <c r="J2891" s="13" t="n"/>
      <c r="K2891" s="10" t="inlineStr"/>
      <c r="L2891" s="14" t="inlineStr">
        <is>
          <t>▶ watch</t>
        </is>
      </c>
      <c r="M2891" s="10" t="inlineStr"/>
      <c r="N2891" s="11" t="inlineStr"/>
      <c r="O2891" s="11" t="inlineStr">
        <is>
          <t>course lecture - no single paper</t>
        </is>
      </c>
      <c r="P2891" s="10" t="inlineStr"/>
    </row>
    <row r="2892">
      <c r="A2892" s="23" t="n">
        <v>2891</v>
      </c>
      <c r="B2892" s="23" t="inlineStr">
        <is>
          <t>Part VI - Appendices</t>
        </is>
      </c>
      <c r="C2892" s="24" t="inlineStr">
        <is>
          <t>Proteins, structure, molecular design</t>
        </is>
      </c>
      <c r="D2892" s="10" t="inlineStr">
        <is>
          <t>Machine-guided capsid engineering for gene therapy</t>
        </is>
      </c>
      <c r="E2892" s="10" t="inlineStr">
        <is>
          <t>Kelsic; primer Sinai</t>
        </is>
      </c>
      <c r="F2892" s="11" t="inlineStr">
        <is>
          <t>1:42:15</t>
        </is>
      </c>
      <c r="G2892" s="11" t="n">
        <v>1.7</v>
      </c>
      <c r="H2892" s="12" t="inlineStr"/>
      <c r="I2892" s="11" t="inlineStr">
        <is>
          <t>Not started</t>
        </is>
      </c>
      <c r="J2892" s="13" t="n"/>
      <c r="K2892" s="10" t="inlineStr"/>
      <c r="L2892" s="14" t="inlineStr">
        <is>
          <t>▶ watch</t>
        </is>
      </c>
      <c r="M2892" s="10" t="inlineStr"/>
      <c r="N2892" s="11" t="inlineStr"/>
      <c r="O2892" s="11" t="inlineStr">
        <is>
          <t>course lecture - no single paper</t>
        </is>
      </c>
      <c r="P2892" s="10" t="inlineStr"/>
    </row>
    <row r="2893">
      <c r="A2893" s="23" t="n">
        <v>2892</v>
      </c>
      <c r="B2893" s="23" t="inlineStr">
        <is>
          <t>Part VI - Appendices</t>
        </is>
      </c>
      <c r="C2893" s="24" t="inlineStr">
        <is>
          <t>Proteins, structure, molecular design</t>
        </is>
      </c>
      <c r="D2893" s="10" t="inlineStr">
        <is>
          <t>ML-based design of proteins (and small molecules and beyond</t>
        </is>
      </c>
      <c r="E2893" s="10" t="inlineStr">
        <is>
          <t>Jennifer Listgarten (Berkeley</t>
        </is>
      </c>
      <c r="F2893" s="11" t="inlineStr">
        <is>
          <t>57:06</t>
        </is>
      </c>
      <c r="G2893" s="11" t="n">
        <v>0.95</v>
      </c>
      <c r="H2893" s="12" t="inlineStr">
        <is>
          <t>★</t>
        </is>
      </c>
      <c r="I2893" s="11" t="inlineStr">
        <is>
          <t>Not started</t>
        </is>
      </c>
      <c r="J2893" s="13" t="n"/>
      <c r="K2893" s="10" t="inlineStr"/>
      <c r="L2893" s="14" t="inlineStr">
        <is>
          <t>▶ watch</t>
        </is>
      </c>
      <c r="M2893" s="10" t="inlineStr"/>
      <c r="N2893" s="11" t="inlineStr"/>
      <c r="O2893" s="11" t="inlineStr">
        <is>
          <t>course lecture - no single paper</t>
        </is>
      </c>
      <c r="P2893" s="10" t="inlineStr"/>
    </row>
    <row r="2894">
      <c r="A2894" s="23" t="n">
        <v>2893</v>
      </c>
      <c r="B2894" s="23" t="inlineStr">
        <is>
          <t>Part VI - Appendices</t>
        </is>
      </c>
      <c r="C2894" s="24" t="inlineStr">
        <is>
          <t>Proteins, structure, molecular design</t>
        </is>
      </c>
      <c r="D2894" s="10" t="inlineStr">
        <is>
          <t>Determinants of base editing outcomes from library analysis &amp; ML</t>
        </is>
      </c>
      <c r="E2894" s="10" t="inlineStr">
        <is>
          <t>Max Shen (MIT</t>
        </is>
      </c>
      <c r="F2894" s="11" t="inlineStr">
        <is>
          <t>55:21</t>
        </is>
      </c>
      <c r="G2894" s="11" t="n">
        <v>0.92</v>
      </c>
      <c r="H2894" s="12" t="inlineStr"/>
      <c r="I2894" s="11" t="inlineStr">
        <is>
          <t>Not started</t>
        </is>
      </c>
      <c r="J2894" s="13" t="n"/>
      <c r="K2894" s="10" t="inlineStr"/>
      <c r="L2894" s="14" t="inlineStr">
        <is>
          <t>▶ watch</t>
        </is>
      </c>
      <c r="M2894" s="10" t="inlineStr"/>
      <c r="N2894" s="11" t="inlineStr"/>
      <c r="O2894" s="11" t="inlineStr">
        <is>
          <t>course lecture - no single paper</t>
        </is>
      </c>
      <c r="P2894" s="10" t="inlineStr"/>
    </row>
    <row r="2895">
      <c r="A2895" s="23" t="n">
        <v>2894</v>
      </c>
      <c r="B2895" s="23" t="inlineStr">
        <is>
          <t>Part VI - Appendices</t>
        </is>
      </c>
      <c r="C2895" s="24" t="inlineStr">
        <is>
          <t>Proteins, structure, molecular design</t>
        </is>
      </c>
      <c r="D2895" s="10" t="inlineStr">
        <is>
          <t>Generative models of proteins and genomes</t>
        </is>
      </c>
      <c r="E2895" s="10" t="inlineStr">
        <is>
          <t>Eli Weinstein; primer Amin on Polya trees</t>
        </is>
      </c>
      <c r="F2895" s="11" t="inlineStr">
        <is>
          <t>1:46:15</t>
        </is>
      </c>
      <c r="G2895" s="11" t="n">
        <v>1.77</v>
      </c>
      <c r="H2895" s="12" t="inlineStr"/>
      <c r="I2895" s="11" t="inlineStr">
        <is>
          <t>Not started</t>
        </is>
      </c>
      <c r="J2895" s="13" t="n"/>
      <c r="K2895" s="10" t="inlineStr"/>
      <c r="L2895" s="14" t="inlineStr">
        <is>
          <t>▶ watch</t>
        </is>
      </c>
      <c r="M2895" s="10" t="inlineStr"/>
      <c r="N2895" s="11" t="inlineStr"/>
      <c r="O2895" s="11" t="inlineStr">
        <is>
          <t>course lecture - no single paper</t>
        </is>
      </c>
      <c r="P2895" s="10" t="inlineStr"/>
    </row>
    <row r="2896">
      <c r="A2896" s="23" t="n">
        <v>2895</v>
      </c>
      <c r="B2896" s="23" t="inlineStr">
        <is>
          <t>Part VI - Appendices</t>
        </is>
      </c>
      <c r="C2896" s="24" t="inlineStr">
        <is>
          <t>Proteins, structure, molecular design</t>
        </is>
      </c>
      <c r="D2896" s="10" t="inlineStr">
        <is>
          <t>Actionable machine learning for drug discovery</t>
        </is>
      </c>
      <c r="E2896" s="10" t="inlineStr">
        <is>
          <t>Marinka Zitnik (HMS); Li</t>
        </is>
      </c>
      <c r="F2896" s="11" t="inlineStr">
        <is>
          <t>1:40:40</t>
        </is>
      </c>
      <c r="G2896" s="11" t="n">
        <v>1.68</v>
      </c>
      <c r="H2896" s="12" t="inlineStr"/>
      <c r="I2896" s="11" t="inlineStr">
        <is>
          <t>Not started</t>
        </is>
      </c>
      <c r="J2896" s="13" t="n"/>
      <c r="K2896" s="10" t="inlineStr"/>
      <c r="L2896" s="14" t="inlineStr">
        <is>
          <t>▶ watch</t>
        </is>
      </c>
      <c r="M2896" s="10" t="inlineStr"/>
      <c r="N2896" s="11" t="inlineStr"/>
      <c r="O2896" s="11" t="inlineStr">
        <is>
          <t>course lecture - no single paper</t>
        </is>
      </c>
      <c r="P2896" s="10" t="inlineStr"/>
    </row>
    <row r="2897">
      <c r="A2897" s="23" t="n">
        <v>2896</v>
      </c>
      <c r="B2897" s="23" t="inlineStr">
        <is>
          <t>Part VI - Appendices</t>
        </is>
      </c>
      <c r="C2897" s="24" t="inlineStr">
        <is>
          <t>Proteins, structure, molecular design</t>
        </is>
      </c>
      <c r="D2897" s="10" t="inlineStr">
        <is>
          <t>Bruno Correia (EPFL); primer Goverde</t>
        </is>
      </c>
      <c r="E2897" s="10" t="inlineStr">
        <is>
          <t>Computational protein design</t>
        </is>
      </c>
      <c r="F2897" s="11" t="inlineStr">
        <is>
          <t>1:34:43</t>
        </is>
      </c>
      <c r="G2897" s="11" t="n">
        <v>1.58</v>
      </c>
      <c r="H2897" s="12" t="inlineStr"/>
      <c r="I2897" s="11" t="inlineStr">
        <is>
          <t>Not started</t>
        </is>
      </c>
      <c r="J2897" s="13" t="n"/>
      <c r="K2897" s="10" t="inlineStr"/>
      <c r="L2897" s="14" t="inlineStr">
        <is>
          <t>▶ watch</t>
        </is>
      </c>
      <c r="M2897" s="10" t="inlineStr"/>
      <c r="N2897" s="11" t="inlineStr"/>
      <c r="O2897" s="11" t="inlineStr">
        <is>
          <t>course lecture - no single paper</t>
        </is>
      </c>
      <c r="P2897" s="10" t="inlineStr"/>
    </row>
    <row r="2898">
      <c r="A2898" s="23" t="n">
        <v>2897</v>
      </c>
      <c r="B2898" s="23" t="inlineStr">
        <is>
          <t>Part VI - Appendices</t>
        </is>
      </c>
      <c r="C2898" s="24" t="inlineStr">
        <is>
          <t>Proteins, structure, molecular design</t>
        </is>
      </c>
      <c r="D2898" s="10" t="inlineStr">
        <is>
          <t>Protein design with generative diffusion models</t>
        </is>
      </c>
      <c r="E2898" s="10" t="inlineStr">
        <is>
          <t>Amini &amp; Alamdari (Microsoft</t>
        </is>
      </c>
      <c r="F2898" s="11" t="inlineStr">
        <is>
          <t>1:21:48</t>
        </is>
      </c>
      <c r="G2898" s="11" t="n">
        <v>1.36</v>
      </c>
      <c r="H2898" s="12" t="inlineStr"/>
      <c r="I2898" s="11" t="inlineStr">
        <is>
          <t>Not started</t>
        </is>
      </c>
      <c r="J2898" s="13" t="n"/>
      <c r="K2898" s="10" t="inlineStr"/>
      <c r="L2898" s="14" t="inlineStr">
        <is>
          <t>▶ watch</t>
        </is>
      </c>
      <c r="M2898" s="10" t="inlineStr"/>
      <c r="N2898" s="11" t="inlineStr"/>
      <c r="O2898" s="11" t="inlineStr">
        <is>
          <t>course lecture - no single paper</t>
        </is>
      </c>
      <c r="P2898" s="10" t="inlineStr"/>
    </row>
    <row r="2899">
      <c r="A2899" s="23" t="n">
        <v>2898</v>
      </c>
      <c r="B2899" s="23" t="inlineStr">
        <is>
          <t>Part VI - Appendices</t>
        </is>
      </c>
      <c r="C2899" s="24" t="inlineStr">
        <is>
          <t>Proteins, structure, molecular design</t>
        </is>
      </c>
      <c r="D2899" s="10" t="inlineStr">
        <is>
          <t>Unsupervised viral antibody escape prediction</t>
        </is>
      </c>
      <c r="E2899" s="10" t="inlineStr">
        <is>
          <t>Gurev &amp; Youssef</t>
        </is>
      </c>
      <c r="F2899" s="11" t="inlineStr">
        <is>
          <t>1:45:50</t>
        </is>
      </c>
      <c r="G2899" s="11" t="n">
        <v>1.76</v>
      </c>
      <c r="H2899" s="12" t="inlineStr"/>
      <c r="I2899" s="11" t="inlineStr">
        <is>
          <t>Not started</t>
        </is>
      </c>
      <c r="J2899" s="13" t="n"/>
      <c r="K2899" s="10" t="inlineStr"/>
      <c r="L2899" s="14" t="inlineStr">
        <is>
          <t>▶ watch</t>
        </is>
      </c>
      <c r="M2899" s="10" t="inlineStr"/>
      <c r="N2899" s="11" t="inlineStr"/>
      <c r="O2899" s="11" t="inlineStr">
        <is>
          <t>course lecture - no single paper</t>
        </is>
      </c>
      <c r="P2899" s="10" t="inlineStr"/>
    </row>
    <row r="2900">
      <c r="A2900" s="23" t="n">
        <v>2899</v>
      </c>
      <c r="B2900" s="23" t="inlineStr">
        <is>
          <t>Part VI - Appendices</t>
        </is>
      </c>
      <c r="C2900" s="24" t="inlineStr">
        <is>
          <t>Proteins, structure, molecular design</t>
        </is>
      </c>
      <c r="D2900" s="10" t="inlineStr">
        <is>
          <t>ML for reconstructing structural landscapes from cryoEM</t>
        </is>
      </c>
      <c r="E2900" s="10" t="inlineStr">
        <is>
          <t>Ellen Zhong (Princeton); Raghu</t>
        </is>
      </c>
      <c r="F2900" s="11" t="inlineStr">
        <is>
          <t>1:41:32</t>
        </is>
      </c>
      <c r="G2900" s="11" t="n">
        <v>1.69</v>
      </c>
      <c r="H2900" s="12" t="inlineStr">
        <is>
          <t>★</t>
        </is>
      </c>
      <c r="I2900" s="11" t="inlineStr">
        <is>
          <t>Not started</t>
        </is>
      </c>
      <c r="J2900" s="13" t="n"/>
      <c r="K2900" s="10" t="inlineStr"/>
      <c r="L2900" s="14" t="inlineStr">
        <is>
          <t>▶ watch</t>
        </is>
      </c>
      <c r="M2900" s="10" t="inlineStr"/>
      <c r="N2900" s="11" t="inlineStr"/>
      <c r="O2900" s="11" t="inlineStr">
        <is>
          <t>course lecture - no single paper</t>
        </is>
      </c>
      <c r="P2900" s="10" t="inlineStr"/>
    </row>
    <row r="2901">
      <c r="A2901" s="23" t="n">
        <v>2900</v>
      </c>
      <c r="B2901" s="23" t="inlineStr">
        <is>
          <t>Part VI - Appendices</t>
        </is>
      </c>
      <c r="C2901" s="24" t="inlineStr">
        <is>
          <t>Proteins, structure, molecular design</t>
        </is>
      </c>
      <c r="D2901" s="10" t="inlineStr">
        <is>
          <t>Automating Chemistry With LLM-Based Agents</t>
        </is>
      </c>
      <c r="E2901" s="10" t="inlineStr">
        <is>
          <t>Sam Cox; primer Andrew White</t>
        </is>
      </c>
      <c r="F2901" s="11" t="inlineStr">
        <is>
          <t>1:22:30</t>
        </is>
      </c>
      <c r="G2901" s="11" t="n">
        <v>1.38</v>
      </c>
      <c r="H2901" s="12" t="inlineStr"/>
      <c r="I2901" s="11" t="inlineStr">
        <is>
          <t>Not started</t>
        </is>
      </c>
      <c r="J2901" s="13" t="n"/>
      <c r="K2901" s="10" t="inlineStr"/>
      <c r="L2901" s="14" t="inlineStr">
        <is>
          <t>▶ watch</t>
        </is>
      </c>
      <c r="M2901" s="10" t="inlineStr"/>
      <c r="N2901" s="11" t="inlineStr"/>
      <c r="O2901" s="11" t="inlineStr">
        <is>
          <t>course lecture - no single paper</t>
        </is>
      </c>
      <c r="P2901" s="10" t="inlineStr"/>
    </row>
    <row r="2902">
      <c r="A2902" s="23" t="n">
        <v>2901</v>
      </c>
      <c r="B2902" s="23" t="inlineStr">
        <is>
          <t>Part VI - Appendices</t>
        </is>
      </c>
      <c r="C2902" s="24" t="inlineStr">
        <is>
          <t>Proteins, structure, molecular design</t>
        </is>
      </c>
      <c r="D2902" s="10" t="inlineStr">
        <is>
          <t>Predicting small-molecule binding sites using AlphaFold2</t>
        </is>
      </c>
      <c r="E2902" s="10" t="inlineStr">
        <is>
          <t>Nick Polizzi (Dana-Farber); Fry</t>
        </is>
      </c>
      <c r="F2902" s="11" t="inlineStr">
        <is>
          <t>1:50:51</t>
        </is>
      </c>
      <c r="G2902" s="11" t="n">
        <v>1.85</v>
      </c>
      <c r="H2902" s="12" t="inlineStr"/>
      <c r="I2902" s="11" t="inlineStr">
        <is>
          <t>Not started</t>
        </is>
      </c>
      <c r="J2902" s="13" t="n"/>
      <c r="K2902" s="10" t="inlineStr"/>
      <c r="L2902" s="14" t="inlineStr">
        <is>
          <t>▶ watch</t>
        </is>
      </c>
      <c r="M2902" s="10" t="inlineStr"/>
      <c r="N2902" s="11" t="inlineStr"/>
      <c r="O2902" s="11" t="inlineStr">
        <is>
          <t>course lecture - no single paper</t>
        </is>
      </c>
      <c r="P2902" s="10" t="inlineStr"/>
    </row>
    <row r="2903">
      <c r="A2903" s="23" t="n">
        <v>2902</v>
      </c>
      <c r="B2903" s="23" t="inlineStr">
        <is>
          <t>Part VI - Appendices</t>
        </is>
      </c>
      <c r="C2903" s="24" t="inlineStr">
        <is>
          <t>Statistical and generative-modeling methods</t>
        </is>
      </c>
      <c r="D2903" s="10" t="inlineStr">
        <is>
          <t>Barbara Engelhardt; Reshef on GPs</t>
        </is>
      </c>
      <c r="E2903" s="10" t="inlineStr">
        <is>
          <t>Bayesian structured sparsity</t>
        </is>
      </c>
      <c r="F2903" s="11" t="inlineStr">
        <is>
          <t>1:58:42</t>
        </is>
      </c>
      <c r="G2903" s="11" t="n">
        <v>1.98</v>
      </c>
      <c r="H2903" s="12" t="inlineStr"/>
      <c r="I2903" s="11" t="inlineStr">
        <is>
          <t>Not started</t>
        </is>
      </c>
      <c r="J2903" s="13" t="n"/>
      <c r="K2903" s="10" t="inlineStr"/>
      <c r="L2903" s="14" t="inlineStr">
        <is>
          <t>▶ watch</t>
        </is>
      </c>
      <c r="M2903" s="10" t="inlineStr"/>
      <c r="N2903" s="11" t="inlineStr"/>
      <c r="O2903" s="11" t="inlineStr">
        <is>
          <t>course lecture - no single paper</t>
        </is>
      </c>
      <c r="P2903" s="10" t="inlineStr"/>
    </row>
    <row r="2904">
      <c r="A2904" s="23" t="n">
        <v>2903</v>
      </c>
      <c r="B2904" s="23" t="inlineStr">
        <is>
          <t>Part VI - Appendices</t>
        </is>
      </c>
      <c r="C2904" s="24" t="inlineStr">
        <is>
          <t>Statistical and generative-modeling methods</t>
        </is>
      </c>
      <c r="D2904" s="10" t="inlineStr">
        <is>
          <t>Scaling &amp; generalizing variational inference</t>
        </is>
      </c>
      <c r="E2904" s="10" t="inlineStr">
        <is>
          <t>David Blei (Columbia</t>
        </is>
      </c>
      <c r="F2904" s="11" t="inlineStr">
        <is>
          <t>1:40:24</t>
        </is>
      </c>
      <c r="G2904" s="11" t="n">
        <v>1.67</v>
      </c>
      <c r="H2904" s="12" t="inlineStr">
        <is>
          <t>★</t>
        </is>
      </c>
      <c r="I2904" s="11" t="inlineStr">
        <is>
          <t>Not started</t>
        </is>
      </c>
      <c r="J2904" s="13" t="n"/>
      <c r="K2904" s="10" t="inlineStr"/>
      <c r="L2904" s="14" t="inlineStr">
        <is>
          <t>▶ watch</t>
        </is>
      </c>
      <c r="M2904" s="10" t="inlineStr"/>
      <c r="N2904" s="11" t="inlineStr"/>
      <c r="O2904" s="11" t="inlineStr">
        <is>
          <t>course lecture - no single paper</t>
        </is>
      </c>
      <c r="P2904" s="10" t="inlineStr"/>
    </row>
    <row r="2905">
      <c r="A2905" s="23" t="n">
        <v>2904</v>
      </c>
      <c r="B2905" s="23" t="inlineStr">
        <is>
          <t>Part VI - Appendices</t>
        </is>
      </c>
      <c r="C2905" s="24" t="inlineStr">
        <is>
          <t>Statistical and generative-modeling methods</t>
        </is>
      </c>
      <c r="D2905" s="10" t="inlineStr">
        <is>
          <t>Yaniv Erlich; Peckner on linear codes</t>
        </is>
      </c>
      <c r="E2905" s="10" t="inlineStr">
        <is>
          <t>Compressed experiments</t>
        </is>
      </c>
      <c r="F2905" s="11" t="inlineStr">
        <is>
          <t>1:46:18</t>
        </is>
      </c>
      <c r="G2905" s="11" t="n">
        <v>1.77</v>
      </c>
      <c r="H2905" s="12" t="inlineStr"/>
      <c r="I2905" s="11" t="inlineStr">
        <is>
          <t>Not started</t>
        </is>
      </c>
      <c r="J2905" s="13" t="n"/>
      <c r="K2905" s="10" t="inlineStr"/>
      <c r="L2905" s="14" t="inlineStr">
        <is>
          <t>▶ watch</t>
        </is>
      </c>
      <c r="M2905" s="10" t="inlineStr"/>
      <c r="N2905" s="11" t="inlineStr"/>
      <c r="O2905" s="11" t="inlineStr">
        <is>
          <t>course lecture - no single paper</t>
        </is>
      </c>
      <c r="P2905" s="10" t="inlineStr"/>
    </row>
    <row r="2906">
      <c r="A2906" s="23" t="n">
        <v>2905</v>
      </c>
      <c r="B2906" s="23" t="inlineStr">
        <is>
          <t>Part VI - Appendices</t>
        </is>
      </c>
      <c r="C2906" s="24" t="inlineStr">
        <is>
          <t>Statistical and generative-modeling methods</t>
        </is>
      </c>
      <c r="D2906" s="10" t="inlineStr">
        <is>
          <t>Automated inference &amp; probabilistic programming</t>
        </is>
      </c>
      <c r="E2906" s="10" t="inlineStr">
        <is>
          <t>Kucukelbir; Ranganath on PGMs</t>
        </is>
      </c>
      <c r="F2906" s="11" t="inlineStr">
        <is>
          <t>1:47:27</t>
        </is>
      </c>
      <c r="G2906" s="11" t="n">
        <v>1.79</v>
      </c>
      <c r="H2906" s="12" t="inlineStr"/>
      <c r="I2906" s="11" t="inlineStr">
        <is>
          <t>Not started</t>
        </is>
      </c>
      <c r="J2906" s="13" t="n"/>
      <c r="K2906" s="10" t="inlineStr"/>
      <c r="L2906" s="14" t="inlineStr">
        <is>
          <t>▶ watch</t>
        </is>
      </c>
      <c r="M2906" s="10" t="inlineStr"/>
      <c r="N2906" s="11" t="inlineStr"/>
      <c r="O2906" s="11" t="inlineStr">
        <is>
          <t>course lecture - no single paper</t>
        </is>
      </c>
      <c r="P2906" s="10" t="inlineStr"/>
    </row>
    <row r="2907">
      <c r="A2907" s="23" t="n">
        <v>2906</v>
      </c>
      <c r="B2907" s="23" t="inlineStr">
        <is>
          <t>Part VI - Appendices</t>
        </is>
      </c>
      <c r="C2907" s="24" t="inlineStr">
        <is>
          <t>Statistical and generative-modeling methods</t>
        </is>
      </c>
      <c r="D2907" s="10" t="inlineStr">
        <is>
          <t>What can persistent homology see?</t>
        </is>
      </c>
      <c r="E2907" s="10" t="inlineStr">
        <is>
          <t>Chad Giusti; Sizemore on TDA</t>
        </is>
      </c>
      <c r="F2907" s="11" t="inlineStr">
        <is>
          <t>1:53:40</t>
        </is>
      </c>
      <c r="G2907" s="11" t="n">
        <v>1.89</v>
      </c>
      <c r="H2907" s="12" t="inlineStr"/>
      <c r="I2907" s="11" t="inlineStr">
        <is>
          <t>Not started</t>
        </is>
      </c>
      <c r="J2907" s="13" t="n"/>
      <c r="K2907" s="10" t="inlineStr"/>
      <c r="L2907" s="14" t="inlineStr">
        <is>
          <t>▶ watch</t>
        </is>
      </c>
      <c r="M2907" s="10" t="inlineStr"/>
      <c r="N2907" s="11" t="inlineStr"/>
      <c r="O2907" s="11" t="inlineStr">
        <is>
          <t>course lecture - no single paper</t>
        </is>
      </c>
      <c r="P2907" s="10" t="inlineStr"/>
    </row>
    <row r="2908">
      <c r="A2908" s="23" t="n">
        <v>2907</v>
      </c>
      <c r="B2908" s="23" t="inlineStr">
        <is>
          <t>Part VI - Appendices</t>
        </is>
      </c>
      <c r="C2908" s="24" t="inlineStr">
        <is>
          <t>Statistical and generative-modeling methods</t>
        </is>
      </c>
      <c r="D2908" s="10" t="inlineStr">
        <is>
          <t>Probabilistic models of diversity: determinantal point processes</t>
        </is>
      </c>
      <c r="E2908" s="10" t="inlineStr">
        <is>
          <t>Stefanie Jegelka (MIT); Li</t>
        </is>
      </c>
      <c r="F2908" s="11" t="inlineStr">
        <is>
          <t>1:45:31</t>
        </is>
      </c>
      <c r="G2908" s="11" t="n">
        <v>1.76</v>
      </c>
      <c r="H2908" s="12" t="inlineStr"/>
      <c r="I2908" s="11" t="inlineStr">
        <is>
          <t>Not started</t>
        </is>
      </c>
      <c r="J2908" s="13" t="n"/>
      <c r="K2908" s="10" t="inlineStr"/>
      <c r="L2908" s="14" t="inlineStr">
        <is>
          <t>▶ watch</t>
        </is>
      </c>
      <c r="M2908" s="10" t="inlineStr"/>
      <c r="N2908" s="11" t="inlineStr"/>
      <c r="O2908" s="11" t="inlineStr">
        <is>
          <t>course lecture - no single paper</t>
        </is>
      </c>
      <c r="P2908" s="10" t="inlineStr"/>
    </row>
    <row r="2909">
      <c r="A2909" s="23" t="n">
        <v>2908</v>
      </c>
      <c r="B2909" s="23" t="inlineStr">
        <is>
          <t>Part VI - Appendices</t>
        </is>
      </c>
      <c r="C2909" s="24" t="inlineStr">
        <is>
          <t>Statistical and generative-modeling methods</t>
        </is>
      </c>
      <c r="D2909" s="10" t="inlineStr">
        <is>
          <t>Composing graphical models with neural networks</t>
        </is>
      </c>
      <c r="E2909" s="10" t="inlineStr">
        <is>
          <t>Matt Johnson; Linderman</t>
        </is>
      </c>
      <c r="F2909" s="11" t="inlineStr">
        <is>
          <t>1:47:02</t>
        </is>
      </c>
      <c r="G2909" s="11" t="n">
        <v>1.78</v>
      </c>
      <c r="H2909" s="12" t="inlineStr"/>
      <c r="I2909" s="11" t="inlineStr">
        <is>
          <t>Not started</t>
        </is>
      </c>
      <c r="J2909" s="13" t="n"/>
      <c r="K2909" s="10" t="inlineStr"/>
      <c r="L2909" s="14" t="inlineStr">
        <is>
          <t>▶ watch</t>
        </is>
      </c>
      <c r="M2909" s="10" t="inlineStr"/>
      <c r="N2909" s="11" t="inlineStr"/>
      <c r="O2909" s="11" t="inlineStr">
        <is>
          <t>course lecture - no single paper</t>
        </is>
      </c>
      <c r="P2909" s="10" t="inlineStr"/>
    </row>
    <row r="2910">
      <c r="A2910" s="23" t="n">
        <v>2909</v>
      </c>
      <c r="B2910" s="23" t="inlineStr">
        <is>
          <t>Part VI - Appendices</t>
        </is>
      </c>
      <c r="C2910" s="24" t="inlineStr">
        <is>
          <t>Statistical and generative-modeling methods</t>
        </is>
      </c>
      <c r="D2910" s="10" t="inlineStr">
        <is>
          <t>Lectures on Causality, Part 1</t>
        </is>
      </c>
      <c r="E2910" s="10" t="inlineStr">
        <is>
          <t>Jonas Peters (ETH Zürich</t>
        </is>
      </c>
      <c r="F2910" s="11" t="inlineStr">
        <is>
          <t>1:44:05</t>
        </is>
      </c>
      <c r="G2910" s="11" t="n">
        <v>1.73</v>
      </c>
      <c r="H2910" s="12" t="inlineStr">
        <is>
          <t>★</t>
        </is>
      </c>
      <c r="I2910" s="11" t="inlineStr">
        <is>
          <t>Not started</t>
        </is>
      </c>
      <c r="J2910" s="13" t="n"/>
      <c r="K2910" s="10" t="inlineStr"/>
      <c r="L2910" s="14" t="inlineStr">
        <is>
          <t>▶ watch</t>
        </is>
      </c>
      <c r="M2910" s="10" t="inlineStr"/>
      <c r="N2910" s="11" t="inlineStr"/>
      <c r="O2910" s="11" t="inlineStr">
        <is>
          <t>course lecture - no single paper</t>
        </is>
      </c>
      <c r="P2910" s="10" t="inlineStr"/>
    </row>
    <row r="2911">
      <c r="A2911" s="23" t="n">
        <v>2910</v>
      </c>
      <c r="B2911" s="23" t="inlineStr">
        <is>
          <t>Part VI - Appendices</t>
        </is>
      </c>
      <c r="C2911" s="24" t="inlineStr">
        <is>
          <t>Statistical and generative-modeling methods</t>
        </is>
      </c>
      <c r="D2911" s="10" t="inlineStr">
        <is>
          <t>Lectures on Causality, Part 2</t>
        </is>
      </c>
      <c r="E2911" s="10" t="inlineStr">
        <is>
          <t>Jonas Peters</t>
        </is>
      </c>
      <c r="F2911" s="11" t="inlineStr">
        <is>
          <t>1:53:51</t>
        </is>
      </c>
      <c r="G2911" s="11" t="n">
        <v>1.9</v>
      </c>
      <c r="H2911" s="12" t="inlineStr">
        <is>
          <t>★</t>
        </is>
      </c>
      <c r="I2911" s="11" t="inlineStr">
        <is>
          <t>Not started</t>
        </is>
      </c>
      <c r="J2911" s="13" t="n"/>
      <c r="K2911" s="10" t="inlineStr"/>
      <c r="L2911" s="14" t="inlineStr">
        <is>
          <t>▶ watch</t>
        </is>
      </c>
      <c r="M2911" s="10" t="inlineStr"/>
      <c r="N2911" s="11" t="inlineStr"/>
      <c r="O2911" s="11" t="inlineStr">
        <is>
          <t>course lecture - no single paper</t>
        </is>
      </c>
      <c r="P2911" s="10" t="inlineStr"/>
    </row>
    <row r="2912">
      <c r="A2912" s="23" t="n">
        <v>2911</v>
      </c>
      <c r="B2912" s="23" t="inlineStr">
        <is>
          <t>Part VI - Appendices</t>
        </is>
      </c>
      <c r="C2912" s="24" t="inlineStr">
        <is>
          <t>Statistical and generative-modeling methods</t>
        </is>
      </c>
      <c r="D2912" s="10" t="inlineStr">
        <is>
          <t>Lectures on Causality, Part 3</t>
        </is>
      </c>
      <c r="E2912" s="10" t="inlineStr">
        <is>
          <t>Jonas Peters</t>
        </is>
      </c>
      <c r="F2912" s="11" t="inlineStr">
        <is>
          <t>1:55:04</t>
        </is>
      </c>
      <c r="G2912" s="11" t="n">
        <v>1.92</v>
      </c>
      <c r="H2912" s="12" t="inlineStr">
        <is>
          <t>★</t>
        </is>
      </c>
      <c r="I2912" s="11" t="inlineStr">
        <is>
          <t>Not started</t>
        </is>
      </c>
      <c r="J2912" s="13" t="n"/>
      <c r="K2912" s="10" t="inlineStr"/>
      <c r="L2912" s="14" t="inlineStr">
        <is>
          <t>▶ watch</t>
        </is>
      </c>
      <c r="M2912" s="10" t="inlineStr"/>
      <c r="N2912" s="11" t="inlineStr"/>
      <c r="O2912" s="11" t="inlineStr">
        <is>
          <t>course lecture - no single paper</t>
        </is>
      </c>
      <c r="P2912" s="10" t="inlineStr"/>
    </row>
    <row r="2913">
      <c r="A2913" s="23" t="n">
        <v>2912</v>
      </c>
      <c r="B2913" s="23" t="inlineStr">
        <is>
          <t>Part VI - Appendices</t>
        </is>
      </c>
      <c r="C2913" s="24" t="inlineStr">
        <is>
          <t>Statistical and generative-modeling methods</t>
        </is>
      </c>
      <c r="D2913" s="10" t="inlineStr">
        <is>
          <t>Lectures on Causality, Part 4</t>
        </is>
      </c>
      <c r="E2913" s="10" t="inlineStr">
        <is>
          <t>Jonas Peters</t>
        </is>
      </c>
      <c r="F2913" s="11" t="inlineStr">
        <is>
          <t>1:31:37</t>
        </is>
      </c>
      <c r="G2913" s="11" t="n">
        <v>1.53</v>
      </c>
      <c r="H2913" s="12" t="inlineStr">
        <is>
          <t>★</t>
        </is>
      </c>
      <c r="I2913" s="11" t="inlineStr">
        <is>
          <t>Not started</t>
        </is>
      </c>
      <c r="J2913" s="13" t="n"/>
      <c r="K2913" s="10" t="inlineStr"/>
      <c r="L2913" s="14" t="inlineStr">
        <is>
          <t>▶ watch</t>
        </is>
      </c>
      <c r="M2913" s="10" t="inlineStr"/>
      <c r="N2913" s="11" t="inlineStr"/>
      <c r="O2913" s="11" t="inlineStr">
        <is>
          <t>course lecture - no single paper</t>
        </is>
      </c>
      <c r="P2913" s="10" t="inlineStr"/>
    </row>
    <row r="2914">
      <c r="A2914" s="23" t="n">
        <v>2913</v>
      </c>
      <c r="B2914" s="23" t="inlineStr">
        <is>
          <t>Part VI - Appendices</t>
        </is>
      </c>
      <c r="C2914" s="24" t="inlineStr">
        <is>
          <t>Statistical and generative-modeling methods</t>
        </is>
      </c>
      <c r="D2914" s="10" t="inlineStr">
        <is>
          <t>Learning developmental landscapes with optimal transport</t>
        </is>
      </c>
      <c r="E2914" s="10" t="inlineStr">
        <is>
          <t>Schiebinger; Chizat</t>
        </is>
      </c>
      <c r="F2914" s="11" t="inlineStr">
        <is>
          <t>1:34:26</t>
        </is>
      </c>
      <c r="G2914" s="11" t="n">
        <v>1.57</v>
      </c>
      <c r="H2914" s="12" t="inlineStr"/>
      <c r="I2914" s="11" t="inlineStr">
        <is>
          <t>Not started</t>
        </is>
      </c>
      <c r="J2914" s="13" t="n"/>
      <c r="K2914" s="10" t="inlineStr"/>
      <c r="L2914" s="14" t="inlineStr">
        <is>
          <t>▶ watch</t>
        </is>
      </c>
      <c r="M2914" s="10" t="inlineStr"/>
      <c r="N2914" s="11" t="inlineStr"/>
      <c r="O2914" s="11" t="inlineStr">
        <is>
          <t>course lecture - no single paper</t>
        </is>
      </c>
      <c r="P2914" s="10" t="inlineStr"/>
    </row>
    <row r="2915">
      <c r="A2915" s="23" t="n">
        <v>2914</v>
      </c>
      <c r="B2915" s="23" t="inlineStr">
        <is>
          <t>Part VI - Appendices</t>
        </is>
      </c>
      <c r="C2915" s="24" t="inlineStr">
        <is>
          <t>Statistical and generative-modeling methods</t>
        </is>
      </c>
      <c r="D2915" s="10" t="inlineStr">
        <is>
          <t>Maximizing submodular functions exponentially faster</t>
        </is>
      </c>
      <c r="E2915" s="10" t="inlineStr">
        <is>
          <t>Yaron Singer (Harvard); Breuer</t>
        </is>
      </c>
      <c r="F2915" s="11" t="inlineStr">
        <is>
          <t>1:46:57</t>
        </is>
      </c>
      <c r="G2915" s="11" t="n">
        <v>1.78</v>
      </c>
      <c r="H2915" s="12" t="inlineStr"/>
      <c r="I2915" s="11" t="inlineStr">
        <is>
          <t>Not started</t>
        </is>
      </c>
      <c r="J2915" s="13" t="n"/>
      <c r="K2915" s="10" t="inlineStr"/>
      <c r="L2915" s="14" t="inlineStr">
        <is>
          <t>▶ watch</t>
        </is>
      </c>
      <c r="M2915" s="10" t="inlineStr"/>
      <c r="N2915" s="11" t="inlineStr"/>
      <c r="O2915" s="11" t="inlineStr">
        <is>
          <t>course lecture - no single paper</t>
        </is>
      </c>
      <c r="P2915" s="10" t="inlineStr"/>
    </row>
    <row r="2916">
      <c r="A2916" s="23" t="n">
        <v>2915</v>
      </c>
      <c r="B2916" s="23" t="inlineStr">
        <is>
          <t>Part VI - Appendices</t>
        </is>
      </c>
      <c r="C2916" s="24" t="inlineStr">
        <is>
          <t>Statistical and generative-modeling methods</t>
        </is>
      </c>
      <c r="D2916" s="10" t="inlineStr">
        <is>
          <t>What might ML learn from probabilistic programming?</t>
        </is>
      </c>
      <c r="E2916" s="10" t="inlineStr">
        <is>
          <t>Tran &amp; Suter</t>
        </is>
      </c>
      <c r="F2916" s="11" t="inlineStr">
        <is>
          <t>57:01</t>
        </is>
      </c>
      <c r="G2916" s="11" t="n">
        <v>0.95</v>
      </c>
      <c r="H2916" s="12" t="inlineStr"/>
      <c r="I2916" s="11" t="inlineStr">
        <is>
          <t>Not started</t>
        </is>
      </c>
      <c r="J2916" s="13" t="n"/>
      <c r="K2916" s="10" t="inlineStr"/>
      <c r="L2916" s="14" t="inlineStr">
        <is>
          <t>▶ watch</t>
        </is>
      </c>
      <c r="M2916" s="10" t="inlineStr"/>
      <c r="N2916" s="11" t="inlineStr"/>
      <c r="O2916" s="11" t="inlineStr">
        <is>
          <t>course lecture - no single paper</t>
        </is>
      </c>
      <c r="P2916" s="10" t="inlineStr"/>
    </row>
    <row r="2917">
      <c r="A2917" s="23" t="n">
        <v>2916</v>
      </c>
      <c r="B2917" s="23" t="inlineStr">
        <is>
          <t>Part VI - Appendices</t>
        </is>
      </c>
      <c r="C2917" s="24" t="inlineStr">
        <is>
          <t>Statistical and generative-modeling methods</t>
        </is>
      </c>
      <c r="D2917" s="10" t="inlineStr">
        <is>
          <t>Structured factor models for interpretable signal in genomic data</t>
        </is>
      </c>
      <c r="E2917" s="10" t="inlineStr">
        <is>
          <t>Barbara Engelhardt</t>
        </is>
      </c>
      <c r="F2917" s="11" t="inlineStr">
        <is>
          <t>1:04:42</t>
        </is>
      </c>
      <c r="G2917" s="11" t="n">
        <v>1.08</v>
      </c>
      <c r="H2917" s="12" t="inlineStr"/>
      <c r="I2917" s="11" t="inlineStr">
        <is>
          <t>Not started</t>
        </is>
      </c>
      <c r="J2917" s="13" t="n"/>
      <c r="K2917" s="10" t="inlineStr"/>
      <c r="L2917" s="14" t="inlineStr">
        <is>
          <t>▶ watch</t>
        </is>
      </c>
      <c r="M2917" s="10" t="inlineStr"/>
      <c r="N2917" s="11" t="inlineStr"/>
      <c r="O2917" s="11" t="inlineStr">
        <is>
          <t>course lecture - no single paper</t>
        </is>
      </c>
      <c r="P2917" s="10" t="inlineStr"/>
    </row>
    <row r="2918">
      <c r="A2918" s="23" t="n">
        <v>2917</v>
      </c>
      <c r="B2918" s="23" t="inlineStr">
        <is>
          <t>Part VI - Appendices</t>
        </is>
      </c>
      <c r="C2918" s="24" t="inlineStr">
        <is>
          <t>Statistical and generative-modeling methods</t>
        </is>
      </c>
      <c r="D2918" s="10" t="inlineStr">
        <is>
          <t>Manifold learning of cellular state space</t>
        </is>
      </c>
      <c r="E2918" s="10" t="inlineStr">
        <is>
          <t>Krishnaswamy (Yale); van Dijk</t>
        </is>
      </c>
      <c r="F2918" s="11" t="inlineStr">
        <is>
          <t>1:48:15</t>
        </is>
      </c>
      <c r="G2918" s="11" t="n">
        <v>1.8</v>
      </c>
      <c r="H2918" s="12" t="inlineStr"/>
      <c r="I2918" s="11" t="inlineStr">
        <is>
          <t>Not started</t>
        </is>
      </c>
      <c r="J2918" s="13" t="n"/>
      <c r="K2918" s="10" t="inlineStr"/>
      <c r="L2918" s="14" t="inlineStr">
        <is>
          <t>▶ watch</t>
        </is>
      </c>
      <c r="M2918" s="10" t="inlineStr"/>
      <c r="N2918" s="11" t="inlineStr"/>
      <c r="O2918" s="11" t="inlineStr">
        <is>
          <t>course lecture - no single paper</t>
        </is>
      </c>
      <c r="P2918" s="10" t="inlineStr"/>
    </row>
    <row r="2919">
      <c r="A2919" s="23" t="n">
        <v>2918</v>
      </c>
      <c r="B2919" s="23" t="inlineStr">
        <is>
          <t>Part VI - Appendices</t>
        </is>
      </c>
      <c r="C2919" s="24" t="inlineStr">
        <is>
          <t>Statistical and generative-modeling methods</t>
        </is>
      </c>
      <c r="D2919" s="10" t="inlineStr">
        <is>
          <t>Random matrix theory for single-cell RNA; TDA</t>
        </is>
      </c>
      <c r="E2919" s="10" t="inlineStr">
        <is>
          <t>Andrew Blumberg</t>
        </is>
      </c>
      <c r="F2919" s="11" t="inlineStr">
        <is>
          <t>1:45:05</t>
        </is>
      </c>
      <c r="G2919" s="11" t="n">
        <v>1.75</v>
      </c>
      <c r="H2919" s="12" t="inlineStr"/>
      <c r="I2919" s="11" t="inlineStr">
        <is>
          <t>Not started</t>
        </is>
      </c>
      <c r="J2919" s="13" t="n"/>
      <c r="K2919" s="10" t="inlineStr"/>
      <c r="L2919" s="14" t="inlineStr">
        <is>
          <t>▶ watch</t>
        </is>
      </c>
      <c r="M2919" s="10" t="inlineStr"/>
      <c r="N2919" s="11" t="inlineStr"/>
      <c r="O2919" s="11" t="inlineStr">
        <is>
          <t>course lecture - no single paper</t>
        </is>
      </c>
      <c r="P2919" s="10" t="inlineStr"/>
    </row>
    <row r="2920">
      <c r="A2920" s="23" t="n">
        <v>2919</v>
      </c>
      <c r="B2920" s="23" t="inlineStr">
        <is>
          <t>Part VI - Appendices</t>
        </is>
      </c>
      <c r="C2920" s="24" t="inlineStr">
        <is>
          <t>Statistical and generative-modeling methods</t>
        </is>
      </c>
      <c r="D2920" s="10" t="inlineStr">
        <is>
          <t>Topology of regularized linear autoencoders</t>
        </is>
      </c>
      <c r="E2920" s="10" t="inlineStr">
        <is>
          <t>Kunin, Bloom, Goeva, Seed</t>
        </is>
      </c>
      <c r="F2920" s="11" t="inlineStr">
        <is>
          <t>1:45:27</t>
        </is>
      </c>
      <c r="G2920" s="11" t="n">
        <v>1.76</v>
      </c>
      <c r="H2920" s="12" t="inlineStr"/>
      <c r="I2920" s="11" t="inlineStr">
        <is>
          <t>Not started</t>
        </is>
      </c>
      <c r="J2920" s="13" t="n"/>
      <c r="K2920" s="10" t="inlineStr"/>
      <c r="L2920" s="14" t="inlineStr">
        <is>
          <t>▶ watch</t>
        </is>
      </c>
      <c r="M2920" s="10" t="inlineStr"/>
      <c r="N2920" s="11" t="inlineStr"/>
      <c r="O2920" s="11" t="inlineStr">
        <is>
          <t>course lecture - no single paper</t>
        </is>
      </c>
      <c r="P2920" s="10" t="inlineStr"/>
    </row>
    <row r="2921">
      <c r="A2921" s="23" t="n">
        <v>2920</v>
      </c>
      <c r="B2921" s="23" t="inlineStr">
        <is>
          <t>Part VI - Appendices</t>
        </is>
      </c>
      <c r="C2921" s="24" t="inlineStr">
        <is>
          <t>Statistical and generative-modeling methods</t>
        </is>
      </c>
      <c r="D2921" s="10" t="inlineStr">
        <is>
          <t>Regularized linear autoencoders, Morse homology, and backprop in the brain</t>
        </is>
      </c>
      <c r="E2921" s="10" t="inlineStr">
        <is>
          <t>Jon Bloom (@ Google Brain</t>
        </is>
      </c>
      <c r="F2921" s="11" t="inlineStr">
        <is>
          <t>58:45</t>
        </is>
      </c>
      <c r="G2921" s="11" t="n">
        <v>0.98</v>
      </c>
      <c r="H2921" s="12" t="inlineStr"/>
      <c r="I2921" s="11" t="inlineStr">
        <is>
          <t>Not started</t>
        </is>
      </c>
      <c r="J2921" s="13" t="n"/>
      <c r="K2921" s="10" t="inlineStr"/>
      <c r="L2921" s="14" t="inlineStr">
        <is>
          <t>▶ watch</t>
        </is>
      </c>
      <c r="M2921" s="10" t="inlineStr"/>
      <c r="N2921" s="11" t="inlineStr"/>
      <c r="O2921" s="11" t="inlineStr">
        <is>
          <t>course lecture - no single paper</t>
        </is>
      </c>
      <c r="P2921" s="10" t="inlineStr"/>
    </row>
    <row r="2922">
      <c r="A2922" s="23" t="n">
        <v>2921</v>
      </c>
      <c r="B2922" s="23" t="inlineStr">
        <is>
          <t>Part VI - Appendices</t>
        </is>
      </c>
      <c r="C2922" s="24" t="inlineStr">
        <is>
          <t>Statistical and generative-modeling methods</t>
        </is>
      </c>
      <c r="D2922" s="10" t="inlineStr">
        <is>
          <t>Chen; Bloemendal on random matrix theory</t>
        </is>
      </c>
      <c r="E2922" s="10" t="inlineStr">
        <is>
          <t>PCA and stratification in GWAS</t>
        </is>
      </c>
      <c r="F2922" s="11" t="inlineStr">
        <is>
          <t>1:46:04</t>
        </is>
      </c>
      <c r="G2922" s="11" t="n">
        <v>1.77</v>
      </c>
      <c r="H2922" s="12" t="inlineStr"/>
      <c r="I2922" s="11" t="inlineStr">
        <is>
          <t>Not started</t>
        </is>
      </c>
      <c r="J2922" s="13" t="n"/>
      <c r="K2922" s="10" t="inlineStr"/>
      <c r="L2922" s="14" t="inlineStr">
        <is>
          <t>▶ watch</t>
        </is>
      </c>
      <c r="M2922" s="10" t="inlineStr"/>
      <c r="N2922" s="11" t="inlineStr"/>
      <c r="O2922" s="11" t="inlineStr">
        <is>
          <t>course lecture - no single paper</t>
        </is>
      </c>
      <c r="P2922" s="10" t="inlineStr"/>
    </row>
    <row r="2923">
      <c r="A2923" s="23" t="n">
        <v>2922</v>
      </c>
      <c r="B2923" s="23" t="inlineStr">
        <is>
          <t>Part VI - Appendices</t>
        </is>
      </c>
      <c r="C2923" s="24" t="inlineStr">
        <is>
          <t>Statistical and generative-modeling methods</t>
        </is>
      </c>
      <c r="D2923" s="10" t="inlineStr">
        <is>
          <t>Interpreting and learning from black box models</t>
        </is>
      </c>
      <c r="E2923" s="10" t="inlineStr">
        <is>
          <t>Wesley Tansey (MSKCC</t>
        </is>
      </c>
      <c r="F2923" s="11" t="inlineStr">
        <is>
          <t>51:59</t>
        </is>
      </c>
      <c r="G2923" s="11" t="n">
        <v>0.87</v>
      </c>
      <c r="H2923" s="12" t="inlineStr"/>
      <c r="I2923" s="11" t="inlineStr">
        <is>
          <t>Not started</t>
        </is>
      </c>
      <c r="J2923" s="13" t="n"/>
      <c r="K2923" s="10" t="inlineStr"/>
      <c r="L2923" s="14" t="inlineStr">
        <is>
          <t>▶ watch</t>
        </is>
      </c>
      <c r="M2923" s="10" t="inlineStr"/>
      <c r="N2923" s="11" t="inlineStr"/>
      <c r="O2923" s="11" t="inlineStr">
        <is>
          <t>course lecture - no single paper</t>
        </is>
      </c>
      <c r="P2923" s="10" t="inlineStr"/>
    </row>
    <row r="2924">
      <c r="A2924" s="23" t="n">
        <v>2923</v>
      </c>
      <c r="B2924" s="23" t="inlineStr">
        <is>
          <t>Part VI - Appendices</t>
        </is>
      </c>
      <c r="C2924" s="24" t="inlineStr">
        <is>
          <t>Statistical and generative-modeling methods</t>
        </is>
      </c>
      <c r="D2924" s="10" t="inlineStr">
        <is>
          <t>Extracting causal signal from high-dimensional data</t>
        </is>
      </c>
      <c r="E2924" s="10" t="inlineStr">
        <is>
          <t>Alex D'Amour (Google Brain</t>
        </is>
      </c>
      <c r="F2924" s="11" t="inlineStr">
        <is>
          <t>55:10</t>
        </is>
      </c>
      <c r="G2924" s="11" t="n">
        <v>0.92</v>
      </c>
      <c r="H2924" s="12" t="inlineStr"/>
      <c r="I2924" s="11" t="inlineStr">
        <is>
          <t>Not started</t>
        </is>
      </c>
      <c r="J2924" s="13" t="n"/>
      <c r="K2924" s="10" t="inlineStr"/>
      <c r="L2924" s="14" t="inlineStr">
        <is>
          <t>▶ watch</t>
        </is>
      </c>
      <c r="M2924" s="10" t="inlineStr"/>
      <c r="N2924" s="11" t="inlineStr"/>
      <c r="O2924" s="11" t="inlineStr">
        <is>
          <t>course lecture - no single paper</t>
        </is>
      </c>
      <c r="P2924" s="10" t="inlineStr"/>
    </row>
    <row r="2925">
      <c r="A2925" s="23" t="n">
        <v>2924</v>
      </c>
      <c r="B2925" s="23" t="inlineStr">
        <is>
          <t>Part VI - Appendices</t>
        </is>
      </c>
      <c r="C2925" s="24" t="inlineStr">
        <is>
          <t>Statistical and generative-modeling methods</t>
        </is>
      </c>
      <c r="D2925" s="10" t="inlineStr">
        <is>
          <t>Noise2Self: blind denoising by self-supervision</t>
        </is>
      </c>
      <c r="E2925" s="10" t="inlineStr">
        <is>
          <t>Josh Batson (CZ Biohub</t>
        </is>
      </c>
      <c r="F2925" s="11" t="inlineStr">
        <is>
          <t>54:29</t>
        </is>
      </c>
      <c r="G2925" s="11" t="n">
        <v>0.91</v>
      </c>
      <c r="H2925" s="12" t="inlineStr">
        <is>
          <t>★</t>
        </is>
      </c>
      <c r="I2925" s="11" t="inlineStr">
        <is>
          <t>Not started</t>
        </is>
      </c>
      <c r="J2925" s="13" t="n"/>
      <c r="K2925" s="10" t="inlineStr"/>
      <c r="L2925" s="14" t="inlineStr">
        <is>
          <t>▶ watch</t>
        </is>
      </c>
      <c r="M2925" s="10" t="inlineStr"/>
      <c r="N2925" s="11" t="inlineStr"/>
      <c r="O2925" s="11" t="inlineStr">
        <is>
          <t>course lecture - no single paper</t>
        </is>
      </c>
      <c r="P2925" s="10" t="inlineStr"/>
    </row>
    <row r="2926">
      <c r="A2926" s="23" t="n">
        <v>2925</v>
      </c>
      <c r="B2926" s="23" t="inlineStr">
        <is>
          <t>Part VI - Appendices</t>
        </is>
      </c>
      <c r="C2926" s="24" t="inlineStr">
        <is>
          <t>Statistical and generative-modeling methods</t>
        </is>
      </c>
      <c r="D2926" s="10" t="inlineStr">
        <is>
          <t>Gil Strang (MIT); primers Bloom and Cho</t>
        </is>
      </c>
      <c r="E2926" s="10" t="inlineStr">
        <is>
          <t>Key Ideas in Linear Algebra</t>
        </is>
      </c>
      <c r="F2926" s="11" t="inlineStr">
        <is>
          <t>1:45:51</t>
        </is>
      </c>
      <c r="G2926" s="11" t="n">
        <v>1.76</v>
      </c>
      <c r="H2926" s="12" t="inlineStr">
        <is>
          <t>★</t>
        </is>
      </c>
      <c r="I2926" s="11" t="inlineStr">
        <is>
          <t>Not started</t>
        </is>
      </c>
      <c r="J2926" s="13" t="n"/>
      <c r="K2926" s="10" t="inlineStr"/>
      <c r="L2926" s="14" t="inlineStr">
        <is>
          <t>▶ watch</t>
        </is>
      </c>
      <c r="M2926" s="10" t="inlineStr"/>
      <c r="N2926" s="11" t="inlineStr"/>
      <c r="O2926" s="11" t="inlineStr">
        <is>
          <t>course lecture - no single paper</t>
        </is>
      </c>
      <c r="P2926" s="10" t="inlineStr"/>
    </row>
    <row r="2927">
      <c r="A2927" s="23" t="n">
        <v>2926</v>
      </c>
      <c r="B2927" s="23" t="inlineStr">
        <is>
          <t>Part VI - Appendices</t>
        </is>
      </c>
      <c r="C2927" s="24" t="inlineStr">
        <is>
          <t>Statistical and generative-modeling methods</t>
        </is>
      </c>
      <c r="D2927" s="10" t="inlineStr">
        <is>
          <t>Andrew Gordon Wilson (NYU); Izmailov &amp; Kirichenko</t>
        </is>
      </c>
      <c r="E2927" s="10" t="inlineStr">
        <is>
          <t>Bayesian deep learning</t>
        </is>
      </c>
      <c r="F2927" s="11" t="inlineStr">
        <is>
          <t>1:39:07</t>
        </is>
      </c>
      <c r="G2927" s="11" t="n">
        <v>1.65</v>
      </c>
      <c r="H2927" s="12" t="inlineStr"/>
      <c r="I2927" s="11" t="inlineStr">
        <is>
          <t>Not started</t>
        </is>
      </c>
      <c r="J2927" s="13" t="n"/>
      <c r="K2927" s="10" t="inlineStr"/>
      <c r="L2927" s="14" t="inlineStr">
        <is>
          <t>▶ watch</t>
        </is>
      </c>
      <c r="M2927" s="10" t="inlineStr"/>
      <c r="N2927" s="11" t="inlineStr"/>
      <c r="O2927" s="11" t="inlineStr">
        <is>
          <t>course lecture - no single paper</t>
        </is>
      </c>
      <c r="P2927" s="10" t="inlineStr"/>
    </row>
    <row r="2928">
      <c r="A2928" s="23" t="n">
        <v>2927</v>
      </c>
      <c r="B2928" s="23" t="inlineStr">
        <is>
          <t>Part VI - Appendices</t>
        </is>
      </c>
      <c r="C2928" s="24" t="inlineStr">
        <is>
          <t>Statistical and generative-modeling methods</t>
        </is>
      </c>
      <c r="D2928" s="10" t="inlineStr">
        <is>
          <t>It's time to talk about irregularly-sampled time series</t>
        </is>
      </c>
      <c r="E2928" s="10" t="inlineStr">
        <is>
          <t>David Duvenaud (Toronto</t>
        </is>
      </c>
      <c r="F2928" s="11" t="inlineStr">
        <is>
          <t>54:43</t>
        </is>
      </c>
      <c r="G2928" s="11" t="n">
        <v>0.91</v>
      </c>
      <c r="H2928" s="12" t="inlineStr"/>
      <c r="I2928" s="11" t="inlineStr">
        <is>
          <t>Not started</t>
        </is>
      </c>
      <c r="J2928" s="13" t="n"/>
      <c r="K2928" s="10" t="inlineStr"/>
      <c r="L2928" s="14" t="inlineStr">
        <is>
          <t>▶ watch</t>
        </is>
      </c>
      <c r="M2928" s="10" t="inlineStr"/>
      <c r="N2928" s="11" t="inlineStr"/>
      <c r="O2928" s="11" t="inlineStr">
        <is>
          <t>course lecture - no single paper</t>
        </is>
      </c>
      <c r="P2928" s="10" t="inlineStr"/>
    </row>
    <row r="2929">
      <c r="A2929" s="23" t="n">
        <v>2928</v>
      </c>
      <c r="B2929" s="23" t="inlineStr">
        <is>
          <t>Part VI - Appendices</t>
        </is>
      </c>
      <c r="C2929" s="24" t="inlineStr">
        <is>
          <t>Statistical and generative-modeling methods</t>
        </is>
      </c>
      <c r="D2929" s="10" t="inlineStr">
        <is>
          <t>Lorin Crawford (Brown/Microsoft); Winn</t>
        </is>
      </c>
      <c r="E2929" s="10" t="inlineStr">
        <is>
          <t>Feature analysis in 3D shapes</t>
        </is>
      </c>
      <c r="F2929" s="11" t="inlineStr">
        <is>
          <t>1:39:46</t>
        </is>
      </c>
      <c r="G2929" s="11" t="n">
        <v>1.66</v>
      </c>
      <c r="H2929" s="12" t="inlineStr"/>
      <c r="I2929" s="11" t="inlineStr">
        <is>
          <t>Not started</t>
        </is>
      </c>
      <c r="J2929" s="13" t="n"/>
      <c r="K2929" s="10" t="inlineStr"/>
      <c r="L2929" s="14" t="inlineStr">
        <is>
          <t>▶ watch</t>
        </is>
      </c>
      <c r="M2929" s="10" t="inlineStr"/>
      <c r="N2929" s="11" t="inlineStr"/>
      <c r="O2929" s="11" t="inlineStr">
        <is>
          <t>course lecture - no single paper</t>
        </is>
      </c>
      <c r="P2929" s="10" t="inlineStr"/>
    </row>
    <row r="2930">
      <c r="A2930" s="23" t="n">
        <v>2929</v>
      </c>
      <c r="B2930" s="23" t="inlineStr">
        <is>
          <t>Part VI - Appendices</t>
        </is>
      </c>
      <c r="C2930" s="24" t="inlineStr">
        <is>
          <t>Statistical and generative-modeling methods</t>
        </is>
      </c>
      <c r="D2930" s="10" t="inlineStr">
        <is>
          <t>Bagged posteriors for robust inference</t>
        </is>
      </c>
      <c r="E2930" s="10" t="inlineStr">
        <is>
          <t>Jonathan Huggins; Stephenson</t>
        </is>
      </c>
      <c r="F2930" s="11" t="inlineStr">
        <is>
          <t>1:33:38</t>
        </is>
      </c>
      <c r="G2930" s="11" t="n">
        <v>1.56</v>
      </c>
      <c r="H2930" s="12" t="inlineStr"/>
      <c r="I2930" s="11" t="inlineStr">
        <is>
          <t>Not started</t>
        </is>
      </c>
      <c r="J2930" s="13" t="n"/>
      <c r="K2930" s="10" t="inlineStr"/>
      <c r="L2930" s="14" t="inlineStr">
        <is>
          <t>▶ watch</t>
        </is>
      </c>
      <c r="M2930" s="10" t="inlineStr"/>
      <c r="N2930" s="11" t="inlineStr"/>
      <c r="O2930" s="11" t="inlineStr">
        <is>
          <t>course lecture - no single paper</t>
        </is>
      </c>
      <c r="P2930" s="10" t="inlineStr"/>
    </row>
    <row r="2931">
      <c r="A2931" s="23" t="n">
        <v>2930</v>
      </c>
      <c r="B2931" s="23" t="inlineStr">
        <is>
          <t>Part VI - Appendices</t>
        </is>
      </c>
      <c r="C2931" s="24" t="inlineStr">
        <is>
          <t>Statistical and generative-modeling methods</t>
        </is>
      </c>
      <c r="D2931" s="10" t="inlineStr">
        <is>
          <t>Smoothed nested testing on directed acyclic graphs</t>
        </is>
      </c>
      <c r="E2931" s="10" t="inlineStr">
        <is>
          <t>Jackson Loper; Bloemendal</t>
        </is>
      </c>
      <c r="F2931" s="11" t="inlineStr">
        <is>
          <t>1:40:45</t>
        </is>
      </c>
      <c r="G2931" s="11" t="n">
        <v>1.68</v>
      </c>
      <c r="H2931" s="12" t="inlineStr"/>
      <c r="I2931" s="11" t="inlineStr">
        <is>
          <t>Not started</t>
        </is>
      </c>
      <c r="J2931" s="13" t="n"/>
      <c r="K2931" s="10" t="inlineStr"/>
      <c r="L2931" s="14" t="inlineStr">
        <is>
          <t>▶ watch</t>
        </is>
      </c>
      <c r="M2931" s="10" t="inlineStr"/>
      <c r="N2931" s="11" t="inlineStr"/>
      <c r="O2931" s="11" t="inlineStr">
        <is>
          <t>course lecture - no single paper</t>
        </is>
      </c>
      <c r="P2931" s="10" t="inlineStr"/>
    </row>
    <row r="2932">
      <c r="A2932" s="23" t="n">
        <v>2931</v>
      </c>
      <c r="B2932" s="23" t="inlineStr">
        <is>
          <t>Part VI - Appendices</t>
        </is>
      </c>
      <c r="C2932" s="24" t="inlineStr">
        <is>
          <t>Statistical and generative-modeling methods</t>
        </is>
      </c>
      <c r="D2932" s="10" t="inlineStr">
        <is>
          <t>Tamara Broderick (MIT); Agrawal on GPs</t>
        </is>
      </c>
      <c r="E2932" s="10" t="inlineStr">
        <is>
          <t>The kernel interaction trick</t>
        </is>
      </c>
      <c r="F2932" s="11" t="inlineStr">
        <is>
          <t>1:36:18</t>
        </is>
      </c>
      <c r="G2932" s="11" t="n">
        <v>1.6</v>
      </c>
      <c r="H2932" s="12" t="inlineStr"/>
      <c r="I2932" s="11" t="inlineStr">
        <is>
          <t>Not started</t>
        </is>
      </c>
      <c r="J2932" s="13" t="n"/>
      <c r="K2932" s="10" t="inlineStr"/>
      <c r="L2932" s="14" t="inlineStr">
        <is>
          <t>▶ watch</t>
        </is>
      </c>
      <c r="M2932" s="10" t="inlineStr"/>
      <c r="N2932" s="11" t="inlineStr"/>
      <c r="O2932" s="11" t="inlineStr">
        <is>
          <t>course lecture - no single paper</t>
        </is>
      </c>
      <c r="P2932" s="10" t="inlineStr"/>
    </row>
    <row r="2933">
      <c r="A2933" s="23" t="n">
        <v>2932</v>
      </c>
      <c r="B2933" s="23" t="inlineStr">
        <is>
          <t>Part VI - Appendices</t>
        </is>
      </c>
      <c r="C2933" s="24" t="inlineStr">
        <is>
          <t>Statistical and generative-modeling methods</t>
        </is>
      </c>
      <c r="D2933" s="10" t="inlineStr">
        <is>
          <t>Deep probabilistic programming with Pyro</t>
        </is>
      </c>
      <c r="E2933" s="10" t="inlineStr">
        <is>
          <t>Obermeyer; Bingham</t>
        </is>
      </c>
      <c r="F2933" s="11" t="inlineStr">
        <is>
          <t>1:50:53</t>
        </is>
      </c>
      <c r="G2933" s="11" t="n">
        <v>1.85</v>
      </c>
      <c r="H2933" s="12" t="inlineStr"/>
      <c r="I2933" s="11" t="inlineStr">
        <is>
          <t>Not started</t>
        </is>
      </c>
      <c r="J2933" s="13" t="n"/>
      <c r="K2933" s="10" t="inlineStr"/>
      <c r="L2933" s="14" t="inlineStr">
        <is>
          <t>▶ watch</t>
        </is>
      </c>
      <c r="M2933" s="10" t="inlineStr"/>
      <c r="N2933" s="11" t="inlineStr"/>
      <c r="O2933" s="11" t="inlineStr">
        <is>
          <t>course lecture - no single paper</t>
        </is>
      </c>
      <c r="P2933" s="10" t="inlineStr"/>
    </row>
    <row r="2934">
      <c r="A2934" s="23" t="n">
        <v>2933</v>
      </c>
      <c r="B2934" s="23" t="inlineStr">
        <is>
          <t>Part VI - Appendices</t>
        </is>
      </c>
      <c r="C2934" s="24" t="inlineStr">
        <is>
          <t>Statistical and generative-modeling methods</t>
        </is>
      </c>
      <c r="D2934" s="10" t="inlineStr">
        <is>
          <t>Low-dimensional embeddings of words and documents (UMAP</t>
        </is>
      </c>
      <c r="E2934" s="10" t="inlineStr">
        <is>
          <t>Leland McInnes; Cho</t>
        </is>
      </c>
      <c r="F2934" s="11" t="inlineStr">
        <is>
          <t>1:51:42</t>
        </is>
      </c>
      <c r="G2934" s="11" t="n">
        <v>1.86</v>
      </c>
      <c r="H2934" s="12" t="inlineStr"/>
      <c r="I2934" s="11" t="inlineStr">
        <is>
          <t>Not started</t>
        </is>
      </c>
      <c r="J2934" s="13" t="n"/>
      <c r="K2934" s="10" t="inlineStr"/>
      <c r="L2934" s="14" t="inlineStr">
        <is>
          <t>▶ watch</t>
        </is>
      </c>
      <c r="M2934" s="10" t="inlineStr"/>
      <c r="N2934" s="11" t="inlineStr"/>
      <c r="O2934" s="11" t="inlineStr">
        <is>
          <t>course lecture - no single paper</t>
        </is>
      </c>
      <c r="P2934" s="10" t="inlineStr"/>
    </row>
    <row r="2935">
      <c r="A2935" s="23" t="n">
        <v>2934</v>
      </c>
      <c r="B2935" s="23" t="inlineStr">
        <is>
          <t>Part VI - Appendices</t>
        </is>
      </c>
      <c r="C2935" s="24" t="inlineStr">
        <is>
          <t>Statistical and generative-modeling methods</t>
        </is>
      </c>
      <c r="D2935" s="10" t="inlineStr">
        <is>
          <t>Probabilistic inference and learning with Stein's method</t>
        </is>
      </c>
      <c r="E2935" s="10" t="inlineStr">
        <is>
          <t>Lester Mackey (Microsoft); Riabiz</t>
        </is>
      </c>
      <c r="F2935" s="11" t="inlineStr">
        <is>
          <t>1:38:17</t>
        </is>
      </c>
      <c r="G2935" s="11" t="n">
        <v>1.64</v>
      </c>
      <c r="H2935" s="12" t="inlineStr">
        <is>
          <t>★</t>
        </is>
      </c>
      <c r="I2935" s="11" t="inlineStr">
        <is>
          <t>Not started</t>
        </is>
      </c>
      <c r="J2935" s="13" t="n"/>
      <c r="K2935" s="10" t="inlineStr"/>
      <c r="L2935" s="14" t="inlineStr">
        <is>
          <t>▶ watch</t>
        </is>
      </c>
      <c r="M2935" s="10" t="inlineStr"/>
      <c r="N2935" s="11" t="inlineStr"/>
      <c r="O2935" s="11" t="inlineStr">
        <is>
          <t>course lecture - no single paper</t>
        </is>
      </c>
      <c r="P2935" s="10" t="inlineStr"/>
    </row>
    <row r="2936">
      <c r="A2936" s="23" t="n">
        <v>2935</v>
      </c>
      <c r="B2936" s="23" t="inlineStr">
        <is>
          <t>Part VI - Appendices</t>
        </is>
      </c>
      <c r="C2936" s="24" t="inlineStr">
        <is>
          <t>Statistical and generative-modeling methods</t>
        </is>
      </c>
      <c r="D2936" s="10" t="inlineStr">
        <is>
          <t>A new approach for high-dimensional hierarchical modeling</t>
        </is>
      </c>
      <c r="E2936" s="10" t="inlineStr">
        <is>
          <t>Brian Trippe</t>
        </is>
      </c>
      <c r="F2936" s="11" t="inlineStr">
        <is>
          <t>53:03</t>
        </is>
      </c>
      <c r="G2936" s="11" t="n">
        <v>0.88</v>
      </c>
      <c r="H2936" s="12" t="inlineStr"/>
      <c r="I2936" s="11" t="inlineStr">
        <is>
          <t>Not started</t>
        </is>
      </c>
      <c r="J2936" s="13" t="n"/>
      <c r="K2936" s="10" t="inlineStr"/>
      <c r="L2936" s="14" t="inlineStr">
        <is>
          <t>▶ watch</t>
        </is>
      </c>
      <c r="M2936" s="10" t="inlineStr"/>
      <c r="N2936" s="11" t="inlineStr"/>
      <c r="O2936" s="11" t="inlineStr">
        <is>
          <t>course lecture - no single paper</t>
        </is>
      </c>
      <c r="P2936" s="10" t="inlineStr"/>
    </row>
    <row r="2937">
      <c r="A2937" s="23" t="n">
        <v>2936</v>
      </c>
      <c r="B2937" s="23" t="inlineStr">
        <is>
          <t>Part VI - Appendices</t>
        </is>
      </c>
      <c r="C2937" s="24" t="inlineStr">
        <is>
          <t>Statistical and generative-modeling methods</t>
        </is>
      </c>
      <c r="D2937" s="10" t="inlineStr">
        <is>
          <t>Moscot: optimal transport in single-cell genomics</t>
        </is>
      </c>
      <c r="E2937" s="10" t="inlineStr">
        <is>
          <t>Lange; primer Marco Cuturi</t>
        </is>
      </c>
      <c r="F2937" s="11" t="inlineStr">
        <is>
          <t>1:52:42</t>
        </is>
      </c>
      <c r="G2937" s="11" t="n">
        <v>1.88</v>
      </c>
      <c r="H2937" s="12" t="inlineStr"/>
      <c r="I2937" s="11" t="inlineStr">
        <is>
          <t>Not started</t>
        </is>
      </c>
      <c r="J2937" s="13" t="n"/>
      <c r="K2937" s="10" t="inlineStr"/>
      <c r="L2937" s="14" t="inlineStr">
        <is>
          <t>▶ watch</t>
        </is>
      </c>
      <c r="M2937" s="10" t="inlineStr"/>
      <c r="N2937" s="11" t="inlineStr"/>
      <c r="O2937" s="11" t="inlineStr">
        <is>
          <t>course lecture - no single paper</t>
        </is>
      </c>
      <c r="P2937" s="10" t="inlineStr"/>
    </row>
    <row r="2938">
      <c r="A2938" s="23" t="n">
        <v>2937</v>
      </c>
      <c r="B2938" s="23" t="inlineStr">
        <is>
          <t>Part VI - Appendices</t>
        </is>
      </c>
      <c r="C2938" s="24" t="inlineStr">
        <is>
          <t>Statistical and generative-modeling methods</t>
        </is>
      </c>
      <c r="D2938" s="10" t="inlineStr">
        <is>
          <t>Neural Optimal Transport for Cell Perturbation Responses</t>
        </is>
      </c>
      <c r="E2938" s="10" t="inlineStr">
        <is>
          <t>Charlotte Bunne (ETH); Ursu</t>
        </is>
      </c>
      <c r="F2938" s="11" t="inlineStr">
        <is>
          <t>1:50:40</t>
        </is>
      </c>
      <c r="G2938" s="11" t="n">
        <v>1.84</v>
      </c>
      <c r="H2938" s="12" t="inlineStr"/>
      <c r="I2938" s="11" t="inlineStr">
        <is>
          <t>Not started</t>
        </is>
      </c>
      <c r="J2938" s="13" t="n"/>
      <c r="K2938" s="10" t="inlineStr"/>
      <c r="L2938" s="14" t="inlineStr">
        <is>
          <t>▶ watch</t>
        </is>
      </c>
      <c r="M2938" s="10" t="inlineStr"/>
      <c r="N2938" s="11" t="inlineStr"/>
      <c r="O2938" s="11" t="inlineStr">
        <is>
          <t>course lecture - no single paper</t>
        </is>
      </c>
      <c r="P2938" s="10" t="inlineStr"/>
    </row>
    <row r="2939">
      <c r="A2939" s="23" t="n">
        <v>2938</v>
      </c>
      <c r="B2939" s="23" t="inlineStr">
        <is>
          <t>Part VI - Appendices</t>
        </is>
      </c>
      <c r="C2939" s="24" t="inlineStr">
        <is>
          <t>Statistical and generative-modeling methods</t>
        </is>
      </c>
      <c r="D2939" s="10" t="inlineStr">
        <is>
          <t>Lähdesmäki (Aalto); Dumitrescu &amp; Korpela</t>
        </is>
      </c>
      <c r="E2939" s="10" t="inlineStr">
        <is>
          <t>Structured Variational Autoencoders</t>
        </is>
      </c>
      <c r="F2939" s="11" t="inlineStr">
        <is>
          <t>1:44:19</t>
        </is>
      </c>
      <c r="G2939" s="11" t="n">
        <v>1.74</v>
      </c>
      <c r="H2939" s="12" t="inlineStr"/>
      <c r="I2939" s="11" t="inlineStr">
        <is>
          <t>Not started</t>
        </is>
      </c>
      <c r="J2939" s="13" t="n"/>
      <c r="K2939" s="10" t="inlineStr"/>
      <c r="L2939" s="14" t="inlineStr">
        <is>
          <t>▶ watch</t>
        </is>
      </c>
      <c r="M2939" s="10" t="inlineStr"/>
      <c r="N2939" s="11" t="inlineStr"/>
      <c r="O2939" s="11" t="inlineStr">
        <is>
          <t>course lecture - no single paper</t>
        </is>
      </c>
      <c r="P2939" s="10" t="inlineStr"/>
    </row>
    <row r="2940">
      <c r="A2940" s="23" t="n">
        <v>2939</v>
      </c>
      <c r="B2940" s="23" t="inlineStr">
        <is>
          <t>Part VI - Appendices</t>
        </is>
      </c>
      <c r="C2940" s="24" t="inlineStr">
        <is>
          <t>A.5 MLSB Workshop - 10 talks (complete</t>
        </is>
      </c>
      <c r="D2940" s="10" t="inlineStr">
        <is>
          <t>Gina El Nesr (Stanford</t>
        </is>
      </c>
      <c r="E2940" s="10" t="inlineStr">
        <is>
          <t>Opening Remarks</t>
        </is>
      </c>
      <c r="F2940" s="11" t="inlineStr">
        <is>
          <t>4:21</t>
        </is>
      </c>
      <c r="G2940" s="11" t="n">
        <v>0.07000000000000001</v>
      </c>
      <c r="H2940" s="12" t="inlineStr"/>
      <c r="I2940" s="11" t="inlineStr">
        <is>
          <t>Not started</t>
        </is>
      </c>
      <c r="J2940" s="13" t="n"/>
      <c r="K2940" s="10" t="inlineStr"/>
      <c r="L2940" s="14" t="inlineStr">
        <is>
          <t>▶ watch</t>
        </is>
      </c>
      <c r="M2940" s="10" t="inlineStr"/>
      <c r="N2940" s="11" t="inlineStr"/>
      <c r="O2940" s="11" t="inlineStr">
        <is>
          <t>course lecture - no single paper</t>
        </is>
      </c>
      <c r="P2940" s="10" t="inlineStr"/>
    </row>
    <row r="2941">
      <c r="A2941" s="23" t="n">
        <v>2940</v>
      </c>
      <c r="B2941" s="23" t="inlineStr">
        <is>
          <t>Part VI - Appendices</t>
        </is>
      </c>
      <c r="C2941" s="24" t="inlineStr">
        <is>
          <t>A.5 MLSB Workshop - 10 talks (complete</t>
        </is>
      </c>
      <c r="D2941" s="10" t="inlineStr">
        <is>
          <t>Automating Scientific Discovery</t>
        </is>
      </c>
      <c r="E2941" s="10" t="inlineStr">
        <is>
          <t>Michael Pieler (OpenBioML</t>
        </is>
      </c>
      <c r="F2941" s="11" t="inlineStr">
        <is>
          <t>29:12</t>
        </is>
      </c>
      <c r="G2941" s="11" t="n">
        <v>0.49</v>
      </c>
      <c r="H2941" s="12" t="inlineStr"/>
      <c r="I2941" s="11" t="inlineStr">
        <is>
          <t>Not started</t>
        </is>
      </c>
      <c r="J2941" s="13" t="n"/>
      <c r="K2941" s="10" t="inlineStr"/>
      <c r="L2941" s="14" t="inlineStr">
        <is>
          <t>▶ watch</t>
        </is>
      </c>
      <c r="M2941" s="10" t="inlineStr"/>
      <c r="N2941" s="11" t="inlineStr"/>
      <c r="O2941" s="11" t="inlineStr">
        <is>
          <t>course lecture - no single paper</t>
        </is>
      </c>
      <c r="P2941" s="10" t="inlineStr"/>
    </row>
    <row r="2942">
      <c r="A2942" s="23" t="n">
        <v>2941</v>
      </c>
      <c r="B2942" s="23" t="inlineStr">
        <is>
          <t>Part VI - Appendices</t>
        </is>
      </c>
      <c r="C2942" s="24" t="inlineStr">
        <is>
          <t>A.5 MLSB Workshop - 10 talks (complete</t>
        </is>
      </c>
      <c r="D2942" s="10" t="inlineStr">
        <is>
          <t>Exploring Novel Molecular Space</t>
        </is>
      </c>
      <c r="E2942" s="10" t="inlineStr">
        <is>
          <t>Bruno Correia (EPFL</t>
        </is>
      </c>
      <c r="F2942" s="11" t="inlineStr">
        <is>
          <t>31:00</t>
        </is>
      </c>
      <c r="G2942" s="11" t="n">
        <v>0.52</v>
      </c>
      <c r="H2942" s="12" t="inlineStr"/>
      <c r="I2942" s="11" t="inlineStr">
        <is>
          <t>Not started</t>
        </is>
      </c>
      <c r="J2942" s="13" t="n"/>
      <c r="K2942" s="10" t="inlineStr"/>
      <c r="L2942" s="14" t="inlineStr">
        <is>
          <t>▶ watch</t>
        </is>
      </c>
      <c r="M2942" s="10" t="inlineStr"/>
      <c r="N2942" s="11" t="inlineStr"/>
      <c r="O2942" s="11" t="inlineStr">
        <is>
          <t>course lecture - no single paper</t>
        </is>
      </c>
      <c r="P2942" s="10" t="inlineStr"/>
    </row>
    <row r="2943">
      <c r="A2943" s="23" t="n">
        <v>2942</v>
      </c>
      <c r="B2943" s="23" t="inlineStr">
        <is>
          <t>Part VI - Appendices</t>
        </is>
      </c>
      <c r="C2943" s="24" t="inlineStr">
        <is>
          <t>A.5 MLSB Workshop - 10 talks (complete</t>
        </is>
      </c>
      <c r="D2943" s="10" t="inlineStr">
        <is>
          <t>Ensemble-conditioned protein sequence design with Caliby</t>
        </is>
      </c>
      <c r="E2943" s="10" t="inlineStr">
        <is>
          <t>Richard Shuai (Stanford</t>
        </is>
      </c>
      <c r="F2943" s="11" t="inlineStr">
        <is>
          <t>13:10</t>
        </is>
      </c>
      <c r="G2943" s="11" t="n">
        <v>0.22</v>
      </c>
      <c r="H2943" s="12" t="inlineStr"/>
      <c r="I2943" s="11" t="inlineStr">
        <is>
          <t>Not started</t>
        </is>
      </c>
      <c r="J2943" s="13" t="n"/>
      <c r="K2943" s="10" t="inlineStr"/>
      <c r="L2943" s="14" t="inlineStr">
        <is>
          <t>▶ watch</t>
        </is>
      </c>
      <c r="M2943" s="10" t="inlineStr"/>
      <c r="N2943" s="11" t="inlineStr"/>
      <c r="O2943" s="11" t="inlineStr">
        <is>
          <t>course lecture - no single paper</t>
        </is>
      </c>
      <c r="P2943" s="10" t="inlineStr"/>
    </row>
    <row r="2944">
      <c r="A2944" s="23" t="n">
        <v>2943</v>
      </c>
      <c r="B2944" s="23" t="inlineStr">
        <is>
          <t>Part VI - Appendices</t>
        </is>
      </c>
      <c r="C2944" s="24" t="inlineStr">
        <is>
          <t>A.5 MLSB Workshop - 10 talks (complete</t>
        </is>
      </c>
      <c r="D2944" s="10" t="inlineStr">
        <is>
          <t>ML for Protein Structure Determination</t>
        </is>
      </c>
      <c r="E2944" s="10" t="inlineStr">
        <is>
          <t>Ellen Zhong (Princeton</t>
        </is>
      </c>
      <c r="F2944" s="11" t="inlineStr">
        <is>
          <t>28:53</t>
        </is>
      </c>
      <c r="G2944" s="11" t="n">
        <v>0.48</v>
      </c>
      <c r="H2944" s="12" t="inlineStr">
        <is>
          <t>★</t>
        </is>
      </c>
      <c r="I2944" s="11" t="inlineStr">
        <is>
          <t>Not started</t>
        </is>
      </c>
      <c r="J2944" s="13" t="n"/>
      <c r="K2944" s="10" t="inlineStr"/>
      <c r="L2944" s="14" t="inlineStr">
        <is>
          <t>▶ watch</t>
        </is>
      </c>
      <c r="M2944" s="10" t="inlineStr"/>
      <c r="N2944" s="11" t="inlineStr"/>
      <c r="O2944" s="11" t="inlineStr">
        <is>
          <t>course lecture - no single paper</t>
        </is>
      </c>
      <c r="P2944" s="10" t="inlineStr"/>
    </row>
    <row r="2945">
      <c r="A2945" s="23" t="n">
        <v>2944</v>
      </c>
      <c r="B2945" s="23" t="inlineStr">
        <is>
          <t>Part VI - Appendices</t>
        </is>
      </c>
      <c r="C2945" s="24" t="inlineStr">
        <is>
          <t>A.5 MLSB Workshop - 10 talks (complete</t>
        </is>
      </c>
      <c r="D2945" s="10" t="inlineStr">
        <is>
          <t>Biomolecular Structure Predictions and Alternative Conformations</t>
        </is>
      </c>
      <c r="E2945" s="10" t="inlineStr">
        <is>
          <t>Karson Chrispens (UCSF</t>
        </is>
      </c>
      <c r="F2945" s="11" t="inlineStr">
        <is>
          <t>13:30</t>
        </is>
      </c>
      <c r="G2945" s="11" t="n">
        <v>0.23</v>
      </c>
      <c r="H2945" s="12" t="inlineStr"/>
      <c r="I2945" s="11" t="inlineStr">
        <is>
          <t>Not started</t>
        </is>
      </c>
      <c r="J2945" s="13" t="n"/>
      <c r="K2945" s="10" t="inlineStr"/>
      <c r="L2945" s="14" t="inlineStr">
        <is>
          <t>▶ watch</t>
        </is>
      </c>
      <c r="M2945" s="10" t="inlineStr"/>
      <c r="N2945" s="11" t="inlineStr"/>
      <c r="O2945" s="11" t="inlineStr">
        <is>
          <t>course lecture - no single paper</t>
        </is>
      </c>
      <c r="P2945" s="10" t="inlineStr"/>
    </row>
    <row r="2946">
      <c r="A2946" s="23" t="n">
        <v>2945</v>
      </c>
      <c r="B2946" s="23" t="inlineStr">
        <is>
          <t>Part VI - Appendices</t>
        </is>
      </c>
      <c r="C2946" s="24" t="inlineStr">
        <is>
          <t>MLCB 2024 - the protein and genomics core</t>
        </is>
      </c>
      <c r="D2946" s="10" t="inlineStr">
        <is>
          <t>Sara Mostafavi (UW</t>
        </is>
      </c>
      <c r="E2946" s="10" t="inlineStr">
        <is>
          <t>Introduction</t>
        </is>
      </c>
      <c r="F2946" s="11" t="inlineStr">
        <is>
          <t>5:24</t>
        </is>
      </c>
      <c r="G2946" s="11" t="n">
        <v>0.09</v>
      </c>
      <c r="H2946" s="12" t="inlineStr"/>
      <c r="I2946" s="11" t="inlineStr">
        <is>
          <t>Not started</t>
        </is>
      </c>
      <c r="J2946" s="13" t="n"/>
      <c r="K2946" s="10" t="inlineStr"/>
      <c r="L2946" s="14" t="inlineStr">
        <is>
          <t>▶ watch</t>
        </is>
      </c>
      <c r="M2946" s="10" t="inlineStr"/>
      <c r="N2946" s="11" t="inlineStr"/>
      <c r="O2946" s="11" t="inlineStr">
        <is>
          <t>course lecture - no single paper</t>
        </is>
      </c>
      <c r="P2946" s="10" t="inlineStr"/>
    </row>
    <row r="2947">
      <c r="A2947" s="23" t="n">
        <v>2946</v>
      </c>
      <c r="B2947" s="23" t="inlineStr">
        <is>
          <t>Part VI - Appendices</t>
        </is>
      </c>
      <c r="C2947" s="24" t="inlineStr">
        <is>
          <t>MLCB 2024 - the protein and genomics core</t>
        </is>
      </c>
      <c r="D2947" s="10" t="inlineStr">
        <is>
          <t>Approximating mutual information of high-dimensional…</t>
        </is>
      </c>
      <c r="E2947" s="10" t="inlineStr">
        <is>
          <t>Gokul Gowri (Harvard</t>
        </is>
      </c>
      <c r="F2947" s="11" t="inlineStr">
        <is>
          <t>23:27</t>
        </is>
      </c>
      <c r="G2947" s="11" t="n">
        <v>0.39</v>
      </c>
      <c r="H2947" s="12" t="inlineStr">
        <is>
          <t>★</t>
        </is>
      </c>
      <c r="I2947" s="11" t="inlineStr">
        <is>
          <t>Not started</t>
        </is>
      </c>
      <c r="J2947" s="13" t="n"/>
      <c r="K2947" s="10" t="inlineStr"/>
      <c r="L2947" s="14" t="inlineStr">
        <is>
          <t>▶ watch</t>
        </is>
      </c>
      <c r="M2947" s="10" t="inlineStr"/>
      <c r="N2947" s="11" t="inlineStr"/>
      <c r="O2947" s="11" t="inlineStr">
        <is>
          <t>course lecture - no single paper</t>
        </is>
      </c>
      <c r="P2947" s="10" t="inlineStr"/>
    </row>
    <row r="2948">
      <c r="A2948" s="23" t="n">
        <v>2947</v>
      </c>
      <c r="B2948" s="23" t="inlineStr">
        <is>
          <t>Part VI - Appendices</t>
        </is>
      </c>
      <c r="C2948" s="24" t="inlineStr">
        <is>
          <t>MLCB 2024 - the protein and genomics core</t>
        </is>
      </c>
      <c r="D2948" s="10" t="inlineStr">
        <is>
          <t>Predicting cell cycle stage from 3D single-cell nuclear…</t>
        </is>
      </c>
      <c r="E2948" s="10" t="inlineStr">
        <is>
          <t>Gang Li (UW</t>
        </is>
      </c>
      <c r="F2948" s="11" t="inlineStr">
        <is>
          <t>13:13</t>
        </is>
      </c>
      <c r="G2948" s="11" t="n">
        <v>0.22</v>
      </c>
      <c r="H2948" s="12" t="inlineStr"/>
      <c r="I2948" s="11" t="inlineStr">
        <is>
          <t>Not started</t>
        </is>
      </c>
      <c r="J2948" s="13" t="n"/>
      <c r="K2948" s="10" t="inlineStr"/>
      <c r="L2948" s="14" t="inlineStr">
        <is>
          <t>▶ watch</t>
        </is>
      </c>
      <c r="M2948" s="10" t="inlineStr"/>
      <c r="N2948" s="11" t="inlineStr"/>
      <c r="O2948" s="11" t="inlineStr">
        <is>
          <t>course lecture - no single paper</t>
        </is>
      </c>
      <c r="P2948" s="10" t="inlineStr"/>
    </row>
    <row r="2949">
      <c r="A2949" s="23" t="n">
        <v>2948</v>
      </c>
      <c r="B2949" s="23" t="inlineStr">
        <is>
          <t>Part VI - Appendices</t>
        </is>
      </c>
      <c r="C2949" s="24" t="inlineStr">
        <is>
          <t>MLCB 2024 - the protein and genomics core</t>
        </is>
      </c>
      <c r="D2949" s="10" t="inlineStr">
        <is>
          <t>Regulatory sequence analysis of RNA-seq via parameter-efficient…</t>
        </is>
      </c>
      <c r="E2949" s="10" t="inlineStr">
        <is>
          <t>Han Yuan (Calico</t>
        </is>
      </c>
      <c r="F2949" s="11" t="inlineStr">
        <is>
          <t>19:21</t>
        </is>
      </c>
      <c r="G2949" s="11" t="n">
        <v>0.32</v>
      </c>
      <c r="H2949" s="12" t="inlineStr"/>
      <c r="I2949" s="11" t="inlineStr">
        <is>
          <t>Not started</t>
        </is>
      </c>
      <c r="J2949" s="13" t="n"/>
      <c r="K2949" s="10" t="inlineStr"/>
      <c r="L2949" s="14" t="inlineStr">
        <is>
          <t>▶ watch</t>
        </is>
      </c>
      <c r="M2949" s="10" t="inlineStr"/>
      <c r="N2949" s="11" t="inlineStr"/>
      <c r="O2949" s="11" t="inlineStr">
        <is>
          <t>course lecture - no single paper</t>
        </is>
      </c>
      <c r="P2949" s="10" t="inlineStr"/>
    </row>
    <row r="2950">
      <c r="A2950" s="23" t="n">
        <v>2949</v>
      </c>
      <c r="B2950" s="23" t="inlineStr">
        <is>
          <t>Part VI - Appendices</t>
        </is>
      </c>
      <c r="C2950" s="24" t="inlineStr">
        <is>
          <t>MLCB 2024 - the protein and genomics core</t>
        </is>
      </c>
      <c r="D2950" s="10" t="inlineStr">
        <is>
          <t>RegDiffusion: Fast Gene Regulatory Networks using Diffusion…</t>
        </is>
      </c>
      <c r="E2950" s="10" t="inlineStr">
        <is>
          <t>Hao Zhu (Tufts</t>
        </is>
      </c>
      <c r="F2950" s="11" t="inlineStr">
        <is>
          <t>17:36</t>
        </is>
      </c>
      <c r="G2950" s="11" t="n">
        <v>0.29</v>
      </c>
      <c r="H2950" s="12" t="inlineStr"/>
      <c r="I2950" s="11" t="inlineStr">
        <is>
          <t>Not started</t>
        </is>
      </c>
      <c r="J2950" s="13" t="n"/>
      <c r="K2950" s="10" t="inlineStr"/>
      <c r="L2950" s="14" t="inlineStr">
        <is>
          <t>▶ watch</t>
        </is>
      </c>
      <c r="M2950" s="10" t="inlineStr"/>
      <c r="N2950" s="11" t="inlineStr"/>
      <c r="O2950" s="11" t="inlineStr">
        <is>
          <t>course lecture - no single paper</t>
        </is>
      </c>
      <c r="P2950" s="10" t="inlineStr"/>
    </row>
    <row r="2951">
      <c r="A2951" s="23" t="n">
        <v>2950</v>
      </c>
      <c r="B2951" s="23" t="inlineStr">
        <is>
          <t>Part VI - Appendices</t>
        </is>
      </c>
      <c r="C2951" s="24" t="inlineStr">
        <is>
          <t>MLCB 2024 - the protein and genomics core</t>
        </is>
      </c>
      <c r="D2951" s="10" t="inlineStr">
        <is>
          <t>Computational design of target-specific linear…</t>
        </is>
      </c>
      <c r="E2951" s="10" t="inlineStr">
        <is>
          <t>Haowen Zhao (Imperial</t>
        </is>
      </c>
      <c r="F2951" s="11" t="inlineStr">
        <is>
          <t>10:10</t>
        </is>
      </c>
      <c r="G2951" s="11" t="n">
        <v>0.17</v>
      </c>
      <c r="H2951" s="12" t="inlineStr"/>
      <c r="I2951" s="11" t="inlineStr">
        <is>
          <t>Not started</t>
        </is>
      </c>
      <c r="J2951" s="13" t="n"/>
      <c r="K2951" s="10" t="inlineStr"/>
      <c r="L2951" s="14" t="inlineStr">
        <is>
          <t>▶ watch</t>
        </is>
      </c>
      <c r="M2951" s="10" t="inlineStr"/>
      <c r="N2951" s="11" t="inlineStr"/>
      <c r="O2951" s="11" t="inlineStr">
        <is>
          <t>course lecture - no single paper</t>
        </is>
      </c>
      <c r="P2951" s="10" t="inlineStr"/>
    </row>
    <row r="2952">
      <c r="A2952" s="23" t="n">
        <v>2951</v>
      </c>
      <c r="B2952" s="23" t="inlineStr">
        <is>
          <t>Part VI - Appendices</t>
        </is>
      </c>
      <c r="C2952" s="24" t="inlineStr">
        <is>
          <t>MLCB 2024 - the protein and genomics core</t>
        </is>
      </c>
      <c r="D2952" s="10" t="inlineStr">
        <is>
          <t>A deep learning model of tumor cell architecture</t>
        </is>
      </c>
      <c r="E2952" s="10" t="inlineStr">
        <is>
          <t>Akshat Singhal (UCSD</t>
        </is>
      </c>
      <c r="F2952" s="11" t="inlineStr">
        <is>
          <t>19:02</t>
        </is>
      </c>
      <c r="G2952" s="11" t="n">
        <v>0.32</v>
      </c>
      <c r="H2952" s="12" t="inlineStr"/>
      <c r="I2952" s="11" t="inlineStr">
        <is>
          <t>Not started</t>
        </is>
      </c>
      <c r="J2952" s="13" t="n"/>
      <c r="K2952" s="10" t="inlineStr"/>
      <c r="L2952" s="14" t="inlineStr">
        <is>
          <t>▶ watch</t>
        </is>
      </c>
      <c r="M2952" s="10" t="inlineStr"/>
      <c r="N2952" s="11" t="inlineStr"/>
      <c r="O2952" s="11" t="inlineStr">
        <is>
          <t>course lecture - no single paper</t>
        </is>
      </c>
      <c r="P2952" s="10" t="inlineStr"/>
    </row>
    <row r="2953">
      <c r="A2953" s="23" t="n">
        <v>2952</v>
      </c>
      <c r="B2953" s="23" t="inlineStr">
        <is>
          <t>Part VI - Appendices</t>
        </is>
      </c>
      <c r="C2953" s="24" t="inlineStr">
        <is>
          <t>MLCB 2024 - the protein and genomics core</t>
        </is>
      </c>
      <c r="D2953" s="10" t="inlineStr">
        <is>
          <t>Spotlights 2</t>
        </is>
      </c>
      <c r="E2953" s="10" t="inlineStr"/>
      <c r="F2953" s="11" t="inlineStr">
        <is>
          <t>19:34</t>
        </is>
      </c>
      <c r="G2953" s="11" t="n">
        <v>0.33</v>
      </c>
      <c r="H2953" s="12" t="inlineStr"/>
      <c r="I2953" s="11" t="inlineStr">
        <is>
          <t>Not started</t>
        </is>
      </c>
      <c r="J2953" s="13" t="n"/>
      <c r="K2953" s="10" t="inlineStr"/>
      <c r="L2953" s="14" t="inlineStr">
        <is>
          <t>▶ watch</t>
        </is>
      </c>
      <c r="M2953" s="10" t="inlineStr"/>
      <c r="N2953" s="11" t="inlineStr"/>
      <c r="O2953" s="11" t="inlineStr">
        <is>
          <t>course lecture - no single paper</t>
        </is>
      </c>
      <c r="P2953" s="10" t="inlineStr"/>
    </row>
    <row r="2954">
      <c r="A2954" s="23" t="n">
        <v>2953</v>
      </c>
      <c r="B2954" s="23" t="inlineStr">
        <is>
          <t>Part VI - Appendices</t>
        </is>
      </c>
      <c r="C2954" s="24" t="inlineStr">
        <is>
          <t>MLCB 2024 - the protein and genomics core</t>
        </is>
      </c>
      <c r="D2954" s="10" t="inlineStr">
        <is>
          <t>Cross-modality Matching and Prediction of Perturbation Responses</t>
        </is>
      </c>
      <c r="E2954" s="10" t="inlineStr">
        <is>
          <t>Romain Lopez (Genentech</t>
        </is>
      </c>
      <c r="F2954" s="11" t="inlineStr">
        <is>
          <t>25:26</t>
        </is>
      </c>
      <c r="G2954" s="11" t="n">
        <v>0.42</v>
      </c>
      <c r="H2954" s="12" t="inlineStr"/>
      <c r="I2954" s="11" t="inlineStr">
        <is>
          <t>Not started</t>
        </is>
      </c>
      <c r="J2954" s="13" t="n"/>
      <c r="K2954" s="10" t="inlineStr"/>
      <c r="L2954" s="14" t="inlineStr">
        <is>
          <t>▶ watch</t>
        </is>
      </c>
      <c r="M2954" s="10" t="inlineStr"/>
      <c r="N2954" s="11" t="inlineStr"/>
      <c r="O2954" s="11" t="inlineStr">
        <is>
          <t>course lecture - no single paper</t>
        </is>
      </c>
      <c r="P2954" s="10" t="inlineStr"/>
    </row>
    <row r="2955">
      <c r="A2955" s="23" t="n">
        <v>2954</v>
      </c>
      <c r="B2955" s="23" t="inlineStr">
        <is>
          <t>Part VI - Appendices</t>
        </is>
      </c>
      <c r="C2955" s="24" t="inlineStr">
        <is>
          <t>MLCB 2024 - the protein and genomics core</t>
        </is>
      </c>
      <c r="D2955" s="10" t="inlineStr">
        <is>
          <t>Spotlights 1</t>
        </is>
      </c>
      <c r="E2955" s="10" t="inlineStr"/>
      <c r="F2955" s="11" t="inlineStr">
        <is>
          <t>25:05</t>
        </is>
      </c>
      <c r="G2955" s="11" t="n">
        <v>0.42</v>
      </c>
      <c r="H2955" s="12" t="inlineStr"/>
      <c r="I2955" s="11" t="inlineStr">
        <is>
          <t>Not started</t>
        </is>
      </c>
      <c r="J2955" s="13" t="n"/>
      <c r="K2955" s="10" t="inlineStr"/>
      <c r="L2955" s="14" t="inlineStr">
        <is>
          <t>▶ watch</t>
        </is>
      </c>
      <c r="M2955" s="10" t="inlineStr"/>
      <c r="N2955" s="11" t="inlineStr"/>
      <c r="O2955" s="11" t="inlineStr">
        <is>
          <t>course lecture - no single paper</t>
        </is>
      </c>
      <c r="P2955" s="10" t="inlineStr"/>
    </row>
    <row r="2956">
      <c r="A2956" s="23" t="n">
        <v>2955</v>
      </c>
      <c r="B2956" s="23" t="inlineStr">
        <is>
          <t>Part VI - Appendices</t>
        </is>
      </c>
      <c r="C2956" s="24" t="inlineStr">
        <is>
          <t>MLCB 2024 - the protein and genomics core</t>
        </is>
      </c>
      <c r="D2956" s="10" t="inlineStr">
        <is>
          <t>IsoCLR: Contrastive learning for RNA foundation models</t>
        </is>
      </c>
      <c r="E2956" s="10" t="inlineStr">
        <is>
          <t>Philip Fradkin (Vector</t>
        </is>
      </c>
      <c r="F2956" s="11" t="inlineStr">
        <is>
          <t>20:33</t>
        </is>
      </c>
      <c r="G2956" s="11" t="n">
        <v>0.34</v>
      </c>
      <c r="H2956" s="12" t="inlineStr"/>
      <c r="I2956" s="11" t="inlineStr">
        <is>
          <t>Not started</t>
        </is>
      </c>
      <c r="J2956" s="13" t="n"/>
      <c r="K2956" s="10" t="inlineStr"/>
      <c r="L2956" s="14" t="inlineStr">
        <is>
          <t>▶ watch</t>
        </is>
      </c>
      <c r="M2956" s="10" t="inlineStr"/>
      <c r="N2956" s="11" t="inlineStr"/>
      <c r="O2956" s="11" t="inlineStr">
        <is>
          <t>course lecture - no single paper</t>
        </is>
      </c>
      <c r="P2956" s="10" t="inlineStr"/>
    </row>
    <row r="2957">
      <c r="A2957" s="23" t="n">
        <v>2956</v>
      </c>
      <c r="B2957" s="23" t="inlineStr">
        <is>
          <t>Part VI - Appendices</t>
        </is>
      </c>
      <c r="C2957" s="24" t="inlineStr">
        <is>
          <t>MLCB 2024 - the protein and genomics core</t>
        </is>
      </c>
      <c r="D2957" s="10" t="inlineStr">
        <is>
          <t>Significant Latent Factor Interaction Discovery…</t>
        </is>
      </c>
      <c r="E2957" s="10" t="inlineStr">
        <is>
          <t>Jishnu Das (Pittsburgh</t>
        </is>
      </c>
      <c r="F2957" s="11" t="inlineStr">
        <is>
          <t>20:30</t>
        </is>
      </c>
      <c r="G2957" s="11" t="n">
        <v>0.34</v>
      </c>
      <c r="H2957" s="12" t="inlineStr"/>
      <c r="I2957" s="11" t="inlineStr">
        <is>
          <t>Not started</t>
        </is>
      </c>
      <c r="J2957" s="13" t="n"/>
      <c r="K2957" s="10" t="inlineStr"/>
      <c r="L2957" s="14" t="inlineStr">
        <is>
          <t>▶ watch</t>
        </is>
      </c>
      <c r="M2957" s="10" t="inlineStr"/>
      <c r="N2957" s="11" t="inlineStr"/>
      <c r="O2957" s="11" t="inlineStr">
        <is>
          <t>course lecture - no single paper</t>
        </is>
      </c>
      <c r="P2957" s="10" t="inlineStr"/>
    </row>
    <row r="2958">
      <c r="A2958" s="23" t="n">
        <v>2957</v>
      </c>
      <c r="B2958" s="23" t="inlineStr">
        <is>
          <t>Part VI - Appendices</t>
        </is>
      </c>
      <c r="C2958" s="24" t="inlineStr">
        <is>
          <t>MLCB 2024 - the protein and genomics core</t>
        </is>
      </c>
      <c r="D2958" s="10" t="inlineStr">
        <is>
          <t>Bridging biophysics &amp; AI for generative protein design</t>
        </is>
      </c>
      <c r="E2958" s="10" t="inlineStr">
        <is>
          <t>Ava Amini (MIT / MSR</t>
        </is>
      </c>
      <c r="F2958" s="11" t="inlineStr">
        <is>
          <t>44:31</t>
        </is>
      </c>
      <c r="G2958" s="11" t="n">
        <v>0.74</v>
      </c>
      <c r="H2958" s="12" t="inlineStr"/>
      <c r="I2958" s="11" t="inlineStr">
        <is>
          <t>Not started</t>
        </is>
      </c>
      <c r="J2958" s="13" t="n"/>
      <c r="K2958" s="10" t="inlineStr"/>
      <c r="L2958" s="14" t="inlineStr">
        <is>
          <t>▶ watch</t>
        </is>
      </c>
      <c r="M2958" s="10" t="inlineStr"/>
      <c r="N2958" s="11" t="inlineStr"/>
      <c r="O2958" s="11" t="inlineStr">
        <is>
          <t>course lecture - no single paper</t>
        </is>
      </c>
      <c r="P2958" s="10" t="inlineStr"/>
    </row>
    <row r="2959">
      <c r="A2959" s="23" t="n">
        <v>2958</v>
      </c>
      <c r="B2959" s="23" t="inlineStr">
        <is>
          <t>Part VI - Appendices</t>
        </is>
      </c>
      <c r="C2959" s="24" t="inlineStr">
        <is>
          <t>MLCB 2024 - the protein and genomics core</t>
        </is>
      </c>
      <c r="D2959" s="10" t="inlineStr">
        <is>
          <t>Multi-marginal Schrödinger Bridges with Iterative Reference Refinement</t>
        </is>
      </c>
      <c r="E2959" s="10" t="inlineStr">
        <is>
          <t>Yunyi Shen (MIT</t>
        </is>
      </c>
      <c r="F2959" s="11" t="inlineStr">
        <is>
          <t>18:10</t>
        </is>
      </c>
      <c r="G2959" s="11" t="n">
        <v>0.3</v>
      </c>
      <c r="H2959" s="12" t="inlineStr"/>
      <c r="I2959" s="11" t="inlineStr">
        <is>
          <t>Not started</t>
        </is>
      </c>
      <c r="J2959" s="13" t="n"/>
      <c r="K2959" s="10" t="inlineStr"/>
      <c r="L2959" s="14" t="inlineStr">
        <is>
          <t>▶ watch</t>
        </is>
      </c>
      <c r="M2959" s="10" t="inlineStr"/>
      <c r="N2959" s="11" t="inlineStr"/>
      <c r="O2959" s="11" t="inlineStr">
        <is>
          <t>course lecture - no single paper</t>
        </is>
      </c>
      <c r="P2959" s="10" t="inlineStr"/>
    </row>
    <row r="2960">
      <c r="A2960" s="23" t="n">
        <v>2959</v>
      </c>
      <c r="B2960" s="23" t="inlineStr">
        <is>
          <t>Part VI - Appendices</t>
        </is>
      </c>
      <c r="C2960" s="24" t="inlineStr">
        <is>
          <t>MLCB 2023 - selected full talks</t>
        </is>
      </c>
      <c r="D2960" s="10" t="inlineStr">
        <is>
          <t>ViDa: Visualizing DNA hybridization trajectories</t>
        </is>
      </c>
      <c r="E2960" s="10" t="inlineStr">
        <is>
          <t>Chenwei Zhang</t>
        </is>
      </c>
      <c r="F2960" s="11" t="inlineStr">
        <is>
          <t>15:08</t>
        </is>
      </c>
      <c r="G2960" s="11" t="n">
        <v>0.25</v>
      </c>
      <c r="H2960" s="12" t="inlineStr"/>
      <c r="I2960" s="11" t="inlineStr">
        <is>
          <t>Not started</t>
        </is>
      </c>
      <c r="J2960" s="13" t="n"/>
      <c r="K2960" s="10" t="inlineStr"/>
      <c r="L2960" s="14" t="inlineStr">
        <is>
          <t>▶ watch</t>
        </is>
      </c>
      <c r="M2960" s="10" t="inlineStr"/>
      <c r="N2960" s="11" t="inlineStr"/>
      <c r="O2960" s="11" t="inlineStr">
        <is>
          <t>course lecture - no single paper</t>
        </is>
      </c>
      <c r="P2960" s="10" t="inlineStr"/>
    </row>
    <row r="2961">
      <c r="A2961" s="23" t="n">
        <v>2960</v>
      </c>
      <c r="B2961" s="23" t="inlineStr">
        <is>
          <t>Part VI - Appendices</t>
        </is>
      </c>
      <c r="C2961" s="24" t="inlineStr">
        <is>
          <t>MLCB 2023 - selected full talks</t>
        </is>
      </c>
      <c r="D2961" s="10" t="inlineStr">
        <is>
          <t>A Deeper Dive into Single Cell RNA Sequencing Foundation Models</t>
        </is>
      </c>
      <c r="E2961" s="10" t="inlineStr">
        <is>
          <t>Rebecca Boiarsky (MIT</t>
        </is>
      </c>
      <c r="F2961" s="11" t="inlineStr">
        <is>
          <t>16:00</t>
        </is>
      </c>
      <c r="G2961" s="11" t="n">
        <v>0.27</v>
      </c>
      <c r="H2961" s="12" t="inlineStr">
        <is>
          <t>★</t>
        </is>
      </c>
      <c r="I2961" s="11" t="inlineStr">
        <is>
          <t>Not started</t>
        </is>
      </c>
      <c r="J2961" s="13" t="n"/>
      <c r="K2961" s="10" t="inlineStr"/>
      <c r="L2961" s="14" t="inlineStr">
        <is>
          <t>▶ watch</t>
        </is>
      </c>
      <c r="M2961" s="10" t="inlineStr"/>
      <c r="N2961" s="11" t="inlineStr"/>
      <c r="O2961" s="11" t="inlineStr">
        <is>
          <t>course lecture - no single paper</t>
        </is>
      </c>
      <c r="P2961" s="10" t="inlineStr"/>
    </row>
    <row r="2962">
      <c r="A2962" s="23" t="n">
        <v>2961</v>
      </c>
      <c r="B2962" s="23" t="inlineStr">
        <is>
          <t>Part VI - Appendices</t>
        </is>
      </c>
      <c r="C2962" s="24" t="inlineStr">
        <is>
          <t>MLCB 2023 - selected full talks</t>
        </is>
      </c>
      <c r="D2962" s="10" t="inlineStr">
        <is>
          <t>Panel - Bridging Academia and Industry</t>
        </is>
      </c>
      <c r="E2962" s="10" t="inlineStr"/>
      <c r="F2962" s="11" t="inlineStr">
        <is>
          <t>1:07:46</t>
        </is>
      </c>
      <c r="G2962" s="11" t="n">
        <v>1.13</v>
      </c>
      <c r="H2962" s="12" t="inlineStr"/>
      <c r="I2962" s="11" t="inlineStr">
        <is>
          <t>Not started</t>
        </is>
      </c>
      <c r="J2962" s="13" t="n"/>
      <c r="K2962" s="10" t="inlineStr"/>
      <c r="L2962" s="14" t="inlineStr">
        <is>
          <t>▶ watch</t>
        </is>
      </c>
      <c r="M2962" s="10" t="inlineStr"/>
      <c r="N2962" s="11" t="inlineStr"/>
      <c r="O2962" s="11" t="inlineStr">
        <is>
          <t>course lecture - no single paper</t>
        </is>
      </c>
      <c r="P2962" s="10" t="inlineStr"/>
    </row>
    <row r="2963">
      <c r="A2963" s="23" t="n">
        <v>2962</v>
      </c>
      <c r="B2963" s="23" t="inlineStr">
        <is>
          <t>Part VI - Appendices</t>
        </is>
      </c>
      <c r="C2963" s="24" t="inlineStr">
        <is>
          <t>MLCB 2023 - selected full talks</t>
        </is>
      </c>
      <c r="D2963" s="10" t="inlineStr">
        <is>
          <t>Probabilistic modeling of dynamics in the tumor microenvironment</t>
        </is>
      </c>
      <c r="E2963" s="10" t="inlineStr">
        <is>
          <t>Elham Azizi (Columbia</t>
        </is>
      </c>
      <c r="F2963" s="11" t="inlineStr">
        <is>
          <t>47:20</t>
        </is>
      </c>
      <c r="G2963" s="11" t="n">
        <v>0.79</v>
      </c>
      <c r="H2963" s="12" t="inlineStr"/>
      <c r="I2963" s="11" t="inlineStr">
        <is>
          <t>Not started</t>
        </is>
      </c>
      <c r="J2963" s="13" t="n"/>
      <c r="K2963" s="10" t="inlineStr"/>
      <c r="L2963" s="14" t="inlineStr">
        <is>
          <t>▶ watch</t>
        </is>
      </c>
      <c r="M2963" s="10" t="inlineStr"/>
      <c r="N2963" s="11" t="inlineStr"/>
      <c r="O2963" s="11" t="inlineStr">
        <is>
          <t>course lecture - no single paper</t>
        </is>
      </c>
      <c r="P2963" s="10" t="inlineStr"/>
    </row>
    <row r="2964">
      <c r="A2964" s="23" t="n">
        <v>2963</v>
      </c>
      <c r="B2964" s="23" t="inlineStr">
        <is>
          <t>Part VI - Appendices</t>
        </is>
      </c>
      <c r="C2964" s="24" t="inlineStr">
        <is>
          <t>MLCB 2023 - selected full talks</t>
        </is>
      </c>
      <c r="D2964" s="10" t="inlineStr">
        <is>
          <t>Towards morphogenomics</t>
        </is>
      </c>
      <c r="E2964" s="10" t="inlineStr">
        <is>
          <t>Bianca Dumitrascu</t>
        </is>
      </c>
      <c r="F2964" s="11" t="inlineStr">
        <is>
          <t>45:21</t>
        </is>
      </c>
      <c r="G2964" s="11" t="n">
        <v>0.76</v>
      </c>
      <c r="H2964" s="12" t="inlineStr"/>
      <c r="I2964" s="11" t="inlineStr">
        <is>
          <t>Not started</t>
        </is>
      </c>
      <c r="J2964" s="13" t="n"/>
      <c r="K2964" s="10" t="inlineStr"/>
      <c r="L2964" s="14" t="inlineStr">
        <is>
          <t>▶ watch</t>
        </is>
      </c>
      <c r="M2964" s="10" t="inlineStr"/>
      <c r="N2964" s="11" t="inlineStr"/>
      <c r="O2964" s="11" t="inlineStr">
        <is>
          <t>course lecture - no single paper</t>
        </is>
      </c>
      <c r="P2964" s="10" t="inlineStr"/>
    </row>
    <row r="2965">
      <c r="A2965" s="23" t="n">
        <v>2964</v>
      </c>
      <c r="B2965" s="23" t="inlineStr">
        <is>
          <t>Part VI - Appendices</t>
        </is>
      </c>
      <c r="C2965" s="24" t="inlineStr">
        <is>
          <t>MLCB 2023 - selected full talks</t>
        </is>
      </c>
      <c r="D2965" s="10" t="inlineStr">
        <is>
          <t>Sequential Optimal Experimental Design of Perturbation Screens</t>
        </is>
      </c>
      <c r="E2965" s="10" t="inlineStr">
        <is>
          <t>Kexin Huang (Stanford</t>
        </is>
      </c>
      <c r="F2965" s="11" t="inlineStr">
        <is>
          <t>23:09</t>
        </is>
      </c>
      <c r="G2965" s="11" t="n">
        <v>0.39</v>
      </c>
      <c r="H2965" s="12" t="inlineStr"/>
      <c r="I2965" s="11" t="inlineStr">
        <is>
          <t>Not started</t>
        </is>
      </c>
      <c r="J2965" s="13" t="n"/>
      <c r="K2965" s="10" t="inlineStr"/>
      <c r="L2965" s="14" t="inlineStr">
        <is>
          <t>▶ watch</t>
        </is>
      </c>
      <c r="M2965" s="10" t="inlineStr"/>
      <c r="N2965" s="11" t="inlineStr"/>
      <c r="O2965" s="11" t="inlineStr">
        <is>
          <t>course lecture - no single paper</t>
        </is>
      </c>
      <c r="P2965" s="10" t="inlineStr"/>
    </row>
    <row r="2966">
      <c r="A2966" s="23" t="n">
        <v>2965</v>
      </c>
      <c r="B2966" s="23" t="inlineStr">
        <is>
          <t>Part VI - Appendices</t>
        </is>
      </c>
      <c r="C2966" s="24" t="inlineStr">
        <is>
          <t>MLCB 2023 - selected full talks</t>
        </is>
      </c>
      <c r="D2966" s="10" t="inlineStr">
        <is>
          <t>MLCB Intro Day 1</t>
        </is>
      </c>
      <c r="E2966" s="10" t="inlineStr"/>
      <c r="F2966" s="11" t="inlineStr">
        <is>
          <t>8:33</t>
        </is>
      </c>
      <c r="G2966" s="11" t="n">
        <v>0.14</v>
      </c>
      <c r="H2966" s="12" t="inlineStr"/>
      <c r="I2966" s="11" t="inlineStr">
        <is>
          <t>Not started</t>
        </is>
      </c>
      <c r="J2966" s="13" t="n"/>
      <c r="K2966" s="10" t="inlineStr"/>
      <c r="L2966" s="14" t="inlineStr">
        <is>
          <t>▶ watch</t>
        </is>
      </c>
      <c r="M2966" s="10" t="inlineStr"/>
      <c r="N2966" s="11" t="inlineStr"/>
      <c r="O2966" s="11" t="inlineStr">
        <is>
          <t>course lecture - no single paper</t>
        </is>
      </c>
      <c r="P2966" s="10" t="inlineStr"/>
    </row>
    <row r="2967">
      <c r="A2967" s="23" t="n">
        <v>2966</v>
      </c>
      <c r="B2967" s="23" t="inlineStr">
        <is>
          <t>Part VI - Appendices</t>
        </is>
      </c>
      <c r="C2967" s="24" t="inlineStr">
        <is>
          <t>MLCB 2023 - selected full talks</t>
        </is>
      </c>
      <c r="D2967" s="10" t="inlineStr">
        <is>
          <t>TCR BERT: learning the grammar of T cell receptors</t>
        </is>
      </c>
      <c r="E2967" s="10" t="inlineStr">
        <is>
          <t>Kevin Wu (Stanford</t>
        </is>
      </c>
      <c r="F2967" s="11" t="inlineStr">
        <is>
          <t>21:23</t>
        </is>
      </c>
      <c r="G2967" s="11" t="n">
        <v>0.36</v>
      </c>
      <c r="H2967" s="12" t="inlineStr">
        <is>
          <t>★</t>
        </is>
      </c>
      <c r="I2967" s="11" t="inlineStr">
        <is>
          <t>Not started</t>
        </is>
      </c>
      <c r="J2967" s="13" t="n"/>
      <c r="K2967" s="10" t="inlineStr"/>
      <c r="L2967" s="14" t="inlineStr">
        <is>
          <t>▶ watch</t>
        </is>
      </c>
      <c r="M2967" s="10" t="inlineStr"/>
      <c r="N2967" s="11" t="inlineStr"/>
      <c r="O2967" s="11" t="inlineStr">
        <is>
          <t>course lecture - no single paper</t>
        </is>
      </c>
      <c r="P2967" s="10" t="inlineStr"/>
    </row>
    <row r="2968">
      <c r="A2968" s="23" t="n">
        <v>2967</v>
      </c>
      <c r="B2968" s="23" t="inlineStr">
        <is>
          <t>Part VI - Appendices</t>
        </is>
      </c>
      <c r="C2968" s="24" t="inlineStr">
        <is>
          <t>MLCB 2023 - selected full talks</t>
        </is>
      </c>
      <c r="D2968" s="10" t="inlineStr">
        <is>
          <t>Protein Discovery with Discrete Walk-Jump Sampling</t>
        </is>
      </c>
      <c r="E2968" s="10" t="inlineStr">
        <is>
          <t>Nathan Frey (Prescient</t>
        </is>
      </c>
      <c r="F2968" s="11" t="inlineStr">
        <is>
          <t>16:53</t>
        </is>
      </c>
      <c r="G2968" s="11" t="n">
        <v>0.28</v>
      </c>
      <c r="H2968" s="12" t="inlineStr"/>
      <c r="I2968" s="11" t="inlineStr">
        <is>
          <t>Not started</t>
        </is>
      </c>
      <c r="J2968" s="13" t="n"/>
      <c r="K2968" s="10" t="inlineStr"/>
      <c r="L2968" s="14" t="inlineStr">
        <is>
          <t>▶ watch</t>
        </is>
      </c>
      <c r="M2968" s="10" t="inlineStr"/>
      <c r="N2968" s="11" t="inlineStr"/>
      <c r="O2968" s="11" t="inlineStr">
        <is>
          <t>course lecture - no single paper</t>
        </is>
      </c>
      <c r="P2968" s="10" t="inlineStr"/>
    </row>
    <row r="2969">
      <c r="A2969" s="23" t="n">
        <v>2968</v>
      </c>
      <c r="B2969" s="23" t="inlineStr">
        <is>
          <t>Part VI - Appendices</t>
        </is>
      </c>
      <c r="C2969" s="24" t="inlineStr">
        <is>
          <t>MLCB 2023 - selected full talks</t>
        </is>
      </c>
      <c r="D2969" s="10" t="inlineStr">
        <is>
          <t>Assessing the limits of zero-shot foundation models in single cell biology</t>
        </is>
      </c>
      <c r="E2969" s="10" t="inlineStr">
        <is>
          <t>Kasia Kedzierska (Oxford</t>
        </is>
      </c>
      <c r="F2969" s="11" t="inlineStr">
        <is>
          <t>20:02</t>
        </is>
      </c>
      <c r="G2969" s="11" t="n">
        <v>0.33</v>
      </c>
      <c r="H2969" s="12" t="inlineStr"/>
      <c r="I2969" s="11" t="inlineStr">
        <is>
          <t>Not started</t>
        </is>
      </c>
      <c r="J2969" s="13" t="n"/>
      <c r="K2969" s="10" t="inlineStr"/>
      <c r="L2969" s="14" t="inlineStr">
        <is>
          <t>▶ watch</t>
        </is>
      </c>
      <c r="M2969" s="10" t="inlineStr"/>
      <c r="N2969" s="11" t="inlineStr"/>
      <c r="O2969" s="11" t="inlineStr">
        <is>
          <t>course lecture - no single paper</t>
        </is>
      </c>
      <c r="P2969" s="10" t="inlineStr"/>
    </row>
    <row r="2970">
      <c r="A2970" s="23" t="n">
        <v>2969</v>
      </c>
      <c r="B2970" s="23" t="inlineStr">
        <is>
          <t>Part VI - Appendices</t>
        </is>
      </c>
      <c r="C2970" s="24" t="inlineStr">
        <is>
          <t>MLCB 2023 - selected full talks</t>
        </is>
      </c>
      <c r="D2970" s="10" t="inlineStr">
        <is>
          <t>Random Subsampling Meets Confounders</t>
        </is>
      </c>
      <c r="E2970" s="10" t="inlineStr">
        <is>
          <t>Samuel Alber</t>
        </is>
      </c>
      <c r="F2970" s="11" t="inlineStr">
        <is>
          <t>18:06</t>
        </is>
      </c>
      <c r="G2970" s="11" t="n">
        <v>0.3</v>
      </c>
      <c r="H2970" s="12" t="inlineStr"/>
      <c r="I2970" s="11" t="inlineStr">
        <is>
          <t>Not started</t>
        </is>
      </c>
      <c r="J2970" s="13" t="n"/>
      <c r="K2970" s="10" t="inlineStr"/>
      <c r="L2970" s="14" t="inlineStr">
        <is>
          <t>▶ watch</t>
        </is>
      </c>
      <c r="M2970" s="10" t="inlineStr"/>
      <c r="N2970" s="11" t="inlineStr"/>
      <c r="O2970" s="11" t="inlineStr">
        <is>
          <t>course lecture - no single paper</t>
        </is>
      </c>
      <c r="P2970" s="10" t="inlineStr"/>
    </row>
    <row r="2971">
      <c r="A2971" s="23" t="n">
        <v>2970</v>
      </c>
      <c r="B2971" s="23" t="inlineStr">
        <is>
          <t>Part VI - Appendices</t>
        </is>
      </c>
      <c r="C2971" s="24" t="inlineStr">
        <is>
          <t>MLCB 2023 - selected full talks</t>
        </is>
      </c>
      <c r="D2971" s="10" t="inlineStr">
        <is>
          <t>A Simple But Hard to Beat Foundation Model for Genes and Cells via ChatGPT</t>
        </is>
      </c>
      <c r="E2971" s="10" t="inlineStr">
        <is>
          <t>Yiqun Chen</t>
        </is>
      </c>
      <c r="F2971" s="11" t="inlineStr">
        <is>
          <t>22:59</t>
        </is>
      </c>
      <c r="G2971" s="11" t="n">
        <v>0.38</v>
      </c>
      <c r="H2971" s="12" t="inlineStr"/>
      <c r="I2971" s="11" t="inlineStr">
        <is>
          <t>Not started</t>
        </is>
      </c>
      <c r="J2971" s="13" t="n"/>
      <c r="K2971" s="10" t="inlineStr"/>
      <c r="L2971" s="14" t="inlineStr">
        <is>
          <t>▶ watch</t>
        </is>
      </c>
      <c r="M2971" s="10" t="inlineStr"/>
      <c r="N2971" s="11" t="inlineStr"/>
      <c r="O2971" s="11" t="inlineStr">
        <is>
          <t>course lecture - no single paper</t>
        </is>
      </c>
      <c r="P2971" s="10" t="inlineStr"/>
    </row>
    <row r="2972">
      <c r="A2972" s="23" t="n">
        <v>2971</v>
      </c>
      <c r="B2972" s="23" t="inlineStr">
        <is>
          <t>Part VI - Appendices</t>
        </is>
      </c>
      <c r="C2972" s="24" t="inlineStr">
        <is>
          <t>MLCB 2023 - selected full talks</t>
        </is>
      </c>
      <c r="D2972" s="10" t="inlineStr">
        <is>
          <t>Multi-modal biophysical CNN for discovering cis-regulatory code</t>
        </is>
      </c>
      <c r="E2972" s="10" t="inlineStr">
        <is>
          <t>Alexander Sasse (UW</t>
        </is>
      </c>
      <c r="F2972" s="11" t="inlineStr">
        <is>
          <t>21:13</t>
        </is>
      </c>
      <c r="G2972" s="11" t="n">
        <v>0.35</v>
      </c>
      <c r="H2972" s="12" t="inlineStr"/>
      <c r="I2972" s="11" t="inlineStr">
        <is>
          <t>Not started</t>
        </is>
      </c>
      <c r="J2972" s="13" t="n"/>
      <c r="K2972" s="10" t="inlineStr"/>
      <c r="L2972" s="14" t="inlineStr">
        <is>
          <t>▶ watch</t>
        </is>
      </c>
      <c r="M2972" s="10" t="inlineStr"/>
      <c r="N2972" s="11" t="inlineStr"/>
      <c r="O2972" s="11" t="inlineStr">
        <is>
          <t>course lecture - no single paper</t>
        </is>
      </c>
      <c r="P2972" s="10" t="inlineStr"/>
    </row>
    <row r="2973">
      <c r="A2973" s="23" t="n">
        <v>2972</v>
      </c>
      <c r="B2973" s="23" t="inlineStr">
        <is>
          <t>Part VI - Appendices</t>
        </is>
      </c>
      <c r="C2973" s="24" t="inlineStr">
        <is>
          <t>MLCB 2023 - selected full talks</t>
        </is>
      </c>
      <c r="D2973" s="10" t="inlineStr">
        <is>
          <t>Interpreting Cis-Regulatory Interactions from Large-Scale Deep NNs</t>
        </is>
      </c>
      <c r="E2973" s="10" t="inlineStr">
        <is>
          <t>Shushan Toneyan (CSHL</t>
        </is>
      </c>
      <c r="F2973" s="11" t="inlineStr">
        <is>
          <t>19:04</t>
        </is>
      </c>
      <c r="G2973" s="11" t="n">
        <v>0.32</v>
      </c>
      <c r="H2973" s="12" t="inlineStr"/>
      <c r="I2973" s="11" t="inlineStr">
        <is>
          <t>Not started</t>
        </is>
      </c>
      <c r="J2973" s="13" t="n"/>
      <c r="K2973" s="10" t="inlineStr"/>
      <c r="L2973" s="14" t="inlineStr">
        <is>
          <t>▶ watch</t>
        </is>
      </c>
      <c r="M2973" s="10" t="inlineStr"/>
      <c r="N2973" s="11" t="inlineStr"/>
      <c r="O2973" s="11" t="inlineStr">
        <is>
          <t>course lecture - no single paper</t>
        </is>
      </c>
      <c r="P2973" s="10" t="inlineStr"/>
    </row>
    <row r="2974">
      <c r="A2974" s="23" t="n">
        <v>2973</v>
      </c>
      <c r="B2974" s="23" t="inlineStr">
        <is>
          <t>Part VI - Appendices</t>
        </is>
      </c>
      <c r="C2974" s="24" t="inlineStr">
        <is>
          <t>MLCB 2023 - selected full talks</t>
        </is>
      </c>
      <c r="D2974" s="10" t="inlineStr">
        <is>
          <t>Modeling cell-type-specific chromatin folding through differentiable loop extrusion</t>
        </is>
      </c>
      <c r="E2974" s="10" t="inlineStr">
        <is>
          <t>Tina Subic</t>
        </is>
      </c>
      <c r="F2974" s="11" t="inlineStr">
        <is>
          <t>20:40</t>
        </is>
      </c>
      <c r="G2974" s="11" t="n">
        <v>0.34</v>
      </c>
      <c r="H2974" s="12" t="inlineStr"/>
      <c r="I2974" s="11" t="inlineStr">
        <is>
          <t>Not started</t>
        </is>
      </c>
      <c r="J2974" s="13" t="n"/>
      <c r="K2974" s="10" t="inlineStr"/>
      <c r="L2974" s="14" t="inlineStr">
        <is>
          <t>▶ watch</t>
        </is>
      </c>
      <c r="M2974" s="10" t="inlineStr"/>
      <c r="N2974" s="11" t="inlineStr"/>
      <c r="O2974" s="11" t="inlineStr">
        <is>
          <t>course lecture - no single paper</t>
        </is>
      </c>
      <c r="P2974" s="10" t="inlineStr"/>
    </row>
    <row r="2975">
      <c r="A2975" s="23" t="n">
        <v>2974</v>
      </c>
      <c r="B2975" s="23" t="inlineStr">
        <is>
          <t>Part VI - Appendices</t>
        </is>
      </c>
      <c r="C2975" s="24" t="inlineStr">
        <is>
          <t>MLCB 2023 - selected full talks</t>
        </is>
      </c>
      <c r="D2975" s="10" t="inlineStr">
        <is>
          <t>DragoNNFruit: Dissecting cis and trans regulation of chromatin accessibility</t>
        </is>
      </c>
      <c r="E2975" s="10" t="inlineStr">
        <is>
          <t>Jacob Schreiber (Stanford</t>
        </is>
      </c>
      <c r="F2975" s="11" t="inlineStr">
        <is>
          <t>19:19</t>
        </is>
      </c>
      <c r="G2975" s="11" t="n">
        <v>0.32</v>
      </c>
      <c r="H2975" s="12" t="inlineStr"/>
      <c r="I2975" s="11" t="inlineStr">
        <is>
          <t>Not started</t>
        </is>
      </c>
      <c r="J2975" s="13" t="n"/>
      <c r="K2975" s="10" t="inlineStr"/>
      <c r="L2975" s="14" t="inlineStr">
        <is>
          <t>▶ watch</t>
        </is>
      </c>
      <c r="M2975" s="10" t="inlineStr"/>
      <c r="N2975" s="11" t="inlineStr"/>
      <c r="O2975" s="11" t="inlineStr">
        <is>
          <t>course lecture - no single paper</t>
        </is>
      </c>
      <c r="P2975" s="10" t="inlineStr"/>
    </row>
    <row r="2976">
      <c r="A2976" s="23" t="n">
        <v>2975</v>
      </c>
      <c r="B2976" s="23" t="inlineStr">
        <is>
          <t>Part VI - Appendices</t>
        </is>
      </c>
      <c r="C2976" s="24" t="inlineStr">
        <is>
          <t>MLCB 2023 - selected full talks</t>
        </is>
      </c>
      <c r="D2976" s="10" t="inlineStr">
        <is>
          <t>Cross-cell-type regulatory predictions using representation learning</t>
        </is>
      </c>
      <c r="E2976" s="10" t="inlineStr">
        <is>
          <t>Nauman Javed</t>
        </is>
      </c>
      <c r="F2976" s="11" t="inlineStr">
        <is>
          <t>16:06</t>
        </is>
      </c>
      <c r="G2976" s="11" t="n">
        <v>0.27</v>
      </c>
      <c r="H2976" s="12" t="inlineStr"/>
      <c r="I2976" s="11" t="inlineStr">
        <is>
          <t>Not started</t>
        </is>
      </c>
      <c r="J2976" s="13" t="n"/>
      <c r="K2976" s="10" t="inlineStr"/>
      <c r="L2976" s="14" t="inlineStr">
        <is>
          <t>▶ watch</t>
        </is>
      </c>
      <c r="M2976" s="10" t="inlineStr"/>
      <c r="N2976" s="11" t="inlineStr"/>
      <c r="O2976" s="11" t="inlineStr">
        <is>
          <t>course lecture - no single paper</t>
        </is>
      </c>
      <c r="P2976" s="10" t="inlineStr"/>
    </row>
    <row r="2977">
      <c r="A2977" s="23" t="n">
        <v>2976</v>
      </c>
      <c r="B2977" s="23" t="inlineStr">
        <is>
          <t>Part VI - Appendices</t>
        </is>
      </c>
      <c r="C2977" s="24" t="inlineStr">
        <is>
          <t>MLCB 2023 - selected full talks</t>
        </is>
      </c>
      <c r="D2977" s="10" t="inlineStr">
        <is>
          <t>Deciphering cell-cell communication with deep learning</t>
        </is>
      </c>
      <c r="E2977" s="10" t="inlineStr">
        <is>
          <t>Yutong Wang</t>
        </is>
      </c>
      <c r="F2977" s="11" t="inlineStr">
        <is>
          <t>16:14</t>
        </is>
      </c>
      <c r="G2977" s="11" t="n">
        <v>0.27</v>
      </c>
      <c r="H2977" s="12" t="inlineStr"/>
      <c r="I2977" s="11" t="inlineStr">
        <is>
          <t>Not started</t>
        </is>
      </c>
      <c r="J2977" s="13" t="n"/>
      <c r="K2977" s="10" t="inlineStr"/>
      <c r="L2977" s="14" t="inlineStr">
        <is>
          <t>▶ watch</t>
        </is>
      </c>
      <c r="M2977" s="10" t="inlineStr"/>
      <c r="N2977" s="11" t="inlineStr"/>
      <c r="O2977" s="11" t="inlineStr">
        <is>
          <t>course lecture - no single paper</t>
        </is>
      </c>
      <c r="P2977" s="10" t="inlineStr"/>
    </row>
    <row r="2978">
      <c r="A2978" s="23" t="n">
        <v>2977</v>
      </c>
      <c r="B2978" s="23" t="inlineStr">
        <is>
          <t>Part VI - Appendices</t>
        </is>
      </c>
      <c r="C2978" s="24" t="inlineStr">
        <is>
          <t>MLCB 2023 - selected full talks</t>
        </is>
      </c>
      <c r="D2978" s="10" t="inlineStr">
        <is>
          <t>Investigating RNA splicing as a source of cellular diversity</t>
        </is>
      </c>
      <c r="E2978" s="10" t="inlineStr">
        <is>
          <t>Karin Isaev</t>
        </is>
      </c>
      <c r="F2978" s="11" t="inlineStr">
        <is>
          <t>17:57</t>
        </is>
      </c>
      <c r="G2978" s="11" t="n">
        <v>0.3</v>
      </c>
      <c r="H2978" s="12" t="inlineStr"/>
      <c r="I2978" s="11" t="inlineStr">
        <is>
          <t>Not started</t>
        </is>
      </c>
      <c r="J2978" s="13" t="n"/>
      <c r="K2978" s="10" t="inlineStr"/>
      <c r="L2978" s="14" t="inlineStr">
        <is>
          <t>▶ watch</t>
        </is>
      </c>
      <c r="M2978" s="10" t="inlineStr"/>
      <c r="N2978" s="11" t="inlineStr"/>
      <c r="O2978" s="11" t="inlineStr">
        <is>
          <t>course lecture - no single paper</t>
        </is>
      </c>
      <c r="P2978" s="10" t="inlineStr"/>
    </row>
    <row r="2979">
      <c r="A2979" s="23" t="n">
        <v>2978</v>
      </c>
      <c r="B2979" s="23" t="inlineStr">
        <is>
          <t>Part VI - Appendices</t>
        </is>
      </c>
      <c r="C2979" s="24" t="inlineStr">
        <is>
          <t>MLCB 2023 - selected full talks</t>
        </is>
      </c>
      <c r="D2979" s="10" t="inlineStr">
        <is>
          <t>A Masked Image Modeling Approach to CyCIF Panel Reduction</t>
        </is>
      </c>
      <c r="E2979" s="10" t="inlineStr">
        <is>
          <t>Zachary Sims (OHSU</t>
        </is>
      </c>
      <c r="F2979" s="11" t="inlineStr">
        <is>
          <t>17:50</t>
        </is>
      </c>
      <c r="G2979" s="11" t="n">
        <v>0.3</v>
      </c>
      <c r="H2979" s="12" t="inlineStr"/>
      <c r="I2979" s="11" t="inlineStr">
        <is>
          <t>Not started</t>
        </is>
      </c>
      <c r="J2979" s="13" t="n"/>
      <c r="K2979" s="10" t="inlineStr"/>
      <c r="L2979" s="14" t="inlineStr">
        <is>
          <t>▶ watch</t>
        </is>
      </c>
      <c r="M2979" s="10" t="inlineStr"/>
      <c r="N2979" s="11" t="inlineStr"/>
      <c r="O2979" s="11" t="inlineStr">
        <is>
          <t>course lecture - no single paper</t>
        </is>
      </c>
      <c r="P2979" s="10" t="inlineStr"/>
    </row>
    <row r="2980">
      <c r="A2980" s="23" t="n">
        <v>2979</v>
      </c>
      <c r="B2980" s="23" t="inlineStr">
        <is>
          <t>Part VI - Appendices</t>
        </is>
      </c>
      <c r="C2980" s="24" t="inlineStr">
        <is>
          <t>MLCB 2023 - selected full talks</t>
        </is>
      </c>
      <c r="D2980" s="10" t="inlineStr">
        <is>
          <t>Pseudotime analysis for time-series single-cell data</t>
        </is>
      </c>
      <c r="E2980" s="10" t="inlineStr">
        <is>
          <t>Gang Li (UW</t>
        </is>
      </c>
      <c r="F2980" s="11" t="inlineStr">
        <is>
          <t>15:46</t>
        </is>
      </c>
      <c r="G2980" s="11" t="n">
        <v>0.26</v>
      </c>
      <c r="H2980" s="12" t="inlineStr"/>
      <c r="I2980" s="11" t="inlineStr">
        <is>
          <t>Not started</t>
        </is>
      </c>
      <c r="J2980" s="13" t="n"/>
      <c r="K2980" s="10" t="inlineStr"/>
      <c r="L2980" s="14" t="inlineStr">
        <is>
          <t>▶ watch</t>
        </is>
      </c>
      <c r="M2980" s="10" t="inlineStr"/>
      <c r="N2980" s="11" t="inlineStr"/>
      <c r="O2980" s="11" t="inlineStr">
        <is>
          <t>course lecture - no single paper</t>
        </is>
      </c>
      <c r="P2980" s="10" t="inlineStr"/>
    </row>
    <row r="2981">
      <c r="A2981" s="23" t="n">
        <v>2980</v>
      </c>
      <c r="B2981" s="23" t="inlineStr">
        <is>
          <t>Part VI - Appendices</t>
        </is>
      </c>
      <c r="C2981" s="24" t="inlineStr">
        <is>
          <t>MLCB 2023 - selected full talks</t>
        </is>
      </c>
      <c r="D2981" s="10" t="inlineStr">
        <is>
          <t>Decoding the Genetic Code of Neuronal Type Connectivity</t>
        </is>
      </c>
      <c r="E2981" s="10" t="inlineStr">
        <is>
          <t>Mu Qiao</t>
        </is>
      </c>
      <c r="F2981" s="11" t="inlineStr">
        <is>
          <t>16:42</t>
        </is>
      </c>
      <c r="G2981" s="11" t="n">
        <v>0.28</v>
      </c>
      <c r="H2981" s="12" t="inlineStr"/>
      <c r="I2981" s="11" t="inlineStr">
        <is>
          <t>Not started</t>
        </is>
      </c>
      <c r="J2981" s="13" t="n"/>
      <c r="K2981" s="10" t="inlineStr"/>
      <c r="L2981" s="14" t="inlineStr">
        <is>
          <t>▶ watch</t>
        </is>
      </c>
      <c r="M2981" s="10" t="inlineStr"/>
      <c r="N2981" s="11" t="inlineStr"/>
      <c r="O2981" s="11" t="inlineStr">
        <is>
          <t>course lecture - no single paper</t>
        </is>
      </c>
      <c r="P2981" s="10" t="inlineStr"/>
    </row>
    <row r="2982">
      <c r="A2982" s="23" t="n">
        <v>2981</v>
      </c>
      <c r="B2982" s="23" t="inlineStr">
        <is>
          <t>Part VI - Appendices</t>
        </is>
      </c>
      <c r="C2982" s="24" t="inlineStr">
        <is>
          <t>MLCB 2019 - the early-method talks that aged well</t>
        </is>
      </c>
      <c r="D2982" s="10" t="inlineStr">
        <is>
          <t>Intro and travel awards</t>
        </is>
      </c>
      <c r="E2982" s="10" t="inlineStr"/>
      <c r="F2982" s="11" t="inlineStr">
        <is>
          <t>3:56</t>
        </is>
      </c>
      <c r="G2982" s="11" t="n">
        <v>0.07000000000000001</v>
      </c>
      <c r="H2982" s="12" t="inlineStr"/>
      <c r="I2982" s="11" t="inlineStr">
        <is>
          <t>Not started</t>
        </is>
      </c>
      <c r="J2982" s="13" t="n"/>
      <c r="K2982" s="10" t="inlineStr"/>
      <c r="L2982" s="14" t="inlineStr">
        <is>
          <t>▶ watch</t>
        </is>
      </c>
      <c r="M2982" s="10" t="inlineStr"/>
      <c r="N2982" s="11" t="inlineStr"/>
      <c r="O2982" s="11" t="inlineStr">
        <is>
          <t>course lecture - no single paper</t>
        </is>
      </c>
      <c r="P2982" s="10" t="inlineStr"/>
    </row>
    <row r="2983">
      <c r="A2983" s="23" t="n">
        <v>2982</v>
      </c>
      <c r="B2983" s="23" t="inlineStr">
        <is>
          <t>Part VI - Appendices</t>
        </is>
      </c>
      <c r="C2983" s="24" t="inlineStr">
        <is>
          <t>MLCB 2019 - the early-method talks that aged well</t>
        </is>
      </c>
      <c r="D2983" s="10" t="inlineStr">
        <is>
          <t>Deep Multiple Instance Learning for Taxonomic Classification</t>
        </is>
      </c>
      <c r="E2983" s="10" t="inlineStr">
        <is>
          <t>Vincent Fortuin (ETH</t>
        </is>
      </c>
      <c r="F2983" s="11" t="inlineStr">
        <is>
          <t>13:11</t>
        </is>
      </c>
      <c r="G2983" s="11" t="n">
        <v>0.22</v>
      </c>
      <c r="H2983" s="12" t="inlineStr"/>
      <c r="I2983" s="11" t="inlineStr">
        <is>
          <t>Not started</t>
        </is>
      </c>
      <c r="J2983" s="13" t="n"/>
      <c r="K2983" s="10" t="inlineStr"/>
      <c r="L2983" s="14" t="inlineStr">
        <is>
          <t>▶ watch</t>
        </is>
      </c>
      <c r="M2983" s="10" t="inlineStr"/>
      <c r="N2983" s="11" t="inlineStr"/>
      <c r="O2983" s="11" t="inlineStr">
        <is>
          <t>course lecture - no single paper</t>
        </is>
      </c>
      <c r="P2983" s="10" t="inlineStr"/>
    </row>
    <row r="2984">
      <c r="A2984" s="23" t="n">
        <v>2983</v>
      </c>
      <c r="B2984" s="23" t="inlineStr">
        <is>
          <t>Part VI - Appendices</t>
        </is>
      </c>
      <c r="C2984" s="24" t="inlineStr">
        <is>
          <t>MLCB 2019 - the early-method talks that aged well</t>
        </is>
      </c>
      <c r="D2984" s="10" t="inlineStr">
        <is>
          <t>Cross-species Transcription Factor Binding Prediction</t>
        </is>
      </c>
      <c r="E2984" s="10" t="inlineStr">
        <is>
          <t>Kelly Cochran</t>
        </is>
      </c>
      <c r="F2984" s="11" t="inlineStr">
        <is>
          <t>12:20</t>
        </is>
      </c>
      <c r="G2984" s="11" t="n">
        <v>0.21</v>
      </c>
      <c r="H2984" s="12" t="inlineStr"/>
      <c r="I2984" s="11" t="inlineStr">
        <is>
          <t>Not started</t>
        </is>
      </c>
      <c r="J2984" s="13" t="n"/>
      <c r="K2984" s="10" t="inlineStr"/>
      <c r="L2984" s="14" t="inlineStr">
        <is>
          <t>▶ watch</t>
        </is>
      </c>
      <c r="M2984" s="10" t="inlineStr"/>
      <c r="N2984" s="11" t="inlineStr"/>
      <c r="O2984" s="11" t="inlineStr">
        <is>
          <t>course lecture - no single paper</t>
        </is>
      </c>
      <c r="P2984" s="10" t="inlineStr"/>
    </row>
    <row r="2985">
      <c r="A2985" s="23" t="n">
        <v>2984</v>
      </c>
      <c r="B2985" s="23" t="inlineStr">
        <is>
          <t>Part VI - Appendices</t>
        </is>
      </c>
      <c r="C2985" s="24" t="inlineStr">
        <is>
          <t>MLCB 2019 - the early-method talks that aged well</t>
        </is>
      </c>
      <c r="D2985" s="10" t="inlineStr">
        <is>
          <t>Efficient variance components analysis across millions of genomes</t>
        </is>
      </c>
      <c r="E2985" s="10" t="inlineStr">
        <is>
          <t>Sriram Sankararaman (UCLA</t>
        </is>
      </c>
      <c r="F2985" s="11" t="inlineStr">
        <is>
          <t>13:34</t>
        </is>
      </c>
      <c r="G2985" s="11" t="n">
        <v>0.23</v>
      </c>
      <c r="H2985" s="12" t="inlineStr"/>
      <c r="I2985" s="11" t="inlineStr">
        <is>
          <t>Not started</t>
        </is>
      </c>
      <c r="J2985" s="13" t="n"/>
      <c r="K2985" s="10" t="inlineStr"/>
      <c r="L2985" s="14" t="inlineStr">
        <is>
          <t>▶ watch</t>
        </is>
      </c>
      <c r="M2985" s="10" t="inlineStr"/>
      <c r="N2985" s="11" t="inlineStr"/>
      <c r="O2985" s="11" t="inlineStr">
        <is>
          <t>course lecture - no single paper</t>
        </is>
      </c>
      <c r="P2985" s="10" t="inlineStr"/>
    </row>
    <row r="2986">
      <c r="A2986" s="23" t="n">
        <v>2985</v>
      </c>
      <c r="B2986" s="23" t="inlineStr">
        <is>
          <t>Part VI - Appendices</t>
        </is>
      </c>
      <c r="C2986" s="24" t="inlineStr">
        <is>
          <t>MLCB 2019 - the early-method talks that aged well</t>
        </is>
      </c>
      <c r="D2986" s="10" t="inlineStr">
        <is>
          <t>Energy-based models for atomic-resolution protein conformations</t>
        </is>
      </c>
      <c r="E2986" s="10" t="inlineStr">
        <is>
          <t>Yilun Du (MIT</t>
        </is>
      </c>
      <c r="F2986" s="11" t="inlineStr">
        <is>
          <t>12:00</t>
        </is>
      </c>
      <c r="G2986" s="11" t="n">
        <v>0.2</v>
      </c>
      <c r="H2986" s="12" t="inlineStr">
        <is>
          <t>★</t>
        </is>
      </c>
      <c r="I2986" s="11" t="inlineStr">
        <is>
          <t>Not started</t>
        </is>
      </c>
      <c r="J2986" s="13" t="n"/>
      <c r="K2986" s="10" t="inlineStr"/>
      <c r="L2986" s="14" t="inlineStr">
        <is>
          <t>▶ watch</t>
        </is>
      </c>
      <c r="M2986" s="10" t="inlineStr"/>
      <c r="N2986" s="11" t="inlineStr"/>
      <c r="O2986" s="11" t="inlineStr">
        <is>
          <t>course lecture - no single paper</t>
        </is>
      </c>
      <c r="P2986" s="10" t="inlineStr"/>
    </row>
    <row r="2987">
      <c r="A2987" s="23" t="n">
        <v>2986</v>
      </c>
      <c r="B2987" s="23" t="inlineStr">
        <is>
          <t>Part VI - Appendices</t>
        </is>
      </c>
      <c r="C2987" s="24" t="inlineStr">
        <is>
          <t>MLCB 2019 - the early-method talks that aged well</t>
        </is>
      </c>
      <c r="D2987" s="10" t="inlineStr">
        <is>
          <t>Learning unsupervised feature representations for single-cell microscopy</t>
        </is>
      </c>
      <c r="E2987" s="10" t="inlineStr">
        <is>
          <t>Alex Lu (Toronto</t>
        </is>
      </c>
      <c r="F2987" s="11" t="inlineStr">
        <is>
          <t>14:14</t>
        </is>
      </c>
      <c r="G2987" s="11" t="n">
        <v>0.24</v>
      </c>
      <c r="H2987" s="12" t="inlineStr"/>
      <c r="I2987" s="11" t="inlineStr">
        <is>
          <t>Not started</t>
        </is>
      </c>
      <c r="J2987" s="13" t="n"/>
      <c r="K2987" s="10" t="inlineStr"/>
      <c r="L2987" s="14" t="inlineStr">
        <is>
          <t>▶ watch</t>
        </is>
      </c>
      <c r="M2987" s="10" t="inlineStr"/>
      <c r="N2987" s="11" t="inlineStr"/>
      <c r="O2987" s="11" t="inlineStr">
        <is>
          <t>course lecture - no single paper</t>
        </is>
      </c>
      <c r="P2987" s="10" t="inlineStr"/>
    </row>
    <row r="2988">
      <c r="A2988" s="23" t="n">
        <v>2987</v>
      </c>
      <c r="B2988" s="23" t="inlineStr">
        <is>
          <t>Part VI - Appendices</t>
        </is>
      </c>
      <c r="C2988" s="24" t="inlineStr">
        <is>
          <t>MLCB 2019 - the early-method talks that aged well</t>
        </is>
      </c>
      <c r="D2988" s="10" t="inlineStr">
        <is>
          <t>Keynote - ML methods for big genomic and proteomic data</t>
        </is>
      </c>
      <c r="E2988" s="10" t="inlineStr">
        <is>
          <t>William Noble (UW</t>
        </is>
      </c>
      <c r="F2988" s="11" t="inlineStr">
        <is>
          <t>48:28</t>
        </is>
      </c>
      <c r="G2988" s="11" t="n">
        <v>0.8100000000000001</v>
      </c>
      <c r="H2988" s="12" t="inlineStr">
        <is>
          <t>★</t>
        </is>
      </c>
      <c r="I2988" s="11" t="inlineStr">
        <is>
          <t>Not started</t>
        </is>
      </c>
      <c r="J2988" s="13" t="n"/>
      <c r="K2988" s="10" t="inlineStr"/>
      <c r="L2988" s="14" t="inlineStr">
        <is>
          <t>▶ watch</t>
        </is>
      </c>
      <c r="M2988" s="10" t="inlineStr"/>
      <c r="N2988" s="11" t="inlineStr"/>
      <c r="O2988" s="11" t="inlineStr">
        <is>
          <t>course lecture - no single paper</t>
        </is>
      </c>
      <c r="P2988" s="10" t="inlineStr"/>
    </row>
    <row r="2989">
      <c r="A2989" s="23" t="n">
        <v>2988</v>
      </c>
      <c r="B2989" s="23" t="inlineStr">
        <is>
          <t>Part VI - Appendices</t>
        </is>
      </c>
      <c r="C2989" s="24" t="inlineStr">
        <is>
          <t>The channel itself</t>
        </is>
      </c>
      <c r="D2989" s="10" t="inlineStr">
        <is>
          <t>David Baker explains his Nobel Prize research on protein design</t>
        </is>
      </c>
      <c r="E2989" s="10" t="inlineStr"/>
      <c r="F2989" s="11" t="inlineStr">
        <is>
          <t>8:52</t>
        </is>
      </c>
      <c r="G2989" s="11" t="n">
        <v>0.15</v>
      </c>
      <c r="H2989" s="12" t="inlineStr">
        <is>
          <t>★</t>
        </is>
      </c>
      <c r="I2989" s="11" t="inlineStr">
        <is>
          <t>Not started</t>
        </is>
      </c>
      <c r="J2989" s="13" t="n"/>
      <c r="K2989" s="10" t="inlineStr"/>
      <c r="L2989" s="14" t="inlineStr">
        <is>
          <t>▶ watch</t>
        </is>
      </c>
      <c r="M2989" s="10" t="inlineStr"/>
      <c r="N2989" s="11" t="inlineStr"/>
      <c r="O2989" s="11" t="inlineStr">
        <is>
          <t>course lecture - no single paper</t>
        </is>
      </c>
      <c r="P2989" s="10" t="inlineStr"/>
    </row>
    <row r="2990">
      <c r="A2990" s="23" t="n">
        <v>2989</v>
      </c>
      <c r="B2990" s="23" t="inlineStr">
        <is>
          <t>Part VI - Appendices</t>
        </is>
      </c>
      <c r="C2990" s="24" t="inlineStr">
        <is>
          <t>The channel itself</t>
        </is>
      </c>
      <c r="D2990" s="10" t="inlineStr">
        <is>
          <t>David Baker Nobel Prize press conference (full</t>
        </is>
      </c>
      <c r="E2990" s="10" t="inlineStr"/>
      <c r="F2990" s="11" t="inlineStr">
        <is>
          <t>26:33</t>
        </is>
      </c>
      <c r="G2990" s="11" t="n">
        <v>0.44</v>
      </c>
      <c r="H2990" s="12" t="inlineStr"/>
      <c r="I2990" s="11" t="inlineStr">
        <is>
          <t>Not started</t>
        </is>
      </c>
      <c r="J2990" s="13" t="n"/>
      <c r="K2990" s="10" t="inlineStr"/>
      <c r="L2990" s="14" t="inlineStr">
        <is>
          <t>▶ watch</t>
        </is>
      </c>
      <c r="M2990" s="10" t="inlineStr"/>
      <c r="N2990" s="11" t="inlineStr"/>
      <c r="O2990" s="11" t="inlineStr">
        <is>
          <t>course lecture - no single paper</t>
        </is>
      </c>
      <c r="P2990" s="10" t="inlineStr"/>
    </row>
    <row r="2991">
      <c r="A2991" s="23" t="n">
        <v>2990</v>
      </c>
      <c r="B2991" s="23" t="inlineStr">
        <is>
          <t>Part VI - Appendices</t>
        </is>
      </c>
      <c r="C2991" s="24" t="inlineStr">
        <is>
          <t>The channel itself</t>
        </is>
      </c>
      <c r="D2991" s="10" t="inlineStr">
        <is>
          <t>PROTEINGENERATOR: Unleashing AI for Protein Design</t>
        </is>
      </c>
      <c r="E2991" s="10" t="inlineStr"/>
      <c r="F2991" s="11" t="inlineStr">
        <is>
          <t>4:54</t>
        </is>
      </c>
      <c r="G2991" s="11" t="n">
        <v>0.08</v>
      </c>
      <c r="H2991" s="12" t="inlineStr"/>
      <c r="I2991" s="11" t="inlineStr">
        <is>
          <t>Not started</t>
        </is>
      </c>
      <c r="J2991" s="13" t="n"/>
      <c r="K2991" s="10" t="inlineStr"/>
      <c r="L2991" s="14" t="inlineStr">
        <is>
          <t>▶ watch</t>
        </is>
      </c>
      <c r="M2991" s="10" t="inlineStr"/>
      <c r="N2991" s="11" t="inlineStr"/>
      <c r="O2991" s="11" t="inlineStr">
        <is>
          <t>course lecture - no single paper</t>
        </is>
      </c>
      <c r="P2991" s="10" t="inlineStr"/>
    </row>
    <row r="2992">
      <c r="A2992" s="23" t="n">
        <v>2991</v>
      </c>
      <c r="B2992" s="23" t="inlineStr">
        <is>
          <t>Part VI - Appendices</t>
        </is>
      </c>
      <c r="C2992" s="24" t="inlineStr">
        <is>
          <t>The channel itself</t>
        </is>
      </c>
      <c r="D2992" s="10" t="inlineStr">
        <is>
          <t>Coronavirus Research Update from Rosetta@Home</t>
        </is>
      </c>
      <c r="E2992" s="10" t="inlineStr"/>
      <c r="F2992" s="11" t="inlineStr">
        <is>
          <t>1:42</t>
        </is>
      </c>
      <c r="G2992" s="11" t="n">
        <v>0.03</v>
      </c>
      <c r="H2992" s="12" t="inlineStr"/>
      <c r="I2992" s="11" t="inlineStr">
        <is>
          <t>Not started</t>
        </is>
      </c>
      <c r="J2992" s="13" t="n"/>
      <c r="K2992" s="10" t="inlineStr"/>
      <c r="L2992" s="14" t="inlineStr">
        <is>
          <t>▶ watch</t>
        </is>
      </c>
      <c r="M2992" s="10" t="inlineStr"/>
      <c r="N2992" s="11" t="inlineStr"/>
      <c r="O2992" s="11" t="inlineStr">
        <is>
          <t>course lecture - no single paper</t>
        </is>
      </c>
      <c r="P2992" s="10" t="inlineStr"/>
    </row>
    <row r="2993">
      <c r="A2993" s="23" t="n">
        <v>2992</v>
      </c>
      <c r="B2993" s="23" t="inlineStr">
        <is>
          <t>Part VI - Appendices</t>
        </is>
      </c>
      <c r="C2993" s="24" t="inlineStr">
        <is>
          <t>The channel itself</t>
        </is>
      </c>
      <c r="D2993" s="10" t="inlineStr">
        <is>
          <t>Our Audacious Project: Launching the Protein Design Revolution</t>
        </is>
      </c>
      <c r="E2993" s="10" t="inlineStr"/>
      <c r="F2993" s="11" t="inlineStr">
        <is>
          <t>0:57</t>
        </is>
      </c>
      <c r="G2993" s="11" t="n">
        <v>0.02</v>
      </c>
      <c r="H2993" s="12" t="inlineStr"/>
      <c r="I2993" s="11" t="inlineStr">
        <is>
          <t>Not started</t>
        </is>
      </c>
      <c r="J2993" s="13" t="n"/>
      <c r="K2993" s="10" t="inlineStr"/>
      <c r="L2993" s="14" t="inlineStr">
        <is>
          <t>▶ watch</t>
        </is>
      </c>
      <c r="M2993" s="10" t="inlineStr"/>
      <c r="N2993" s="11" t="inlineStr"/>
      <c r="O2993" s="11" t="inlineStr">
        <is>
          <t>course lecture - no single paper</t>
        </is>
      </c>
      <c r="P2993" s="10" t="inlineStr"/>
    </row>
    <row r="2994">
      <c r="A2994" s="23" t="n">
        <v>2993</v>
      </c>
      <c r="B2994" s="23" t="inlineStr">
        <is>
          <t>Part VI - Appendices</t>
        </is>
      </c>
      <c r="C2994" s="24" t="inlineStr">
        <is>
          <t>The channel itself</t>
        </is>
      </c>
      <c r="D2994" s="10" t="inlineStr">
        <is>
          <t>What is the Institute for Protein Design?</t>
        </is>
      </c>
      <c r="E2994" s="10" t="inlineStr"/>
      <c r="F2994" s="11" t="inlineStr">
        <is>
          <t>3:30</t>
        </is>
      </c>
      <c r="G2994" s="11" t="n">
        <v>0.06</v>
      </c>
      <c r="H2994" s="12" t="inlineStr"/>
      <c r="I2994" s="11" t="inlineStr">
        <is>
          <t>Not started</t>
        </is>
      </c>
      <c r="J2994" s="13" t="n"/>
      <c r="K2994" s="10" t="inlineStr"/>
      <c r="L2994" s="14" t="inlineStr">
        <is>
          <t>▶ watch</t>
        </is>
      </c>
      <c r="M2994" s="10" t="inlineStr"/>
      <c r="N2994" s="11" t="inlineStr"/>
      <c r="O2994" s="11" t="inlineStr">
        <is>
          <t>course lecture - no single paper</t>
        </is>
      </c>
      <c r="P2994" s="10" t="inlineStr"/>
    </row>
    <row r="2995">
      <c r="A2995" s="23" t="n">
        <v>2994</v>
      </c>
      <c r="B2995" s="23" t="inlineStr">
        <is>
          <t>Part VI - Appendices</t>
        </is>
      </c>
      <c r="C2995" s="24" t="inlineStr">
        <is>
          <t>Introductory and IPD TV</t>
        </is>
      </c>
      <c r="D2995" s="10" t="inlineStr">
        <is>
          <t>5 challenges we could solve by designing new proteins</t>
        </is>
      </c>
      <c r="E2995" s="10" t="inlineStr">
        <is>
          <t>David Baker (TED</t>
        </is>
      </c>
      <c r="F2995" s="11" t="inlineStr"/>
      <c r="G2995" s="11" t="n">
        <v>0</v>
      </c>
      <c r="H2995" s="12" t="inlineStr"/>
      <c r="I2995" s="11" t="inlineStr">
        <is>
          <t>Not started</t>
        </is>
      </c>
      <c r="J2995" s="13" t="n"/>
      <c r="K2995" s="10" t="inlineStr"/>
      <c r="L2995" s="14" t="inlineStr">
        <is>
          <t>▶ watch</t>
        </is>
      </c>
      <c r="M2995" s="10" t="inlineStr"/>
      <c r="N2995" s="11" t="inlineStr"/>
      <c r="O2995" s="11" t="inlineStr">
        <is>
          <t>course lecture - no single paper</t>
        </is>
      </c>
      <c r="P2995" s="10" t="inlineStr"/>
    </row>
    <row r="2996">
      <c r="A2996" s="23" t="n">
        <v>2995</v>
      </c>
      <c r="B2996" s="23" t="inlineStr">
        <is>
          <t>Part VI - Appendices</t>
        </is>
      </c>
      <c r="C2996" s="24" t="inlineStr">
        <is>
          <t>Introductory and IPD TV</t>
        </is>
      </c>
      <c r="D2996" s="10" t="inlineStr">
        <is>
          <t>The protein folding revolution</t>
        </is>
      </c>
      <c r="E2996" s="10" t="inlineStr"/>
      <c r="F2996" s="11" t="inlineStr">
        <is>
          <t>3:44</t>
        </is>
      </c>
      <c r="G2996" s="11" t="n">
        <v>0.06</v>
      </c>
      <c r="H2996" s="12" t="inlineStr"/>
      <c r="I2996" s="11" t="inlineStr">
        <is>
          <t>Not started</t>
        </is>
      </c>
      <c r="J2996" s="13" t="n"/>
      <c r="K2996" s="10" t="inlineStr"/>
      <c r="L2996" s="14" t="inlineStr">
        <is>
          <t>▶ watch</t>
        </is>
      </c>
      <c r="M2996" s="10" t="inlineStr"/>
      <c r="N2996" s="11" t="inlineStr"/>
      <c r="O2996" s="11" t="inlineStr">
        <is>
          <t>course lecture - no single paper</t>
        </is>
      </c>
      <c r="P2996" s="10" t="inlineStr"/>
    </row>
    <row r="2997">
      <c r="A2997" s="23" t="n">
        <v>2996</v>
      </c>
      <c r="B2997" s="23" t="inlineStr">
        <is>
          <t>Part VI - Appendices</t>
        </is>
      </c>
      <c r="C2997" s="24" t="inlineStr">
        <is>
          <t>Introductory and IPD TV</t>
        </is>
      </c>
      <c r="D2997" s="10" t="inlineStr">
        <is>
          <t>Design of novel protein nanomaterials for structure-based vaccine design</t>
        </is>
      </c>
      <c r="E2997" s="10" t="inlineStr"/>
      <c r="F2997" s="11" t="inlineStr">
        <is>
          <t>55:46</t>
        </is>
      </c>
      <c r="G2997" s="11" t="n">
        <v>0.93</v>
      </c>
      <c r="H2997" s="12" t="inlineStr"/>
      <c r="I2997" s="11" t="inlineStr">
        <is>
          <t>Not started</t>
        </is>
      </c>
      <c r="J2997" s="13" t="n"/>
      <c r="K2997" s="10" t="inlineStr"/>
      <c r="L2997" s="14" t="inlineStr">
        <is>
          <t>▶ watch</t>
        </is>
      </c>
      <c r="M2997" s="10" t="inlineStr"/>
      <c r="N2997" s="11" t="inlineStr"/>
      <c r="O2997" s="11" t="inlineStr">
        <is>
          <t>course lecture - no single paper</t>
        </is>
      </c>
      <c r="P2997" s="10" t="inlineStr"/>
    </row>
    <row r="2998">
      <c r="A2998" s="23" t="n">
        <v>2997</v>
      </c>
      <c r="B2998" s="23" t="inlineStr">
        <is>
          <t>Part VI - Appendices</t>
        </is>
      </c>
      <c r="C2998" s="24" t="inlineStr">
        <is>
          <t>Introductory and IPD TV</t>
        </is>
      </c>
      <c r="D2998" s="10" t="inlineStr">
        <is>
          <t>UW Discoveries - Protein Design</t>
        </is>
      </c>
      <c r="E2998" s="10" t="inlineStr"/>
      <c r="F2998" s="11" t="inlineStr">
        <is>
          <t>3:10</t>
        </is>
      </c>
      <c r="G2998" s="11" t="n">
        <v>0.05</v>
      </c>
      <c r="H2998" s="12" t="inlineStr"/>
      <c r="I2998" s="11" t="inlineStr">
        <is>
          <t>Not started</t>
        </is>
      </c>
      <c r="J2998" s="13" t="n"/>
      <c r="K2998" s="10" t="inlineStr"/>
      <c r="L2998" s="14" t="inlineStr">
        <is>
          <t>▶ watch</t>
        </is>
      </c>
      <c r="M2998" s="10" t="inlineStr"/>
      <c r="N2998" s="11" t="inlineStr"/>
      <c r="O2998" s="11" t="inlineStr">
        <is>
          <t>course lecture - no single paper</t>
        </is>
      </c>
      <c r="P2998" s="10" t="inlineStr"/>
    </row>
    <row r="2999">
      <c r="A2999" s="23" t="n">
        <v>2998</v>
      </c>
      <c r="B2999" s="23" t="inlineStr">
        <is>
          <t>Part VI - Appendices</t>
        </is>
      </c>
      <c r="C2999" s="24" t="inlineStr">
        <is>
          <t>Introductory and IPD TV</t>
        </is>
      </c>
      <c r="D2999" s="10" t="inlineStr">
        <is>
          <t>IPD TV Ep. 1 - Using Design Tracker</t>
        </is>
      </c>
      <c r="E2999" s="10" t="inlineStr">
        <is>
          <t>Lauren Carter</t>
        </is>
      </c>
      <c r="F2999" s="11" t="inlineStr">
        <is>
          <t>11:57</t>
        </is>
      </c>
      <c r="G2999" s="11" t="n">
        <v>0.2</v>
      </c>
      <c r="H2999" s="12" t="inlineStr"/>
      <c r="I2999" s="11" t="inlineStr">
        <is>
          <t>Not started</t>
        </is>
      </c>
      <c r="J2999" s="13" t="n"/>
      <c r="K2999" s="10" t="inlineStr"/>
      <c r="L2999" s="14" t="inlineStr">
        <is>
          <t>▶ watch</t>
        </is>
      </c>
      <c r="M2999" s="10" t="inlineStr"/>
      <c r="N2999" s="11" t="inlineStr"/>
      <c r="O2999" s="11" t="inlineStr">
        <is>
          <t>course lecture - no single paper</t>
        </is>
      </c>
      <c r="P2999" s="10" t="inlineStr"/>
    </row>
    <row r="3000">
      <c r="A3000" s="23" t="n">
        <v>2999</v>
      </c>
      <c r="B3000" s="23" t="inlineStr">
        <is>
          <t>Part VI - Appendices</t>
        </is>
      </c>
      <c r="C3000" s="24" t="inlineStr">
        <is>
          <t>Introductory and IPD TV</t>
        </is>
      </c>
      <c r="D3000" s="10" t="inlineStr">
        <is>
          <t>Compute Support at the IPD</t>
        </is>
      </c>
      <c r="E3000" s="10" t="inlineStr">
        <is>
          <t>Darwin Alonso</t>
        </is>
      </c>
      <c r="F3000" s="11" t="inlineStr">
        <is>
          <t>3:18</t>
        </is>
      </c>
      <c r="G3000" s="11" t="n">
        <v>0.06</v>
      </c>
      <c r="H3000" s="12" t="inlineStr"/>
      <c r="I3000" s="11" t="inlineStr">
        <is>
          <t>Not started</t>
        </is>
      </c>
      <c r="J3000" s="13" t="n"/>
      <c r="K3000" s="10" t="inlineStr"/>
      <c r="L3000" s="14" t="inlineStr">
        <is>
          <t>▶ watch</t>
        </is>
      </c>
      <c r="M3000" s="10" t="inlineStr"/>
      <c r="N3000" s="11" t="inlineStr"/>
      <c r="O3000" s="11" t="inlineStr">
        <is>
          <t>course lecture - no single paper</t>
        </is>
      </c>
      <c r="P3000" s="10" t="inlineStr"/>
    </row>
    <row r="3001">
      <c r="A3001" s="23" t="n">
        <v>3000</v>
      </c>
      <c r="B3001" s="23" t="inlineStr">
        <is>
          <t>Part VI - Appendices</t>
        </is>
      </c>
      <c r="C3001" s="24" t="inlineStr">
        <is>
          <t>Rosetta Bootcamp, Seattle, January 2016 - 8 videos</t>
        </is>
      </c>
      <c r="D3001" s="10" t="inlineStr">
        <is>
          <t>Lecture 02 - Library Structure 2</t>
        </is>
      </c>
      <c r="E3001" s="10" t="inlineStr">
        <is>
          <t>Hahnbeom Park</t>
        </is>
      </c>
      <c r="F3001" s="11" t="inlineStr">
        <is>
          <t>49:38</t>
        </is>
      </c>
      <c r="G3001" s="11" t="n">
        <v>0.83</v>
      </c>
      <c r="H3001" s="12" t="inlineStr"/>
      <c r="I3001" s="11" t="inlineStr">
        <is>
          <t>Not started</t>
        </is>
      </c>
      <c r="J3001" s="13" t="n"/>
      <c r="K3001" s="10" t="inlineStr"/>
      <c r="L3001" s="14" t="inlineStr">
        <is>
          <t>▶ watch</t>
        </is>
      </c>
      <c r="M3001" s="10" t="inlineStr"/>
      <c r="N3001" s="11" t="inlineStr"/>
      <c r="O3001" s="11" t="inlineStr">
        <is>
          <t>course lecture - no single paper</t>
        </is>
      </c>
      <c r="P3001" s="10" t="inlineStr"/>
    </row>
    <row r="3002">
      <c r="A3002" s="23" t="n">
        <v>3001</v>
      </c>
      <c r="B3002" s="23" t="inlineStr">
        <is>
          <t>Part VI - Appendices</t>
        </is>
      </c>
      <c r="C3002" s="24" t="inlineStr">
        <is>
          <t>Rosetta Bootcamp, Seattle, January 2016 - 8 videos</t>
        </is>
      </c>
      <c r="D3002" s="10" t="inlineStr">
        <is>
          <t>Lecture 03 - C++ Classes #2</t>
        </is>
      </c>
      <c r="E3002" s="10" t="inlineStr">
        <is>
          <t>Vikram Mulligan</t>
        </is>
      </c>
      <c r="F3002" s="11" t="inlineStr">
        <is>
          <t>45:38</t>
        </is>
      </c>
      <c r="G3002" s="11" t="n">
        <v>0.76</v>
      </c>
      <c r="H3002" s="12" t="inlineStr"/>
      <c r="I3002" s="11" t="inlineStr">
        <is>
          <t>Not started</t>
        </is>
      </c>
      <c r="J3002" s="13" t="n"/>
      <c r="K3002" s="10" t="inlineStr"/>
      <c r="L3002" s="14" t="inlineStr">
        <is>
          <t>▶ watch</t>
        </is>
      </c>
      <c r="M3002" s="10" t="inlineStr"/>
      <c r="N3002" s="11" t="inlineStr"/>
      <c r="O3002" s="11" t="inlineStr">
        <is>
          <t>course lecture - no single paper</t>
        </is>
      </c>
      <c r="P3002" s="10" t="inlineStr"/>
    </row>
    <row r="3003">
      <c r="A3003" s="23" t="n">
        <v>3002</v>
      </c>
      <c r="B3003" s="23" t="inlineStr">
        <is>
          <t>Part VI - Appendices</t>
        </is>
      </c>
      <c r="C3003" s="24" t="inlineStr">
        <is>
          <t>Rosetta Bootcamp, Seattle, January 2016 - 8 videos</t>
        </is>
      </c>
      <c r="D3003" s="10" t="inlineStr">
        <is>
          <t>Lecture 04 - Graphs</t>
        </is>
      </c>
      <c r="E3003" s="10" t="inlineStr">
        <is>
          <t>Alex Ford</t>
        </is>
      </c>
      <c r="F3003" s="11" t="inlineStr">
        <is>
          <t>1:05:42</t>
        </is>
      </c>
      <c r="G3003" s="11" t="n">
        <v>1.09</v>
      </c>
      <c r="H3003" s="12" t="inlineStr"/>
      <c r="I3003" s="11" t="inlineStr">
        <is>
          <t>Not started</t>
        </is>
      </c>
      <c r="J3003" s="13" t="n"/>
      <c r="K3003" s="10" t="inlineStr"/>
      <c r="L3003" s="14" t="inlineStr">
        <is>
          <t>▶ watch</t>
        </is>
      </c>
      <c r="M3003" s="10" t="inlineStr"/>
      <c r="N3003" s="11" t="inlineStr"/>
      <c r="O3003" s="11" t="inlineStr">
        <is>
          <t>course lecture - no single paper</t>
        </is>
      </c>
      <c r="P3003" s="10" t="inlineStr"/>
    </row>
    <row r="3004">
      <c r="A3004" s="23" t="n">
        <v>3003</v>
      </c>
      <c r="B3004" s="23" t="inlineStr">
        <is>
          <t>Part VI - Appendices</t>
        </is>
      </c>
      <c r="C3004" s="24" t="inlineStr">
        <is>
          <t>Rosetta Bootcamp, Seattle, January 2016 - 8 videos</t>
        </is>
      </c>
      <c r="D3004" s="10" t="inlineStr">
        <is>
          <t>Lecture 05 - Library Structure 4: Simple Protocols</t>
        </is>
      </c>
      <c r="E3004" s="10" t="inlineStr">
        <is>
          <t>Tom Linsky</t>
        </is>
      </c>
      <c r="F3004" s="11" t="inlineStr">
        <is>
          <t>1:13:07</t>
        </is>
      </c>
      <c r="G3004" s="11" t="n">
        <v>1.22</v>
      </c>
      <c r="H3004" s="12" t="inlineStr"/>
      <c r="I3004" s="11" t="inlineStr">
        <is>
          <t>Not started</t>
        </is>
      </c>
      <c r="J3004" s="13" t="n"/>
      <c r="K3004" s="10" t="inlineStr"/>
      <c r="L3004" s="14" t="inlineStr">
        <is>
          <t>▶ watch</t>
        </is>
      </c>
      <c r="M3004" s="10" t="inlineStr"/>
      <c r="N3004" s="11" t="inlineStr"/>
      <c r="O3004" s="11" t="inlineStr">
        <is>
          <t>course lecture - no single paper</t>
        </is>
      </c>
      <c r="P3004" s="10" t="inlineStr"/>
    </row>
    <row r="3005">
      <c r="A3005" s="23" t="n">
        <v>3004</v>
      </c>
      <c r="B3005" s="23" t="inlineStr">
        <is>
          <t>Part VI - Appendices</t>
        </is>
      </c>
      <c r="C3005" s="24" t="inlineStr">
        <is>
          <t>Rosetta Bootcamp, Seattle, January 2016 - 8 videos</t>
        </is>
      </c>
      <c r="D3005" s="10" t="inlineStr">
        <is>
          <t>Lecture 06 - Library Structure 6</t>
        </is>
      </c>
      <c r="E3005" s="10" t="inlineStr">
        <is>
          <t>Frank DiMaio</t>
        </is>
      </c>
      <c r="F3005" s="11" t="inlineStr">
        <is>
          <t>1:13:00</t>
        </is>
      </c>
      <c r="G3005" s="11" t="n">
        <v>1.22</v>
      </c>
      <c r="H3005" s="12" t="inlineStr">
        <is>
          <t>★</t>
        </is>
      </c>
      <c r="I3005" s="11" t="inlineStr">
        <is>
          <t>Not started</t>
        </is>
      </c>
      <c r="J3005" s="13" t="n"/>
      <c r="K3005" s="10" t="inlineStr"/>
      <c r="L3005" s="14" t="inlineStr">
        <is>
          <t>▶ watch</t>
        </is>
      </c>
      <c r="M3005" s="10" t="inlineStr"/>
      <c r="N3005" s="11" t="inlineStr"/>
      <c r="O3005" s="11" t="inlineStr">
        <is>
          <t>course lecture - no single paper</t>
        </is>
      </c>
      <c r="P3005" s="10" t="inlineStr"/>
    </row>
    <row r="3006">
      <c r="A3006" s="23" t="n">
        <v>3005</v>
      </c>
      <c r="B3006" s="23" t="inlineStr">
        <is>
          <t>Part VI - Appendices</t>
        </is>
      </c>
      <c r="C3006" s="24" t="inlineStr">
        <is>
          <t>Rosetta Bootcamp, Seattle, January 2016 - 8 videos</t>
        </is>
      </c>
      <c r="D3006" s="10" t="inlineStr">
        <is>
          <t>Lecture 07 - Adding Code to Rosetta</t>
        </is>
      </c>
      <c r="E3006" s="10" t="inlineStr">
        <is>
          <t>Vikram Mulligan</t>
        </is>
      </c>
      <c r="F3006" s="11" t="inlineStr">
        <is>
          <t>59:12</t>
        </is>
      </c>
      <c r="G3006" s="11" t="n">
        <v>0.99</v>
      </c>
      <c r="H3006" s="12" t="inlineStr"/>
      <c r="I3006" s="11" t="inlineStr">
        <is>
          <t>Not started</t>
        </is>
      </c>
      <c r="J3006" s="13" t="n"/>
      <c r="K3006" s="10" t="inlineStr"/>
      <c r="L3006" s="14" t="inlineStr">
        <is>
          <t>▶ watch</t>
        </is>
      </c>
      <c r="M3006" s="10" t="inlineStr"/>
      <c r="N3006" s="11" t="inlineStr"/>
      <c r="O3006" s="11" t="inlineStr">
        <is>
          <t>course lecture - no single paper</t>
        </is>
      </c>
      <c r="P3006" s="10" t="inlineStr"/>
    </row>
    <row r="3007">
      <c r="A3007" s="23" t="n">
        <v>3006</v>
      </c>
      <c r="B3007" s="23" t="inlineStr">
        <is>
          <t>Part VI - Appendices</t>
        </is>
      </c>
      <c r="C3007" s="24" t="inlineStr">
        <is>
          <t>Rosetta Bootcamp, Seattle, January 2016 - 8 videos</t>
        </is>
      </c>
      <c r="D3007" s="10" t="inlineStr">
        <is>
          <t>Lecture 08 - Library Structure 5</t>
        </is>
      </c>
      <c r="E3007" s="10" t="inlineStr">
        <is>
          <t>Daniel Silva Adriano</t>
        </is>
      </c>
      <c r="F3007" s="11" t="inlineStr">
        <is>
          <t>48:19</t>
        </is>
      </c>
      <c r="G3007" s="11" t="n">
        <v>0.8100000000000001</v>
      </c>
      <c r="H3007" s="12" t="inlineStr"/>
      <c r="I3007" s="11" t="inlineStr">
        <is>
          <t>Not started</t>
        </is>
      </c>
      <c r="J3007" s="13" t="n"/>
      <c r="K3007" s="10" t="inlineStr"/>
      <c r="L3007" s="14" t="inlineStr">
        <is>
          <t>▶ watch</t>
        </is>
      </c>
      <c r="M3007" s="10" t="inlineStr"/>
      <c r="N3007" s="11" t="inlineStr"/>
      <c r="O3007" s="11" t="inlineStr">
        <is>
          <t>course lecture - no single paper</t>
        </is>
      </c>
      <c r="P3007" s="10" t="inlineStr"/>
    </row>
    <row r="3008">
      <c r="A3008" s="23" t="n">
        <v>3007</v>
      </c>
      <c r="B3008" s="23" t="inlineStr">
        <is>
          <t>Part VI - Appendices</t>
        </is>
      </c>
      <c r="C3008" s="24" t="inlineStr">
        <is>
          <t>Rosetta Bootcamp, Seattle, January 2016 - 8 videos</t>
        </is>
      </c>
      <c r="D3008" s="10" t="inlineStr">
        <is>
          <t>Lecture 09 - Library Structure 7: Miscellaneous Protocols</t>
        </is>
      </c>
      <c r="E3008" s="10" t="inlineStr">
        <is>
          <t>Indigo Chris King</t>
        </is>
      </c>
      <c r="F3008" s="11" t="inlineStr">
        <is>
          <t>29:43</t>
        </is>
      </c>
      <c r="G3008" s="11" t="n">
        <v>0.5</v>
      </c>
      <c r="H3008" s="12" t="inlineStr"/>
      <c r="I3008" s="11" t="inlineStr">
        <is>
          <t>Not started</t>
        </is>
      </c>
      <c r="J3008" s="13" t="n"/>
      <c r="K3008" s="10" t="inlineStr"/>
      <c r="L3008" s="14" t="inlineStr">
        <is>
          <t>▶ watch</t>
        </is>
      </c>
      <c r="M3008" s="10" t="inlineStr"/>
      <c r="N3008" s="11" t="inlineStr"/>
      <c r="O3008" s="11" t="inlineStr">
        <is>
          <t>course lecture - no single paper</t>
        </is>
      </c>
      <c r="P3008" s="10" t="inlineStr"/>
    </row>
    <row r="3009">
      <c r="A3009" s="23" t="n">
        <v>3008</v>
      </c>
      <c r="B3009" s="23" t="inlineStr">
        <is>
          <t>Part VI - Appendices</t>
        </is>
      </c>
      <c r="C3009" s="24" t="inlineStr">
        <is>
          <t>Structure prediction, design and biomolecular foundation models</t>
        </is>
      </c>
      <c r="D3009" s="10" t="inlineStr">
        <is>
          <t>Generative Protein Design at Scale: Structural Space to High-Affinity Binders</t>
        </is>
      </c>
      <c r="E3009" s="10" t="inlineStr"/>
      <c r="F3009" s="11" t="inlineStr">
        <is>
          <t>49:26</t>
        </is>
      </c>
      <c r="G3009" s="11" t="n">
        <v>0.82</v>
      </c>
      <c r="H3009" s="12" t="inlineStr"/>
      <c r="I3009" s="11" t="inlineStr">
        <is>
          <t>Not started</t>
        </is>
      </c>
      <c r="J3009" s="13" t="n"/>
      <c r="K3009" s="10" t="inlineStr"/>
      <c r="L3009" s="14" t="inlineStr">
        <is>
          <t>▶ watch</t>
        </is>
      </c>
      <c r="M3009" s="10" t="inlineStr"/>
      <c r="N3009" s="11" t="inlineStr"/>
      <c r="O3009" s="11" t="inlineStr">
        <is>
          <t>course lecture - no single paper</t>
        </is>
      </c>
      <c r="P3009" s="10" t="inlineStr"/>
    </row>
    <row r="3010">
      <c r="A3010" s="23" t="n">
        <v>3009</v>
      </c>
      <c r="B3010" s="23" t="inlineStr">
        <is>
          <t>Part VI - Appendices</t>
        </is>
      </c>
      <c r="C3010" s="24" t="inlineStr">
        <is>
          <t>Structure prediction, design and biomolecular foundation models</t>
        </is>
      </c>
      <c r="D3010" s="10" t="inlineStr">
        <is>
          <t>General Multimodal Protein Design Enables DNA-Encoding of Chemistry</t>
        </is>
      </c>
      <c r="E3010" s="10" t="inlineStr"/>
      <c r="F3010" s="11" t="inlineStr">
        <is>
          <t>1:22:42</t>
        </is>
      </c>
      <c r="G3010" s="11" t="n">
        <v>1.38</v>
      </c>
      <c r="H3010" s="12" t="inlineStr"/>
      <c r="I3010" s="11" t="inlineStr">
        <is>
          <t>Not started</t>
        </is>
      </c>
      <c r="J3010" s="13" t="n"/>
      <c r="K3010" s="10" t="inlineStr"/>
      <c r="L3010" s="14" t="inlineStr">
        <is>
          <t>▶ watch</t>
        </is>
      </c>
      <c r="M3010" s="10" t="inlineStr"/>
      <c r="N3010" s="11" t="inlineStr"/>
      <c r="O3010" s="11" t="inlineStr">
        <is>
          <t>course lecture - no single paper</t>
        </is>
      </c>
      <c r="P3010" s="10" t="inlineStr"/>
    </row>
    <row r="3011">
      <c r="A3011" s="23" t="n">
        <v>3010</v>
      </c>
      <c r="B3011" s="23" t="inlineStr">
        <is>
          <t>Part VI - Appendices</t>
        </is>
      </c>
      <c r="C3011" s="24" t="inlineStr">
        <is>
          <t>Structure prediction, design and biomolecular foundation models</t>
        </is>
      </c>
      <c r="D3011" s="10" t="inlineStr">
        <is>
          <t>SLAE: Strictly Local All-atom Environment for Protein Representation</t>
        </is>
      </c>
      <c r="E3011" s="10" t="inlineStr">
        <is>
          <t>Yilin Chen</t>
        </is>
      </c>
      <c r="F3011" s="11" t="inlineStr">
        <is>
          <t>1:04:01</t>
        </is>
      </c>
      <c r="G3011" s="11" t="n">
        <v>1.07</v>
      </c>
      <c r="H3011" s="12" t="inlineStr"/>
      <c r="I3011" s="11" t="inlineStr">
        <is>
          <t>Not started</t>
        </is>
      </c>
      <c r="J3011" s="13" t="n"/>
      <c r="K3011" s="10" t="inlineStr"/>
      <c r="L3011" s="14" t="inlineStr">
        <is>
          <t>▶ watch</t>
        </is>
      </c>
      <c r="M3011" s="10" t="inlineStr"/>
      <c r="N3011" s="11" t="inlineStr"/>
      <c r="O3011" s="11" t="inlineStr">
        <is>
          <t>course lecture - no single paper</t>
        </is>
      </c>
      <c r="P3011" s="10" t="inlineStr"/>
    </row>
    <row r="3012">
      <c r="A3012" s="23" t="n">
        <v>3011</v>
      </c>
      <c r="B3012" s="23" t="inlineStr">
        <is>
          <t>Part VI - Appendices</t>
        </is>
      </c>
      <c r="C3012" s="24" t="inlineStr">
        <is>
          <t>Structure prediction, design and biomolecular foundation models</t>
        </is>
      </c>
      <c r="D3012" s="10" t="inlineStr">
        <is>
          <t>ATOMICA: Learning Universal Representations of Intermolecular Interactions</t>
        </is>
      </c>
      <c r="E3012" s="10" t="inlineStr">
        <is>
          <t>Ada Fang (Harvard</t>
        </is>
      </c>
      <c r="F3012" s="11" t="inlineStr">
        <is>
          <t>52:00</t>
        </is>
      </c>
      <c r="G3012" s="11" t="n">
        <v>0.87</v>
      </c>
      <c r="H3012" s="12" t="inlineStr"/>
      <c r="I3012" s="11" t="inlineStr">
        <is>
          <t>Not started</t>
        </is>
      </c>
      <c r="J3012" s="13" t="n"/>
      <c r="K3012" s="10" t="inlineStr"/>
      <c r="L3012" s="14" t="inlineStr">
        <is>
          <t>▶ watch</t>
        </is>
      </c>
      <c r="M3012" s="10" t="inlineStr"/>
      <c r="N3012" s="11" t="inlineStr"/>
      <c r="O3012" s="11" t="inlineStr">
        <is>
          <t>course lecture - no single paper</t>
        </is>
      </c>
      <c r="P3012" s="10" t="inlineStr"/>
    </row>
    <row r="3013">
      <c r="A3013" s="23" t="n">
        <v>3012</v>
      </c>
      <c r="B3013" s="23" t="inlineStr">
        <is>
          <t>Part VI - Appendices</t>
        </is>
      </c>
      <c r="C3013" s="24" t="inlineStr">
        <is>
          <t>Structure prediction, design and biomolecular foundation models</t>
        </is>
      </c>
      <c r="D3013" s="10" t="inlineStr">
        <is>
          <t>AlphaFold2, OpenFold, Protein Language Models and Beyond</t>
        </is>
      </c>
      <c r="E3013" s="10" t="inlineStr">
        <is>
          <t>Nazim Bouatta (HMS</t>
        </is>
      </c>
      <c r="F3013" s="11" t="inlineStr">
        <is>
          <t>1:01:26</t>
        </is>
      </c>
      <c r="G3013" s="11" t="n">
        <v>1.02</v>
      </c>
      <c r="H3013" s="12" t="inlineStr">
        <is>
          <t>★</t>
        </is>
      </c>
      <c r="I3013" s="11" t="inlineStr">
        <is>
          <t>Not started</t>
        </is>
      </c>
      <c r="J3013" s="13" t="n"/>
      <c r="K3013" s="10" t="inlineStr"/>
      <c r="L3013" s="14" t="inlineStr">
        <is>
          <t>▶ watch</t>
        </is>
      </c>
      <c r="M3013" s="10" t="inlineStr"/>
      <c r="N3013" s="11" t="inlineStr"/>
      <c r="O3013" s="11" t="inlineStr">
        <is>
          <t>course lecture - no single paper</t>
        </is>
      </c>
      <c r="P3013" s="10" t="inlineStr"/>
    </row>
    <row r="3014">
      <c r="A3014" s="23" t="n">
        <v>3013</v>
      </c>
      <c r="B3014" s="23" t="inlineStr">
        <is>
          <t>Part VI - Appendices</t>
        </is>
      </c>
      <c r="C3014" s="24" t="inlineStr">
        <is>
          <t>Structure prediction, design and biomolecular foundation models</t>
        </is>
      </c>
      <c r="D3014" s="10" t="inlineStr">
        <is>
          <t>SE(3)-Stochastic Flow Matching for Protein Backbone Generation (FoldFlow</t>
        </is>
      </c>
      <c r="E3014" s="10" t="inlineStr">
        <is>
          <t>Akhound-Sadegh &amp; Bose (Mila</t>
        </is>
      </c>
      <c r="F3014" s="11" t="inlineStr">
        <is>
          <t>1:11:54</t>
        </is>
      </c>
      <c r="G3014" s="11" t="n">
        <v>1.2</v>
      </c>
      <c r="H3014" s="12" t="inlineStr">
        <is>
          <t>★</t>
        </is>
      </c>
      <c r="I3014" s="11" t="inlineStr">
        <is>
          <t>Not started</t>
        </is>
      </c>
      <c r="J3014" s="13" t="n"/>
      <c r="K3014" s="10" t="inlineStr"/>
      <c r="L3014" s="14" t="inlineStr">
        <is>
          <t>▶ watch</t>
        </is>
      </c>
      <c r="M3014" s="10" t="inlineStr"/>
      <c r="N3014" s="11" t="inlineStr"/>
      <c r="O3014" s="11" t="inlineStr">
        <is>
          <t>course lecture - no single paper</t>
        </is>
      </c>
      <c r="P3014" s="10" t="inlineStr"/>
    </row>
    <row r="3015">
      <c r="A3015" s="23" t="n">
        <v>3014</v>
      </c>
      <c r="B3015" s="23" t="inlineStr">
        <is>
          <t>Part VI - Appendices</t>
        </is>
      </c>
      <c r="C3015" s="24" t="inlineStr">
        <is>
          <t>Structure prediction, design and biomolecular foundation models</t>
        </is>
      </c>
      <c r="D3015" s="10" t="inlineStr">
        <is>
          <t>Structure-Aware Protein Self-Supervised Learning</t>
        </is>
      </c>
      <c r="E3015" s="10" t="inlineStr">
        <is>
          <t>Can Chen (Mila</t>
        </is>
      </c>
      <c r="F3015" s="11" t="inlineStr">
        <is>
          <t>30:20</t>
        </is>
      </c>
      <c r="G3015" s="11" t="n">
        <v>0.51</v>
      </c>
      <c r="H3015" s="12" t="inlineStr"/>
      <c r="I3015" s="11" t="inlineStr">
        <is>
          <t>Not started</t>
        </is>
      </c>
      <c r="J3015" s="13" t="n"/>
      <c r="K3015" s="10" t="inlineStr"/>
      <c r="L3015" s="14" t="inlineStr">
        <is>
          <t>▶ watch</t>
        </is>
      </c>
      <c r="M3015" s="10" t="inlineStr"/>
      <c r="N3015" s="11" t="inlineStr"/>
      <c r="O3015" s="11" t="inlineStr">
        <is>
          <t>course lecture - no single paper</t>
        </is>
      </c>
      <c r="P3015" s="10" t="inlineStr"/>
    </row>
    <row r="3016">
      <c r="A3016" s="23" t="n">
        <v>3015</v>
      </c>
      <c r="B3016" s="23" t="inlineStr">
        <is>
          <t>Part VI - Appendices</t>
        </is>
      </c>
      <c r="C3016" s="24" t="inlineStr">
        <is>
          <t>Structure prediction, design and biomolecular foundation models</t>
        </is>
      </c>
      <c r="D3016" s="10" t="inlineStr">
        <is>
          <t>Geometric Deep Learning for Protein Understanding</t>
        </is>
      </c>
      <c r="E3016" s="10" t="inlineStr">
        <is>
          <t>Jian Tang (Mila/HEC</t>
        </is>
      </c>
      <c r="F3016" s="11" t="inlineStr">
        <is>
          <t>45:55</t>
        </is>
      </c>
      <c r="G3016" s="11" t="n">
        <v>0.77</v>
      </c>
      <c r="H3016" s="12" t="inlineStr"/>
      <c r="I3016" s="11" t="inlineStr">
        <is>
          <t>Not started</t>
        </is>
      </c>
      <c r="J3016" s="13" t="n"/>
      <c r="K3016" s="10" t="inlineStr"/>
      <c r="L3016" s="14" t="inlineStr">
        <is>
          <t>▶ watch</t>
        </is>
      </c>
      <c r="M3016" s="10" t="inlineStr"/>
      <c r="N3016" s="11" t="inlineStr"/>
      <c r="O3016" s="11" t="inlineStr">
        <is>
          <t>course lecture - no single paper</t>
        </is>
      </c>
      <c r="P3016" s="10" t="inlineStr"/>
    </row>
    <row r="3017">
      <c r="A3017" s="23" t="n">
        <v>3016</v>
      </c>
      <c r="B3017" s="23" t="inlineStr">
        <is>
          <t>Part VI - Appendices</t>
        </is>
      </c>
      <c r="C3017" s="24" t="inlineStr">
        <is>
          <t>Structure prediction, design and biomolecular foundation models</t>
        </is>
      </c>
      <c r="D3017" s="10" t="inlineStr">
        <is>
          <t>Contextual AI Models for Single-cell Protein Biology (PINNACLE</t>
        </is>
      </c>
      <c r="E3017" s="10" t="inlineStr">
        <is>
          <t>Michelle Li (Harvard</t>
        </is>
      </c>
      <c r="F3017" s="11" t="inlineStr">
        <is>
          <t>32:00</t>
        </is>
      </c>
      <c r="G3017" s="11" t="n">
        <v>0.53</v>
      </c>
      <c r="H3017" s="12" t="inlineStr"/>
      <c r="I3017" s="11" t="inlineStr">
        <is>
          <t>Not started</t>
        </is>
      </c>
      <c r="J3017" s="13" t="n"/>
      <c r="K3017" s="10" t="inlineStr"/>
      <c r="L3017" s="14" t="inlineStr">
        <is>
          <t>▶ watch</t>
        </is>
      </c>
      <c r="M3017" s="10" t="inlineStr"/>
      <c r="N3017" s="11" t="inlineStr"/>
      <c r="O3017" s="11" t="inlineStr">
        <is>
          <t>course lecture - no single paper</t>
        </is>
      </c>
      <c r="P3017" s="10" t="inlineStr"/>
    </row>
    <row r="3018">
      <c r="A3018" s="23" t="n">
        <v>3017</v>
      </c>
      <c r="B3018" s="23" t="inlineStr">
        <is>
          <t>Part VI - Appendices</t>
        </is>
      </c>
      <c r="C3018" s="24" t="inlineStr">
        <is>
          <t>Simulation, force fields, coarse-graining and sampling</t>
        </is>
      </c>
      <c r="D3018" s="10" t="inlineStr">
        <is>
          <t>Introducing AquaGen</t>
        </is>
      </c>
      <c r="E3018" s="10" t="inlineStr"/>
      <c r="F3018" s="11" t="inlineStr">
        <is>
          <t>1:08</t>
        </is>
      </c>
      <c r="G3018" s="11" t="n">
        <v>0.02</v>
      </c>
      <c r="H3018" s="12" t="inlineStr"/>
      <c r="I3018" s="11" t="inlineStr">
        <is>
          <t>Not started</t>
        </is>
      </c>
      <c r="J3018" s="13" t="n"/>
      <c r="K3018" s="10" t="inlineStr"/>
      <c r="L3018" s="14" t="inlineStr">
        <is>
          <t>▶ watch</t>
        </is>
      </c>
      <c r="M3018" s="10" t="inlineStr"/>
      <c r="N3018" s="11" t="inlineStr"/>
      <c r="O3018" s="11" t="inlineStr">
        <is>
          <t>course lecture - no single paper</t>
        </is>
      </c>
      <c r="P3018" s="10" t="inlineStr"/>
    </row>
    <row r="3019">
      <c r="A3019" s="23" t="n">
        <v>3018</v>
      </c>
      <c r="B3019" s="23" t="inlineStr">
        <is>
          <t>Part VI - Appendices</t>
        </is>
      </c>
      <c r="C3019" s="24" t="inlineStr">
        <is>
          <t>Simulation, force fields, coarse-graining and sampling</t>
        </is>
      </c>
      <c r="D3019" s="10" t="inlineStr">
        <is>
          <t>AquaGen - Simulating the Physics of Water</t>
        </is>
      </c>
      <c r="E3019" s="10" t="inlineStr"/>
      <c r="F3019" s="11" t="inlineStr">
        <is>
          <t>2:18</t>
        </is>
      </c>
      <c r="G3019" s="11" t="n">
        <v>0.04</v>
      </c>
      <c r="H3019" s="12" t="inlineStr"/>
      <c r="I3019" s="11" t="inlineStr">
        <is>
          <t>Not started</t>
        </is>
      </c>
      <c r="J3019" s="13" t="n"/>
      <c r="K3019" s="10" t="inlineStr"/>
      <c r="L3019" s="14" t="inlineStr">
        <is>
          <t>▶ watch</t>
        </is>
      </c>
      <c r="M3019" s="10" t="inlineStr"/>
      <c r="N3019" s="11" t="inlineStr"/>
      <c r="O3019" s="11" t="inlineStr">
        <is>
          <t>course lecture - no single paper</t>
        </is>
      </c>
      <c r="P3019" s="10" t="inlineStr"/>
    </row>
    <row r="3020">
      <c r="A3020" s="23" t="n">
        <v>3019</v>
      </c>
      <c r="B3020" s="23" t="inlineStr">
        <is>
          <t>Part VI - Appendices</t>
        </is>
      </c>
      <c r="C3020" s="24" t="inlineStr">
        <is>
          <t>Simulation, force fields, coarse-graining and sampling</t>
        </is>
      </c>
      <c r="D3020" s="10" t="inlineStr">
        <is>
          <t>Learning Equivariant Non-Local Electron Density Functionals</t>
        </is>
      </c>
      <c r="E3020" s="10" t="inlineStr">
        <is>
          <t>Nicholas Gao (TUM</t>
        </is>
      </c>
      <c r="F3020" s="11" t="inlineStr">
        <is>
          <t>48:18</t>
        </is>
      </c>
      <c r="G3020" s="11" t="n">
        <v>0.8100000000000001</v>
      </c>
      <c r="H3020" s="12" t="inlineStr"/>
      <c r="I3020" s="11" t="inlineStr">
        <is>
          <t>Not started</t>
        </is>
      </c>
      <c r="J3020" s="13" t="n"/>
      <c r="K3020" s="10" t="inlineStr"/>
      <c r="L3020" s="14" t="inlineStr">
        <is>
          <t>▶ watch</t>
        </is>
      </c>
      <c r="M3020" s="10" t="inlineStr"/>
      <c r="N3020" s="11" t="inlineStr"/>
      <c r="O3020" s="11" t="inlineStr">
        <is>
          <t>course lecture - no single paper</t>
        </is>
      </c>
      <c r="P3020" s="10" t="inlineStr"/>
    </row>
    <row r="3021">
      <c r="A3021" s="23" t="n">
        <v>3020</v>
      </c>
      <c r="B3021" s="23" t="inlineStr">
        <is>
          <t>Part VI - Appendices</t>
        </is>
      </c>
      <c r="C3021" s="24" t="inlineStr">
        <is>
          <t>Simulation, force fields, coarse-graining and sampling</t>
        </is>
      </c>
      <c r="D3021" s="10" t="inlineStr">
        <is>
          <t>MOFDiff: Coarse-grained Diffusion for Metal-Organic Framework Design</t>
        </is>
      </c>
      <c r="E3021" s="10" t="inlineStr">
        <is>
          <t>Xiang Fu (MIT</t>
        </is>
      </c>
      <c r="F3021" s="11" t="inlineStr">
        <is>
          <t>1:13:36</t>
        </is>
      </c>
      <c r="G3021" s="11" t="n">
        <v>1.23</v>
      </c>
      <c r="H3021" s="12" t="inlineStr"/>
      <c r="I3021" s="11" t="inlineStr">
        <is>
          <t>Not started</t>
        </is>
      </c>
      <c r="J3021" s="13" t="n"/>
      <c r="K3021" s="10" t="inlineStr"/>
      <c r="L3021" s="14" t="inlineStr">
        <is>
          <t>▶ watch</t>
        </is>
      </c>
      <c r="M3021" s="10" t="inlineStr"/>
      <c r="N3021" s="11" t="inlineStr"/>
      <c r="O3021" s="11" t="inlineStr">
        <is>
          <t>course lecture - no single paper</t>
        </is>
      </c>
      <c r="P3021" s="10" t="inlineStr"/>
    </row>
    <row r="3022">
      <c r="A3022" s="23" t="n">
        <v>3021</v>
      </c>
      <c r="B3022" s="23" t="inlineStr">
        <is>
          <t>Part VI - Appendices</t>
        </is>
      </c>
      <c r="C3022" s="24" t="inlineStr">
        <is>
          <t>Simulation, force fields, coarse-graining and sampling</t>
        </is>
      </c>
      <c r="D3022" s="10" t="inlineStr">
        <is>
          <t>Machine Learning for Multi-Scale Molecular Simulation and Design</t>
        </is>
      </c>
      <c r="E3022" s="10" t="inlineStr">
        <is>
          <t>Xiang Fu (MIT</t>
        </is>
      </c>
      <c r="F3022" s="11" t="inlineStr">
        <is>
          <t>1:01:03</t>
        </is>
      </c>
      <c r="G3022" s="11" t="n">
        <v>1.02</v>
      </c>
      <c r="H3022" s="12" t="inlineStr"/>
      <c r="I3022" s="11" t="inlineStr">
        <is>
          <t>Not started</t>
        </is>
      </c>
      <c r="J3022" s="13" t="n"/>
      <c r="K3022" s="10" t="inlineStr"/>
      <c r="L3022" s="14" t="inlineStr">
        <is>
          <t>▶ watch</t>
        </is>
      </c>
      <c r="M3022" s="10" t="inlineStr"/>
      <c r="N3022" s="11" t="inlineStr"/>
      <c r="O3022" s="11" t="inlineStr">
        <is>
          <t>course lecture - no single paper</t>
        </is>
      </c>
      <c r="P3022" s="10" t="inlineStr"/>
    </row>
    <row r="3023">
      <c r="A3023" s="23" t="n">
        <v>3022</v>
      </c>
      <c r="B3023" s="23" t="inlineStr">
        <is>
          <t>Part VI - Appendices</t>
        </is>
      </c>
      <c r="C3023" s="24" t="inlineStr">
        <is>
          <t>Simulation, force fields, coarse-graining and sampling</t>
        </is>
      </c>
      <c r="D3023" s="10" t="inlineStr">
        <is>
          <t>ProtMD: Conformation Flexibility for Drug Binding via MD Pretraining</t>
        </is>
      </c>
      <c r="E3023" s="10" t="inlineStr"/>
      <c r="F3023" s="11" t="inlineStr">
        <is>
          <t>43:51</t>
        </is>
      </c>
      <c r="G3023" s="11" t="n">
        <v>0.73</v>
      </c>
      <c r="H3023" s="12" t="inlineStr"/>
      <c r="I3023" s="11" t="inlineStr">
        <is>
          <t>Not started</t>
        </is>
      </c>
      <c r="J3023" s="13" t="n"/>
      <c r="K3023" s="10" t="inlineStr"/>
      <c r="L3023" s="14" t="inlineStr">
        <is>
          <t>▶ watch</t>
        </is>
      </c>
      <c r="M3023" s="10" t="inlineStr"/>
      <c r="N3023" s="11" t="inlineStr"/>
      <c r="O3023" s="11" t="inlineStr">
        <is>
          <t>course lecture - no single paper</t>
        </is>
      </c>
      <c r="P3023" s="10" t="inlineStr"/>
    </row>
    <row r="3024">
      <c r="A3024" s="23" t="n">
        <v>3023</v>
      </c>
      <c r="B3024" s="23" t="inlineStr">
        <is>
          <t>Part VI - Appendices</t>
        </is>
      </c>
      <c r="C3024" s="24" t="inlineStr">
        <is>
          <t>Docking, chemistry and generative molecular design</t>
        </is>
      </c>
      <c r="D3024" s="10" t="inlineStr">
        <is>
          <t>Equivariant Scalar Fields for Molecular Docking with FFTs</t>
        </is>
      </c>
      <c r="E3024" s="10" t="inlineStr">
        <is>
          <t>Bowen Jing (MIT</t>
        </is>
      </c>
      <c r="F3024" s="11" t="inlineStr">
        <is>
          <t>38:02</t>
        </is>
      </c>
      <c r="G3024" s="11" t="n">
        <v>0.63</v>
      </c>
      <c r="H3024" s="12" t="inlineStr"/>
      <c r="I3024" s="11" t="inlineStr">
        <is>
          <t>Not started</t>
        </is>
      </c>
      <c r="J3024" s="13" t="n"/>
      <c r="K3024" s="10" t="inlineStr"/>
      <c r="L3024" s="14" t="inlineStr">
        <is>
          <t>▶ watch</t>
        </is>
      </c>
      <c r="M3024" s="10" t="inlineStr"/>
      <c r="N3024" s="11" t="inlineStr"/>
      <c r="O3024" s="11" t="inlineStr">
        <is>
          <t>course lecture - no single paper</t>
        </is>
      </c>
      <c r="P3024" s="10" t="inlineStr"/>
    </row>
    <row r="3025">
      <c r="A3025" s="23" t="n">
        <v>3024</v>
      </c>
      <c r="B3025" s="23" t="inlineStr">
        <is>
          <t>Part VI - Appendices</t>
        </is>
      </c>
      <c r="C3025" s="24" t="inlineStr">
        <is>
          <t>Docking, chemistry and generative molecular design</t>
        </is>
      </c>
      <c r="D3025" s="10" t="inlineStr">
        <is>
          <t>SynCoGen: Synthesizable 3D Molecule Generation</t>
        </is>
      </c>
      <c r="E3025" s="10" t="inlineStr"/>
      <c r="F3025" s="11" t="inlineStr">
        <is>
          <t>1:12:12</t>
        </is>
      </c>
      <c r="G3025" s="11" t="n">
        <v>1.2</v>
      </c>
      <c r="H3025" s="12" t="inlineStr"/>
      <c r="I3025" s="11" t="inlineStr">
        <is>
          <t>Not started</t>
        </is>
      </c>
      <c r="J3025" s="13" t="n"/>
      <c r="K3025" s="10" t="inlineStr"/>
      <c r="L3025" s="14" t="inlineStr">
        <is>
          <t>▶ watch</t>
        </is>
      </c>
      <c r="M3025" s="10" t="inlineStr"/>
      <c r="N3025" s="11" t="inlineStr"/>
      <c r="O3025" s="11" t="inlineStr">
        <is>
          <t>course lecture - no single paper</t>
        </is>
      </c>
      <c r="P3025" s="10" t="inlineStr"/>
    </row>
    <row r="3026">
      <c r="A3026" s="23" t="n">
        <v>3025</v>
      </c>
      <c r="B3026" s="23" t="inlineStr">
        <is>
          <t>Part VI - Appendices</t>
        </is>
      </c>
      <c r="C3026" s="24" t="inlineStr">
        <is>
          <t>Docking, chemistry and generative molecular design</t>
        </is>
      </c>
      <c r="D3026" s="10" t="inlineStr">
        <is>
          <t>Equivariant 3D-Conditional Diffusion for Molecular Linker Design (DiffLinker</t>
        </is>
      </c>
      <c r="E3026" s="10" t="inlineStr">
        <is>
          <t>Ilia Igashov (EPFL</t>
        </is>
      </c>
      <c r="F3026" s="11" t="inlineStr">
        <is>
          <t>1:05:34</t>
        </is>
      </c>
      <c r="G3026" s="11" t="n">
        <v>1.09</v>
      </c>
      <c r="H3026" s="12" t="inlineStr"/>
      <c r="I3026" s="11" t="inlineStr">
        <is>
          <t>Not started</t>
        </is>
      </c>
      <c r="J3026" s="13" t="n"/>
      <c r="K3026" s="10" t="inlineStr"/>
      <c r="L3026" s="14" t="inlineStr">
        <is>
          <t>▶ watch</t>
        </is>
      </c>
      <c r="M3026" s="10" t="inlineStr"/>
      <c r="N3026" s="11" t="inlineStr"/>
      <c r="O3026" s="11" t="inlineStr">
        <is>
          <t>course lecture - no single paper</t>
        </is>
      </c>
      <c r="P3026" s="10" t="inlineStr"/>
    </row>
    <row r="3027">
      <c r="A3027" s="23" t="n">
        <v>3026</v>
      </c>
      <c r="B3027" s="23" t="inlineStr">
        <is>
          <t>Part VI - Appendices</t>
        </is>
      </c>
      <c r="C3027" s="24" t="inlineStr">
        <is>
          <t>Docking, chemistry and generative molecular design</t>
        </is>
      </c>
      <c r="D3027" s="10" t="inlineStr">
        <is>
          <t>Integrating structure-based and ligand-based modeling for drug design</t>
        </is>
      </c>
      <c r="E3027" s="10" t="inlineStr">
        <is>
          <t>Joseph Paggi (Stanford</t>
        </is>
      </c>
      <c r="F3027" s="11" t="inlineStr">
        <is>
          <t>51:26</t>
        </is>
      </c>
      <c r="G3027" s="11" t="n">
        <v>0.86</v>
      </c>
      <c r="H3027" s="12" t="inlineStr"/>
      <c r="I3027" s="11" t="inlineStr">
        <is>
          <t>Not started</t>
        </is>
      </c>
      <c r="J3027" s="13" t="n"/>
      <c r="K3027" s="10" t="inlineStr"/>
      <c r="L3027" s="14" t="inlineStr">
        <is>
          <t>▶ watch</t>
        </is>
      </c>
      <c r="M3027" s="10" t="inlineStr"/>
      <c r="N3027" s="11" t="inlineStr"/>
      <c r="O3027" s="11" t="inlineStr">
        <is>
          <t>course lecture - no single paper</t>
        </is>
      </c>
      <c r="P3027" s="10" t="inlineStr"/>
    </row>
    <row r="3028">
      <c r="A3028" s="23" t="n">
        <v>3027</v>
      </c>
      <c r="B3028" s="23" t="inlineStr">
        <is>
          <t>Part VI - Appendices</t>
        </is>
      </c>
      <c r="C3028" s="24" t="inlineStr">
        <is>
          <t>Docking, chemistry and generative molecular design</t>
        </is>
      </c>
      <c r="D3028" s="10" t="inlineStr">
        <is>
          <t>Fragment-Based Hit Discovery via Unsupervised Learning of Fragment-Protein Complexes</t>
        </is>
      </c>
      <c r="E3028" s="10" t="inlineStr"/>
      <c r="F3028" s="11" t="inlineStr">
        <is>
          <t>53:50</t>
        </is>
      </c>
      <c r="G3028" s="11" t="n">
        <v>0.9</v>
      </c>
      <c r="H3028" s="12" t="inlineStr"/>
      <c r="I3028" s="11" t="inlineStr">
        <is>
          <t>Not started</t>
        </is>
      </c>
      <c r="J3028" s="13" t="n"/>
      <c r="K3028" s="10" t="inlineStr"/>
      <c r="L3028" s="14" t="inlineStr">
        <is>
          <t>▶ watch</t>
        </is>
      </c>
      <c r="M3028" s="10" t="inlineStr"/>
      <c r="N3028" s="11" t="inlineStr"/>
      <c r="O3028" s="11" t="inlineStr">
        <is>
          <t>course lecture - no single paper</t>
        </is>
      </c>
      <c r="P3028" s="10" t="inlineStr"/>
    </row>
    <row r="3029">
      <c r="A3029" s="23" t="n">
        <v>3028</v>
      </c>
      <c r="B3029" s="23" t="inlineStr">
        <is>
          <t>Part VI - Appendices</t>
        </is>
      </c>
      <c r="C3029" s="24" t="inlineStr">
        <is>
          <t>Docking, chemistry and generative molecular design</t>
        </is>
      </c>
      <c r="D3029" s="10" t="inlineStr">
        <is>
          <t>Data-Efficient Graph Grammar Learning for Molecular Generation</t>
        </is>
      </c>
      <c r="E3029" s="10" t="inlineStr">
        <is>
          <t>Minghao Guo (MIT</t>
        </is>
      </c>
      <c r="F3029" s="11" t="inlineStr">
        <is>
          <t>58:01</t>
        </is>
      </c>
      <c r="G3029" s="11" t="n">
        <v>0.97</v>
      </c>
      <c r="H3029" s="12" t="inlineStr"/>
      <c r="I3029" s="11" t="inlineStr">
        <is>
          <t>Not started</t>
        </is>
      </c>
      <c r="J3029" s="13" t="n"/>
      <c r="K3029" s="10" t="inlineStr"/>
      <c r="L3029" s="14" t="inlineStr">
        <is>
          <t>▶ watch</t>
        </is>
      </c>
      <c r="M3029" s="10" t="inlineStr"/>
      <c r="N3029" s="11" t="inlineStr"/>
      <c r="O3029" s="11" t="inlineStr">
        <is>
          <t>course lecture - no single paper</t>
        </is>
      </c>
      <c r="P3029" s="10" t="inlineStr"/>
    </row>
    <row r="3030">
      <c r="A3030" s="23" t="n">
        <v>3029</v>
      </c>
      <c r="B3030" s="23" t="inlineStr">
        <is>
          <t>Part VI - Appendices</t>
        </is>
      </c>
      <c r="C3030" s="24" t="inlineStr">
        <is>
          <t>Docking, chemistry and generative molecular design</t>
        </is>
      </c>
      <c r="D3030" s="10" t="inlineStr">
        <is>
          <t>Interpretable Chirality-Aware GNNs for QSAR Modeling</t>
        </is>
      </c>
      <c r="E3030" s="10" t="inlineStr">
        <is>
          <t>Yunchao Liu (Vanderbilt</t>
        </is>
      </c>
      <c r="F3030" s="11" t="inlineStr">
        <is>
          <t>49:17</t>
        </is>
      </c>
      <c r="G3030" s="11" t="n">
        <v>0.82</v>
      </c>
      <c r="H3030" s="12" t="inlineStr"/>
      <c r="I3030" s="11" t="inlineStr">
        <is>
          <t>Not started</t>
        </is>
      </c>
      <c r="J3030" s="13" t="n"/>
      <c r="K3030" s="10" t="inlineStr"/>
      <c r="L3030" s="14" t="inlineStr">
        <is>
          <t>▶ watch</t>
        </is>
      </c>
      <c r="M3030" s="10" t="inlineStr"/>
      <c r="N3030" s="11" t="inlineStr"/>
      <c r="O3030" s="11" t="inlineStr">
        <is>
          <t>course lecture - no single paper</t>
        </is>
      </c>
      <c r="P3030" s="10" t="inlineStr"/>
    </row>
    <row r="3031">
      <c r="A3031" s="23" t="n">
        <v>3030</v>
      </c>
      <c r="B3031" s="23" t="inlineStr">
        <is>
          <t>Part VI - Appendices</t>
        </is>
      </c>
      <c r="C3031" s="24" t="inlineStr">
        <is>
          <t>Docking, chemistry and generative molecular design</t>
        </is>
      </c>
      <c r="D3031" s="10" t="inlineStr">
        <is>
          <t>Quantum Machine-Learning for Drug-like Molecules</t>
        </is>
      </c>
      <c r="E3031" s="10" t="inlineStr">
        <is>
          <t>Clemens Isert (ETH</t>
        </is>
      </c>
      <c r="F3031" s="11" t="inlineStr">
        <is>
          <t>55:25</t>
        </is>
      </c>
      <c r="G3031" s="11" t="n">
        <v>0.92</v>
      </c>
      <c r="H3031" s="12" t="inlineStr"/>
      <c r="I3031" s="11" t="inlineStr">
        <is>
          <t>Not started</t>
        </is>
      </c>
      <c r="J3031" s="13" t="n"/>
      <c r="K3031" s="10" t="inlineStr"/>
      <c r="L3031" s="14" t="inlineStr">
        <is>
          <t>▶ watch</t>
        </is>
      </c>
      <c r="M3031" s="10" t="inlineStr"/>
      <c r="N3031" s="11" t="inlineStr"/>
      <c r="O3031" s="11" t="inlineStr">
        <is>
          <t>course lecture - no single paper</t>
        </is>
      </c>
      <c r="P3031" s="10" t="inlineStr"/>
    </row>
    <row r="3032">
      <c r="A3032" s="23" t="n">
        <v>3031</v>
      </c>
      <c r="B3032" s="23" t="inlineStr">
        <is>
          <t>Part VI - Appendices</t>
        </is>
      </c>
      <c r="C3032" s="24" t="inlineStr">
        <is>
          <t>Docking, chemistry and generative molecular design</t>
        </is>
      </c>
      <c r="D3032" s="10" t="inlineStr">
        <is>
          <t>Examining GNNs for Crystal Structures: Limitations and Periodicity</t>
        </is>
      </c>
      <c r="E3032" s="10" t="inlineStr"/>
      <c r="F3032" s="11" t="inlineStr">
        <is>
          <t>1:00:19</t>
        </is>
      </c>
      <c r="G3032" s="11" t="n">
        <v>1.01</v>
      </c>
      <c r="H3032" s="12" t="inlineStr"/>
      <c r="I3032" s="11" t="inlineStr">
        <is>
          <t>Not started</t>
        </is>
      </c>
      <c r="J3032" s="13" t="n"/>
      <c r="K3032" s="10" t="inlineStr"/>
      <c r="L3032" s="14" t="inlineStr">
        <is>
          <t>▶ watch</t>
        </is>
      </c>
      <c r="M3032" s="10" t="inlineStr"/>
      <c r="N3032" s="11" t="inlineStr"/>
      <c r="O3032" s="11" t="inlineStr">
        <is>
          <t>course lecture - no single paper</t>
        </is>
      </c>
      <c r="P3032" s="10" t="inlineStr"/>
    </row>
    <row r="3033">
      <c r="A3033" s="23" t="n">
        <v>3032</v>
      </c>
      <c r="B3033" s="23" t="inlineStr">
        <is>
          <t>Part VI - Appendices</t>
        </is>
      </c>
      <c r="C3033" s="24" t="inlineStr">
        <is>
          <t>Docking, chemistry and generative molecular design</t>
        </is>
      </c>
      <c r="D3033" s="10" t="inlineStr">
        <is>
          <t>Scalable Geometric Deep Learning on Molecular Graphs</t>
        </is>
      </c>
      <c r="E3033" s="10" t="inlineStr">
        <is>
          <t>Nathan Frey (MIT LL</t>
        </is>
      </c>
      <c r="F3033" s="11" t="inlineStr">
        <is>
          <t>59:05</t>
        </is>
      </c>
      <c r="G3033" s="11" t="n">
        <v>0.98</v>
      </c>
      <c r="H3033" s="12" t="inlineStr"/>
      <c r="I3033" s="11" t="inlineStr">
        <is>
          <t>Not started</t>
        </is>
      </c>
      <c r="J3033" s="13" t="n"/>
      <c r="K3033" s="10" t="inlineStr"/>
      <c r="L3033" s="14" t="inlineStr">
        <is>
          <t>▶ watch</t>
        </is>
      </c>
      <c r="M3033" s="10" t="inlineStr"/>
      <c r="N3033" s="11" t="inlineStr"/>
      <c r="O3033" s="11" t="inlineStr">
        <is>
          <t>course lecture - no single paper</t>
        </is>
      </c>
      <c r="P3033" s="10" t="inlineStr"/>
    </row>
    <row r="3034">
      <c r="A3034" s="23" t="n">
        <v>3033</v>
      </c>
      <c r="B3034" s="23" t="inlineStr">
        <is>
          <t>Part VI - Appendices</t>
        </is>
      </c>
      <c r="C3034" s="24" t="inlineStr">
        <is>
          <t>Docking, chemistry and generative molecular design</t>
        </is>
      </c>
      <c r="D3034" s="10" t="inlineStr">
        <is>
          <t>Geometric Deep Learning for Drug Discovery</t>
        </is>
      </c>
      <c r="E3034" s="10" t="inlineStr">
        <is>
          <t>Jian Tang (Mila</t>
        </is>
      </c>
      <c r="F3034" s="11" t="inlineStr">
        <is>
          <t>1:03:53</t>
        </is>
      </c>
      <c r="G3034" s="11" t="n">
        <v>1.06</v>
      </c>
      <c r="H3034" s="12" t="inlineStr"/>
      <c r="I3034" s="11" t="inlineStr">
        <is>
          <t>Not started</t>
        </is>
      </c>
      <c r="J3034" s="13" t="n"/>
      <c r="K3034" s="10" t="inlineStr"/>
      <c r="L3034" s="14" t="inlineStr">
        <is>
          <t>▶ watch</t>
        </is>
      </c>
      <c r="M3034" s="10" t="inlineStr"/>
      <c r="N3034" s="11" t="inlineStr"/>
      <c r="O3034" s="11" t="inlineStr">
        <is>
          <t>course lecture - no single paper</t>
        </is>
      </c>
      <c r="P3034" s="10" t="inlineStr"/>
    </row>
    <row r="3035">
      <c r="A3035" s="23" t="n">
        <v>3034</v>
      </c>
      <c r="B3035" s="23" t="inlineStr">
        <is>
          <t>Part VI - Appendices</t>
        </is>
      </c>
      <c r="C3035" s="24" t="inlineStr">
        <is>
          <t>Docking, chemistry and generative molecular design</t>
        </is>
      </c>
      <c r="D3035" s="10" t="inlineStr">
        <is>
          <t>How GFlowNets Explore Chemical Space to Find Novel Molecules</t>
        </is>
      </c>
      <c r="E3035" s="10" t="inlineStr"/>
      <c r="F3035" s="11" t="inlineStr">
        <is>
          <t>5:00</t>
        </is>
      </c>
      <c r="G3035" s="11" t="n">
        <v>0.08</v>
      </c>
      <c r="H3035" s="12" t="inlineStr"/>
      <c r="I3035" s="11" t="inlineStr">
        <is>
          <t>Not started</t>
        </is>
      </c>
      <c r="J3035" s="13" t="n"/>
      <c r="K3035" s="10" t="inlineStr"/>
      <c r="L3035" s="14" t="inlineStr">
        <is>
          <t>▶ watch</t>
        </is>
      </c>
      <c r="M3035" s="10" t="inlineStr"/>
      <c r="N3035" s="11" t="inlineStr"/>
      <c r="O3035" s="11" t="inlineStr">
        <is>
          <t>course lecture - no single paper</t>
        </is>
      </c>
      <c r="P3035" s="10" t="inlineStr"/>
    </row>
    <row r="3036">
      <c r="A3036" s="23" t="n">
        <v>3035</v>
      </c>
      <c r="B3036" s="23" t="inlineStr">
        <is>
          <t>Part VI - Appendices</t>
        </is>
      </c>
      <c r="C3036" s="24" t="inlineStr">
        <is>
          <t>Docking, chemistry and generative molecular design</t>
        </is>
      </c>
      <c r="D3036" s="10" t="inlineStr">
        <is>
          <t>Introducing SAFE: A New Framework for Molecular Design</t>
        </is>
      </c>
      <c r="E3036" s="10" t="inlineStr"/>
      <c r="F3036" s="11" t="inlineStr">
        <is>
          <t>1:17</t>
        </is>
      </c>
      <c r="G3036" s="11" t="n">
        <v>0.02</v>
      </c>
      <c r="H3036" s="12" t="inlineStr"/>
      <c r="I3036" s="11" t="inlineStr">
        <is>
          <t>Not started</t>
        </is>
      </c>
      <c r="J3036" s="13" t="n"/>
      <c r="K3036" s="10" t="inlineStr"/>
      <c r="L3036" s="14" t="inlineStr">
        <is>
          <t>▶ watch</t>
        </is>
      </c>
      <c r="M3036" s="10" t="inlineStr"/>
      <c r="N3036" s="11" t="inlineStr"/>
      <c r="O3036" s="11" t="inlineStr">
        <is>
          <t>course lecture - no single paper</t>
        </is>
      </c>
      <c r="P3036" s="10" t="inlineStr"/>
    </row>
    <row r="3037">
      <c r="A3037" s="23" t="n">
        <v>3036</v>
      </c>
      <c r="B3037" s="23" t="inlineStr">
        <is>
          <t>Part VI - Appendices</t>
        </is>
      </c>
      <c r="C3037" s="24" t="inlineStr">
        <is>
          <t>Nucleic acids and genome-scale</t>
        </is>
      </c>
      <c r="D3037" s="10" t="inlineStr">
        <is>
          <t>Geometric deep learning framework for de novo genome assembly</t>
        </is>
      </c>
      <c r="E3037" s="10" t="inlineStr">
        <is>
          <t>Lovro Vrček</t>
        </is>
      </c>
      <c r="F3037" s="11" t="inlineStr">
        <is>
          <t>1:15:31</t>
        </is>
      </c>
      <c r="G3037" s="11" t="n">
        <v>1.26</v>
      </c>
      <c r="H3037" s="12" t="inlineStr"/>
      <c r="I3037" s="11" t="inlineStr">
        <is>
          <t>Not started</t>
        </is>
      </c>
      <c r="J3037" s="13" t="n"/>
      <c r="K3037" s="10" t="inlineStr"/>
      <c r="L3037" s="14" t="inlineStr">
        <is>
          <t>▶ watch</t>
        </is>
      </c>
      <c r="M3037" s="10" t="inlineStr"/>
      <c r="N3037" s="11" t="inlineStr"/>
      <c r="O3037" s="11" t="inlineStr">
        <is>
          <t>course lecture - no single paper</t>
        </is>
      </c>
      <c r="P3037" s="10" t="inlineStr"/>
    </row>
    <row r="3038">
      <c r="A3038" s="23" t="n">
        <v>3037</v>
      </c>
      <c r="B3038" s="23" t="inlineStr">
        <is>
          <t>Part VI - Appendices</t>
        </is>
      </c>
      <c r="C3038" s="24" t="inlineStr">
        <is>
          <t>ML4DD Summer School 2024 - 13 sessions</t>
        </is>
      </c>
      <c r="D3038" s="10" t="inlineStr">
        <is>
          <t>Day 2 - Coarse Grained Biological Systems</t>
        </is>
      </c>
      <c r="E3038" s="10" t="inlineStr">
        <is>
          <t>Jacopo Venturin</t>
        </is>
      </c>
      <c r="F3038" s="11" t="inlineStr">
        <is>
          <t>57:04</t>
        </is>
      </c>
      <c r="G3038" s="11" t="n">
        <v>0.95</v>
      </c>
      <c r="H3038" s="12" t="inlineStr">
        <is>
          <t>★</t>
        </is>
      </c>
      <c r="I3038" s="11" t="inlineStr">
        <is>
          <t>Not started</t>
        </is>
      </c>
      <c r="J3038" s="13" t="n"/>
      <c r="K3038" s="10" t="inlineStr"/>
      <c r="L3038" s="14" t="inlineStr">
        <is>
          <t>▶ watch</t>
        </is>
      </c>
      <c r="M3038" s="10" t="inlineStr"/>
      <c r="N3038" s="11" t="inlineStr"/>
      <c r="O3038" s="11" t="inlineStr">
        <is>
          <t>course lecture - no single paper</t>
        </is>
      </c>
      <c r="P3038" s="10" t="inlineStr"/>
    </row>
    <row r="3039">
      <c r="A3039" s="23" t="n">
        <v>3038</v>
      </c>
      <c r="B3039" s="23" t="inlineStr">
        <is>
          <t>Part VI - Appendices</t>
        </is>
      </c>
      <c r="C3039" s="24" t="inlineStr">
        <is>
          <t>ML4DD Summer School 2024 - 13 sessions</t>
        </is>
      </c>
      <c r="D3039" s="10" t="inlineStr">
        <is>
          <t>Day 2 - ML in Structure Based Drug Discovery</t>
        </is>
      </c>
      <c r="E3039" s="10" t="inlineStr">
        <is>
          <t>Gabriele Corso (MIT</t>
        </is>
      </c>
      <c r="F3039" s="11" t="inlineStr">
        <is>
          <t>57:33</t>
        </is>
      </c>
      <c r="G3039" s="11" t="n">
        <v>0.96</v>
      </c>
      <c r="H3039" s="12" t="inlineStr"/>
      <c r="I3039" s="11" t="inlineStr">
        <is>
          <t>Not started</t>
        </is>
      </c>
      <c r="J3039" s="13" t="n"/>
      <c r="K3039" s="10" t="inlineStr"/>
      <c r="L3039" s="14" t="inlineStr">
        <is>
          <t>▶ watch</t>
        </is>
      </c>
      <c r="M3039" s="10" t="inlineStr"/>
      <c r="N3039" s="11" t="inlineStr"/>
      <c r="O3039" s="11" t="inlineStr">
        <is>
          <t>course lecture - no single paper</t>
        </is>
      </c>
      <c r="P3039" s="10" t="inlineStr"/>
    </row>
    <row r="3040">
      <c r="A3040" s="23" t="n">
        <v>3039</v>
      </c>
      <c r="B3040" s="23" t="inlineStr">
        <is>
          <t>Part VI - Appendices</t>
        </is>
      </c>
      <c r="C3040" s="24" t="inlineStr">
        <is>
          <t>ML4DD Summer School 2024 - 13 sessions</t>
        </is>
      </c>
      <c r="D3040" s="10" t="inlineStr">
        <is>
          <t>Day 3 - Generative Models of Molecular Structures</t>
        </is>
      </c>
      <c r="E3040" s="10" t="inlineStr">
        <is>
          <t>Camille Bilodeau (UVA</t>
        </is>
      </c>
      <c r="F3040" s="11" t="inlineStr">
        <is>
          <t>54:54</t>
        </is>
      </c>
      <c r="G3040" s="11" t="n">
        <v>0.92</v>
      </c>
      <c r="H3040" s="12" t="inlineStr"/>
      <c r="I3040" s="11" t="inlineStr">
        <is>
          <t>Not started</t>
        </is>
      </c>
      <c r="J3040" s="13" t="n"/>
      <c r="K3040" s="10" t="inlineStr"/>
      <c r="L3040" s="14" t="inlineStr">
        <is>
          <t>▶ watch</t>
        </is>
      </c>
      <c r="M3040" s="10" t="inlineStr"/>
      <c r="N3040" s="11" t="inlineStr"/>
      <c r="O3040" s="11" t="inlineStr">
        <is>
          <t>course lecture - no single paper</t>
        </is>
      </c>
      <c r="P3040" s="10" t="inlineStr"/>
    </row>
    <row r="3041">
      <c r="A3041" s="23" t="n">
        <v>3040</v>
      </c>
      <c r="B3041" s="23" t="inlineStr">
        <is>
          <t>Part VI - Appendices</t>
        </is>
      </c>
      <c r="C3041" s="24" t="inlineStr">
        <is>
          <t>ML4DD Summer School 2024 - 13 sessions</t>
        </is>
      </c>
      <c r="D3041" s="10" t="inlineStr">
        <is>
          <t>Day 3 - Synthesizability &amp; Molecular Synthesis</t>
        </is>
      </c>
      <c r="E3041" s="10" t="inlineStr">
        <is>
          <t>Connor Coley (MIT</t>
        </is>
      </c>
      <c r="F3041" s="11" t="inlineStr">
        <is>
          <t>1:04:22</t>
        </is>
      </c>
      <c r="G3041" s="11" t="n">
        <v>1.07</v>
      </c>
      <c r="H3041" s="12" t="inlineStr"/>
      <c r="I3041" s="11" t="inlineStr">
        <is>
          <t>Not started</t>
        </is>
      </c>
      <c r="J3041" s="13" t="n"/>
      <c r="K3041" s="10" t="inlineStr"/>
      <c r="L3041" s="14" t="inlineStr">
        <is>
          <t>▶ watch</t>
        </is>
      </c>
      <c r="M3041" s="10" t="inlineStr"/>
      <c r="N3041" s="11" t="inlineStr"/>
      <c r="O3041" s="11" t="inlineStr">
        <is>
          <t>course lecture - no single paper</t>
        </is>
      </c>
      <c r="P3041" s="10" t="inlineStr"/>
    </row>
    <row r="3042">
      <c r="A3042" s="23" t="n">
        <v>3041</v>
      </c>
      <c r="B3042" s="23" t="inlineStr">
        <is>
          <t>Part VI - Appendices</t>
        </is>
      </c>
      <c r="C3042" s="24" t="inlineStr">
        <is>
          <t>ML4DD Summer School 2024 - 13 sessions</t>
        </is>
      </c>
      <c r="D3042" s="10" t="inlineStr">
        <is>
          <t>Day 5 - Protein Folding &amp; Design</t>
        </is>
      </c>
      <c r="E3042" s="10" t="inlineStr">
        <is>
          <t>Alex Tong (Mila</t>
        </is>
      </c>
      <c r="F3042" s="11" t="inlineStr">
        <is>
          <t>1:05:32</t>
        </is>
      </c>
      <c r="G3042" s="11" t="n">
        <v>1.09</v>
      </c>
      <c r="H3042" s="12" t="inlineStr">
        <is>
          <t>★</t>
        </is>
      </c>
      <c r="I3042" s="11" t="inlineStr">
        <is>
          <t>Not started</t>
        </is>
      </c>
      <c r="J3042" s="13" t="n"/>
      <c r="K3042" s="10" t="inlineStr"/>
      <c r="L3042" s="14" t="inlineStr">
        <is>
          <t>▶ watch</t>
        </is>
      </c>
      <c r="M3042" s="10" t="inlineStr"/>
      <c r="N3042" s="11" t="inlineStr"/>
      <c r="O3042" s="11" t="inlineStr">
        <is>
          <t>course lecture - no single paper</t>
        </is>
      </c>
      <c r="P3042" s="10" t="inlineStr"/>
    </row>
    <row r="3043">
      <c r="A3043" s="23" t="n">
        <v>3042</v>
      </c>
      <c r="B3043" s="23" t="inlineStr">
        <is>
          <t>Part VI - Appendices</t>
        </is>
      </c>
      <c r="C3043" s="24" t="inlineStr">
        <is>
          <t>ML4DD Summer School 2024 - 13 sessions</t>
        </is>
      </c>
      <c r="D3043" s="10" t="inlineStr">
        <is>
          <t>Lab 1 - Virtual Screening</t>
        </is>
      </c>
      <c r="E3043" s="10" t="inlineStr"/>
      <c r="F3043" s="11" t="inlineStr">
        <is>
          <t>1:22:40</t>
        </is>
      </c>
      <c r="G3043" s="11" t="n">
        <v>1.38</v>
      </c>
      <c r="H3043" s="12" t="inlineStr"/>
      <c r="I3043" s="11" t="inlineStr">
        <is>
          <t>Not started</t>
        </is>
      </c>
      <c r="J3043" s="13" t="n"/>
      <c r="K3043" s="10" t="inlineStr"/>
      <c r="L3043" s="14" t="inlineStr">
        <is>
          <t>▶ watch</t>
        </is>
      </c>
      <c r="M3043" s="10" t="inlineStr"/>
      <c r="N3043" s="11" t="inlineStr"/>
      <c r="O3043" s="11" t="inlineStr">
        <is>
          <t>course lecture - no single paper</t>
        </is>
      </c>
      <c r="P3043" s="10" t="inlineStr"/>
    </row>
    <row r="3044">
      <c r="A3044" s="23" t="n">
        <v>3043</v>
      </c>
      <c r="B3044" s="23" t="inlineStr">
        <is>
          <t>Part VI - Appendices</t>
        </is>
      </c>
      <c r="C3044" s="24" t="inlineStr">
        <is>
          <t>ML4DD Summer School 2024 - 13 sessions</t>
        </is>
      </c>
      <c r="D3044" s="10" t="inlineStr">
        <is>
          <t>Lab 1 - Virtual Screening (explanation</t>
        </is>
      </c>
      <c r="E3044" s="10" t="inlineStr"/>
      <c r="F3044" s="11" t="inlineStr">
        <is>
          <t>26:29</t>
        </is>
      </c>
      <c r="G3044" s="11" t="n">
        <v>0.44</v>
      </c>
      <c r="H3044" s="12" t="inlineStr"/>
      <c r="I3044" s="11" t="inlineStr">
        <is>
          <t>Not started</t>
        </is>
      </c>
      <c r="J3044" s="13" t="n"/>
      <c r="K3044" s="10" t="inlineStr"/>
      <c r="L3044" s="14" t="inlineStr">
        <is>
          <t>▶ watch</t>
        </is>
      </c>
      <c r="M3044" s="10" t="inlineStr"/>
      <c r="N3044" s="11" t="inlineStr"/>
      <c r="O3044" s="11" t="inlineStr">
        <is>
          <t>course lecture - no single paper</t>
        </is>
      </c>
      <c r="P3044" s="10" t="inlineStr"/>
    </row>
    <row r="3045">
      <c r="A3045" s="23" t="n">
        <v>3044</v>
      </c>
      <c r="B3045" s="23" t="inlineStr">
        <is>
          <t>Part VI - Appendices</t>
        </is>
      </c>
      <c r="C3045" s="24" t="inlineStr">
        <is>
          <t>ML4DD Summer School 2024 - 13 sessions</t>
        </is>
      </c>
      <c r="D3045" s="10" t="inlineStr">
        <is>
          <t>Lab 2 - Binding Affinity Prediction with ML-Based Docking</t>
        </is>
      </c>
      <c r="E3045" s="10" t="inlineStr"/>
      <c r="F3045" s="11" t="inlineStr">
        <is>
          <t>1:09:46</t>
        </is>
      </c>
      <c r="G3045" s="11" t="n">
        <v>1.16</v>
      </c>
      <c r="H3045" s="12" t="inlineStr"/>
      <c r="I3045" s="11" t="inlineStr">
        <is>
          <t>Not started</t>
        </is>
      </c>
      <c r="J3045" s="13" t="n"/>
      <c r="K3045" s="10" t="inlineStr"/>
      <c r="L3045" s="14" t="inlineStr">
        <is>
          <t>▶ watch</t>
        </is>
      </c>
      <c r="M3045" s="10" t="inlineStr"/>
      <c r="N3045" s="11" t="inlineStr"/>
      <c r="O3045" s="11" t="inlineStr">
        <is>
          <t>course lecture - no single paper</t>
        </is>
      </c>
      <c r="P3045" s="10" t="inlineStr"/>
    </row>
    <row r="3046">
      <c r="A3046" s="23" t="n">
        <v>3045</v>
      </c>
      <c r="B3046" s="23" t="inlineStr">
        <is>
          <t>Part VI - Appendices</t>
        </is>
      </c>
      <c r="C3046" s="24" t="inlineStr">
        <is>
          <t>ML4DD Summer School 2024 - 13 sessions</t>
        </is>
      </c>
      <c r="D3046" s="10" t="inlineStr">
        <is>
          <t>Lab 2 - Binding Affinity Prediction (explanation</t>
        </is>
      </c>
      <c r="E3046" s="10" t="inlineStr"/>
      <c r="F3046" s="11" t="inlineStr">
        <is>
          <t>26:09</t>
        </is>
      </c>
      <c r="G3046" s="11" t="n">
        <v>0.44</v>
      </c>
      <c r="H3046" s="12" t="inlineStr"/>
      <c r="I3046" s="11" t="inlineStr">
        <is>
          <t>Not started</t>
        </is>
      </c>
      <c r="J3046" s="13" t="n"/>
      <c r="K3046" s="10" t="inlineStr"/>
      <c r="L3046" s="14" t="inlineStr">
        <is>
          <t>▶ watch</t>
        </is>
      </c>
      <c r="M3046" s="10" t="inlineStr"/>
      <c r="N3046" s="11" t="inlineStr"/>
      <c r="O3046" s="11" t="inlineStr">
        <is>
          <t>course lecture - no single paper</t>
        </is>
      </c>
      <c r="P3046" s="10" t="inlineStr"/>
    </row>
    <row r="3047">
      <c r="A3047" s="23" t="n">
        <v>3046</v>
      </c>
      <c r="B3047" s="23" t="inlineStr">
        <is>
          <t>Part VI - Appendices</t>
        </is>
      </c>
      <c r="C3047" s="24" t="inlineStr">
        <is>
          <t>B.1 Jeffrey Gray - Computational Protein Structure Prediction and Design (JHU 540.414/614</t>
        </is>
      </c>
      <c r="D3047" s="10" t="inlineStr">
        <is>
          <t>Lecture 2: Protein Geometry</t>
        </is>
      </c>
      <c r="E3047" s="10" t="inlineStr"/>
      <c r="F3047" s="11" t="inlineStr">
        <is>
          <t>1:09:28</t>
        </is>
      </c>
      <c r="G3047" s="11" t="n">
        <v>1.16</v>
      </c>
      <c r="H3047" s="12" t="inlineStr"/>
      <c r="I3047" s="11" t="inlineStr">
        <is>
          <t>Not started</t>
        </is>
      </c>
      <c r="J3047" s="13" t="n"/>
      <c r="K3047" s="10" t="inlineStr"/>
      <c r="L3047" s="14" t="inlineStr">
        <is>
          <t>▶ watch</t>
        </is>
      </c>
      <c r="M3047" s="10" t="inlineStr"/>
      <c r="N3047" s="11" t="inlineStr"/>
      <c r="O3047" s="11" t="inlineStr">
        <is>
          <t>course lecture - no single paper</t>
        </is>
      </c>
      <c r="P3047" s="10" t="inlineStr"/>
    </row>
    <row r="3048">
      <c r="A3048" s="23" t="n">
        <v>3047</v>
      </c>
      <c r="B3048" s="23" t="inlineStr">
        <is>
          <t>Part VI - Appendices</t>
        </is>
      </c>
      <c r="C3048" s="24" t="inlineStr">
        <is>
          <t>B.1 Jeffrey Gray - Computational Protein Structure Prediction and Design (JHU 540.414/614</t>
        </is>
      </c>
      <c r="D3048" s="10" t="inlineStr">
        <is>
          <t>Lecture 4: Molecular Energies and Forces part 3</t>
        </is>
      </c>
      <c r="E3048" s="10" t="inlineStr"/>
      <c r="F3048" s="11" t="inlineStr">
        <is>
          <t>1:09:28</t>
        </is>
      </c>
      <c r="G3048" s="11" t="n">
        <v>1.16</v>
      </c>
      <c r="H3048" s="12" t="inlineStr"/>
      <c r="I3048" s="11" t="inlineStr">
        <is>
          <t>Not started</t>
        </is>
      </c>
      <c r="J3048" s="13" t="n"/>
      <c r="K3048" s="10" t="inlineStr"/>
      <c r="L3048" s="14" t="inlineStr">
        <is>
          <t>▶ watch</t>
        </is>
      </c>
      <c r="M3048" s="10" t="inlineStr"/>
      <c r="N3048" s="11" t="inlineStr"/>
      <c r="O3048" s="11" t="inlineStr">
        <is>
          <t>course lecture - no single paper</t>
        </is>
      </c>
      <c r="P3048" s="10" t="inlineStr"/>
    </row>
    <row r="3049">
      <c r="A3049" s="23" t="n">
        <v>3048</v>
      </c>
      <c r="B3049" s="23" t="inlineStr">
        <is>
          <t>Part VI - Appendices</t>
        </is>
      </c>
      <c r="C3049" s="24" t="inlineStr">
        <is>
          <t>B.1 Jeffrey Gray - Computational Protein Structure Prediction and Design (JHU 540.414/614</t>
        </is>
      </c>
      <c r="D3049" s="10" t="inlineStr">
        <is>
          <t>How Deep Learning is Changing Protein Structure Prediction and Design</t>
        </is>
      </c>
      <c r="E3049" s="10" t="inlineStr"/>
      <c r="F3049" s="11" t="inlineStr">
        <is>
          <t>1:10:38</t>
        </is>
      </c>
      <c r="G3049" s="11" t="n">
        <v>1.18</v>
      </c>
      <c r="H3049" s="12" t="inlineStr">
        <is>
          <t>★</t>
        </is>
      </c>
      <c r="I3049" s="11" t="inlineStr">
        <is>
          <t>Not started</t>
        </is>
      </c>
      <c r="J3049" s="13" t="n"/>
      <c r="K3049" s="10" t="inlineStr"/>
      <c r="L3049" s="14" t="inlineStr">
        <is>
          <t>▶ watch</t>
        </is>
      </c>
      <c r="M3049" s="10" t="inlineStr"/>
      <c r="N3049" s="11" t="inlineStr"/>
      <c r="O3049" s="11" t="inlineStr">
        <is>
          <t>course lecture - no single paper</t>
        </is>
      </c>
      <c r="P3049" s="10" t="inlineStr"/>
    </row>
    <row r="3050">
      <c r="A3050" s="23" t="n">
        <v>3049</v>
      </c>
      <c r="B3050" s="23" t="inlineStr">
        <is>
          <t>Part VI - Appendices</t>
        </is>
      </c>
      <c r="C3050" s="24" t="inlineStr">
        <is>
          <t>B.1 Jeffrey Gray - Computational Protein Structure Prediction and Design (JHU 540.414/614</t>
        </is>
      </c>
      <c r="D3050" s="10" t="inlineStr">
        <is>
          <t>Artificial Intelligence Tools for Antibody Engineering and Protein Docking</t>
        </is>
      </c>
      <c r="E3050" s="10" t="inlineStr"/>
      <c r="F3050" s="11" t="inlineStr">
        <is>
          <t>1:01:09</t>
        </is>
      </c>
      <c r="G3050" s="11" t="n">
        <v>1.02</v>
      </c>
      <c r="H3050" s="12" t="inlineStr"/>
      <c r="I3050" s="11" t="inlineStr">
        <is>
          <t>Not started</t>
        </is>
      </c>
      <c r="J3050" s="13" t="n"/>
      <c r="K3050" s="10" t="inlineStr"/>
      <c r="L3050" s="14" t="inlineStr">
        <is>
          <t>▶ watch</t>
        </is>
      </c>
      <c r="M3050" s="10" t="inlineStr"/>
      <c r="N3050" s="11" t="inlineStr"/>
      <c r="O3050" s="11" t="inlineStr">
        <is>
          <t>course lecture - no single paper</t>
        </is>
      </c>
      <c r="P3050" s="10" t="inlineStr"/>
    </row>
    <row r="3051">
      <c r="A3051" s="23" t="n">
        <v>3050</v>
      </c>
      <c r="B3051" s="23" t="inlineStr">
        <is>
          <t>Part VI - Appendices</t>
        </is>
      </c>
      <c r="C3051" s="24" t="inlineStr">
        <is>
          <t>B.1 Jeffrey Gray - Computational Protein Structure Prediction and Design (JHU 540.414/614</t>
        </is>
      </c>
      <c r="D3051" s="10" t="inlineStr">
        <is>
          <t>How Proteins Dance with Their Partners</t>
        </is>
      </c>
      <c r="E3051" s="10" t="inlineStr"/>
      <c r="F3051" s="11" t="inlineStr">
        <is>
          <t>1:03:10</t>
        </is>
      </c>
      <c r="G3051" s="11" t="n">
        <v>1.05</v>
      </c>
      <c r="H3051" s="12" t="inlineStr"/>
      <c r="I3051" s="11" t="inlineStr">
        <is>
          <t>Not started</t>
        </is>
      </c>
      <c r="J3051" s="13" t="n"/>
      <c r="K3051" s="10" t="inlineStr"/>
      <c r="L3051" s="14" t="inlineStr">
        <is>
          <t>▶ watch</t>
        </is>
      </c>
      <c r="M3051" s="10" t="inlineStr"/>
      <c r="N3051" s="11" t="inlineStr"/>
      <c r="O3051" s="11" t="inlineStr">
        <is>
          <t>course lecture - no single paper</t>
        </is>
      </c>
      <c r="P3051" s="10" t="inlineStr"/>
    </row>
    <row r="3052">
      <c r="A3052" s="23" t="n">
        <v>3051</v>
      </c>
      <c r="B3052" s="23" t="inlineStr">
        <is>
          <t>Part VI - Appendices</t>
        </is>
      </c>
      <c r="C3052" s="24" t="inlineStr">
        <is>
          <t>B.2 Erik Lindahl - Biophysical Chemistry / Molecular Biophysics</t>
        </is>
      </c>
      <c r="D3052" s="10" t="inlineStr">
        <is>
          <t>(untitled)</t>
        </is>
      </c>
      <c r="E3052" s="10" t="inlineStr"/>
      <c r="F3052" s="11" t="inlineStr">
        <is>
          <t>2:15:32</t>
        </is>
      </c>
      <c r="G3052" s="11" t="n">
        <v>2.26</v>
      </c>
      <c r="H3052" s="12" t="inlineStr"/>
      <c r="I3052" s="11" t="inlineStr">
        <is>
          <t>Not started</t>
        </is>
      </c>
      <c r="J3052" s="13" t="n"/>
      <c r="K3052" s="10" t="inlineStr"/>
      <c r="L3052" s="14" t="inlineStr">
        <is>
          <t>▶ watch</t>
        </is>
      </c>
      <c r="M3052" s="10" t="inlineStr"/>
      <c r="N3052" s="11" t="inlineStr"/>
      <c r="O3052" s="11" t="inlineStr">
        <is>
          <t>course lecture - no single paper</t>
        </is>
      </c>
      <c r="P3052" s="10" t="inlineStr"/>
    </row>
    <row r="3053">
      <c r="A3053" s="23" t="n">
        <v>3052</v>
      </c>
      <c r="B3053" s="23" t="inlineStr">
        <is>
          <t>Part VI - Appendices</t>
        </is>
      </c>
      <c r="C3053" s="24" t="inlineStr">
        <is>
          <t>B.2 Erik Lindahl - Biophysical Chemistry / Molecular Biophysics</t>
        </is>
      </c>
      <c r="D3053" s="10" t="inlineStr">
        <is>
          <t>(untitled)</t>
        </is>
      </c>
      <c r="E3053" s="10" t="inlineStr"/>
      <c r="F3053" s="11" t="inlineStr">
        <is>
          <t>2:15:32</t>
        </is>
      </c>
      <c r="G3053" s="11" t="n">
        <v>2.26</v>
      </c>
      <c r="H3053" s="12" t="inlineStr"/>
      <c r="I3053" s="11" t="inlineStr">
        <is>
          <t>Not started</t>
        </is>
      </c>
      <c r="J3053" s="13" t="n"/>
      <c r="K3053" s="10" t="inlineStr"/>
      <c r="L3053" s="14" t="inlineStr">
        <is>
          <t>▶ watch</t>
        </is>
      </c>
      <c r="M3053" s="10" t="inlineStr"/>
      <c r="N3053" s="11" t="inlineStr"/>
      <c r="O3053" s="11" t="inlineStr">
        <is>
          <t>course lecture - no single paper</t>
        </is>
      </c>
      <c r="P3053" s="10" t="inlineStr"/>
    </row>
    <row r="3054">
      <c r="A3054" s="23" t="n">
        <v>3053</v>
      </c>
      <c r="B3054" s="23" t="inlineStr">
        <is>
          <t>Part VI - Appendices</t>
        </is>
      </c>
      <c r="C3054" s="24" t="inlineStr">
        <is>
          <t>B.2 Erik Lindahl - Biophysical Chemistry / Molecular Biophysics</t>
        </is>
      </c>
      <c r="D3054" s="10" t="inlineStr">
        <is>
          <t>(untitled)</t>
        </is>
      </c>
      <c r="E3054" s="10" t="inlineStr"/>
      <c r="F3054" s="11" t="inlineStr">
        <is>
          <t>2:30:14</t>
        </is>
      </c>
      <c r="G3054" s="11" t="n">
        <v>2.5</v>
      </c>
      <c r="H3054" s="12" t="inlineStr"/>
      <c r="I3054" s="11" t="inlineStr">
        <is>
          <t>Not started</t>
        </is>
      </c>
      <c r="J3054" s="13" t="n"/>
      <c r="K3054" s="10" t="inlineStr"/>
      <c r="L3054" s="14" t="inlineStr">
        <is>
          <t>▶ watch</t>
        </is>
      </c>
      <c r="M3054" s="10" t="inlineStr"/>
      <c r="N3054" s="11" t="inlineStr"/>
      <c r="O3054" s="11" t="inlineStr">
        <is>
          <t>course lecture - no single paper</t>
        </is>
      </c>
      <c r="P3054" s="10" t="inlineStr"/>
    </row>
    <row r="3055">
      <c r="A3055" s="23" t="n">
        <v>3054</v>
      </c>
      <c r="B3055" s="23" t="inlineStr">
        <is>
          <t>Part VI - Appendices</t>
        </is>
      </c>
      <c r="C3055" s="24" t="inlineStr">
        <is>
          <t>B.2 Erik Lindahl - Biophysical Chemistry / Molecular Biophysics</t>
        </is>
      </c>
      <c r="D3055" s="10" t="inlineStr">
        <is>
          <t>(untitled)</t>
        </is>
      </c>
      <c r="E3055" s="10" t="inlineStr"/>
      <c r="F3055" s="11" t="inlineStr">
        <is>
          <t>2:30:14</t>
        </is>
      </c>
      <c r="G3055" s="11" t="n">
        <v>2.5</v>
      </c>
      <c r="H3055" s="12" t="inlineStr"/>
      <c r="I3055" s="11" t="inlineStr">
        <is>
          <t>Not started</t>
        </is>
      </c>
      <c r="J3055" s="13" t="n"/>
      <c r="K3055" s="10" t="inlineStr"/>
      <c r="L3055" s="14" t="inlineStr">
        <is>
          <t>▶ watch</t>
        </is>
      </c>
      <c r="M3055" s="10" t="inlineStr"/>
      <c r="N3055" s="11" t="inlineStr"/>
      <c r="O3055" s="11" t="inlineStr">
        <is>
          <t>course lecture - no single paper</t>
        </is>
      </c>
      <c r="P3055" s="10" t="inlineStr"/>
    </row>
    <row r="3056">
      <c r="A3056" s="23" t="n">
        <v>3055</v>
      </c>
      <c r="B3056" s="23" t="inlineStr">
        <is>
          <t>Part VI - Appendices</t>
        </is>
      </c>
      <c r="C3056" s="24" t="inlineStr">
        <is>
          <t>B.2 Erik Lindahl - Biophysical Chemistry / Molecular Biophysics</t>
        </is>
      </c>
      <c r="D3056" s="10" t="inlineStr">
        <is>
          <t>(untitled)</t>
        </is>
      </c>
      <c r="E3056" s="10" t="inlineStr"/>
      <c r="F3056" s="11" t="inlineStr">
        <is>
          <t>2:12:42</t>
        </is>
      </c>
      <c r="G3056" s="11" t="n">
        <v>2.21</v>
      </c>
      <c r="H3056" s="12" t="inlineStr"/>
      <c r="I3056" s="11" t="inlineStr">
        <is>
          <t>Not started</t>
        </is>
      </c>
      <c r="J3056" s="13" t="n"/>
      <c r="K3056" s="10" t="inlineStr"/>
      <c r="L3056" s="14" t="inlineStr">
        <is>
          <t>▶ watch</t>
        </is>
      </c>
      <c r="M3056" s="10" t="inlineStr"/>
      <c r="N3056" s="11" t="inlineStr"/>
      <c r="O3056" s="11" t="inlineStr">
        <is>
          <t>course lecture - no single paper</t>
        </is>
      </c>
      <c r="P3056" s="10" t="inlineStr"/>
    </row>
    <row r="3057">
      <c r="A3057" s="23" t="n">
        <v>3056</v>
      </c>
      <c r="B3057" s="23" t="inlineStr">
        <is>
          <t>Part VI - Appendices</t>
        </is>
      </c>
      <c r="C3057" s="24" t="inlineStr">
        <is>
          <t>B.2 Erik Lindahl - Biophysical Chemistry / Molecular Biophysics</t>
        </is>
      </c>
      <c r="D3057" s="10" t="inlineStr">
        <is>
          <t>(untitled)</t>
        </is>
      </c>
      <c r="E3057" s="10" t="inlineStr"/>
      <c r="F3057" s="11" t="inlineStr">
        <is>
          <t>2:12:42</t>
        </is>
      </c>
      <c r="G3057" s="11" t="n">
        <v>2.21</v>
      </c>
      <c r="H3057" s="12" t="inlineStr"/>
      <c r="I3057" s="11" t="inlineStr">
        <is>
          <t>Not started</t>
        </is>
      </c>
      <c r="J3057" s="13" t="n"/>
      <c r="K3057" s="10" t="inlineStr"/>
      <c r="L3057" s="14" t="inlineStr">
        <is>
          <t>▶ watch</t>
        </is>
      </c>
      <c r="M3057" s="10" t="inlineStr"/>
      <c r="N3057" s="11" t="inlineStr"/>
      <c r="O3057" s="11" t="inlineStr">
        <is>
          <t>course lecture - no single paper</t>
        </is>
      </c>
      <c r="P3057" s="10" t="inlineStr"/>
    </row>
    <row r="3058">
      <c r="A3058" s="23" t="n">
        <v>3057</v>
      </c>
      <c r="B3058" s="23" t="inlineStr">
        <is>
          <t>Part VI - Appendices</t>
        </is>
      </c>
      <c r="C3058" s="24" t="inlineStr">
        <is>
          <t>B.2 Erik Lindahl - Biophysical Chemistry / Molecular Biophysics</t>
        </is>
      </c>
      <c r="D3058" s="10" t="inlineStr">
        <is>
          <t>(untitled)</t>
        </is>
      </c>
      <c r="E3058" s="10" t="inlineStr"/>
      <c r="F3058" s="11" t="inlineStr">
        <is>
          <t>1:43:59</t>
        </is>
      </c>
      <c r="G3058" s="11" t="n">
        <v>1.73</v>
      </c>
      <c r="H3058" s="12" t="inlineStr"/>
      <c r="I3058" s="11" t="inlineStr">
        <is>
          <t>Not started</t>
        </is>
      </c>
      <c r="J3058" s="13" t="n"/>
      <c r="K3058" s="10" t="inlineStr"/>
      <c r="L3058" s="14" t="inlineStr">
        <is>
          <t>▶ watch</t>
        </is>
      </c>
      <c r="M3058" s="10" t="inlineStr"/>
      <c r="N3058" s="11" t="inlineStr"/>
      <c r="O3058" s="11" t="inlineStr">
        <is>
          <t>course lecture - no single paper</t>
        </is>
      </c>
      <c r="P3058" s="10" t="inlineStr"/>
    </row>
    <row r="3059">
      <c r="A3059" s="23" t="n">
        <v>3058</v>
      </c>
      <c r="B3059" s="23" t="inlineStr">
        <is>
          <t>Part VI - Appendices</t>
        </is>
      </c>
      <c r="C3059" s="24" t="inlineStr">
        <is>
          <t>B.2 Erik Lindahl - Biophysical Chemistry / Molecular Biophysics</t>
        </is>
      </c>
      <c r="D3059" s="10" t="inlineStr">
        <is>
          <t>(untitled)</t>
        </is>
      </c>
      <c r="E3059" s="10" t="inlineStr"/>
      <c r="F3059" s="11" t="inlineStr">
        <is>
          <t>1:43:59</t>
        </is>
      </c>
      <c r="G3059" s="11" t="n">
        <v>1.73</v>
      </c>
      <c r="H3059" s="12" t="inlineStr"/>
      <c r="I3059" s="11" t="inlineStr">
        <is>
          <t>Not started</t>
        </is>
      </c>
      <c r="J3059" s="13" t="n"/>
      <c r="K3059" s="10" t="inlineStr"/>
      <c r="L3059" s="14" t="inlineStr">
        <is>
          <t>▶ watch</t>
        </is>
      </c>
      <c r="M3059" s="10" t="inlineStr"/>
      <c r="N3059" s="11" t="inlineStr"/>
      <c r="O3059" s="11" t="inlineStr">
        <is>
          <t>course lecture - no single paper</t>
        </is>
      </c>
      <c r="P3059" s="10" t="inlineStr"/>
    </row>
    <row r="3060">
      <c r="A3060" s="23" t="n">
        <v>3059</v>
      </c>
      <c r="B3060" s="23" t="inlineStr">
        <is>
          <t>Part VI - Appendices</t>
        </is>
      </c>
      <c r="C3060" s="24" t="inlineStr">
        <is>
          <t>B.2 Erik Lindahl - Biophysical Chemistry / Molecular Biophysics</t>
        </is>
      </c>
      <c r="D3060" s="10" t="inlineStr">
        <is>
          <t>(untitled)</t>
        </is>
      </c>
      <c r="E3060" s="10" t="inlineStr"/>
      <c r="F3060" s="11" t="inlineStr">
        <is>
          <t>2:19:33</t>
        </is>
      </c>
      <c r="G3060" s="11" t="n">
        <v>2.33</v>
      </c>
      <c r="H3060" s="12" t="inlineStr"/>
      <c r="I3060" s="11" t="inlineStr">
        <is>
          <t>Not started</t>
        </is>
      </c>
      <c r="J3060" s="13" t="n"/>
      <c r="K3060" s="10" t="inlineStr"/>
      <c r="L3060" s="14" t="inlineStr">
        <is>
          <t>▶ watch</t>
        </is>
      </c>
      <c r="M3060" s="10" t="inlineStr"/>
      <c r="N3060" s="11" t="inlineStr"/>
      <c r="O3060" s="11" t="inlineStr">
        <is>
          <t>course lecture - no single paper</t>
        </is>
      </c>
      <c r="P3060" s="10" t="inlineStr"/>
    </row>
    <row r="3061">
      <c r="A3061" s="23" t="n">
        <v>3060</v>
      </c>
      <c r="B3061" s="23" t="inlineStr">
        <is>
          <t>Part VI - Appendices</t>
        </is>
      </c>
      <c r="C3061" s="24" t="inlineStr">
        <is>
          <t>B.2 Erik Lindahl - Biophysical Chemistry / Molecular Biophysics</t>
        </is>
      </c>
      <c r="D3061" s="10" t="inlineStr">
        <is>
          <t>(untitled)</t>
        </is>
      </c>
      <c r="E3061" s="10" t="inlineStr"/>
      <c r="F3061" s="11" t="inlineStr">
        <is>
          <t>2:19:33</t>
        </is>
      </c>
      <c r="G3061" s="11" t="n">
        <v>2.33</v>
      </c>
      <c r="H3061" s="12" t="inlineStr"/>
      <c r="I3061" s="11" t="inlineStr">
        <is>
          <t>Not started</t>
        </is>
      </c>
      <c r="J3061" s="13" t="n"/>
      <c r="K3061" s="10" t="inlineStr"/>
      <c r="L3061" s="14" t="inlineStr">
        <is>
          <t>▶ watch</t>
        </is>
      </c>
      <c r="M3061" s="10" t="inlineStr"/>
      <c r="N3061" s="11" t="inlineStr"/>
      <c r="O3061" s="11" t="inlineStr">
        <is>
          <t>course lecture - no single paper</t>
        </is>
      </c>
      <c r="P3061" s="10" t="inlineStr"/>
    </row>
    <row r="3062">
      <c r="A3062" s="23" t="n">
        <v>3061</v>
      </c>
      <c r="B3062" s="23" t="inlineStr">
        <is>
          <t>Part VI - Appendices</t>
        </is>
      </c>
      <c r="C3062" s="24" t="inlineStr">
        <is>
          <t>B.2 Erik Lindahl - Biophysical Chemistry / Molecular Biophysics</t>
        </is>
      </c>
      <c r="D3062" s="10" t="inlineStr">
        <is>
          <t>(untitled)</t>
        </is>
      </c>
      <c r="E3062" s="10" t="inlineStr"/>
      <c r="F3062" s="11" t="inlineStr">
        <is>
          <t>2:27:44</t>
        </is>
      </c>
      <c r="G3062" s="11" t="n">
        <v>2.46</v>
      </c>
      <c r="H3062" s="12" t="inlineStr"/>
      <c r="I3062" s="11" t="inlineStr">
        <is>
          <t>Not started</t>
        </is>
      </c>
      <c r="J3062" s="13" t="n"/>
      <c r="K3062" s="10" t="inlineStr"/>
      <c r="L3062" s="14" t="inlineStr">
        <is>
          <t>▶ watch</t>
        </is>
      </c>
      <c r="M3062" s="10" t="inlineStr"/>
      <c r="N3062" s="11" t="inlineStr"/>
      <c r="O3062" s="11" t="inlineStr">
        <is>
          <t>course lecture - no single paper</t>
        </is>
      </c>
      <c r="P3062" s="10" t="inlineStr"/>
    </row>
    <row r="3063">
      <c r="A3063" s="23" t="n">
        <v>3062</v>
      </c>
      <c r="B3063" s="23" t="inlineStr">
        <is>
          <t>Part VI - Appendices</t>
        </is>
      </c>
      <c r="C3063" s="24" t="inlineStr">
        <is>
          <t>B.2 Erik Lindahl - Biophysical Chemistry / Molecular Biophysics</t>
        </is>
      </c>
      <c r="D3063" s="10" t="inlineStr">
        <is>
          <t>(untitled)</t>
        </is>
      </c>
      <c r="E3063" s="10" t="inlineStr"/>
      <c r="F3063" s="11" t="inlineStr">
        <is>
          <t>2:27:44</t>
        </is>
      </c>
      <c r="G3063" s="11" t="n">
        <v>2.46</v>
      </c>
      <c r="H3063" s="12" t="inlineStr"/>
      <c r="I3063" s="11" t="inlineStr">
        <is>
          <t>Not started</t>
        </is>
      </c>
      <c r="J3063" s="13" t="n"/>
      <c r="K3063" s="10" t="inlineStr"/>
      <c r="L3063" s="14" t="inlineStr">
        <is>
          <t>▶ watch</t>
        </is>
      </c>
      <c r="M3063" s="10" t="inlineStr"/>
      <c r="N3063" s="11" t="inlineStr"/>
      <c r="O3063" s="11" t="inlineStr">
        <is>
          <t>course lecture - no single paper</t>
        </is>
      </c>
      <c r="P3063" s="10" t="inlineStr"/>
    </row>
    <row r="3064">
      <c r="A3064" s="23" t="n">
        <v>3063</v>
      </c>
      <c r="B3064" s="23" t="inlineStr">
        <is>
          <t>Part VI - Appendices</t>
        </is>
      </c>
      <c r="C3064" s="24" t="inlineStr">
        <is>
          <t>B.2 Erik Lindahl - Biophysical Chemistry / Molecular Biophysics</t>
        </is>
      </c>
      <c r="D3064" s="10" t="inlineStr">
        <is>
          <t>(untitled)</t>
        </is>
      </c>
      <c r="E3064" s="10" t="inlineStr"/>
      <c r="F3064" s="11" t="inlineStr">
        <is>
          <t>2:05:21</t>
        </is>
      </c>
      <c r="G3064" s="11" t="n">
        <v>2.09</v>
      </c>
      <c r="H3064" s="12" t="inlineStr"/>
      <c r="I3064" s="11" t="inlineStr">
        <is>
          <t>Not started</t>
        </is>
      </c>
      <c r="J3064" s="13" t="n"/>
      <c r="K3064" s="10" t="inlineStr"/>
      <c r="L3064" s="14" t="inlineStr">
        <is>
          <t>▶ watch</t>
        </is>
      </c>
      <c r="M3064" s="10" t="inlineStr"/>
      <c r="N3064" s="11" t="inlineStr"/>
      <c r="O3064" s="11" t="inlineStr">
        <is>
          <t>course lecture - no single paper</t>
        </is>
      </c>
      <c r="P3064" s="10" t="inlineStr"/>
    </row>
    <row r="3065">
      <c r="A3065" s="23" t="n">
        <v>3064</v>
      </c>
      <c r="B3065" s="23" t="inlineStr">
        <is>
          <t>Part VI - Appendices</t>
        </is>
      </c>
      <c r="C3065" s="24" t="inlineStr">
        <is>
          <t>B.2 Erik Lindahl - Biophysical Chemistry / Molecular Biophysics</t>
        </is>
      </c>
      <c r="D3065" s="10" t="inlineStr">
        <is>
          <t>lecture 14: L1</t>
        </is>
      </c>
      <c r="E3065" s="10" t="inlineStr"/>
      <c r="F3065" s="11" t="inlineStr"/>
      <c r="G3065" s="11" t="n">
        <v>0</v>
      </c>
      <c r="H3065" s="12" t="inlineStr"/>
      <c r="I3065" s="11" t="inlineStr">
        <is>
          <t>Not started</t>
        </is>
      </c>
      <c r="J3065" s="13" t="n"/>
      <c r="K3065" s="10" t="inlineStr"/>
      <c r="L3065" s="14" t="inlineStr">
        <is>
          <t>▶ watch</t>
        </is>
      </c>
      <c r="M3065" s="10" t="inlineStr"/>
      <c r="N3065" s="11" t="inlineStr"/>
      <c r="O3065" s="11" t="inlineStr">
        <is>
          <t>course lecture - no single paper</t>
        </is>
      </c>
      <c r="P3065" s="10" t="inlineStr"/>
    </row>
    <row r="3066">
      <c r="A3066" s="23" t="n">
        <v>3065</v>
      </c>
      <c r="B3066" s="23" t="inlineStr">
        <is>
          <t>Part VI - Appendices</t>
        </is>
      </c>
      <c r="C3066" s="24" t="inlineStr">
        <is>
          <t>B.2 Erik Lindahl - Biophysical Chemistry / Molecular Biophysics</t>
        </is>
      </c>
      <c r="D3066" s="10" t="inlineStr">
        <is>
          <t>lecture 14: L1</t>
        </is>
      </c>
      <c r="E3066" s="10" t="inlineStr"/>
      <c r="F3066" s="11" t="inlineStr"/>
      <c r="G3066" s="11" t="n">
        <v>0</v>
      </c>
      <c r="H3066" s="12" t="inlineStr"/>
      <c r="I3066" s="11" t="inlineStr">
        <is>
          <t>Not started</t>
        </is>
      </c>
      <c r="J3066" s="13" t="n"/>
      <c r="K3066" s="10" t="inlineStr"/>
      <c r="L3066" s="14" t="inlineStr">
        <is>
          <t>▶ watch</t>
        </is>
      </c>
      <c r="M3066" s="10" t="inlineStr"/>
      <c r="N3066" s="11" t="inlineStr"/>
      <c r="O3066" s="11" t="inlineStr">
        <is>
          <t>course lecture - no single paper</t>
        </is>
      </c>
      <c r="P3066" s="10" t="inlineStr"/>
    </row>
    <row r="3067">
      <c r="A3067" s="23" t="n">
        <v>3066</v>
      </c>
      <c r="B3067" s="23" t="inlineStr">
        <is>
          <t>Part VI - Appendices</t>
        </is>
      </c>
      <c r="C3067" s="24" t="inlineStr">
        <is>
          <t>B.2 Erik Lindahl - Biophysical Chemistry / Molecular Biophysics</t>
        </is>
      </c>
      <c r="D3067" s="10" t="inlineStr">
        <is>
          <t>lecture 14: L1</t>
        </is>
      </c>
      <c r="E3067" s="10" t="inlineStr"/>
      <c r="F3067" s="11" t="inlineStr"/>
      <c r="G3067" s="11" t="n">
        <v>0</v>
      </c>
      <c r="H3067" s="12" t="inlineStr"/>
      <c r="I3067" s="11" t="inlineStr">
        <is>
          <t>Not started</t>
        </is>
      </c>
      <c r="J3067" s="13" t="n"/>
      <c r="K3067" s="10" t="inlineStr"/>
      <c r="L3067" s="14" t="inlineStr">
        <is>
          <t>▶ watch</t>
        </is>
      </c>
      <c r="M3067" s="10" t="inlineStr"/>
      <c r="N3067" s="11" t="inlineStr"/>
      <c r="O3067" s="11" t="inlineStr">
        <is>
          <t>course lecture - no single paper</t>
        </is>
      </c>
      <c r="P3067" s="10" t="inlineStr"/>
    </row>
    <row r="3068">
      <c r="A3068" s="23" t="n">
        <v>3067</v>
      </c>
      <c r="B3068" s="23" t="inlineStr">
        <is>
          <t>Part VI - Appendices</t>
        </is>
      </c>
      <c r="C3068" s="24" t="inlineStr">
        <is>
          <t>B.2 Erik Lindahl - Biophysical Chemistry / Molecular Biophysics</t>
        </is>
      </c>
      <c r="D3068" s="10" t="inlineStr">
        <is>
          <t>lecture 14: L1</t>
        </is>
      </c>
      <c r="E3068" s="10" t="inlineStr"/>
      <c r="F3068" s="11" t="inlineStr"/>
      <c r="G3068" s="11" t="n">
        <v>0</v>
      </c>
      <c r="H3068" s="12" t="inlineStr"/>
      <c r="I3068" s="11" t="inlineStr">
        <is>
          <t>Not started</t>
        </is>
      </c>
      <c r="J3068" s="13" t="n"/>
      <c r="K3068" s="10" t="inlineStr"/>
      <c r="L3068" s="14" t="inlineStr">
        <is>
          <t>▶ watch</t>
        </is>
      </c>
      <c r="M3068" s="10" t="inlineStr"/>
      <c r="N3068" s="11" t="inlineStr"/>
      <c r="O3068" s="11" t="inlineStr">
        <is>
          <t>course lecture - no single paper</t>
        </is>
      </c>
      <c r="P3068" s="10" t="inlineStr"/>
    </row>
    <row r="3069">
      <c r="A3069" s="23" t="n">
        <v>3068</v>
      </c>
      <c r="B3069" s="23" t="inlineStr">
        <is>
          <t>Part VI - Appendices</t>
        </is>
      </c>
      <c r="C3069" s="24" t="inlineStr">
        <is>
          <t>B.2 Erik Lindahl - Biophysical Chemistry / Molecular Biophysics</t>
        </is>
      </c>
      <c r="D3069" s="10" t="inlineStr">
        <is>
          <t>lecture 14: L1</t>
        </is>
      </c>
      <c r="E3069" s="10" t="inlineStr"/>
      <c r="F3069" s="11" t="inlineStr"/>
      <c r="G3069" s="11" t="n">
        <v>0</v>
      </c>
      <c r="H3069" s="12" t="inlineStr"/>
      <c r="I3069" s="11" t="inlineStr">
        <is>
          <t>Not started</t>
        </is>
      </c>
      <c r="J3069" s="13" t="n"/>
      <c r="K3069" s="10" t="inlineStr"/>
      <c r="L3069" s="14" t="inlineStr">
        <is>
          <t>▶ watch</t>
        </is>
      </c>
      <c r="M3069" s="10" t="inlineStr"/>
      <c r="N3069" s="11" t="inlineStr"/>
      <c r="O3069" s="11" t="inlineStr">
        <is>
          <t>course lecture - no single paper</t>
        </is>
      </c>
      <c r="P3069" s="10" t="inlineStr"/>
    </row>
    <row r="3070">
      <c r="A3070" s="23" t="n">
        <v>3069</v>
      </c>
      <c r="B3070" s="23" t="inlineStr">
        <is>
          <t>Part VI - Appendices</t>
        </is>
      </c>
      <c r="C3070" s="24" t="inlineStr">
        <is>
          <t>B.2 Erik Lindahl - Biophysical Chemistry / Molecular Biophysics</t>
        </is>
      </c>
      <c r="D3070" s="10" t="inlineStr">
        <is>
          <t>lecture 14: L1</t>
        </is>
      </c>
      <c r="E3070" s="10" t="inlineStr"/>
      <c r="F3070" s="11" t="inlineStr"/>
      <c r="G3070" s="11" t="n">
        <v>0</v>
      </c>
      <c r="H3070" s="12" t="inlineStr"/>
      <c r="I3070" s="11" t="inlineStr">
        <is>
          <t>Not started</t>
        </is>
      </c>
      <c r="J3070" s="13" t="n"/>
      <c r="K3070" s="10" t="inlineStr"/>
      <c r="L3070" s="14" t="inlineStr">
        <is>
          <t>▶ watch</t>
        </is>
      </c>
      <c r="M3070" s="10" t="inlineStr"/>
      <c r="N3070" s="11" t="inlineStr"/>
      <c r="O3070" s="11" t="inlineStr">
        <is>
          <t>course lecture - no single paper</t>
        </is>
      </c>
      <c r="P3070" s="10" t="inlineStr"/>
    </row>
    <row r="3071">
      <c r="A3071" s="23" t="n">
        <v>3070</v>
      </c>
      <c r="B3071" s="23" t="inlineStr">
        <is>
          <t>Part VI - Appendices</t>
        </is>
      </c>
      <c r="C3071" s="24" t="inlineStr">
        <is>
          <t>B.2 Erik Lindahl - Biophysical Chemistry / Molecular Biophysics</t>
        </is>
      </c>
      <c r="D3071" s="10" t="inlineStr">
        <is>
          <t>lecture 14: L1</t>
        </is>
      </c>
      <c r="E3071" s="10" t="inlineStr"/>
      <c r="F3071" s="11" t="inlineStr"/>
      <c r="G3071" s="11" t="n">
        <v>0</v>
      </c>
      <c r="H3071" s="12" t="inlineStr"/>
      <c r="I3071" s="11" t="inlineStr">
        <is>
          <t>Not started</t>
        </is>
      </c>
      <c r="J3071" s="13" t="n"/>
      <c r="K3071" s="10" t="inlineStr"/>
      <c r="L3071" s="14" t="inlineStr">
        <is>
          <t>▶ watch</t>
        </is>
      </c>
      <c r="M3071" s="10" t="inlineStr"/>
      <c r="N3071" s="11" t="inlineStr"/>
      <c r="O3071" s="11" t="inlineStr">
        <is>
          <t>course lecture - no single paper</t>
        </is>
      </c>
      <c r="P3071" s="10" t="inlineStr"/>
    </row>
    <row r="3072">
      <c r="A3072" s="23" t="n">
        <v>3071</v>
      </c>
      <c r="B3072" s="23" t="inlineStr">
        <is>
          <t>Part VI - Appendices</t>
        </is>
      </c>
      <c r="C3072" s="24" t="inlineStr">
        <is>
          <t>B.2 Erik Lindahl - Biophysical Chemistry / Molecular Biophysics</t>
        </is>
      </c>
      <c r="D3072" s="10" t="inlineStr">
        <is>
          <t>lecture 14: L1</t>
        </is>
      </c>
      <c r="E3072" s="10" t="inlineStr"/>
      <c r="F3072" s="11" t="inlineStr"/>
      <c r="G3072" s="11" t="n">
        <v>0</v>
      </c>
      <c r="H3072" s="12" t="inlineStr"/>
      <c r="I3072" s="11" t="inlineStr">
        <is>
          <t>Not started</t>
        </is>
      </c>
      <c r="J3072" s="13" t="n"/>
      <c r="K3072" s="10" t="inlineStr"/>
      <c r="L3072" s="14" t="inlineStr">
        <is>
          <t>▶ watch</t>
        </is>
      </c>
      <c r="M3072" s="10" t="inlineStr"/>
      <c r="N3072" s="11" t="inlineStr"/>
      <c r="O3072" s="11" t="inlineStr">
        <is>
          <t>course lecture - no single paper</t>
        </is>
      </c>
      <c r="P3072" s="10" t="inlineStr"/>
    </row>
    <row r="3073">
      <c r="A3073" s="23" t="n">
        <v>3072</v>
      </c>
      <c r="B3073" s="23" t="inlineStr">
        <is>
          <t>Part VI - Appendices</t>
        </is>
      </c>
      <c r="C3073" s="24" t="inlineStr">
        <is>
          <t>B.2 Erik Lindahl - Biophysical Chemistry / Molecular Biophysics</t>
        </is>
      </c>
      <c r="D3073" s="10" t="inlineStr">
        <is>
          <t>lecture 14: L1</t>
        </is>
      </c>
      <c r="E3073" s="10" t="inlineStr"/>
      <c r="F3073" s="11" t="inlineStr"/>
      <c r="G3073" s="11" t="n">
        <v>0</v>
      </c>
      <c r="H3073" s="12" t="inlineStr"/>
      <c r="I3073" s="11" t="inlineStr">
        <is>
          <t>Not started</t>
        </is>
      </c>
      <c r="J3073" s="13" t="n"/>
      <c r="K3073" s="10" t="inlineStr"/>
      <c r="L3073" s="14" t="inlineStr">
        <is>
          <t>▶ watch</t>
        </is>
      </c>
      <c r="M3073" s="10" t="inlineStr"/>
      <c r="N3073" s="11" t="inlineStr"/>
      <c r="O3073" s="11" t="inlineStr">
        <is>
          <t>course lecture - no single paper</t>
        </is>
      </c>
      <c r="P3073" s="10" t="inlineStr"/>
    </row>
    <row r="3074">
      <c r="A3074" s="23" t="n">
        <v>3073</v>
      </c>
      <c r="B3074" s="23" t="inlineStr">
        <is>
          <t>Part VI - Appendices</t>
        </is>
      </c>
      <c r="C3074" s="24" t="inlineStr">
        <is>
          <t>B.2 Erik Lindahl - Biophysical Chemistry / Molecular Biophysics</t>
        </is>
      </c>
      <c r="D3074" s="10" t="inlineStr">
        <is>
          <t>lecture 14: L1</t>
        </is>
      </c>
      <c r="E3074" s="10" t="inlineStr"/>
      <c r="F3074" s="11" t="inlineStr"/>
      <c r="G3074" s="11" t="n">
        <v>0</v>
      </c>
      <c r="H3074" s="12" t="inlineStr"/>
      <c r="I3074" s="11" t="inlineStr">
        <is>
          <t>Not started</t>
        </is>
      </c>
      <c r="J3074" s="13" t="n"/>
      <c r="K3074" s="10" t="inlineStr"/>
      <c r="L3074" s="14" t="inlineStr">
        <is>
          <t>▶ watch</t>
        </is>
      </c>
      <c r="M3074" s="10" t="inlineStr"/>
      <c r="N3074" s="11" t="inlineStr"/>
      <c r="O3074" s="11" t="inlineStr">
        <is>
          <t>course lecture - no single paper</t>
        </is>
      </c>
      <c r="P3074" s="10" t="inlineStr"/>
    </row>
    <row r="3075">
      <c r="A3075" s="23" t="n">
        <v>3074</v>
      </c>
      <c r="B3075" s="23" t="inlineStr">
        <is>
          <t>Part VI - Appendices</t>
        </is>
      </c>
      <c r="C3075" s="24" t="inlineStr">
        <is>
          <t>B.2 Erik Lindahl - Biophysical Chemistry / Molecular Biophysics</t>
        </is>
      </c>
      <c r="D3075" s="10" t="inlineStr">
        <is>
          <t>lecture 14: L1</t>
        </is>
      </c>
      <c r="E3075" s="10" t="inlineStr"/>
      <c r="F3075" s="11" t="inlineStr"/>
      <c r="G3075" s="11" t="n">
        <v>0</v>
      </c>
      <c r="H3075" s="12" t="inlineStr"/>
      <c r="I3075" s="11" t="inlineStr">
        <is>
          <t>Not started</t>
        </is>
      </c>
      <c r="J3075" s="13" t="n"/>
      <c r="K3075" s="10" t="inlineStr"/>
      <c r="L3075" s="14" t="inlineStr">
        <is>
          <t>▶ watch</t>
        </is>
      </c>
      <c r="M3075" s="10" t="inlineStr"/>
      <c r="N3075" s="11" t="inlineStr"/>
      <c r="O3075" s="11" t="inlineStr">
        <is>
          <t>course lecture - no single paper</t>
        </is>
      </c>
      <c r="P3075" s="10" t="inlineStr"/>
    </row>
    <row r="3076">
      <c r="A3076" s="23" t="n">
        <v>3075</v>
      </c>
      <c r="B3076" s="23" t="inlineStr">
        <is>
          <t>Part VI - Appendices</t>
        </is>
      </c>
      <c r="C3076" s="24" t="inlineStr">
        <is>
          <t>B.2 Erik Lindahl - Biophysical Chemistry / Molecular Biophysics</t>
        </is>
      </c>
      <c r="D3076" s="10" t="inlineStr">
        <is>
          <t>lecture 14: L1</t>
        </is>
      </c>
      <c r="E3076" s="10" t="inlineStr"/>
      <c r="F3076" s="11" t="inlineStr"/>
      <c r="G3076" s="11" t="n">
        <v>0</v>
      </c>
      <c r="H3076" s="12" t="inlineStr"/>
      <c r="I3076" s="11" t="inlineStr">
        <is>
          <t>Not started</t>
        </is>
      </c>
      <c r="J3076" s="13" t="n"/>
      <c r="K3076" s="10" t="inlineStr"/>
      <c r="L3076" s="14" t="inlineStr">
        <is>
          <t>▶ watch</t>
        </is>
      </c>
      <c r="M3076" s="10" t="inlineStr"/>
      <c r="N3076" s="11" t="inlineStr"/>
      <c r="O3076" s="11" t="inlineStr">
        <is>
          <t>course lecture - no single paper</t>
        </is>
      </c>
      <c r="P3076" s="10" t="inlineStr"/>
    </row>
    <row r="3077">
      <c r="A3077" s="23" t="n">
        <v>3076</v>
      </c>
      <c r="B3077" s="23" t="inlineStr">
        <is>
          <t>Part VI - Appendices</t>
        </is>
      </c>
      <c r="C3077" s="24" t="inlineStr">
        <is>
          <t>B.2 Erik Lindahl - Biophysical Chemistry / Molecular Biophysics</t>
        </is>
      </c>
      <c r="D3077" s="10" t="inlineStr">
        <is>
          <t>L14 follow-up</t>
        </is>
      </c>
      <c r="E3077" s="10" t="inlineStr"/>
      <c r="F3077" s="11" t="inlineStr"/>
      <c r="G3077" s="11" t="n">
        <v>0</v>
      </c>
      <c r="H3077" s="12" t="inlineStr"/>
      <c r="I3077" s="11" t="inlineStr">
        <is>
          <t>Not started</t>
        </is>
      </c>
      <c r="J3077" s="13" t="n"/>
      <c r="K3077" s="10" t="inlineStr"/>
      <c r="L3077" s="14" t="inlineStr">
        <is>
          <t>▶ watch</t>
        </is>
      </c>
      <c r="M3077" s="10" t="inlineStr"/>
      <c r="N3077" s="11" t="inlineStr"/>
      <c r="O3077" s="11" t="inlineStr">
        <is>
          <t>course lecture - no single paper</t>
        </is>
      </c>
      <c r="P3077" s="10" t="inlineStr"/>
    </row>
    <row r="3078">
      <c r="A3078" s="23" t="n">
        <v>3077</v>
      </c>
      <c r="B3078" s="23" t="inlineStr">
        <is>
          <t>Part VI - Appendices</t>
        </is>
      </c>
      <c r="C3078" s="24" t="inlineStr">
        <is>
          <t>B.2 Erik Lindahl - Biophysical Chemistry / Molecular Biophysics</t>
        </is>
      </c>
      <c r="D3078" s="10" t="inlineStr">
        <is>
          <t>(see curriculum section)</t>
        </is>
      </c>
      <c r="E3078" s="10" t="inlineStr"/>
      <c r="F3078" s="11" t="inlineStr"/>
      <c r="G3078" s="11" t="n">
        <v>0</v>
      </c>
      <c r="H3078" s="12" t="inlineStr"/>
      <c r="I3078" s="11" t="inlineStr">
        <is>
          <t>Not started</t>
        </is>
      </c>
      <c r="J3078" s="13" t="n"/>
      <c r="K3078" s="10" t="inlineStr"/>
      <c r="L3078" s="14" t="inlineStr">
        <is>
          <t>▶ watch</t>
        </is>
      </c>
      <c r="M3078" s="10" t="inlineStr"/>
      <c r="N3078" s="11" t="inlineStr"/>
      <c r="O3078" s="11" t="inlineStr">
        <is>
          <t>course lecture - no single paper</t>
        </is>
      </c>
      <c r="P3078" s="10" t="inlineStr"/>
    </row>
    <row r="3079">
      <c r="A3079" s="23" t="n">
        <v>3078</v>
      </c>
      <c r="B3079" s="23" t="inlineStr">
        <is>
          <t>Part VI - Appendices</t>
        </is>
      </c>
      <c r="C3079" s="24" t="inlineStr">
        <is>
          <t>B.2 Erik Lindahl - Biophysical Chemistry / Molecular Biophysics</t>
        </is>
      </c>
      <c r="D3079" s="10" t="inlineStr">
        <is>
          <t>complete lecture 2</t>
        </is>
      </c>
      <c r="E3079" s="10" t="inlineStr"/>
      <c r="F3079" s="11" t="inlineStr">
        <is>
          <t>1:28:11</t>
        </is>
      </c>
      <c r="G3079" s="11" t="n">
        <v>1.47</v>
      </c>
      <c r="H3079" s="12" t="inlineStr"/>
      <c r="I3079" s="11" t="inlineStr">
        <is>
          <t>Not started</t>
        </is>
      </c>
      <c r="J3079" s="13" t="n"/>
      <c r="K3079" s="10" t="inlineStr"/>
      <c r="L3079" s="14" t="inlineStr">
        <is>
          <t>▶ watch</t>
        </is>
      </c>
      <c r="M3079" s="10" t="inlineStr"/>
      <c r="N3079" s="11" t="inlineStr"/>
      <c r="O3079" s="11" t="inlineStr">
        <is>
          <t>course lecture - no single paper</t>
        </is>
      </c>
      <c r="P3079" s="10" t="inlineStr"/>
    </row>
    <row r="3080">
      <c r="A3080" s="23" t="n">
        <v>3079</v>
      </c>
      <c r="B3080" s="23" t="inlineStr">
        <is>
          <t>Part VI - Appendices</t>
        </is>
      </c>
      <c r="C3080" s="24" t="inlineStr">
        <is>
          <t>B.3 PLUMED Masterclass - 43 videos</t>
        </is>
      </c>
      <c r="D3080" s="10" t="inlineStr">
        <is>
          <t>PLUMED syntax and analysis (Bonomi</t>
        </is>
      </c>
      <c r="E3080" s="10" t="inlineStr"/>
      <c r="F3080" s="11" t="inlineStr">
        <is>
          <t>52:46</t>
        </is>
      </c>
      <c r="G3080" s="11" t="n">
        <v>0.88</v>
      </c>
      <c r="H3080" s="12" t="inlineStr"/>
      <c r="I3080" s="11" t="inlineStr">
        <is>
          <t>Not started</t>
        </is>
      </c>
      <c r="J3080" s="13" t="n"/>
      <c r="K3080" s="10" t="inlineStr"/>
      <c r="L3080" s="14" t="inlineStr">
        <is>
          <t>▶ watch</t>
        </is>
      </c>
      <c r="M3080" s="10" t="inlineStr"/>
      <c r="N3080" s="11" t="inlineStr"/>
      <c r="O3080" s="11" t="inlineStr">
        <is>
          <t>course lecture - no single paper</t>
        </is>
      </c>
      <c r="P3080" s="10" t="inlineStr"/>
    </row>
    <row r="3081">
      <c r="A3081" s="23" t="n">
        <v>3080</v>
      </c>
      <c r="B3081" s="23" t="inlineStr">
        <is>
          <t>Part VI - Appendices</t>
        </is>
      </c>
      <c r="C3081" s="24" t="inlineStr">
        <is>
          <t>B.3 PLUMED Masterclass - 43 videos</t>
        </is>
      </c>
      <c r="D3081" s="10" t="inlineStr">
        <is>
          <t>PLUMED syntax and analysis (Bonomi</t>
        </is>
      </c>
      <c r="E3081" s="10" t="inlineStr"/>
      <c r="F3081" s="11" t="inlineStr">
        <is>
          <t>52:46</t>
        </is>
      </c>
      <c r="G3081" s="11" t="n">
        <v>0.88</v>
      </c>
      <c r="H3081" s="12" t="inlineStr"/>
      <c r="I3081" s="11" t="inlineStr">
        <is>
          <t>Not started</t>
        </is>
      </c>
      <c r="J3081" s="13" t="n"/>
      <c r="K3081" s="10" t="inlineStr"/>
      <c r="L3081" s="14" t="inlineStr">
        <is>
          <t>▶ watch</t>
        </is>
      </c>
      <c r="M3081" s="10" t="inlineStr"/>
      <c r="N3081" s="11" t="inlineStr"/>
      <c r="O3081" s="11" t="inlineStr">
        <is>
          <t>course lecture - no single paper</t>
        </is>
      </c>
      <c r="P3081" s="10" t="inlineStr"/>
    </row>
    <row r="3082">
      <c r="A3082" s="23" t="n">
        <v>3081</v>
      </c>
      <c r="B3082" s="23" t="inlineStr">
        <is>
          <t>Part VI - Appendices</t>
        </is>
      </c>
      <c r="C3082" s="24" t="inlineStr">
        <is>
          <t>B.3 PLUMED Masterclass - 43 videos</t>
        </is>
      </c>
      <c r="D3082" s="10" t="inlineStr">
        <is>
          <t>Statistical errors in MD (Tribello</t>
        </is>
      </c>
      <c r="E3082" s="10" t="inlineStr"/>
      <c r="F3082" s="11" t="inlineStr">
        <is>
          <t>42:11</t>
        </is>
      </c>
      <c r="G3082" s="11" t="n">
        <v>0.7</v>
      </c>
      <c r="H3082" s="12" t="inlineStr">
        <is>
          <t>★</t>
        </is>
      </c>
      <c r="I3082" s="11" t="inlineStr">
        <is>
          <t>Not started</t>
        </is>
      </c>
      <c r="J3082" s="13" t="n"/>
      <c r="K3082" s="10" t="inlineStr"/>
      <c r="L3082" s="14" t="inlineStr">
        <is>
          <t>▶ watch</t>
        </is>
      </c>
      <c r="M3082" s="10" t="inlineStr"/>
      <c r="N3082" s="11" t="inlineStr"/>
      <c r="O3082" s="11" t="inlineStr">
        <is>
          <t>course lecture - no single paper</t>
        </is>
      </c>
      <c r="P3082" s="10" t="inlineStr"/>
    </row>
    <row r="3083">
      <c r="A3083" s="23" t="n">
        <v>3082</v>
      </c>
      <c r="B3083" s="23" t="inlineStr">
        <is>
          <t>Part VI - Appendices</t>
        </is>
      </c>
      <c r="C3083" s="24" t="inlineStr">
        <is>
          <t>B.3 PLUMED Masterclass - 43 videos</t>
        </is>
      </c>
      <c r="D3083" s="10" t="inlineStr">
        <is>
          <t>Statistical errors in MD (Tribello</t>
        </is>
      </c>
      <c r="E3083" s="10" t="inlineStr"/>
      <c r="F3083" s="11" t="inlineStr">
        <is>
          <t>42:11</t>
        </is>
      </c>
      <c r="G3083" s="11" t="n">
        <v>0.7</v>
      </c>
      <c r="H3083" s="12" t="inlineStr">
        <is>
          <t>★</t>
        </is>
      </c>
      <c r="I3083" s="11" t="inlineStr">
        <is>
          <t>Not started</t>
        </is>
      </c>
      <c r="J3083" s="13" t="n"/>
      <c r="K3083" s="10" t="inlineStr"/>
      <c r="L3083" s="14" t="inlineStr">
        <is>
          <t>▶ watch</t>
        </is>
      </c>
      <c r="M3083" s="10" t="inlineStr"/>
      <c r="N3083" s="11" t="inlineStr"/>
      <c r="O3083" s="11" t="inlineStr">
        <is>
          <t>course lecture - no single paper</t>
        </is>
      </c>
      <c r="P3083" s="10" t="inlineStr"/>
    </row>
    <row r="3084">
      <c r="A3084" s="23" t="n">
        <v>3083</v>
      </c>
      <c r="B3084" s="23" t="inlineStr">
        <is>
          <t>Part VI - Appendices</t>
        </is>
      </c>
      <c r="C3084" s="24" t="inlineStr">
        <is>
          <t>B.3 PLUMED Masterclass - 43 videos</t>
        </is>
      </c>
      <c r="D3084" s="10" t="inlineStr">
        <is>
          <t>Umbrella sampling (Bussi</t>
        </is>
      </c>
      <c r="E3084" s="10" t="inlineStr"/>
      <c r="F3084" s="11" t="inlineStr">
        <is>
          <t>1:04:16</t>
        </is>
      </c>
      <c r="G3084" s="11" t="n">
        <v>1.07</v>
      </c>
      <c r="H3084" s="12" t="inlineStr">
        <is>
          <t>★</t>
        </is>
      </c>
      <c r="I3084" s="11" t="inlineStr">
        <is>
          <t>Not started</t>
        </is>
      </c>
      <c r="J3084" s="13" t="n"/>
      <c r="K3084" s="10" t="inlineStr"/>
      <c r="L3084" s="14" t="inlineStr">
        <is>
          <t>▶ watch</t>
        </is>
      </c>
      <c r="M3084" s="10" t="inlineStr"/>
      <c r="N3084" s="11" t="inlineStr"/>
      <c r="O3084" s="11" t="inlineStr">
        <is>
          <t>course lecture - no single paper</t>
        </is>
      </c>
      <c r="P3084" s="10" t="inlineStr"/>
    </row>
    <row r="3085">
      <c r="A3085" s="23" t="n">
        <v>3084</v>
      </c>
      <c r="B3085" s="23" t="inlineStr">
        <is>
          <t>Part VI - Appendices</t>
        </is>
      </c>
      <c r="C3085" s="24" t="inlineStr">
        <is>
          <t>B.3 PLUMED Masterclass - 43 videos</t>
        </is>
      </c>
      <c r="D3085" s="10" t="inlineStr">
        <is>
          <t>Umbrella sampling (Bussi</t>
        </is>
      </c>
      <c r="E3085" s="10" t="inlineStr"/>
      <c r="F3085" s="11" t="inlineStr">
        <is>
          <t>1:04:16</t>
        </is>
      </c>
      <c r="G3085" s="11" t="n">
        <v>1.07</v>
      </c>
      <c r="H3085" s="12" t="inlineStr">
        <is>
          <t>★</t>
        </is>
      </c>
      <c r="I3085" s="11" t="inlineStr">
        <is>
          <t>Not started</t>
        </is>
      </c>
      <c r="J3085" s="13" t="n"/>
      <c r="K3085" s="10" t="inlineStr"/>
      <c r="L3085" s="14" t="inlineStr">
        <is>
          <t>▶ watch</t>
        </is>
      </c>
      <c r="M3085" s="10" t="inlineStr"/>
      <c r="N3085" s="11" t="inlineStr"/>
      <c r="O3085" s="11" t="inlineStr">
        <is>
          <t>course lecture - no single paper</t>
        </is>
      </c>
      <c r="P3085" s="10" t="inlineStr"/>
    </row>
    <row r="3086">
      <c r="A3086" s="23" t="n">
        <v>3085</v>
      </c>
      <c r="B3086" s="23" t="inlineStr">
        <is>
          <t>Part VI - Appendices</t>
        </is>
      </c>
      <c r="C3086" s="24" t="inlineStr">
        <is>
          <t>B.3 PLUMED Masterclass - 43 videos</t>
        </is>
      </c>
      <c r="D3086" s="10" t="inlineStr">
        <is>
          <t>Metadynamics (Bonomi</t>
        </is>
      </c>
      <c r="E3086" s="10" t="inlineStr"/>
      <c r="F3086" s="11" t="inlineStr">
        <is>
          <t>45:31</t>
        </is>
      </c>
      <c r="G3086" s="11" t="n">
        <v>0.76</v>
      </c>
      <c r="H3086" s="12" t="inlineStr">
        <is>
          <t>★</t>
        </is>
      </c>
      <c r="I3086" s="11" t="inlineStr">
        <is>
          <t>Not started</t>
        </is>
      </c>
      <c r="J3086" s="13" t="n"/>
      <c r="K3086" s="10" t="inlineStr"/>
      <c r="L3086" s="14" t="inlineStr">
        <is>
          <t>▶ watch</t>
        </is>
      </c>
      <c r="M3086" s="10" t="inlineStr"/>
      <c r="N3086" s="11" t="inlineStr"/>
      <c r="O3086" s="11" t="inlineStr">
        <is>
          <t>course lecture - no single paper</t>
        </is>
      </c>
      <c r="P3086" s="10" t="inlineStr"/>
    </row>
    <row r="3087">
      <c r="A3087" s="23" t="n">
        <v>3086</v>
      </c>
      <c r="B3087" s="23" t="inlineStr">
        <is>
          <t>Part VI - Appendices</t>
        </is>
      </c>
      <c r="C3087" s="24" t="inlineStr">
        <is>
          <t>B.3 PLUMED Masterclass - 43 videos</t>
        </is>
      </c>
      <c r="D3087" s="10" t="inlineStr">
        <is>
          <t>Metadynamics (Bonomi</t>
        </is>
      </c>
      <c r="E3087" s="10" t="inlineStr"/>
      <c r="F3087" s="11" t="inlineStr">
        <is>
          <t>45:31</t>
        </is>
      </c>
      <c r="G3087" s="11" t="n">
        <v>0.76</v>
      </c>
      <c r="H3087" s="12" t="inlineStr">
        <is>
          <t>★</t>
        </is>
      </c>
      <c r="I3087" s="11" t="inlineStr">
        <is>
          <t>Not started</t>
        </is>
      </c>
      <c r="J3087" s="13" t="n"/>
      <c r="K3087" s="10" t="inlineStr"/>
      <c r="L3087" s="14" t="inlineStr">
        <is>
          <t>▶ watch</t>
        </is>
      </c>
      <c r="M3087" s="10" t="inlineStr"/>
      <c r="N3087" s="11" t="inlineStr"/>
      <c r="O3087" s="11" t="inlineStr">
        <is>
          <t>course lecture - no single paper</t>
        </is>
      </c>
      <c r="P3087" s="10" t="inlineStr"/>
    </row>
    <row r="3088">
      <c r="A3088" s="23" t="n">
        <v>3087</v>
      </c>
      <c r="B3088" s="23" t="inlineStr">
        <is>
          <t>Part VI - Appendices</t>
        </is>
      </c>
      <c r="C3088" s="24" t="inlineStr">
        <is>
          <t>B.3 PLUMED Masterclass - 43 videos</t>
        </is>
      </c>
      <c r="D3088" s="10" t="inlineStr">
        <is>
          <t>Replica exchange methods (Bussi</t>
        </is>
      </c>
      <c r="E3088" s="10" t="inlineStr"/>
      <c r="F3088" s="11" t="inlineStr">
        <is>
          <t>1:01:41</t>
        </is>
      </c>
      <c r="G3088" s="11" t="n">
        <v>1.03</v>
      </c>
      <c r="H3088" s="12" t="inlineStr"/>
      <c r="I3088" s="11" t="inlineStr">
        <is>
          <t>Not started</t>
        </is>
      </c>
      <c r="J3088" s="13" t="n"/>
      <c r="K3088" s="10" t="inlineStr"/>
      <c r="L3088" s="14" t="inlineStr">
        <is>
          <t>▶ watch</t>
        </is>
      </c>
      <c r="M3088" s="10" t="inlineStr"/>
      <c r="N3088" s="11" t="inlineStr"/>
      <c r="O3088" s="11" t="inlineStr">
        <is>
          <t>course lecture - no single paper</t>
        </is>
      </c>
      <c r="P3088" s="10" t="inlineStr"/>
    </row>
    <row r="3089">
      <c r="A3089" s="23" t="n">
        <v>3088</v>
      </c>
      <c r="B3089" s="23" t="inlineStr">
        <is>
          <t>Part VI - Appendices</t>
        </is>
      </c>
      <c r="C3089" s="24" t="inlineStr">
        <is>
          <t>B.3 PLUMED Masterclass - 43 videos</t>
        </is>
      </c>
      <c r="D3089" s="10" t="inlineStr">
        <is>
          <t>Replica exchange methods (Bussi</t>
        </is>
      </c>
      <c r="E3089" s="10" t="inlineStr"/>
      <c r="F3089" s="11" t="inlineStr">
        <is>
          <t>1:01:41</t>
        </is>
      </c>
      <c r="G3089" s="11" t="n">
        <v>1.03</v>
      </c>
      <c r="H3089" s="12" t="inlineStr"/>
      <c r="I3089" s="11" t="inlineStr">
        <is>
          <t>Not started</t>
        </is>
      </c>
      <c r="J3089" s="13" t="n"/>
      <c r="K3089" s="10" t="inlineStr"/>
      <c r="L3089" s="14" t="inlineStr">
        <is>
          <t>▶ watch</t>
        </is>
      </c>
      <c r="M3089" s="10" t="inlineStr"/>
      <c r="N3089" s="11" t="inlineStr"/>
      <c r="O3089" s="11" t="inlineStr">
        <is>
          <t>course lecture - no single paper</t>
        </is>
      </c>
      <c r="P3089" s="10" t="inlineStr"/>
    </row>
    <row r="3090">
      <c r="A3090" s="23" t="n">
        <v>3089</v>
      </c>
      <c r="B3090" s="23" t="inlineStr">
        <is>
          <t>Part VI - Appendices</t>
        </is>
      </c>
      <c r="C3090" s="24" t="inlineStr">
        <is>
          <t>B.3 PLUMED Masterclass - 43 videos</t>
        </is>
      </c>
      <c r="D3090" s="10" t="inlineStr">
        <is>
          <t>Dimensionality reduction (Tribello</t>
        </is>
      </c>
      <c r="E3090" s="10" t="inlineStr"/>
      <c r="F3090" s="11" t="inlineStr">
        <is>
          <t>1:14:19</t>
        </is>
      </c>
      <c r="G3090" s="11" t="n">
        <v>1.24</v>
      </c>
      <c r="H3090" s="12" t="inlineStr"/>
      <c r="I3090" s="11" t="inlineStr">
        <is>
          <t>Not started</t>
        </is>
      </c>
      <c r="J3090" s="13" t="n"/>
      <c r="K3090" s="10" t="inlineStr"/>
      <c r="L3090" s="14" t="inlineStr">
        <is>
          <t>▶ watch</t>
        </is>
      </c>
      <c r="M3090" s="10" t="inlineStr"/>
      <c r="N3090" s="11" t="inlineStr"/>
      <c r="O3090" s="11" t="inlineStr">
        <is>
          <t>course lecture - no single paper</t>
        </is>
      </c>
      <c r="P3090" s="10" t="inlineStr"/>
    </row>
    <row r="3091">
      <c r="A3091" s="23" t="n">
        <v>3090</v>
      </c>
      <c r="B3091" s="23" t="inlineStr">
        <is>
          <t>Part VI - Appendices</t>
        </is>
      </c>
      <c r="C3091" s="24" t="inlineStr">
        <is>
          <t>B.3 PLUMED Masterclass - 43 videos</t>
        </is>
      </c>
      <c r="D3091" s="10" t="inlineStr">
        <is>
          <t>Dimensionality reduction (Tribello</t>
        </is>
      </c>
      <c r="E3091" s="10" t="inlineStr"/>
      <c r="F3091" s="11" t="inlineStr">
        <is>
          <t>1:14:19</t>
        </is>
      </c>
      <c r="G3091" s="11" t="n">
        <v>1.24</v>
      </c>
      <c r="H3091" s="12" t="inlineStr"/>
      <c r="I3091" s="11" t="inlineStr">
        <is>
          <t>Not started</t>
        </is>
      </c>
      <c r="J3091" s="13" t="n"/>
      <c r="K3091" s="10" t="inlineStr"/>
      <c r="L3091" s="14" t="inlineStr">
        <is>
          <t>▶ watch</t>
        </is>
      </c>
      <c r="M3091" s="10" t="inlineStr"/>
      <c r="N3091" s="11" t="inlineStr"/>
      <c r="O3091" s="11" t="inlineStr">
        <is>
          <t>course lecture - no single paper</t>
        </is>
      </c>
      <c r="P3091" s="10" t="inlineStr"/>
    </row>
    <row r="3092">
      <c r="A3092" s="23" t="n">
        <v>3091</v>
      </c>
      <c r="B3092" s="23" t="inlineStr">
        <is>
          <t>Part VI - Appendices</t>
        </is>
      </c>
      <c r="C3092" s="24" t="inlineStr">
        <is>
          <t>B.3 PLUMED Masterclass - 43 videos</t>
        </is>
      </c>
      <c r="D3092" s="10" t="inlineStr">
        <is>
          <t>Optimizing PLUMED performance (Bonomi</t>
        </is>
      </c>
      <c r="E3092" s="10" t="inlineStr"/>
      <c r="F3092" s="11" t="inlineStr">
        <is>
          <t>40:09</t>
        </is>
      </c>
      <c r="G3092" s="11" t="n">
        <v>0.67</v>
      </c>
      <c r="H3092" s="12" t="inlineStr"/>
      <c r="I3092" s="11" t="inlineStr">
        <is>
          <t>Not started</t>
        </is>
      </c>
      <c r="J3092" s="13" t="n"/>
      <c r="K3092" s="10" t="inlineStr"/>
      <c r="L3092" s="14" t="inlineStr">
        <is>
          <t>▶ watch</t>
        </is>
      </c>
      <c r="M3092" s="10" t="inlineStr"/>
      <c r="N3092" s="11" t="inlineStr"/>
      <c r="O3092" s="11" t="inlineStr">
        <is>
          <t>course lecture - no single paper</t>
        </is>
      </c>
      <c r="P3092" s="10" t="inlineStr"/>
    </row>
    <row r="3093">
      <c r="A3093" s="23" t="n">
        <v>3092</v>
      </c>
      <c r="B3093" s="23" t="inlineStr">
        <is>
          <t>Part VI - Appendices</t>
        </is>
      </c>
      <c r="C3093" s="24" t="inlineStr">
        <is>
          <t>B.3 PLUMED Masterclass - 43 videos</t>
        </is>
      </c>
      <c r="D3093" s="10" t="inlineStr">
        <is>
          <t>Optimizing PLUMED performance (Bonomi</t>
        </is>
      </c>
      <c r="E3093" s="10" t="inlineStr"/>
      <c r="F3093" s="11" t="inlineStr">
        <is>
          <t>40:09</t>
        </is>
      </c>
      <c r="G3093" s="11" t="n">
        <v>0.67</v>
      </c>
      <c r="H3093" s="12" t="inlineStr"/>
      <c r="I3093" s="11" t="inlineStr">
        <is>
          <t>Not started</t>
        </is>
      </c>
      <c r="J3093" s="13" t="n"/>
      <c r="K3093" s="10" t="inlineStr"/>
      <c r="L3093" s="14" t="inlineStr">
        <is>
          <t>▶ watch</t>
        </is>
      </c>
      <c r="M3093" s="10" t="inlineStr"/>
      <c r="N3093" s="11" t="inlineStr"/>
      <c r="O3093" s="11" t="inlineStr">
        <is>
          <t>course lecture - no single paper</t>
        </is>
      </c>
      <c r="P3093" s="10" t="inlineStr"/>
    </row>
    <row r="3094">
      <c r="A3094" s="23" t="n">
        <v>3093</v>
      </c>
      <c r="B3094" s="23" t="inlineStr">
        <is>
          <t>Part VI - Appendices</t>
        </is>
      </c>
      <c r="C3094" s="24" t="inlineStr">
        <is>
          <t>B.3 PLUMED Masterclass - 43 videos</t>
        </is>
      </c>
      <c r="D3094" s="10" t="inlineStr">
        <is>
          <t>Introduction to Masterclass 22</t>
        </is>
      </c>
      <c r="E3094" s="10" t="inlineStr"/>
      <c r="F3094" s="11" t="inlineStr">
        <is>
          <t>3:02</t>
        </is>
      </c>
      <c r="G3094" s="11" t="n">
        <v>0.05</v>
      </c>
      <c r="H3094" s="12" t="inlineStr"/>
      <c r="I3094" s="11" t="inlineStr">
        <is>
          <t>Not started</t>
        </is>
      </c>
      <c r="J3094" s="13" t="n"/>
      <c r="K3094" s="10" t="inlineStr"/>
      <c r="L3094" s="14" t="inlineStr">
        <is>
          <t>▶ watch</t>
        </is>
      </c>
      <c r="M3094" s="10" t="inlineStr"/>
      <c r="N3094" s="11" t="inlineStr"/>
      <c r="O3094" s="11" t="inlineStr">
        <is>
          <t>course lecture - no single paper</t>
        </is>
      </c>
      <c r="P3094" s="10" t="inlineStr"/>
    </row>
    <row r="3095">
      <c r="A3095" s="23" t="n">
        <v>3094</v>
      </c>
      <c r="B3095" s="23" t="inlineStr">
        <is>
          <t>Part VI - Appendices</t>
        </is>
      </c>
      <c r="C3095" s="24" t="inlineStr">
        <is>
          <t>B.3 PLUMED Masterclass - 43 videos</t>
        </is>
      </c>
      <c r="D3095" s="10" t="inlineStr">
        <is>
          <t>Funnel metadynamics (Limongelli, Raniolo</t>
        </is>
      </c>
      <c r="E3095" s="10" t="inlineStr"/>
      <c r="F3095" s="11" t="inlineStr">
        <is>
          <t>1:19:45</t>
        </is>
      </c>
      <c r="G3095" s="11" t="n">
        <v>1.33</v>
      </c>
      <c r="H3095" s="12" t="inlineStr"/>
      <c r="I3095" s="11" t="inlineStr">
        <is>
          <t>Not started</t>
        </is>
      </c>
      <c r="J3095" s="13" t="n"/>
      <c r="K3095" s="10" t="inlineStr"/>
      <c r="L3095" s="14" t="inlineStr">
        <is>
          <t>▶ watch</t>
        </is>
      </c>
      <c r="M3095" s="10" t="inlineStr"/>
      <c r="N3095" s="11" t="inlineStr"/>
      <c r="O3095" s="11" t="inlineStr">
        <is>
          <t>course lecture - no single paper</t>
        </is>
      </c>
      <c r="P3095" s="10" t="inlineStr"/>
    </row>
    <row r="3096">
      <c r="A3096" s="23" t="n">
        <v>3095</v>
      </c>
      <c r="B3096" s="23" t="inlineStr">
        <is>
          <t>Part VI - Appendices</t>
        </is>
      </c>
      <c r="C3096" s="24" t="inlineStr">
        <is>
          <t>B.3 PLUMED Masterclass - 43 videos</t>
        </is>
      </c>
      <c r="D3096" s="10" t="inlineStr">
        <is>
          <t>Metadynminer output analysis (Spiwok</t>
        </is>
      </c>
      <c r="E3096" s="10" t="inlineStr"/>
      <c r="F3096" s="11" t="inlineStr">
        <is>
          <t>1:01:19</t>
        </is>
      </c>
      <c r="G3096" s="11" t="n">
        <v>1.02</v>
      </c>
      <c r="H3096" s="12" t="inlineStr"/>
      <c r="I3096" s="11" t="inlineStr">
        <is>
          <t>Not started</t>
        </is>
      </c>
      <c r="J3096" s="13" t="n"/>
      <c r="K3096" s="10" t="inlineStr"/>
      <c r="L3096" s="14" t="inlineStr">
        <is>
          <t>▶ watch</t>
        </is>
      </c>
      <c r="M3096" s="10" t="inlineStr"/>
      <c r="N3096" s="11" t="inlineStr"/>
      <c r="O3096" s="11" t="inlineStr">
        <is>
          <t>course lecture - no single paper</t>
        </is>
      </c>
      <c r="P3096" s="10" t="inlineStr"/>
    </row>
    <row r="3097">
      <c r="A3097" s="23" t="n">
        <v>3096</v>
      </c>
      <c r="B3097" s="23" t="inlineStr">
        <is>
          <t>Part VI - Appendices</t>
        </is>
      </c>
      <c r="C3097" s="24" t="inlineStr">
        <is>
          <t>B.3 PLUMED Masterclass - 43 videos</t>
        </is>
      </c>
      <c r="D3097" s="10" t="inlineStr">
        <is>
          <t>Metadynminer output analysis (Spiwok</t>
        </is>
      </c>
      <c r="E3097" s="10" t="inlineStr"/>
      <c r="F3097" s="11" t="inlineStr">
        <is>
          <t>1:01:19</t>
        </is>
      </c>
      <c r="G3097" s="11" t="n">
        <v>1.02</v>
      </c>
      <c r="H3097" s="12" t="inlineStr"/>
      <c r="I3097" s="11" t="inlineStr">
        <is>
          <t>Not started</t>
        </is>
      </c>
      <c r="J3097" s="13" t="n"/>
      <c r="K3097" s="10" t="inlineStr"/>
      <c r="L3097" s="14" t="inlineStr">
        <is>
          <t>▶ watch</t>
        </is>
      </c>
      <c r="M3097" s="10" t="inlineStr"/>
      <c r="N3097" s="11" t="inlineStr"/>
      <c r="O3097" s="11" t="inlineStr">
        <is>
          <t>course lecture - no single paper</t>
        </is>
      </c>
      <c r="P3097" s="10" t="inlineStr"/>
    </row>
    <row r="3098">
      <c r="A3098" s="23" t="n">
        <v>3097</v>
      </c>
      <c r="B3098" s="23" t="inlineStr">
        <is>
          <t>Part VI - Appendices</t>
        </is>
      </c>
      <c r="C3098" s="24" t="inlineStr">
        <is>
          <t>B.3 PLUMED Masterclass - 43 videos</t>
        </is>
      </c>
      <c r="D3098" s="10" t="inlineStr">
        <is>
          <t>OPES (Invernizzi</t>
        </is>
      </c>
      <c r="E3098" s="10" t="inlineStr"/>
      <c r="F3098" s="11" t="inlineStr">
        <is>
          <t>58:17</t>
        </is>
      </c>
      <c r="G3098" s="11" t="n">
        <v>0.97</v>
      </c>
      <c r="H3098" s="12" t="inlineStr">
        <is>
          <t>★</t>
        </is>
      </c>
      <c r="I3098" s="11" t="inlineStr">
        <is>
          <t>Not started</t>
        </is>
      </c>
      <c r="J3098" s="13" t="n"/>
      <c r="K3098" s="10" t="inlineStr"/>
      <c r="L3098" s="14" t="inlineStr">
        <is>
          <t>▶ watch</t>
        </is>
      </c>
      <c r="M3098" s="10" t="inlineStr"/>
      <c r="N3098" s="11" t="inlineStr"/>
      <c r="O3098" s="11" t="inlineStr">
        <is>
          <t>course lecture - no single paper</t>
        </is>
      </c>
      <c r="P3098" s="10" t="inlineStr"/>
    </row>
    <row r="3099">
      <c r="A3099" s="23" t="n">
        <v>3098</v>
      </c>
      <c r="B3099" s="23" t="inlineStr">
        <is>
          <t>Part VI - Appendices</t>
        </is>
      </c>
      <c r="C3099" s="24" t="inlineStr">
        <is>
          <t>B.3 PLUMED Masterclass - 43 videos</t>
        </is>
      </c>
      <c r="D3099" s="10" t="inlineStr">
        <is>
          <t>OPES (Invernizzi</t>
        </is>
      </c>
      <c r="E3099" s="10" t="inlineStr"/>
      <c r="F3099" s="11" t="inlineStr">
        <is>
          <t>58:17</t>
        </is>
      </c>
      <c r="G3099" s="11" t="n">
        <v>0.97</v>
      </c>
      <c r="H3099" s="12" t="inlineStr">
        <is>
          <t>★</t>
        </is>
      </c>
      <c r="I3099" s="11" t="inlineStr">
        <is>
          <t>Not started</t>
        </is>
      </c>
      <c r="J3099" s="13" t="n"/>
      <c r="K3099" s="10" t="inlineStr"/>
      <c r="L3099" s="14" t="inlineStr">
        <is>
          <t>▶ watch</t>
        </is>
      </c>
      <c r="M3099" s="10" t="inlineStr"/>
      <c r="N3099" s="11" t="inlineStr"/>
      <c r="O3099" s="11" t="inlineStr">
        <is>
          <t>course lecture - no single paper</t>
        </is>
      </c>
      <c r="P3099" s="10" t="inlineStr"/>
    </row>
    <row r="3100">
      <c r="A3100" s="23" t="n">
        <v>3099</v>
      </c>
      <c r="B3100" s="23" t="inlineStr">
        <is>
          <t>Part VI - Appendices</t>
        </is>
      </c>
      <c r="C3100" s="24" t="inlineStr">
        <is>
          <t>B.3 PLUMED Masterclass - 43 videos</t>
        </is>
      </c>
      <c r="D3100" s="10" t="inlineStr">
        <is>
          <t>ML collective variables with PyTorch (Bonati</t>
        </is>
      </c>
      <c r="E3100" s="10" t="inlineStr"/>
      <c r="F3100" s="11" t="inlineStr">
        <is>
          <t>1:08:01</t>
        </is>
      </c>
      <c r="G3100" s="11" t="n">
        <v>1.13</v>
      </c>
      <c r="H3100" s="12" t="inlineStr">
        <is>
          <t>★</t>
        </is>
      </c>
      <c r="I3100" s="11" t="inlineStr">
        <is>
          <t>Not started</t>
        </is>
      </c>
      <c r="J3100" s="13" t="n"/>
      <c r="K3100" s="10" t="inlineStr"/>
      <c r="L3100" s="14" t="inlineStr">
        <is>
          <t>▶ watch</t>
        </is>
      </c>
      <c r="M3100" s="10" t="inlineStr"/>
      <c r="N3100" s="11" t="inlineStr"/>
      <c r="O3100" s="11" t="inlineStr">
        <is>
          <t>course lecture - no single paper</t>
        </is>
      </c>
      <c r="P3100" s="10" t="inlineStr"/>
    </row>
    <row r="3101">
      <c r="A3101" s="23" t="n">
        <v>3100</v>
      </c>
      <c r="B3101" s="23" t="inlineStr">
        <is>
          <t>Part VI - Appendices</t>
        </is>
      </c>
      <c r="C3101" s="24" t="inlineStr">
        <is>
          <t>B.3 PLUMED Masterclass - 43 videos</t>
        </is>
      </c>
      <c r="D3101" s="10" t="inlineStr">
        <is>
          <t>ML collective variables with PyTorch (Bonati</t>
        </is>
      </c>
      <c r="E3101" s="10" t="inlineStr"/>
      <c r="F3101" s="11" t="inlineStr">
        <is>
          <t>1:08:01</t>
        </is>
      </c>
      <c r="G3101" s="11" t="n">
        <v>1.13</v>
      </c>
      <c r="H3101" s="12" t="inlineStr">
        <is>
          <t>★</t>
        </is>
      </c>
      <c r="I3101" s="11" t="inlineStr">
        <is>
          <t>Not started</t>
        </is>
      </c>
      <c r="J3101" s="13" t="n"/>
      <c r="K3101" s="10" t="inlineStr"/>
      <c r="L3101" s="14" t="inlineStr">
        <is>
          <t>▶ watch</t>
        </is>
      </c>
      <c r="M3101" s="10" t="inlineStr"/>
      <c r="N3101" s="11" t="inlineStr"/>
      <c r="O3101" s="11" t="inlineStr">
        <is>
          <t>course lecture - no single paper</t>
        </is>
      </c>
      <c r="P3101" s="10" t="inlineStr"/>
    </row>
    <row r="3102">
      <c r="A3102" s="23" t="n">
        <v>3101</v>
      </c>
      <c r="B3102" s="23" t="inlineStr">
        <is>
          <t>Part VI - Appendices</t>
        </is>
      </c>
      <c r="C3102" s="24" t="inlineStr">
        <is>
          <t>B.3 PLUMED Masterclass - 43 videos</t>
        </is>
      </c>
      <c r="D3102" s="10" t="inlineStr">
        <is>
          <t>Experiment-directed simulation (Hocky, White</t>
        </is>
      </c>
      <c r="E3102" s="10" t="inlineStr"/>
      <c r="F3102" s="11" t="inlineStr">
        <is>
          <t>48:25</t>
        </is>
      </c>
      <c r="G3102" s="11" t="n">
        <v>0.8100000000000001</v>
      </c>
      <c r="H3102" s="12" t="inlineStr"/>
      <c r="I3102" s="11" t="inlineStr">
        <is>
          <t>Not started</t>
        </is>
      </c>
      <c r="J3102" s="13" t="n"/>
      <c r="K3102" s="10" t="inlineStr"/>
      <c r="L3102" s="14" t="inlineStr">
        <is>
          <t>▶ watch</t>
        </is>
      </c>
      <c r="M3102" s="10" t="inlineStr"/>
      <c r="N3102" s="11" t="inlineStr"/>
      <c r="O3102" s="11" t="inlineStr">
        <is>
          <t>course lecture - no single paper</t>
        </is>
      </c>
      <c r="P3102" s="10" t="inlineStr"/>
    </row>
    <row r="3103">
      <c r="A3103" s="23" t="n">
        <v>3102</v>
      </c>
      <c r="B3103" s="23" t="inlineStr">
        <is>
          <t>Part VI - Appendices</t>
        </is>
      </c>
      <c r="C3103" s="24" t="inlineStr">
        <is>
          <t>B.3 PLUMED Masterclass - 43 videos</t>
        </is>
      </c>
      <c r="D3103" s="10" t="inlineStr">
        <is>
          <t>Experiment-directed simulation (Hocky, White</t>
        </is>
      </c>
      <c r="E3103" s="10" t="inlineStr"/>
      <c r="F3103" s="11" t="inlineStr">
        <is>
          <t>48:25</t>
        </is>
      </c>
      <c r="G3103" s="11" t="n">
        <v>0.8100000000000001</v>
      </c>
      <c r="H3103" s="12" t="inlineStr"/>
      <c r="I3103" s="11" t="inlineStr">
        <is>
          <t>Not started</t>
        </is>
      </c>
      <c r="J3103" s="13" t="n"/>
      <c r="K3103" s="10" t="inlineStr"/>
      <c r="L3103" s="14" t="inlineStr">
        <is>
          <t>▶ watch</t>
        </is>
      </c>
      <c r="M3103" s="10" t="inlineStr"/>
      <c r="N3103" s="11" t="inlineStr"/>
      <c r="O3103" s="11" t="inlineStr">
        <is>
          <t>course lecture - no single paper</t>
        </is>
      </c>
      <c r="P3103" s="10" t="inlineStr"/>
    </row>
    <row r="3104">
      <c r="A3104" s="23" t="n">
        <v>3103</v>
      </c>
      <c r="B3104" s="23" t="inlineStr">
        <is>
          <t>Part VI - Appendices</t>
        </is>
      </c>
      <c r="C3104" s="24" t="inlineStr">
        <is>
          <t>B.3 PLUMED Masterclass - 43 videos</t>
        </is>
      </c>
      <c r="D3104" s="10" t="inlineStr">
        <is>
          <t>Information bottleneck / automated sampling (Tiwary</t>
        </is>
      </c>
      <c r="E3104" s="10" t="inlineStr"/>
      <c r="F3104" s="11" t="inlineStr">
        <is>
          <t>54:53</t>
        </is>
      </c>
      <c r="G3104" s="11" t="n">
        <v>0.91</v>
      </c>
      <c r="H3104" s="12" t="inlineStr">
        <is>
          <t>★</t>
        </is>
      </c>
      <c r="I3104" s="11" t="inlineStr">
        <is>
          <t>Not started</t>
        </is>
      </c>
      <c r="J3104" s="13" t="n"/>
      <c r="K3104" s="10" t="inlineStr"/>
      <c r="L3104" s="14" t="inlineStr">
        <is>
          <t>▶ watch</t>
        </is>
      </c>
      <c r="M3104" s="10" t="inlineStr"/>
      <c r="N3104" s="11" t="inlineStr"/>
      <c r="O3104" s="11" t="inlineStr">
        <is>
          <t>course lecture - no single paper</t>
        </is>
      </c>
      <c r="P3104" s="10" t="inlineStr"/>
    </row>
    <row r="3105">
      <c r="A3105" s="23" t="n">
        <v>3104</v>
      </c>
      <c r="B3105" s="23" t="inlineStr">
        <is>
          <t>Part VI - Appendices</t>
        </is>
      </c>
      <c r="C3105" s="24" t="inlineStr">
        <is>
          <t>B.3 PLUMED Masterclass - 43 videos</t>
        </is>
      </c>
      <c r="D3105" s="10" t="inlineStr">
        <is>
          <t>Information bottleneck / automated sampling (Tiwary</t>
        </is>
      </c>
      <c r="E3105" s="10" t="inlineStr"/>
      <c r="F3105" s="11" t="inlineStr">
        <is>
          <t>54:53</t>
        </is>
      </c>
      <c r="G3105" s="11" t="n">
        <v>0.91</v>
      </c>
      <c r="H3105" s="12" t="inlineStr">
        <is>
          <t>★</t>
        </is>
      </c>
      <c r="I3105" s="11" t="inlineStr">
        <is>
          <t>Not started</t>
        </is>
      </c>
      <c r="J3105" s="13" t="n"/>
      <c r="K3105" s="10" t="inlineStr"/>
      <c r="L3105" s="14" t="inlineStr">
        <is>
          <t>▶ watch</t>
        </is>
      </c>
      <c r="M3105" s="10" t="inlineStr"/>
      <c r="N3105" s="11" t="inlineStr"/>
      <c r="O3105" s="11" t="inlineStr">
        <is>
          <t>course lecture - no single paper</t>
        </is>
      </c>
      <c r="P3105" s="10" t="inlineStr"/>
    </row>
    <row r="3106">
      <c r="A3106" s="23" t="n">
        <v>3105</v>
      </c>
      <c r="B3106" s="23" t="inlineStr">
        <is>
          <t>Part VI - Appendices</t>
        </is>
      </c>
      <c r="C3106" s="24" t="inlineStr">
        <is>
          <t>B.3 PLUMED Masterclass - 43 videos</t>
        </is>
      </c>
      <c r="D3106" s="10" t="inlineStr">
        <is>
          <t>Concentration-driven processes (Salvalaglio</t>
        </is>
      </c>
      <c r="E3106" s="10" t="inlineStr"/>
      <c r="F3106" s="11" t="inlineStr">
        <is>
          <t>50:46</t>
        </is>
      </c>
      <c r="G3106" s="11" t="n">
        <v>0.85</v>
      </c>
      <c r="H3106" s="12" t="inlineStr"/>
      <c r="I3106" s="11" t="inlineStr">
        <is>
          <t>Not started</t>
        </is>
      </c>
      <c r="J3106" s="13" t="n"/>
      <c r="K3106" s="10" t="inlineStr"/>
      <c r="L3106" s="14" t="inlineStr">
        <is>
          <t>▶ watch</t>
        </is>
      </c>
      <c r="M3106" s="10" t="inlineStr"/>
      <c r="N3106" s="11" t="inlineStr"/>
      <c r="O3106" s="11" t="inlineStr">
        <is>
          <t>course lecture - no single paper</t>
        </is>
      </c>
      <c r="P3106" s="10" t="inlineStr"/>
    </row>
    <row r="3107">
      <c r="A3107" s="23" t="n">
        <v>3106</v>
      </c>
      <c r="B3107" s="23" t="inlineStr">
        <is>
          <t>Part VI - Appendices</t>
        </is>
      </c>
      <c r="C3107" s="24" t="inlineStr">
        <is>
          <t>B.3 PLUMED Masterclass - 43 videos</t>
        </is>
      </c>
      <c r="D3107" s="10" t="inlineStr">
        <is>
          <t>Concentration-driven processes (Salvalaglio</t>
        </is>
      </c>
      <c r="E3107" s="10" t="inlineStr"/>
      <c r="F3107" s="11" t="inlineStr">
        <is>
          <t>50:46</t>
        </is>
      </c>
      <c r="G3107" s="11" t="n">
        <v>0.85</v>
      </c>
      <c r="H3107" s="12" t="inlineStr"/>
      <c r="I3107" s="11" t="inlineStr">
        <is>
          <t>Not started</t>
        </is>
      </c>
      <c r="J3107" s="13" t="n"/>
      <c r="K3107" s="10" t="inlineStr"/>
      <c r="L3107" s="14" t="inlineStr">
        <is>
          <t>▶ watch</t>
        </is>
      </c>
      <c r="M3107" s="10" t="inlineStr"/>
      <c r="N3107" s="11" t="inlineStr"/>
      <c r="O3107" s="11" t="inlineStr">
        <is>
          <t>course lecture - no single paper</t>
        </is>
      </c>
      <c r="P3107" s="10" t="inlineStr"/>
    </row>
    <row r="3108">
      <c r="A3108" s="23" t="n">
        <v>3107</v>
      </c>
      <c r="B3108" s="23" t="inlineStr">
        <is>
          <t>Part VI - Appendices</t>
        </is>
      </c>
      <c r="C3108" s="24" t="inlineStr">
        <is>
          <t>B.3 PLUMED Masterclass - 43 videos</t>
        </is>
      </c>
      <c r="D3108" s="10" t="inlineStr">
        <is>
          <t>Path collective variables (Ensing</t>
        </is>
      </c>
      <c r="E3108" s="10" t="inlineStr"/>
      <c r="F3108" s="11" t="inlineStr">
        <is>
          <t>1:37:40</t>
        </is>
      </c>
      <c r="G3108" s="11" t="n">
        <v>1.63</v>
      </c>
      <c r="H3108" s="12" t="inlineStr">
        <is>
          <t>★</t>
        </is>
      </c>
      <c r="I3108" s="11" t="inlineStr">
        <is>
          <t>Not started</t>
        </is>
      </c>
      <c r="J3108" s="13" t="n"/>
      <c r="K3108" s="10" t="inlineStr"/>
      <c r="L3108" s="14" t="inlineStr">
        <is>
          <t>▶ watch</t>
        </is>
      </c>
      <c r="M3108" s="10" t="inlineStr"/>
      <c r="N3108" s="11" t="inlineStr"/>
      <c r="O3108" s="11" t="inlineStr">
        <is>
          <t>course lecture - no single paper</t>
        </is>
      </c>
      <c r="P3108" s="10" t="inlineStr"/>
    </row>
    <row r="3109">
      <c r="A3109" s="23" t="n">
        <v>3108</v>
      </c>
      <c r="B3109" s="23" t="inlineStr">
        <is>
          <t>Part VI - Appendices</t>
        </is>
      </c>
      <c r="C3109" s="24" t="inlineStr">
        <is>
          <t>B.3 PLUMED Masterclass - 43 videos</t>
        </is>
      </c>
      <c r="D3109" s="10" t="inlineStr">
        <is>
          <t>Path collective variables (Ensing</t>
        </is>
      </c>
      <c r="E3109" s="10" t="inlineStr"/>
      <c r="F3109" s="11" t="inlineStr">
        <is>
          <t>1:37:40</t>
        </is>
      </c>
      <c r="G3109" s="11" t="n">
        <v>1.63</v>
      </c>
      <c r="H3109" s="12" t="inlineStr">
        <is>
          <t>★</t>
        </is>
      </c>
      <c r="I3109" s="11" t="inlineStr">
        <is>
          <t>Not started</t>
        </is>
      </c>
      <c r="J3109" s="13" t="n"/>
      <c r="K3109" s="10" t="inlineStr"/>
      <c r="L3109" s="14" t="inlineStr">
        <is>
          <t>▶ watch</t>
        </is>
      </c>
      <c r="M3109" s="10" t="inlineStr"/>
      <c r="N3109" s="11" t="inlineStr"/>
      <c r="O3109" s="11" t="inlineStr">
        <is>
          <t>course lecture - no single paper</t>
        </is>
      </c>
      <c r="P3109" s="10" t="inlineStr"/>
    </row>
    <row r="3110">
      <c r="A3110" s="23" t="n">
        <v>3109</v>
      </c>
      <c r="B3110" s="23" t="inlineStr">
        <is>
          <t>Part VI - Appendices</t>
        </is>
      </c>
      <c r="C3110" s="24" t="inlineStr">
        <is>
          <t>B.3 PLUMED Masterclass - 43 videos</t>
        </is>
      </c>
      <c r="D3110" s="10" t="inlineStr">
        <is>
          <t>Hamiltonian replica exchange with GROMACS (Bussi</t>
        </is>
      </c>
      <c r="E3110" s="10" t="inlineStr"/>
      <c r="F3110" s="11" t="inlineStr">
        <is>
          <t>55:09</t>
        </is>
      </c>
      <c r="G3110" s="11" t="n">
        <v>0.92</v>
      </c>
      <c r="H3110" s="12" t="inlineStr"/>
      <c r="I3110" s="11" t="inlineStr">
        <is>
          <t>Not started</t>
        </is>
      </c>
      <c r="J3110" s="13" t="n"/>
      <c r="K3110" s="10" t="inlineStr"/>
      <c r="L3110" s="14" t="inlineStr">
        <is>
          <t>▶ watch</t>
        </is>
      </c>
      <c r="M3110" s="10" t="inlineStr"/>
      <c r="N3110" s="11" t="inlineStr"/>
      <c r="O3110" s="11" t="inlineStr">
        <is>
          <t>course lecture - no single paper</t>
        </is>
      </c>
      <c r="P3110" s="10" t="inlineStr"/>
    </row>
    <row r="3111">
      <c r="A3111" s="23" t="n">
        <v>3110</v>
      </c>
      <c r="B3111" s="23" t="inlineStr">
        <is>
          <t>Part VI - Appendices</t>
        </is>
      </c>
      <c r="C3111" s="24" t="inlineStr">
        <is>
          <t>B.3 PLUMED Masterclass - 43 videos</t>
        </is>
      </c>
      <c r="D3111" s="10" t="inlineStr">
        <is>
          <t>Hamiltonian replica exchange with GROMACS (Bussi</t>
        </is>
      </c>
      <c r="E3111" s="10" t="inlineStr"/>
      <c r="F3111" s="11" t="inlineStr">
        <is>
          <t>55:09</t>
        </is>
      </c>
      <c r="G3111" s="11" t="n">
        <v>0.92</v>
      </c>
      <c r="H3111" s="12" t="inlineStr"/>
      <c r="I3111" s="11" t="inlineStr">
        <is>
          <t>Not started</t>
        </is>
      </c>
      <c r="J3111" s="13" t="n"/>
      <c r="K3111" s="10" t="inlineStr"/>
      <c r="L3111" s="14" t="inlineStr">
        <is>
          <t>▶ watch</t>
        </is>
      </c>
      <c r="M3111" s="10" t="inlineStr"/>
      <c r="N3111" s="11" t="inlineStr"/>
      <c r="O3111" s="11" t="inlineStr">
        <is>
          <t>course lecture - no single paper</t>
        </is>
      </c>
      <c r="P3111" s="10" t="inlineStr"/>
    </row>
    <row r="3112">
      <c r="A3112" s="23" t="n">
        <v>3111</v>
      </c>
      <c r="B3112" s="23" t="inlineStr">
        <is>
          <t>Part VI - Appendices</t>
        </is>
      </c>
      <c r="C3112" s="24" t="inlineStr">
        <is>
          <t>B.3 PLUMED Masterclass - 43 videos</t>
        </is>
      </c>
      <c r="D3112" s="10" t="inlineStr">
        <is>
          <t>Variationally enhanced sampling (Valsson</t>
        </is>
      </c>
      <c r="E3112" s="10" t="inlineStr"/>
      <c r="F3112" s="11" t="inlineStr">
        <is>
          <t>54:44</t>
        </is>
      </c>
      <c r="G3112" s="11" t="n">
        <v>0.91</v>
      </c>
      <c r="H3112" s="12" t="inlineStr"/>
      <c r="I3112" s="11" t="inlineStr">
        <is>
          <t>Not started</t>
        </is>
      </c>
      <c r="J3112" s="13" t="n"/>
      <c r="K3112" s="10" t="inlineStr"/>
      <c r="L3112" s="14" t="inlineStr">
        <is>
          <t>▶ watch</t>
        </is>
      </c>
      <c r="M3112" s="10" t="inlineStr"/>
      <c r="N3112" s="11" t="inlineStr"/>
      <c r="O3112" s="11" t="inlineStr">
        <is>
          <t>course lecture - no single paper</t>
        </is>
      </c>
      <c r="P3112" s="10" t="inlineStr"/>
    </row>
    <row r="3113">
      <c r="A3113" s="23" t="n">
        <v>3112</v>
      </c>
      <c r="B3113" s="23" t="inlineStr">
        <is>
          <t>Part VI - Appendices</t>
        </is>
      </c>
      <c r="C3113" s="24" t="inlineStr">
        <is>
          <t>B.3 PLUMED Masterclass - 43 videos</t>
        </is>
      </c>
      <c r="D3113" s="10" t="inlineStr">
        <is>
          <t>Variationally enhanced sampling (Valsson</t>
        </is>
      </c>
      <c r="E3113" s="10" t="inlineStr"/>
      <c r="F3113" s="11" t="inlineStr">
        <is>
          <t>54:44</t>
        </is>
      </c>
      <c r="G3113" s="11" t="n">
        <v>0.91</v>
      </c>
      <c r="H3113" s="12" t="inlineStr"/>
      <c r="I3113" s="11" t="inlineStr">
        <is>
          <t>Not started</t>
        </is>
      </c>
      <c r="J3113" s="13" t="n"/>
      <c r="K3113" s="10" t="inlineStr"/>
      <c r="L3113" s="14" t="inlineStr">
        <is>
          <t>▶ watch</t>
        </is>
      </c>
      <c r="M3113" s="10" t="inlineStr"/>
      <c r="N3113" s="11" t="inlineStr"/>
      <c r="O3113" s="11" t="inlineStr">
        <is>
          <t>course lecture - no single paper</t>
        </is>
      </c>
      <c r="P3113" s="10" t="inlineStr"/>
    </row>
    <row r="3114">
      <c r="A3114" s="23" t="n">
        <v>3113</v>
      </c>
      <c r="B3114" s="23" t="inlineStr">
        <is>
          <t>Part VI - Appendices</t>
        </is>
      </c>
      <c r="C3114" s="24" t="inlineStr">
        <is>
          <t>B.3 PLUMED Masterclass - 43 videos</t>
        </is>
      </c>
      <c r="D3114" s="10" t="inlineStr">
        <is>
          <t>Free energy in crystalline solids (Piaggi</t>
        </is>
      </c>
      <c r="E3114" s="10" t="inlineStr"/>
      <c r="F3114" s="11" t="inlineStr">
        <is>
          <t>54:38</t>
        </is>
      </c>
      <c r="G3114" s="11" t="n">
        <v>0.91</v>
      </c>
      <c r="H3114" s="12" t="inlineStr"/>
      <c r="I3114" s="11" t="inlineStr">
        <is>
          <t>Not started</t>
        </is>
      </c>
      <c r="J3114" s="13" t="n"/>
      <c r="K3114" s="10" t="inlineStr"/>
      <c r="L3114" s="14" t="inlineStr">
        <is>
          <t>▶ watch</t>
        </is>
      </c>
      <c r="M3114" s="10" t="inlineStr"/>
      <c r="N3114" s="11" t="inlineStr"/>
      <c r="O3114" s="11" t="inlineStr">
        <is>
          <t>course lecture - no single paper</t>
        </is>
      </c>
      <c r="P3114" s="10" t="inlineStr"/>
    </row>
    <row r="3115">
      <c r="A3115" s="23" t="n">
        <v>3114</v>
      </c>
      <c r="B3115" s="23" t="inlineStr">
        <is>
          <t>Part VI - Appendices</t>
        </is>
      </c>
      <c r="C3115" s="24" t="inlineStr">
        <is>
          <t>B.3 PLUMED Masterclass - 43 videos</t>
        </is>
      </c>
      <c r="D3115" s="10" t="inlineStr">
        <is>
          <t>Free energy in crystalline solids (Piaggi</t>
        </is>
      </c>
      <c r="E3115" s="10" t="inlineStr"/>
      <c r="F3115" s="11" t="inlineStr">
        <is>
          <t>54:38</t>
        </is>
      </c>
      <c r="G3115" s="11" t="n">
        <v>0.91</v>
      </c>
      <c r="H3115" s="12" t="inlineStr"/>
      <c r="I3115" s="11" t="inlineStr">
        <is>
          <t>Not started</t>
        </is>
      </c>
      <c r="J3115" s="13" t="n"/>
      <c r="K3115" s="10" t="inlineStr"/>
      <c r="L3115" s="14" t="inlineStr">
        <is>
          <t>▶ watch</t>
        </is>
      </c>
      <c r="M3115" s="10" t="inlineStr"/>
      <c r="N3115" s="11" t="inlineStr"/>
      <c r="O3115" s="11" t="inlineStr">
        <is>
          <t>course lecture - no single paper</t>
        </is>
      </c>
      <c r="P3115" s="10" t="inlineStr"/>
    </row>
    <row r="3116">
      <c r="A3116" s="23" t="n">
        <v>3115</v>
      </c>
      <c r="B3116" s="23" t="inlineStr">
        <is>
          <t>Part VI - Appendices</t>
        </is>
      </c>
      <c r="C3116" s="24" t="inlineStr">
        <is>
          <t>B.3 PLUMED Masterclass - 43 videos</t>
        </is>
      </c>
      <c r="D3116" s="10" t="inlineStr">
        <is>
          <t>SASA module / implicit solvent (Arsiccio</t>
        </is>
      </c>
      <c r="E3116" s="10" t="inlineStr"/>
      <c r="F3116" s="11" t="inlineStr">
        <is>
          <t>53:27</t>
        </is>
      </c>
      <c r="G3116" s="11" t="n">
        <v>0.89</v>
      </c>
      <c r="H3116" s="12" t="inlineStr"/>
      <c r="I3116" s="11" t="inlineStr">
        <is>
          <t>Not started</t>
        </is>
      </c>
      <c r="J3116" s="13" t="n"/>
      <c r="K3116" s="10" t="inlineStr"/>
      <c r="L3116" s="14" t="inlineStr">
        <is>
          <t>▶ watch</t>
        </is>
      </c>
      <c r="M3116" s="10" t="inlineStr"/>
      <c r="N3116" s="11" t="inlineStr"/>
      <c r="O3116" s="11" t="inlineStr">
        <is>
          <t>course lecture - no single paper</t>
        </is>
      </c>
      <c r="P3116" s="10" t="inlineStr"/>
    </row>
    <row r="3117">
      <c r="A3117" s="23" t="n">
        <v>3116</v>
      </c>
      <c r="B3117" s="23" t="inlineStr">
        <is>
          <t>Part VI - Appendices</t>
        </is>
      </c>
      <c r="C3117" s="24" t="inlineStr">
        <is>
          <t>B.3 PLUMED Masterclass - 43 videos</t>
        </is>
      </c>
      <c r="D3117" s="10" t="inlineStr">
        <is>
          <t>SASA module / implicit solvent (Arsiccio</t>
        </is>
      </c>
      <c r="E3117" s="10" t="inlineStr"/>
      <c r="F3117" s="11" t="inlineStr">
        <is>
          <t>53:27</t>
        </is>
      </c>
      <c r="G3117" s="11" t="n">
        <v>0.89</v>
      </c>
      <c r="H3117" s="12" t="inlineStr"/>
      <c r="I3117" s="11" t="inlineStr">
        <is>
          <t>Not started</t>
        </is>
      </c>
      <c r="J3117" s="13" t="n"/>
      <c r="K3117" s="10" t="inlineStr"/>
      <c r="L3117" s="14" t="inlineStr">
        <is>
          <t>▶ watch</t>
        </is>
      </c>
      <c r="M3117" s="10" t="inlineStr"/>
      <c r="N3117" s="11" t="inlineStr"/>
      <c r="O3117" s="11" t="inlineStr">
        <is>
          <t>course lecture - no single paper</t>
        </is>
      </c>
      <c r="P3117" s="10" t="inlineStr"/>
    </row>
    <row r="3118">
      <c r="A3118" s="23" t="n">
        <v>3117</v>
      </c>
      <c r="B3118" s="23" t="inlineStr">
        <is>
          <t>Part VI - Appendices</t>
        </is>
      </c>
      <c r="C3118" s="24" t="inlineStr">
        <is>
          <t>B.3 PLUMED Masterclass - 43 videos</t>
        </is>
      </c>
      <c r="D3118" s="10" t="inlineStr">
        <is>
          <t>Mechanical pulling and FISST (Hocky, Stirneman</t>
        </is>
      </c>
      <c r="E3118" s="10" t="inlineStr"/>
      <c r="F3118" s="11" t="inlineStr">
        <is>
          <t>26:09</t>
        </is>
      </c>
      <c r="G3118" s="11" t="n">
        <v>0.44</v>
      </c>
      <c r="H3118" s="12" t="inlineStr"/>
      <c r="I3118" s="11" t="inlineStr">
        <is>
          <t>Not started</t>
        </is>
      </c>
      <c r="J3118" s="13" t="n"/>
      <c r="K3118" s="10" t="inlineStr"/>
      <c r="L3118" s="14" t="inlineStr">
        <is>
          <t>▶ watch</t>
        </is>
      </c>
      <c r="M3118" s="10" t="inlineStr"/>
      <c r="N3118" s="11" t="inlineStr"/>
      <c r="O3118" s="11" t="inlineStr">
        <is>
          <t>course lecture - no single paper</t>
        </is>
      </c>
      <c r="P3118" s="10" t="inlineStr"/>
    </row>
    <row r="3119">
      <c r="A3119" s="23" t="n">
        <v>3118</v>
      </c>
      <c r="B3119" s="23" t="inlineStr">
        <is>
          <t>Part VI - Appendices</t>
        </is>
      </c>
      <c r="C3119" s="24" t="inlineStr">
        <is>
          <t>B.3 PLUMED Masterclass - 43 videos</t>
        </is>
      </c>
      <c r="D3119" s="10" t="inlineStr">
        <is>
          <t>Mechanical pulling and FISST (Hocky, Stirneman</t>
        </is>
      </c>
      <c r="E3119" s="10" t="inlineStr"/>
      <c r="F3119" s="11" t="inlineStr">
        <is>
          <t>26:09</t>
        </is>
      </c>
      <c r="G3119" s="11" t="n">
        <v>0.44</v>
      </c>
      <c r="H3119" s="12" t="inlineStr"/>
      <c r="I3119" s="11" t="inlineStr">
        <is>
          <t>Not started</t>
        </is>
      </c>
      <c r="J3119" s="13" t="n"/>
      <c r="K3119" s="10" t="inlineStr"/>
      <c r="L3119" s="14" t="inlineStr">
        <is>
          <t>▶ watch</t>
        </is>
      </c>
      <c r="M3119" s="10" t="inlineStr"/>
      <c r="N3119" s="11" t="inlineStr"/>
      <c r="O3119" s="11" t="inlineStr">
        <is>
          <t>course lecture - no single paper</t>
        </is>
      </c>
      <c r="P3119" s="10" t="inlineStr"/>
    </row>
    <row r="3120">
      <c r="A3120" s="23" t="n">
        <v>3119</v>
      </c>
      <c r="B3120" s="23" t="inlineStr">
        <is>
          <t>Part VI - Appendices</t>
        </is>
      </c>
      <c r="C3120" s="24" t="inlineStr">
        <is>
          <t>B.3 PLUMED Masterclass - 43 videos</t>
        </is>
      </c>
      <c r="D3120" s="10" t="inlineStr">
        <is>
          <t>Bayesian cryo-EM integration into MD (Bonomi, Hoff</t>
        </is>
      </c>
      <c r="E3120" s="10" t="inlineStr"/>
      <c r="F3120" s="11" t="inlineStr">
        <is>
          <t>46:56</t>
        </is>
      </c>
      <c r="G3120" s="11" t="n">
        <v>0.78</v>
      </c>
      <c r="H3120" s="12" t="inlineStr">
        <is>
          <t>★</t>
        </is>
      </c>
      <c r="I3120" s="11" t="inlineStr">
        <is>
          <t>Not started</t>
        </is>
      </c>
      <c r="J3120" s="13" t="n"/>
      <c r="K3120" s="10" t="inlineStr"/>
      <c r="L3120" s="14" t="inlineStr">
        <is>
          <t>▶ watch</t>
        </is>
      </c>
      <c r="M3120" s="10" t="inlineStr"/>
      <c r="N3120" s="11" t="inlineStr"/>
      <c r="O3120" s="11" t="inlineStr">
        <is>
          <t>course lecture - no single paper</t>
        </is>
      </c>
      <c r="P3120" s="10" t="inlineStr"/>
    </row>
    <row r="3121">
      <c r="A3121" s="23" t="n">
        <v>3120</v>
      </c>
      <c r="B3121" s="23" t="inlineStr">
        <is>
          <t>Part VI - Appendices</t>
        </is>
      </c>
      <c r="C3121" s="24" t="inlineStr">
        <is>
          <t>B.3 PLUMED Masterclass - 43 videos</t>
        </is>
      </c>
      <c r="D3121" s="10" t="inlineStr">
        <is>
          <t>Bayesian cryo-EM integration into MD (Bonomi, Hoff</t>
        </is>
      </c>
      <c r="E3121" s="10" t="inlineStr"/>
      <c r="F3121" s="11" t="inlineStr">
        <is>
          <t>46:56</t>
        </is>
      </c>
      <c r="G3121" s="11" t="n">
        <v>0.78</v>
      </c>
      <c r="H3121" s="12" t="inlineStr">
        <is>
          <t>★</t>
        </is>
      </c>
      <c r="I3121" s="11" t="inlineStr">
        <is>
          <t>Not started</t>
        </is>
      </c>
      <c r="J3121" s="13" t="n"/>
      <c r="K3121" s="10" t="inlineStr"/>
      <c r="L3121" s="14" t="inlineStr">
        <is>
          <t>▶ watch</t>
        </is>
      </c>
      <c r="M3121" s="10" t="inlineStr"/>
      <c r="N3121" s="11" t="inlineStr"/>
      <c r="O3121" s="11" t="inlineStr">
        <is>
          <t>course lecture - no single paper</t>
        </is>
      </c>
      <c r="P3121" s="10" t="inlineStr"/>
    </row>
    <row r="3122">
      <c r="A3122" s="23" t="n">
        <v>3121</v>
      </c>
      <c r="B3122" s="23" t="inlineStr">
        <is>
          <t>Part VI - Appendices</t>
        </is>
      </c>
      <c r="C3122" s="24" t="inlineStr">
        <is>
          <t>B.4 Workshop on Free Energy, Kinetics and MSM in Drug Design, 2018 - 43 videos</t>
        </is>
      </c>
      <c r="D3122" s="10" t="inlineStr">
        <is>
          <t>Mark Murcko (keynote</t>
        </is>
      </c>
      <c r="E3122" s="10" t="inlineStr">
        <is>
          <t>Michael Shirts</t>
        </is>
      </c>
      <c r="F3122" s="11" t="inlineStr">
        <is>
          <t>31:11</t>
        </is>
      </c>
      <c r="G3122" s="11" t="n">
        <v>0.52</v>
      </c>
      <c r="H3122" s="12" t="inlineStr">
        <is>
          <t>★</t>
        </is>
      </c>
      <c r="I3122" s="11" t="inlineStr">
        <is>
          <t>Not started</t>
        </is>
      </c>
      <c r="J3122" s="13" t="n"/>
      <c r="K3122" s="10" t="inlineStr"/>
      <c r="L3122" s="14" t="inlineStr">
        <is>
          <t>▶ watch</t>
        </is>
      </c>
      <c r="M3122" s="10" t="inlineStr"/>
      <c r="N3122" s="11" t="inlineStr"/>
      <c r="O3122" s="11" t="inlineStr">
        <is>
          <t>course lecture - no single paper</t>
        </is>
      </c>
      <c r="P3122" s="10" t="inlineStr"/>
    </row>
    <row r="3123">
      <c r="A3123" s="23" t="n">
        <v>3122</v>
      </c>
      <c r="B3123" s="23" t="inlineStr">
        <is>
          <t>Part VI - Appendices</t>
        </is>
      </c>
      <c r="C3123" s="24" t="inlineStr">
        <is>
          <t>B.4 Workshop on Free Energy, Kinetics and MSM in Drug Design, 2018 - 43 videos</t>
        </is>
      </c>
      <c r="D3123" s="10" t="inlineStr">
        <is>
          <t>Lucie Delemotte</t>
        </is>
      </c>
      <c r="E3123" s="10" t="inlineStr">
        <is>
          <t>Frank Noé</t>
        </is>
      </c>
      <c r="F3123" s="11" t="inlineStr">
        <is>
          <t>37:32</t>
        </is>
      </c>
      <c r="G3123" s="11" t="n">
        <v>0.63</v>
      </c>
      <c r="H3123" s="12" t="inlineStr">
        <is>
          <t>★</t>
        </is>
      </c>
      <c r="I3123" s="11" t="inlineStr">
        <is>
          <t>Not started</t>
        </is>
      </c>
      <c r="J3123" s="13" t="n"/>
      <c r="K3123" s="10" t="inlineStr"/>
      <c r="L3123" s="14" t="inlineStr">
        <is>
          <t>▶ watch</t>
        </is>
      </c>
      <c r="M3123" s="10" t="inlineStr"/>
      <c r="N3123" s="11" t="inlineStr"/>
      <c r="O3123" s="11" t="inlineStr">
        <is>
          <t>course lecture - no single paper</t>
        </is>
      </c>
      <c r="P3123" s="10" t="inlineStr"/>
    </row>
    <row r="3124">
      <c r="A3124" s="23" t="n">
        <v>3123</v>
      </c>
      <c r="B3124" s="23" t="inlineStr">
        <is>
          <t>Part VI - Appendices</t>
        </is>
      </c>
      <c r="C3124" s="24" t="inlineStr">
        <is>
          <t>B.4 Workshop on Free Energy, Kinetics and MSM in Drug Design, 2018 - 43 videos</t>
        </is>
      </c>
      <c r="D3124" s="10" t="inlineStr">
        <is>
          <t>Pratyush Tiwary</t>
        </is>
      </c>
      <c r="E3124" s="10" t="inlineStr">
        <is>
          <t>Greg Ross</t>
        </is>
      </c>
      <c r="F3124" s="11" t="inlineStr">
        <is>
          <t>27:42</t>
        </is>
      </c>
      <c r="G3124" s="11" t="n">
        <v>0.46</v>
      </c>
      <c r="H3124" s="12" t="inlineStr">
        <is>
          <t>★</t>
        </is>
      </c>
      <c r="I3124" s="11" t="inlineStr">
        <is>
          <t>Not started</t>
        </is>
      </c>
      <c r="J3124" s="13" t="n"/>
      <c r="K3124" s="10" t="inlineStr"/>
      <c r="L3124" s="14" t="inlineStr">
        <is>
          <t>▶ watch</t>
        </is>
      </c>
      <c r="M3124" s="10" t="inlineStr"/>
      <c r="N3124" s="11" t="inlineStr"/>
      <c r="O3124" s="11" t="inlineStr">
        <is>
          <t>course lecture - no single paper</t>
        </is>
      </c>
      <c r="P3124" s="10" t="inlineStr"/>
    </row>
    <row r="3125">
      <c r="A3125" s="23" t="n">
        <v>3124</v>
      </c>
      <c r="B3125" s="23" t="inlineStr">
        <is>
          <t>Part VI - Appendices</t>
        </is>
      </c>
      <c r="C3125" s="24" t="inlineStr">
        <is>
          <t>B.4 Workshop on Free Energy, Kinetics and MSM in Drug Design, 2018 - 43 videos</t>
        </is>
      </c>
      <c r="D3125" s="10" t="inlineStr">
        <is>
          <t>Pratyush Tiwary</t>
        </is>
      </c>
      <c r="E3125" s="10" t="inlineStr">
        <is>
          <t>Greg Ross</t>
        </is>
      </c>
      <c r="F3125" s="11" t="inlineStr">
        <is>
          <t>27:42</t>
        </is>
      </c>
      <c r="G3125" s="11" t="n">
        <v>0.46</v>
      </c>
      <c r="H3125" s="12" t="inlineStr">
        <is>
          <t>★</t>
        </is>
      </c>
      <c r="I3125" s="11" t="inlineStr">
        <is>
          <t>Not started</t>
        </is>
      </c>
      <c r="J3125" s="13" t="n"/>
      <c r="K3125" s="10" t="inlineStr"/>
      <c r="L3125" s="14" t="inlineStr">
        <is>
          <t>▶ watch</t>
        </is>
      </c>
      <c r="M3125" s="10" t="inlineStr"/>
      <c r="N3125" s="11" t="inlineStr"/>
      <c r="O3125" s="11" t="inlineStr">
        <is>
          <t>course lecture - no single paper</t>
        </is>
      </c>
      <c r="P3125" s="10" t="inlineStr"/>
    </row>
    <row r="3126">
      <c r="A3126" s="23" t="n">
        <v>3125</v>
      </c>
      <c r="B3126" s="23" t="inlineStr">
        <is>
          <t>Part VI - Appendices</t>
        </is>
      </c>
      <c r="C3126" s="24" t="inlineStr">
        <is>
          <t>B.4 Workshop on Free Energy, Kinetics and MSM in Drug Design, 2018 - 43 videos</t>
        </is>
      </c>
      <c r="D3126" s="10" t="inlineStr">
        <is>
          <t>Dave Huggins</t>
        </is>
      </c>
      <c r="E3126" s="10" t="inlineStr">
        <is>
          <t>Marie Laury</t>
        </is>
      </c>
      <c r="F3126" s="11" t="inlineStr">
        <is>
          <t>25:39</t>
        </is>
      </c>
      <c r="G3126" s="11" t="n">
        <v>0.43</v>
      </c>
      <c r="H3126" s="12" t="inlineStr"/>
      <c r="I3126" s="11" t="inlineStr">
        <is>
          <t>Not started</t>
        </is>
      </c>
      <c r="J3126" s="13" t="n"/>
      <c r="K3126" s="10" t="inlineStr"/>
      <c r="L3126" s="14" t="inlineStr">
        <is>
          <t>▶ watch</t>
        </is>
      </c>
      <c r="M3126" s="10" t="inlineStr"/>
      <c r="N3126" s="11" t="inlineStr"/>
      <c r="O3126" s="11" t="inlineStr">
        <is>
          <t>course lecture - no single paper</t>
        </is>
      </c>
      <c r="P3126" s="10" t="inlineStr"/>
    </row>
    <row r="3127">
      <c r="A3127" s="23" t="n">
        <v>3126</v>
      </c>
      <c r="B3127" s="23" t="inlineStr">
        <is>
          <t>Part VI - Appendices</t>
        </is>
      </c>
      <c r="C3127" s="24" t="inlineStr">
        <is>
          <t>B.4 Workshop on Free Energy, Kinetics and MSM in Drug Design, 2018 - 43 videos</t>
        </is>
      </c>
      <c r="D3127" s="10" t="inlineStr">
        <is>
          <t>Dave Huggins</t>
        </is>
      </c>
      <c r="E3127" s="10" t="inlineStr">
        <is>
          <t>Marie Laury</t>
        </is>
      </c>
      <c r="F3127" s="11" t="inlineStr">
        <is>
          <t>25:39</t>
        </is>
      </c>
      <c r="G3127" s="11" t="n">
        <v>0.43</v>
      </c>
      <c r="H3127" s="12" t="inlineStr"/>
      <c r="I3127" s="11" t="inlineStr">
        <is>
          <t>Not started</t>
        </is>
      </c>
      <c r="J3127" s="13" t="n"/>
      <c r="K3127" s="10" t="inlineStr"/>
      <c r="L3127" s="14" t="inlineStr">
        <is>
          <t>▶ watch</t>
        </is>
      </c>
      <c r="M3127" s="10" t="inlineStr"/>
      <c r="N3127" s="11" t="inlineStr"/>
      <c r="O3127" s="11" t="inlineStr">
        <is>
          <t>course lecture - no single paper</t>
        </is>
      </c>
      <c r="P3127" s="10" t="inlineStr"/>
    </row>
    <row r="3128">
      <c r="A3128" s="23" t="n">
        <v>3127</v>
      </c>
      <c r="B3128" s="23" t="inlineStr">
        <is>
          <t>Part VI - Appendices</t>
        </is>
      </c>
      <c r="C3128" s="24" t="inlineStr">
        <is>
          <t>B.4 Workshop on Free Energy, Kinetics and MSM in Drug Design, 2018 - 43 videos</t>
        </is>
      </c>
      <c r="D3128" s="10" t="inlineStr">
        <is>
          <t>Cecilia Clementi</t>
        </is>
      </c>
      <c r="E3128" s="10" t="inlineStr">
        <is>
          <t>David Koes</t>
        </is>
      </c>
      <c r="F3128" s="11" t="inlineStr">
        <is>
          <t>30:33</t>
        </is>
      </c>
      <c r="G3128" s="11" t="n">
        <v>0.51</v>
      </c>
      <c r="H3128" s="12" t="inlineStr">
        <is>
          <t>★</t>
        </is>
      </c>
      <c r="I3128" s="11" t="inlineStr">
        <is>
          <t>Not started</t>
        </is>
      </c>
      <c r="J3128" s="13" t="n"/>
      <c r="K3128" s="10" t="inlineStr"/>
      <c r="L3128" s="14" t="inlineStr">
        <is>
          <t>▶ watch</t>
        </is>
      </c>
      <c r="M3128" s="10" t="inlineStr"/>
      <c r="N3128" s="11" t="inlineStr"/>
      <c r="O3128" s="11" t="inlineStr">
        <is>
          <t>course lecture - no single paper</t>
        </is>
      </c>
      <c r="P3128" s="10" t="inlineStr"/>
    </row>
    <row r="3129">
      <c r="A3129" s="23" t="n">
        <v>3128</v>
      </c>
      <c r="B3129" s="23" t="inlineStr">
        <is>
          <t>Part VI - Appendices</t>
        </is>
      </c>
      <c r="C3129" s="24" t="inlineStr">
        <is>
          <t>B.4 Workshop on Free Energy, Kinetics and MSM in Drug Design, 2018 - 43 videos</t>
        </is>
      </c>
      <c r="D3129" s="10" t="inlineStr">
        <is>
          <t>Cecilia Clementi</t>
        </is>
      </c>
      <c r="E3129" s="10" t="inlineStr">
        <is>
          <t>David Koes</t>
        </is>
      </c>
      <c r="F3129" s="11" t="inlineStr">
        <is>
          <t>30:33</t>
        </is>
      </c>
      <c r="G3129" s="11" t="n">
        <v>0.51</v>
      </c>
      <c r="H3129" s="12" t="inlineStr">
        <is>
          <t>★</t>
        </is>
      </c>
      <c r="I3129" s="11" t="inlineStr">
        <is>
          <t>Not started</t>
        </is>
      </c>
      <c r="J3129" s="13" t="n"/>
      <c r="K3129" s="10" t="inlineStr"/>
      <c r="L3129" s="14" t="inlineStr">
        <is>
          <t>▶ watch</t>
        </is>
      </c>
      <c r="M3129" s="10" t="inlineStr"/>
      <c r="N3129" s="11" t="inlineStr"/>
      <c r="O3129" s="11" t="inlineStr">
        <is>
          <t>course lecture - no single paper</t>
        </is>
      </c>
      <c r="P3129" s="10" t="inlineStr"/>
    </row>
    <row r="3130">
      <c r="A3130" s="23" t="n">
        <v>3129</v>
      </c>
      <c r="B3130" s="23" t="inlineStr">
        <is>
          <t>Part VI - Appendices</t>
        </is>
      </c>
      <c r="C3130" s="24" t="inlineStr">
        <is>
          <t>B.4 Workshop on Free Energy, Kinetics and MSM in Drug Design, 2018 - 43 videos</t>
        </is>
      </c>
      <c r="D3130" s="10" t="inlineStr">
        <is>
          <t>Israel Cabeza de Vaca</t>
        </is>
      </c>
      <c r="E3130" s="10" t="inlineStr">
        <is>
          <t>Benoit Roux</t>
        </is>
      </c>
      <c r="F3130" s="11" t="inlineStr">
        <is>
          <t>33:43</t>
        </is>
      </c>
      <c r="G3130" s="11" t="n">
        <v>0.5600000000000001</v>
      </c>
      <c r="H3130" s="12" t="inlineStr">
        <is>
          <t>★</t>
        </is>
      </c>
      <c r="I3130" s="11" t="inlineStr">
        <is>
          <t>Not started</t>
        </is>
      </c>
      <c r="J3130" s="13" t="n"/>
      <c r="K3130" s="10" t="inlineStr"/>
      <c r="L3130" s="14" t="inlineStr">
        <is>
          <t>▶ watch</t>
        </is>
      </c>
      <c r="M3130" s="10" t="inlineStr"/>
      <c r="N3130" s="11" t="inlineStr"/>
      <c r="O3130" s="11" t="inlineStr">
        <is>
          <t>course lecture - no single paper</t>
        </is>
      </c>
      <c r="P3130" s="10" t="inlineStr"/>
    </row>
    <row r="3131">
      <c r="A3131" s="23" t="n">
        <v>3130</v>
      </c>
      <c r="B3131" s="23" t="inlineStr">
        <is>
          <t>Part VI - Appendices</t>
        </is>
      </c>
      <c r="C3131" s="24" t="inlineStr">
        <is>
          <t>B.4 Workshop on Free Energy, Kinetics and MSM in Drug Design, 2018 - 43 videos</t>
        </is>
      </c>
      <c r="D3131" s="10" t="inlineStr">
        <is>
          <t>Christina Schindler</t>
        </is>
      </c>
      <c r="E3131" s="10" t="inlineStr">
        <is>
          <t>Muneeb Sultan</t>
        </is>
      </c>
      <c r="F3131" s="11" t="inlineStr">
        <is>
          <t>28:01</t>
        </is>
      </c>
      <c r="G3131" s="11" t="n">
        <v>0.47</v>
      </c>
      <c r="H3131" s="12" t="inlineStr"/>
      <c r="I3131" s="11" t="inlineStr">
        <is>
          <t>Not started</t>
        </is>
      </c>
      <c r="J3131" s="13" t="n"/>
      <c r="K3131" s="10" t="inlineStr"/>
      <c r="L3131" s="14" t="inlineStr">
        <is>
          <t>▶ watch</t>
        </is>
      </c>
      <c r="M3131" s="10" t="inlineStr"/>
      <c r="N3131" s="11" t="inlineStr"/>
      <c r="O3131" s="11" t="inlineStr">
        <is>
          <t>course lecture - no single paper</t>
        </is>
      </c>
      <c r="P3131" s="10" t="inlineStr"/>
    </row>
    <row r="3132">
      <c r="A3132" s="23" t="n">
        <v>3131</v>
      </c>
      <c r="B3132" s="23" t="inlineStr">
        <is>
          <t>Part VI - Appendices</t>
        </is>
      </c>
      <c r="C3132" s="24" t="inlineStr">
        <is>
          <t>B.4 Workshop on Free Energy, Kinetics and MSM in Drug Design, 2018 - 43 videos</t>
        </is>
      </c>
      <c r="D3132" s="10" t="inlineStr">
        <is>
          <t>Christina Schindler</t>
        </is>
      </c>
      <c r="E3132" s="10" t="inlineStr">
        <is>
          <t>Muneeb Sultan</t>
        </is>
      </c>
      <c r="F3132" s="11" t="inlineStr">
        <is>
          <t>28:01</t>
        </is>
      </c>
      <c r="G3132" s="11" t="n">
        <v>0.47</v>
      </c>
      <c r="H3132" s="12" t="inlineStr"/>
      <c r="I3132" s="11" t="inlineStr">
        <is>
          <t>Not started</t>
        </is>
      </c>
      <c r="J3132" s="13" t="n"/>
      <c r="K3132" s="10" t="inlineStr"/>
      <c r="L3132" s="14" t="inlineStr">
        <is>
          <t>▶ watch</t>
        </is>
      </c>
      <c r="M3132" s="10" t="inlineStr"/>
      <c r="N3132" s="11" t="inlineStr"/>
      <c r="O3132" s="11" t="inlineStr">
        <is>
          <t>course lecture - no single paper</t>
        </is>
      </c>
      <c r="P3132" s="10" t="inlineStr"/>
    </row>
    <row r="3133">
      <c r="A3133" s="23" t="n">
        <v>3132</v>
      </c>
      <c r="B3133" s="23" t="inlineStr">
        <is>
          <t>Part VI - Appendices</t>
        </is>
      </c>
      <c r="C3133" s="24" t="inlineStr">
        <is>
          <t>B.4 Workshop on Free Energy, Kinetics and MSM in Drug Design, 2018 - 43 videos</t>
        </is>
      </c>
      <c r="D3133" s="10" t="inlineStr">
        <is>
          <t>Lingle Wang (FEP+</t>
        </is>
      </c>
      <c r="E3133" s="10" t="inlineStr">
        <is>
          <t>Léa El Khoury</t>
        </is>
      </c>
      <c r="F3133" s="11" t="inlineStr">
        <is>
          <t>35:36</t>
        </is>
      </c>
      <c r="G3133" s="11" t="n">
        <v>0.59</v>
      </c>
      <c r="H3133" s="12" t="inlineStr">
        <is>
          <t>★</t>
        </is>
      </c>
      <c r="I3133" s="11" t="inlineStr">
        <is>
          <t>Not started</t>
        </is>
      </c>
      <c r="J3133" s="13" t="n"/>
      <c r="K3133" s="10" t="inlineStr"/>
      <c r="L3133" s="14" t="inlineStr">
        <is>
          <t>▶ watch</t>
        </is>
      </c>
      <c r="M3133" s="10" t="inlineStr"/>
      <c r="N3133" s="11" t="inlineStr"/>
      <c r="O3133" s="11" t="inlineStr">
        <is>
          <t>course lecture - no single paper</t>
        </is>
      </c>
      <c r="P3133" s="10" t="inlineStr"/>
    </row>
    <row r="3134">
      <c r="A3134" s="23" t="n">
        <v>3133</v>
      </c>
      <c r="B3134" s="23" t="inlineStr">
        <is>
          <t>Part VI - Appendices</t>
        </is>
      </c>
      <c r="C3134" s="24" t="inlineStr">
        <is>
          <t>B.4 Workshop on Free Energy, Kinetics and MSM in Drug Design, 2018 - 43 videos</t>
        </is>
      </c>
      <c r="D3134" s="10" t="inlineStr">
        <is>
          <t>Christopher Bayly</t>
        </is>
      </c>
      <c r="E3134" s="10" t="inlineStr">
        <is>
          <t>Greg Bowman</t>
        </is>
      </c>
      <c r="F3134" s="11" t="inlineStr">
        <is>
          <t>33:23</t>
        </is>
      </c>
      <c r="G3134" s="11" t="n">
        <v>0.5600000000000001</v>
      </c>
      <c r="H3134" s="12" t="inlineStr">
        <is>
          <t>★</t>
        </is>
      </c>
      <c r="I3134" s="11" t="inlineStr">
        <is>
          <t>Not started</t>
        </is>
      </c>
      <c r="J3134" s="13" t="n"/>
      <c r="K3134" s="10" t="inlineStr"/>
      <c r="L3134" s="14" t="inlineStr">
        <is>
          <t>▶ watch</t>
        </is>
      </c>
      <c r="M3134" s="10" t="inlineStr"/>
      <c r="N3134" s="11" t="inlineStr"/>
      <c r="O3134" s="11" t="inlineStr">
        <is>
          <t>course lecture - no single paper</t>
        </is>
      </c>
      <c r="P3134" s="10" t="inlineStr"/>
    </row>
    <row r="3135">
      <c r="A3135" s="23" t="n">
        <v>3134</v>
      </c>
      <c r="B3135" s="23" t="inlineStr">
        <is>
          <t>Part VI - Appendices</t>
        </is>
      </c>
      <c r="C3135" s="24" t="inlineStr">
        <is>
          <t>B.4 Workshop on Free Energy, Kinetics and MSM in Drug Design, 2018 - 43 videos</t>
        </is>
      </c>
      <c r="D3135" s="10" t="inlineStr">
        <is>
          <t>Ayşegül Özen</t>
        </is>
      </c>
      <c r="E3135" s="10" t="inlineStr">
        <is>
          <t>Simon Olsson</t>
        </is>
      </c>
      <c r="F3135" s="11" t="inlineStr">
        <is>
          <t>26:00</t>
        </is>
      </c>
      <c r="G3135" s="11" t="n">
        <v>0.43</v>
      </c>
      <c r="H3135" s="12" t="inlineStr"/>
      <c r="I3135" s="11" t="inlineStr">
        <is>
          <t>Not started</t>
        </is>
      </c>
      <c r="J3135" s="13" t="n"/>
      <c r="K3135" s="10" t="inlineStr"/>
      <c r="L3135" s="14" t="inlineStr">
        <is>
          <t>▶ watch</t>
        </is>
      </c>
      <c r="M3135" s="10" t="inlineStr"/>
      <c r="N3135" s="11" t="inlineStr"/>
      <c r="O3135" s="11" t="inlineStr">
        <is>
          <t>course lecture - no single paper</t>
        </is>
      </c>
      <c r="P3135" s="10" t="inlineStr"/>
    </row>
    <row r="3136">
      <c r="A3136" s="23" t="n">
        <v>3135</v>
      </c>
      <c r="B3136" s="23" t="inlineStr">
        <is>
          <t>Part VI - Appendices</t>
        </is>
      </c>
      <c r="C3136" s="24" t="inlineStr">
        <is>
          <t>B.4 Workshop on Free Energy, Kinetics and MSM in Drug Design, 2018 - 43 videos</t>
        </is>
      </c>
      <c r="D3136" s="10" t="inlineStr">
        <is>
          <t>Ayşegül Özen</t>
        </is>
      </c>
      <c r="E3136" s="10" t="inlineStr">
        <is>
          <t>Simon Olsson</t>
        </is>
      </c>
      <c r="F3136" s="11" t="inlineStr">
        <is>
          <t>26:00</t>
        </is>
      </c>
      <c r="G3136" s="11" t="n">
        <v>0.43</v>
      </c>
      <c r="H3136" s="12" t="inlineStr"/>
      <c r="I3136" s="11" t="inlineStr">
        <is>
          <t>Not started</t>
        </is>
      </c>
      <c r="J3136" s="13" t="n"/>
      <c r="K3136" s="10" t="inlineStr"/>
      <c r="L3136" s="14" t="inlineStr">
        <is>
          <t>▶ watch</t>
        </is>
      </c>
      <c r="M3136" s="10" t="inlineStr"/>
      <c r="N3136" s="11" t="inlineStr"/>
      <c r="O3136" s="11" t="inlineStr">
        <is>
          <t>course lecture - no single paper</t>
        </is>
      </c>
      <c r="P3136" s="10" t="inlineStr"/>
    </row>
    <row r="3137">
      <c r="A3137" s="23" t="n">
        <v>3136</v>
      </c>
      <c r="B3137" s="23" t="inlineStr">
        <is>
          <t>Part VI - Appendices</t>
        </is>
      </c>
      <c r="C3137" s="24" t="inlineStr">
        <is>
          <t>B.4 Workshop on Free Energy, Kinetics and MSM in Drug Design, 2018 - 43 videos</t>
        </is>
      </c>
      <c r="D3137" s="10" t="inlineStr">
        <is>
          <t>Charlie Brooks</t>
        </is>
      </c>
      <c r="E3137" s="10" t="inlineStr">
        <is>
          <t>Antonia Mey</t>
        </is>
      </c>
      <c r="F3137" s="11" t="inlineStr">
        <is>
          <t>30:56</t>
        </is>
      </c>
      <c r="G3137" s="11" t="n">
        <v>0.52</v>
      </c>
      <c r="H3137" s="12" t="inlineStr">
        <is>
          <t>★</t>
        </is>
      </c>
      <c r="I3137" s="11" t="inlineStr">
        <is>
          <t>Not started</t>
        </is>
      </c>
      <c r="J3137" s="13" t="n"/>
      <c r="K3137" s="10" t="inlineStr"/>
      <c r="L3137" s="14" t="inlineStr">
        <is>
          <t>▶ watch</t>
        </is>
      </c>
      <c r="M3137" s="10" t="inlineStr"/>
      <c r="N3137" s="11" t="inlineStr"/>
      <c r="O3137" s="11" t="inlineStr">
        <is>
          <t>course lecture - no single paper</t>
        </is>
      </c>
      <c r="P3137" s="10" t="inlineStr"/>
    </row>
    <row r="3138">
      <c r="A3138" s="23" t="n">
        <v>3137</v>
      </c>
      <c r="B3138" s="23" t="inlineStr">
        <is>
          <t>Part VI - Appendices</t>
        </is>
      </c>
      <c r="C3138" s="24" t="inlineStr">
        <is>
          <t>B.4 Workshop on Free Energy, Kinetics and MSM in Drug Design, 2018 - 43 videos</t>
        </is>
      </c>
      <c r="D3138" s="10" t="inlineStr">
        <is>
          <t>John Chodera (welcome</t>
        </is>
      </c>
      <c r="E3138" s="10" t="inlineStr">
        <is>
          <t>Maxwell Zimmerman</t>
        </is>
      </c>
      <c r="F3138" s="11" t="inlineStr">
        <is>
          <t>6:24</t>
        </is>
      </c>
      <c r="G3138" s="11" t="n">
        <v>0.11</v>
      </c>
      <c r="H3138" s="12" t="inlineStr"/>
      <c r="I3138" s="11" t="inlineStr">
        <is>
          <t>Not started</t>
        </is>
      </c>
      <c r="J3138" s="13" t="n"/>
      <c r="K3138" s="10" t="inlineStr"/>
      <c r="L3138" s="14" t="inlineStr">
        <is>
          <t>▶ watch</t>
        </is>
      </c>
      <c r="M3138" s="10" t="inlineStr"/>
      <c r="N3138" s="11" t="inlineStr"/>
      <c r="O3138" s="11" t="inlineStr">
        <is>
          <t>course lecture - no single paper</t>
        </is>
      </c>
      <c r="P3138" s="10" t="inlineStr"/>
    </row>
    <row r="3139">
      <c r="A3139" s="23" t="n">
        <v>3138</v>
      </c>
      <c r="B3139" s="23" t="inlineStr">
        <is>
          <t>Part VI - Appendices</t>
        </is>
      </c>
      <c r="C3139" s="24" t="inlineStr">
        <is>
          <t>B.4 Workshop on Free Energy, Kinetics and MSM in Drug Design, 2018 - 43 videos</t>
        </is>
      </c>
      <c r="D3139" s="10" t="inlineStr">
        <is>
          <t>John Chodera (welcome</t>
        </is>
      </c>
      <c r="E3139" s="10" t="inlineStr">
        <is>
          <t>Maxwell Zimmerman</t>
        </is>
      </c>
      <c r="F3139" s="11" t="inlineStr">
        <is>
          <t>6:24</t>
        </is>
      </c>
      <c r="G3139" s="11" t="n">
        <v>0.11</v>
      </c>
      <c r="H3139" s="12" t="inlineStr"/>
      <c r="I3139" s="11" t="inlineStr">
        <is>
          <t>Not started</t>
        </is>
      </c>
      <c r="J3139" s="13" t="n"/>
      <c r="K3139" s="10" t="inlineStr"/>
      <c r="L3139" s="14" t="inlineStr">
        <is>
          <t>▶ watch</t>
        </is>
      </c>
      <c r="M3139" s="10" t="inlineStr"/>
      <c r="N3139" s="11" t="inlineStr"/>
      <c r="O3139" s="11" t="inlineStr">
        <is>
          <t>course lecture - no single paper</t>
        </is>
      </c>
      <c r="P3139" s="10" t="inlineStr"/>
    </row>
    <row r="3140">
      <c r="A3140" s="23" t="n">
        <v>3139</v>
      </c>
      <c r="B3140" s="23" t="inlineStr">
        <is>
          <t>Part VI - Appendices</t>
        </is>
      </c>
      <c r="C3140" s="24" t="inlineStr">
        <is>
          <t>B.4 Workshop on Free Energy, Kinetics and MSM in Drug Design, 2018 - 43 videos</t>
        </is>
      </c>
      <c r="D3140" s="10" t="inlineStr">
        <is>
          <t>Chris Chipot</t>
        </is>
      </c>
      <c r="E3140" s="10" t="inlineStr">
        <is>
          <t>Fabian Paul</t>
        </is>
      </c>
      <c r="F3140" s="11" t="inlineStr">
        <is>
          <t>32:12</t>
        </is>
      </c>
      <c r="G3140" s="11" t="n">
        <v>0.54</v>
      </c>
      <c r="H3140" s="12" t="inlineStr">
        <is>
          <t>★</t>
        </is>
      </c>
      <c r="I3140" s="11" t="inlineStr">
        <is>
          <t>Not started</t>
        </is>
      </c>
      <c r="J3140" s="13" t="n"/>
      <c r="K3140" s="10" t="inlineStr"/>
      <c r="L3140" s="14" t="inlineStr">
        <is>
          <t>▶ watch</t>
        </is>
      </c>
      <c r="M3140" s="10" t="inlineStr"/>
      <c r="N3140" s="11" t="inlineStr"/>
      <c r="O3140" s="11" t="inlineStr">
        <is>
          <t>course lecture - no single paper</t>
        </is>
      </c>
      <c r="P3140" s="10" t="inlineStr"/>
    </row>
    <row r="3141">
      <c r="A3141" s="23" t="n">
        <v>3140</v>
      </c>
      <c r="B3141" s="23" t="inlineStr">
        <is>
          <t>Part VI - Appendices</t>
        </is>
      </c>
      <c r="C3141" s="24" t="inlineStr">
        <is>
          <t>B.4 Workshop on Free Energy, Kinetics and MSM in Drug Design, 2018 - 43 videos</t>
        </is>
      </c>
      <c r="D3141" s="10" t="inlineStr">
        <is>
          <t>Chris Chipot</t>
        </is>
      </c>
      <c r="E3141" s="10" t="inlineStr">
        <is>
          <t>Fabian Paul</t>
        </is>
      </c>
      <c r="F3141" s="11" t="inlineStr">
        <is>
          <t>32:12</t>
        </is>
      </c>
      <c r="G3141" s="11" t="n">
        <v>0.54</v>
      </c>
      <c r="H3141" s="12" t="inlineStr">
        <is>
          <t>★</t>
        </is>
      </c>
      <c r="I3141" s="11" t="inlineStr">
        <is>
          <t>Not started</t>
        </is>
      </c>
      <c r="J3141" s="13" t="n"/>
      <c r="K3141" s="10" t="inlineStr"/>
      <c r="L3141" s="14" t="inlineStr">
        <is>
          <t>▶ watch</t>
        </is>
      </c>
      <c r="M3141" s="10" t="inlineStr"/>
      <c r="N3141" s="11" t="inlineStr"/>
      <c r="O3141" s="11" t="inlineStr">
        <is>
          <t>course lecture - no single paper</t>
        </is>
      </c>
      <c r="P3141" s="10" t="inlineStr"/>
    </row>
    <row r="3142">
      <c r="A3142" s="23" t="n">
        <v>3141</v>
      </c>
      <c r="B3142" s="23" t="inlineStr">
        <is>
          <t>Part VI - Appendices</t>
        </is>
      </c>
      <c r="C3142" s="24" t="inlineStr">
        <is>
          <t>B.4 Workshop on Free Energy, Kinetics and MSM in Drug Design, 2018 - 43 videos</t>
        </is>
      </c>
      <c r="D3142" s="10" t="inlineStr">
        <is>
          <t>Jana Shen (constant-pH</t>
        </is>
      </c>
      <c r="E3142" s="10" t="inlineStr">
        <is>
          <t>Justin Porter</t>
        </is>
      </c>
      <c r="F3142" s="11" t="inlineStr">
        <is>
          <t>31:42</t>
        </is>
      </c>
      <c r="G3142" s="11" t="n">
        <v>0.53</v>
      </c>
      <c r="H3142" s="12" t="inlineStr">
        <is>
          <t>★</t>
        </is>
      </c>
      <c r="I3142" s="11" t="inlineStr">
        <is>
          <t>Not started</t>
        </is>
      </c>
      <c r="J3142" s="13" t="n"/>
      <c r="K3142" s="10" t="inlineStr"/>
      <c r="L3142" s="14" t="inlineStr">
        <is>
          <t>▶ watch</t>
        </is>
      </c>
      <c r="M3142" s="10" t="inlineStr"/>
      <c r="N3142" s="11" t="inlineStr"/>
      <c r="O3142" s="11" t="inlineStr">
        <is>
          <t>course lecture - no single paper</t>
        </is>
      </c>
      <c r="P3142" s="10" t="inlineStr"/>
    </row>
    <row r="3143">
      <c r="A3143" s="23" t="n">
        <v>3142</v>
      </c>
      <c r="B3143" s="23" t="inlineStr">
        <is>
          <t>Part VI - Appendices</t>
        </is>
      </c>
      <c r="C3143" s="24" t="inlineStr">
        <is>
          <t>B.4 Workshop on Free Energy, Kinetics and MSM in Drug Design, 2018 - 43 videos</t>
        </is>
      </c>
      <c r="D3143" s="10" t="inlineStr">
        <is>
          <t>Jana Shen (constant-pH</t>
        </is>
      </c>
      <c r="E3143" s="10" t="inlineStr">
        <is>
          <t>Justin Porter</t>
        </is>
      </c>
      <c r="F3143" s="11" t="inlineStr">
        <is>
          <t>31:42</t>
        </is>
      </c>
      <c r="G3143" s="11" t="n">
        <v>0.53</v>
      </c>
      <c r="H3143" s="12" t="inlineStr">
        <is>
          <t>★</t>
        </is>
      </c>
      <c r="I3143" s="11" t="inlineStr">
        <is>
          <t>Not started</t>
        </is>
      </c>
      <c r="J3143" s="13" t="n"/>
      <c r="K3143" s="10" t="inlineStr"/>
      <c r="L3143" s="14" t="inlineStr">
        <is>
          <t>▶ watch</t>
        </is>
      </c>
      <c r="M3143" s="10" t="inlineStr"/>
      <c r="N3143" s="11" t="inlineStr"/>
      <c r="O3143" s="11" t="inlineStr">
        <is>
          <t>course lecture - no single paper</t>
        </is>
      </c>
      <c r="P3143" s="10" t="inlineStr"/>
    </row>
    <row r="3144">
      <c r="A3144" s="23" t="n">
        <v>3143</v>
      </c>
      <c r="B3144" s="23" t="inlineStr">
        <is>
          <t>Part VI - Appendices</t>
        </is>
      </c>
      <c r="C3144" s="24" t="inlineStr">
        <is>
          <t>B.4 Workshop on Free Energy, Kinetics and MSM in Drug Design, 2018 - 43 videos</t>
        </is>
      </c>
      <c r="D3144" s="10" t="inlineStr">
        <is>
          <t>Jordi Juarez-Jimenez</t>
        </is>
      </c>
      <c r="E3144" s="10" t="inlineStr">
        <is>
          <t>Vince Voelz</t>
        </is>
      </c>
      <c r="F3144" s="11" t="inlineStr">
        <is>
          <t>36:07</t>
        </is>
      </c>
      <c r="G3144" s="11" t="n">
        <v>0.6</v>
      </c>
      <c r="H3144" s="12" t="inlineStr"/>
      <c r="I3144" s="11" t="inlineStr">
        <is>
          <t>Not started</t>
        </is>
      </c>
      <c r="J3144" s="13" t="n"/>
      <c r="K3144" s="10" t="inlineStr"/>
      <c r="L3144" s="14" t="inlineStr">
        <is>
          <t>▶ watch</t>
        </is>
      </c>
      <c r="M3144" s="10" t="inlineStr"/>
      <c r="N3144" s="11" t="inlineStr"/>
      <c r="O3144" s="11" t="inlineStr">
        <is>
          <t>course lecture - no single paper</t>
        </is>
      </c>
      <c r="P3144" s="10" t="inlineStr"/>
    </row>
    <row r="3145">
      <c r="A3145" s="23" t="n">
        <v>3144</v>
      </c>
      <c r="B3145" s="23" t="inlineStr">
        <is>
          <t>Part VI - Appendices</t>
        </is>
      </c>
      <c r="C3145" s="24" t="inlineStr">
        <is>
          <t>B.4 Workshop on Free Energy, Kinetics and MSM in Drug Design, 2018 - 43 videos</t>
        </is>
      </c>
      <c r="D3145" s="10" t="inlineStr">
        <is>
          <t>Jordi Juarez-Jimenez</t>
        </is>
      </c>
      <c r="E3145" s="10" t="inlineStr">
        <is>
          <t>Vince Voelz</t>
        </is>
      </c>
      <c r="F3145" s="11" t="inlineStr">
        <is>
          <t>36:07</t>
        </is>
      </c>
      <c r="G3145" s="11" t="n">
        <v>0.6</v>
      </c>
      <c r="H3145" s="12" t="inlineStr"/>
      <c r="I3145" s="11" t="inlineStr">
        <is>
          <t>Not started</t>
        </is>
      </c>
      <c r="J3145" s="13" t="n"/>
      <c r="K3145" s="10" t="inlineStr"/>
      <c r="L3145" s="14" t="inlineStr">
        <is>
          <t>▶ watch</t>
        </is>
      </c>
      <c r="M3145" s="10" t="inlineStr"/>
      <c r="N3145" s="11" t="inlineStr"/>
      <c r="O3145" s="11" t="inlineStr">
        <is>
          <t>course lecture - no single paper</t>
        </is>
      </c>
      <c r="P3145" s="10" t="inlineStr"/>
    </row>
    <row r="3146">
      <c r="A3146" s="23" t="n">
        <v>3145</v>
      </c>
      <c r="B3146" s="23" t="inlineStr">
        <is>
          <t>Part VI - Appendices</t>
        </is>
      </c>
      <c r="C3146" s="24" t="inlineStr">
        <is>
          <t>B.4 Workshop on Free Energy, Kinetics and MSM in Drug Design, 2018 - 43 videos</t>
        </is>
      </c>
      <c r="D3146" s="10" t="inlineStr">
        <is>
          <t>Chia-En Chang</t>
        </is>
      </c>
      <c r="E3146" s="10" t="inlineStr">
        <is>
          <t>Bryn Taylor</t>
        </is>
      </c>
      <c r="F3146" s="11" t="inlineStr">
        <is>
          <t>31:45</t>
        </is>
      </c>
      <c r="G3146" s="11" t="n">
        <v>0.53</v>
      </c>
      <c r="H3146" s="12" t="inlineStr"/>
      <c r="I3146" s="11" t="inlineStr">
        <is>
          <t>Not started</t>
        </is>
      </c>
      <c r="J3146" s="13" t="n"/>
      <c r="K3146" s="10" t="inlineStr"/>
      <c r="L3146" s="14" t="inlineStr">
        <is>
          <t>▶ watch</t>
        </is>
      </c>
      <c r="M3146" s="10" t="inlineStr"/>
      <c r="N3146" s="11" t="inlineStr"/>
      <c r="O3146" s="11" t="inlineStr">
        <is>
          <t>course lecture - no single paper</t>
        </is>
      </c>
      <c r="P3146" s="10" t="inlineStr"/>
    </row>
    <row r="3147">
      <c r="A3147" s="23" t="n">
        <v>3146</v>
      </c>
      <c r="B3147" s="23" t="inlineStr">
        <is>
          <t>Part VI - Appendices</t>
        </is>
      </c>
      <c r="C3147" s="24" t="inlineStr">
        <is>
          <t>B.4 Workshop on Free Energy, Kinetics and MSM in Drug Design, 2018 - 43 videos</t>
        </is>
      </c>
      <c r="D3147" s="10" t="inlineStr">
        <is>
          <t>Chia-En Chang</t>
        </is>
      </c>
      <c r="E3147" s="10" t="inlineStr">
        <is>
          <t>Bryn Taylor</t>
        </is>
      </c>
      <c r="F3147" s="11" t="inlineStr">
        <is>
          <t>31:45</t>
        </is>
      </c>
      <c r="G3147" s="11" t="n">
        <v>0.53</v>
      </c>
      <c r="H3147" s="12" t="inlineStr"/>
      <c r="I3147" s="11" t="inlineStr">
        <is>
          <t>Not started</t>
        </is>
      </c>
      <c r="J3147" s="13" t="n"/>
      <c r="K3147" s="10" t="inlineStr"/>
      <c r="L3147" s="14" t="inlineStr">
        <is>
          <t>▶ watch</t>
        </is>
      </c>
      <c r="M3147" s="10" t="inlineStr"/>
      <c r="N3147" s="11" t="inlineStr"/>
      <c r="O3147" s="11" t="inlineStr">
        <is>
          <t>course lecture - no single paper</t>
        </is>
      </c>
      <c r="P3147" s="10" t="inlineStr"/>
    </row>
    <row r="3148">
      <c r="A3148" s="23" t="n">
        <v>3147</v>
      </c>
      <c r="B3148" s="23" t="inlineStr">
        <is>
          <t>Part VI - Appendices</t>
        </is>
      </c>
      <c r="C3148" s="24" t="inlineStr">
        <is>
          <t>B.4 Workshop on Free Energy, Kinetics and MSM in Drug Design, 2018 - 43 videos</t>
        </is>
      </c>
      <c r="D3148" s="10" t="inlineStr">
        <is>
          <t>Rebecca Wade</t>
        </is>
      </c>
      <c r="E3148" s="10" t="inlineStr">
        <is>
          <t>Zhifeng Jing</t>
        </is>
      </c>
      <c r="F3148" s="11" t="inlineStr">
        <is>
          <t>32:26</t>
        </is>
      </c>
      <c r="G3148" s="11" t="n">
        <v>0.54</v>
      </c>
      <c r="H3148" s="12" t="inlineStr">
        <is>
          <t>★</t>
        </is>
      </c>
      <c r="I3148" s="11" t="inlineStr">
        <is>
          <t>Not started</t>
        </is>
      </c>
      <c r="J3148" s="13" t="n"/>
      <c r="K3148" s="10" t="inlineStr"/>
      <c r="L3148" s="14" t="inlineStr">
        <is>
          <t>▶ watch</t>
        </is>
      </c>
      <c r="M3148" s="10" t="inlineStr"/>
      <c r="N3148" s="11" t="inlineStr"/>
      <c r="O3148" s="11" t="inlineStr">
        <is>
          <t>course lecture - no single paper</t>
        </is>
      </c>
      <c r="P3148" s="10" t="inlineStr"/>
    </row>
    <row r="3149">
      <c r="A3149" s="23" t="n">
        <v>3148</v>
      </c>
      <c r="B3149" s="23" t="inlineStr">
        <is>
          <t>Part VI - Appendices</t>
        </is>
      </c>
      <c r="C3149" s="24" t="inlineStr">
        <is>
          <t>B.4 Workshop on Free Energy, Kinetics and MSM in Drug Design, 2018 - 43 videos</t>
        </is>
      </c>
      <c r="D3149" s="10" t="inlineStr">
        <is>
          <t>Mike Schnieders (welcome</t>
        </is>
      </c>
      <c r="E3149" s="10" t="inlineStr">
        <is>
          <t>Monday session stream</t>
        </is>
      </c>
      <c r="F3149" s="11" t="inlineStr">
        <is>
          <t>10:48</t>
        </is>
      </c>
      <c r="G3149" s="11" t="n">
        <v>0.18</v>
      </c>
      <c r="H3149" s="12" t="inlineStr"/>
      <c r="I3149" s="11" t="inlineStr">
        <is>
          <t>Not started</t>
        </is>
      </c>
      <c r="J3149" s="13" t="n"/>
      <c r="K3149" s="10" t="inlineStr"/>
      <c r="L3149" s="14" t="inlineStr">
        <is>
          <t>▶ watch</t>
        </is>
      </c>
      <c r="M3149" s="10" t="inlineStr"/>
      <c r="N3149" s="11" t="inlineStr"/>
      <c r="O3149" s="11" t="inlineStr">
        <is>
          <t>course lecture - no single paper</t>
        </is>
      </c>
      <c r="P3149" s="10" t="inlineStr"/>
    </row>
    <row r="3150">
      <c r="A3150" s="23" t="n">
        <v>3149</v>
      </c>
      <c r="B3150" s="23" t="inlineStr">
        <is>
          <t>Part VI - Appendices</t>
        </is>
      </c>
      <c r="C3150" s="24" t="inlineStr">
        <is>
          <t>B.4 Workshop on Free Energy, Kinetics and MSM in Drug Design, 2018 - 43 videos</t>
        </is>
      </c>
      <c r="D3150" s="10" t="inlineStr">
        <is>
          <t>Mike Schnieders (welcome</t>
        </is>
      </c>
      <c r="E3150" s="10" t="inlineStr">
        <is>
          <t>Monday session stream</t>
        </is>
      </c>
      <c r="F3150" s="11" t="inlineStr">
        <is>
          <t>10:48</t>
        </is>
      </c>
      <c r="G3150" s="11" t="n">
        <v>0.18</v>
      </c>
      <c r="H3150" s="12" t="inlineStr"/>
      <c r="I3150" s="11" t="inlineStr">
        <is>
          <t>Not started</t>
        </is>
      </c>
      <c r="J3150" s="13" t="n"/>
      <c r="K3150" s="10" t="inlineStr"/>
      <c r="L3150" s="14" t="inlineStr">
        <is>
          <t>▶ watch</t>
        </is>
      </c>
      <c r="M3150" s="10" t="inlineStr"/>
      <c r="N3150" s="11" t="inlineStr"/>
      <c r="O3150" s="11" t="inlineStr">
        <is>
          <t>course lecture - no single paper</t>
        </is>
      </c>
      <c r="P3150" s="10" t="inlineStr"/>
    </row>
    <row r="3151">
      <c r="A3151" s="23" t="n">
        <v>3150</v>
      </c>
      <c r="B3151" s="23" t="inlineStr">
        <is>
          <t>Part VI - Appendices</t>
        </is>
      </c>
      <c r="C3151" s="24" t="inlineStr">
        <is>
          <t>B.4 Workshop on Free Energy, Kinetics and MSM in Drug Design, 2018 - 43 videos</t>
        </is>
      </c>
      <c r="D3151" s="10" t="inlineStr">
        <is>
          <t>Jean-Philip Piquemal</t>
        </is>
      </c>
      <c r="E3151" s="10" t="inlineStr">
        <is>
          <t>Gianni de Fabritiis</t>
        </is>
      </c>
      <c r="F3151" s="11" t="inlineStr">
        <is>
          <t>30:10</t>
        </is>
      </c>
      <c r="G3151" s="11" t="n">
        <v>0.5</v>
      </c>
      <c r="H3151" s="12" t="inlineStr"/>
      <c r="I3151" s="11" t="inlineStr">
        <is>
          <t>Not started</t>
        </is>
      </c>
      <c r="J3151" s="13" t="n"/>
      <c r="K3151" s="10" t="inlineStr"/>
      <c r="L3151" s="14" t="inlineStr">
        <is>
          <t>▶ watch</t>
        </is>
      </c>
      <c r="M3151" s="10" t="inlineStr"/>
      <c r="N3151" s="11" t="inlineStr"/>
      <c r="O3151" s="11" t="inlineStr">
        <is>
          <t>course lecture - no single paper</t>
        </is>
      </c>
      <c r="P3151" s="10" t="inlineStr"/>
    </row>
    <row r="3152">
      <c r="A3152" s="23" t="n">
        <v>3151</v>
      </c>
      <c r="B3152" s="23" t="inlineStr">
        <is>
          <t>Part VI - Appendices</t>
        </is>
      </c>
      <c r="C3152" s="24" t="inlineStr">
        <is>
          <t>B.4 Workshop on Free Energy, Kinetics and MSM in Drug Design, 2018 - 43 videos</t>
        </is>
      </c>
      <c r="D3152" s="10" t="inlineStr">
        <is>
          <t>Jean-Philip Piquemal</t>
        </is>
      </c>
      <c r="E3152" s="10" t="inlineStr">
        <is>
          <t>Gianni de Fabritiis</t>
        </is>
      </c>
      <c r="F3152" s="11" t="inlineStr">
        <is>
          <t>30:10</t>
        </is>
      </c>
      <c r="G3152" s="11" t="n">
        <v>0.5</v>
      </c>
      <c r="H3152" s="12" t="inlineStr"/>
      <c r="I3152" s="11" t="inlineStr">
        <is>
          <t>Not started</t>
        </is>
      </c>
      <c r="J3152" s="13" t="n"/>
      <c r="K3152" s="10" t="inlineStr"/>
      <c r="L3152" s="14" t="inlineStr">
        <is>
          <t>▶ watch</t>
        </is>
      </c>
      <c r="M3152" s="10" t="inlineStr"/>
      <c r="N3152" s="11" t="inlineStr"/>
      <c r="O3152" s="11" t="inlineStr">
        <is>
          <t>course lecture - no single paper</t>
        </is>
      </c>
      <c r="P3152" s="10" t="inlineStr"/>
    </row>
    <row r="3153">
      <c r="A3153" s="23" t="n">
        <v>3152</v>
      </c>
      <c r="B3153" s="23" t="inlineStr">
        <is>
          <t>Part VI - Appendices</t>
        </is>
      </c>
      <c r="C3153" s="24" t="inlineStr">
        <is>
          <t>B.4 Workshop on Free Energy, Kinetics and MSM in Drug Design, 2018 - 43 videos</t>
        </is>
      </c>
      <c r="D3153" s="10" t="inlineStr">
        <is>
          <t>Thomas Simonson</t>
        </is>
      </c>
      <c r="E3153" s="10" t="inlineStr">
        <is>
          <t>JC Gumbart</t>
        </is>
      </c>
      <c r="F3153" s="11" t="inlineStr">
        <is>
          <t>22:09</t>
        </is>
      </c>
      <c r="G3153" s="11" t="n">
        <v>0.37</v>
      </c>
      <c r="H3153" s="12" t="inlineStr"/>
      <c r="I3153" s="11" t="inlineStr">
        <is>
          <t>Not started</t>
        </is>
      </c>
      <c r="J3153" s="13" t="n"/>
      <c r="K3153" s="10" t="inlineStr"/>
      <c r="L3153" s="14" t="inlineStr">
        <is>
          <t>▶ watch</t>
        </is>
      </c>
      <c r="M3153" s="10" t="inlineStr"/>
      <c r="N3153" s="11" t="inlineStr"/>
      <c r="O3153" s="11" t="inlineStr">
        <is>
          <t>course lecture - no single paper</t>
        </is>
      </c>
      <c r="P3153" s="10" t="inlineStr"/>
    </row>
    <row r="3154">
      <c r="A3154" s="23" t="n">
        <v>3153</v>
      </c>
      <c r="B3154" s="23" t="inlineStr">
        <is>
          <t>Part VI - Appendices</t>
        </is>
      </c>
      <c r="C3154" s="24" t="inlineStr">
        <is>
          <t>B.4 Workshop on Free Energy, Kinetics and MSM in Drug Design, 2018 - 43 videos</t>
        </is>
      </c>
      <c r="D3154" s="10" t="inlineStr">
        <is>
          <t>Purushottam Dixit</t>
        </is>
      </c>
      <c r="E3154" s="10" t="inlineStr"/>
      <c r="F3154" s="11" t="inlineStr">
        <is>
          <t>16:48</t>
        </is>
      </c>
      <c r="G3154" s="11" t="n">
        <v>0.28</v>
      </c>
      <c r="H3154" s="12" t="inlineStr"/>
      <c r="I3154" s="11" t="inlineStr">
        <is>
          <t>Not started</t>
        </is>
      </c>
      <c r="J3154" s="13" t="n"/>
      <c r="K3154" s="10" t="inlineStr"/>
      <c r="L3154" s="14" t="inlineStr">
        <is>
          <t>▶ watch</t>
        </is>
      </c>
      <c r="M3154" s="10" t="inlineStr"/>
      <c r="N3154" s="11" t="inlineStr"/>
      <c r="O3154" s="11" t="inlineStr">
        <is>
          <t>course lecture - no single paper</t>
        </is>
      </c>
      <c r="P3154" s="10" t="inlineStr"/>
    </row>
    <row r="3155">
      <c r="A3155" s="23" t="n">
        <v>3154</v>
      </c>
      <c r="B3155" s="23" t="inlineStr">
        <is>
          <t>Part VI - Appendices</t>
        </is>
      </c>
      <c r="C3155" s="24" t="inlineStr">
        <is>
          <t>B.5 AMMI Geometric Deep Learning, 2nd edition (2022</t>
        </is>
      </c>
      <c r="D3155" s="10" t="inlineStr">
        <is>
          <t>Introduction</t>
        </is>
      </c>
      <c r="E3155" s="10" t="inlineStr">
        <is>
          <t>Bronstein</t>
        </is>
      </c>
      <c r="F3155" s="11" t="inlineStr">
        <is>
          <t>1:14:59</t>
        </is>
      </c>
      <c r="G3155" s="11" t="n">
        <v>1.25</v>
      </c>
      <c r="H3155" s="12" t="inlineStr"/>
      <c r="I3155" s="11" t="inlineStr">
        <is>
          <t>Not started</t>
        </is>
      </c>
      <c r="J3155" s="13" t="n"/>
      <c r="K3155" s="10" t="inlineStr"/>
      <c r="L3155" s="14" t="inlineStr">
        <is>
          <t>▶ watch</t>
        </is>
      </c>
      <c r="M3155" s="10" t="inlineStr"/>
      <c r="N3155" s="11" t="inlineStr"/>
      <c r="O3155" s="11" t="inlineStr">
        <is>
          <t>course lecture - no single paper</t>
        </is>
      </c>
      <c r="P3155" s="10" t="inlineStr"/>
    </row>
    <row r="3156">
      <c r="A3156" s="23" t="n">
        <v>3155</v>
      </c>
      <c r="B3156" s="23" t="inlineStr">
        <is>
          <t>Part VI - Appendices</t>
        </is>
      </c>
      <c r="C3156" s="24" t="inlineStr">
        <is>
          <t>B.5 AMMI Geometric Deep Learning, 2nd edition (2022</t>
        </is>
      </c>
      <c r="D3156" s="10" t="inlineStr">
        <is>
          <t>Learning in High Dimensions</t>
        </is>
      </c>
      <c r="E3156" s="10" t="inlineStr">
        <is>
          <t>Bruna</t>
        </is>
      </c>
      <c r="F3156" s="11" t="inlineStr">
        <is>
          <t>1:19:40</t>
        </is>
      </c>
      <c r="G3156" s="11" t="n">
        <v>1.33</v>
      </c>
      <c r="H3156" s="12" t="inlineStr"/>
      <c r="I3156" s="11" t="inlineStr">
        <is>
          <t>Not started</t>
        </is>
      </c>
      <c r="J3156" s="13" t="n"/>
      <c r="K3156" s="10" t="inlineStr"/>
      <c r="L3156" s="14" t="inlineStr">
        <is>
          <t>▶ watch</t>
        </is>
      </c>
      <c r="M3156" s="10" t="inlineStr"/>
      <c r="N3156" s="11" t="inlineStr"/>
      <c r="O3156" s="11" t="inlineStr">
        <is>
          <t>course lecture - no single paper</t>
        </is>
      </c>
      <c r="P3156" s="10" t="inlineStr"/>
    </row>
    <row r="3157">
      <c r="A3157" s="23" t="n">
        <v>3156</v>
      </c>
      <c r="B3157" s="23" t="inlineStr">
        <is>
          <t>Part VI - Appendices</t>
        </is>
      </c>
      <c r="C3157" s="24" t="inlineStr">
        <is>
          <t>B.5 AMMI Geometric Deep Learning, 2nd edition (2022</t>
        </is>
      </c>
      <c r="D3157" s="10" t="inlineStr">
        <is>
          <t>Geometric Priors I</t>
        </is>
      </c>
      <c r="E3157" s="10" t="inlineStr">
        <is>
          <t>Cohen</t>
        </is>
      </c>
      <c r="F3157" s="11" t="inlineStr">
        <is>
          <t>56:48</t>
        </is>
      </c>
      <c r="G3157" s="11" t="n">
        <v>0.95</v>
      </c>
      <c r="H3157" s="12" t="inlineStr">
        <is>
          <t>★</t>
        </is>
      </c>
      <c r="I3157" s="11" t="inlineStr">
        <is>
          <t>Not started</t>
        </is>
      </c>
      <c r="J3157" s="13" t="n"/>
      <c r="K3157" s="10" t="inlineStr"/>
      <c r="L3157" s="14" t="inlineStr">
        <is>
          <t>▶ watch</t>
        </is>
      </c>
      <c r="M3157" s="10" t="inlineStr"/>
      <c r="N3157" s="11" t="inlineStr"/>
      <c r="O3157" s="11" t="inlineStr">
        <is>
          <t>course lecture - no single paper</t>
        </is>
      </c>
      <c r="P3157" s="10" t="inlineStr"/>
    </row>
    <row r="3158">
      <c r="A3158" s="23" t="n">
        <v>3157</v>
      </c>
      <c r="B3158" s="23" t="inlineStr">
        <is>
          <t>Part VI - Appendices</t>
        </is>
      </c>
      <c r="C3158" s="24" t="inlineStr">
        <is>
          <t>B.5 AMMI Geometric Deep Learning, 2nd edition (2022</t>
        </is>
      </c>
      <c r="D3158" s="10" t="inlineStr">
        <is>
          <t>Geometric Priors II</t>
        </is>
      </c>
      <c r="E3158" s="10" t="inlineStr">
        <is>
          <t>Bruna</t>
        </is>
      </c>
      <c r="F3158" s="11" t="inlineStr">
        <is>
          <t>53:37</t>
        </is>
      </c>
      <c r="G3158" s="11" t="n">
        <v>0.89</v>
      </c>
      <c r="H3158" s="12" t="inlineStr"/>
      <c r="I3158" s="11" t="inlineStr">
        <is>
          <t>Not started</t>
        </is>
      </c>
      <c r="J3158" s="13" t="n"/>
      <c r="K3158" s="10" t="inlineStr"/>
      <c r="L3158" s="14" t="inlineStr">
        <is>
          <t>▶ watch</t>
        </is>
      </c>
      <c r="M3158" s="10" t="inlineStr"/>
      <c r="N3158" s="11" t="inlineStr"/>
      <c r="O3158" s="11" t="inlineStr">
        <is>
          <t>course lecture - no single paper</t>
        </is>
      </c>
      <c r="P3158" s="10" t="inlineStr"/>
    </row>
    <row r="3159">
      <c r="A3159" s="23" t="n">
        <v>3158</v>
      </c>
      <c r="B3159" s="23" t="inlineStr">
        <is>
          <t>Part VI - Appendices</t>
        </is>
      </c>
      <c r="C3159" s="24" t="inlineStr">
        <is>
          <t>B.5 AMMI Geometric Deep Learning, 2nd edition (2022</t>
        </is>
      </c>
      <c r="D3159" s="10" t="inlineStr">
        <is>
          <t>Graphs and Sets</t>
        </is>
      </c>
      <c r="E3159" s="10" t="inlineStr">
        <is>
          <t>Veličković</t>
        </is>
      </c>
      <c r="F3159" s="11" t="inlineStr">
        <is>
          <t>1:01:37</t>
        </is>
      </c>
      <c r="G3159" s="11" t="n">
        <v>1.03</v>
      </c>
      <c r="H3159" s="12" t="inlineStr"/>
      <c r="I3159" s="11" t="inlineStr">
        <is>
          <t>Not started</t>
        </is>
      </c>
      <c r="J3159" s="13" t="n"/>
      <c r="K3159" s="10" t="inlineStr"/>
      <c r="L3159" s="14" t="inlineStr">
        <is>
          <t>▶ watch</t>
        </is>
      </c>
      <c r="M3159" s="10" t="inlineStr"/>
      <c r="N3159" s="11" t="inlineStr"/>
      <c r="O3159" s="11" t="inlineStr">
        <is>
          <t>course lecture - no single paper</t>
        </is>
      </c>
      <c r="P3159" s="10" t="inlineStr"/>
    </row>
    <row r="3160">
      <c r="A3160" s="23" t="n">
        <v>3159</v>
      </c>
      <c r="B3160" s="23" t="inlineStr">
        <is>
          <t>Part VI - Appendices</t>
        </is>
      </c>
      <c r="C3160" s="24" t="inlineStr">
        <is>
          <t>B.5 AMMI Geometric Deep Learning, 2nd edition (2022</t>
        </is>
      </c>
      <c r="D3160" s="10" t="inlineStr">
        <is>
          <t>Graphs and Sets II</t>
        </is>
      </c>
      <c r="E3160" s="10" t="inlineStr">
        <is>
          <t>Veličković</t>
        </is>
      </c>
      <c r="F3160" s="11" t="inlineStr">
        <is>
          <t>59:12</t>
        </is>
      </c>
      <c r="G3160" s="11" t="n">
        <v>0.99</v>
      </c>
      <c r="H3160" s="12" t="inlineStr"/>
      <c r="I3160" s="11" t="inlineStr">
        <is>
          <t>Not started</t>
        </is>
      </c>
      <c r="J3160" s="13" t="n"/>
      <c r="K3160" s="10" t="inlineStr"/>
      <c r="L3160" s="14" t="inlineStr">
        <is>
          <t>▶ watch</t>
        </is>
      </c>
      <c r="M3160" s="10" t="inlineStr"/>
      <c r="N3160" s="11" t="inlineStr"/>
      <c r="O3160" s="11" t="inlineStr">
        <is>
          <t>course lecture - no single paper</t>
        </is>
      </c>
      <c r="P3160" s="10" t="inlineStr"/>
    </row>
    <row r="3161">
      <c r="A3161" s="23" t="n">
        <v>3160</v>
      </c>
      <c r="B3161" s="23" t="inlineStr">
        <is>
          <t>Part VI - Appendices</t>
        </is>
      </c>
      <c r="C3161" s="24" t="inlineStr">
        <is>
          <t>B.5 AMMI Geometric Deep Learning, 2nd edition (2022</t>
        </is>
      </c>
      <c r="D3161" s="10" t="inlineStr">
        <is>
          <t>Grids</t>
        </is>
      </c>
      <c r="E3161" s="10" t="inlineStr">
        <is>
          <t>Bruna</t>
        </is>
      </c>
      <c r="F3161" s="11" t="inlineStr">
        <is>
          <t>1:05:21</t>
        </is>
      </c>
      <c r="G3161" s="11" t="n">
        <v>1.09</v>
      </c>
      <c r="H3161" s="12" t="inlineStr"/>
      <c r="I3161" s="11" t="inlineStr">
        <is>
          <t>Not started</t>
        </is>
      </c>
      <c r="J3161" s="13" t="n"/>
      <c r="K3161" s="10" t="inlineStr"/>
      <c r="L3161" s="14" t="inlineStr">
        <is>
          <t>▶ watch</t>
        </is>
      </c>
      <c r="M3161" s="10" t="inlineStr"/>
      <c r="N3161" s="11" t="inlineStr"/>
      <c r="O3161" s="11" t="inlineStr">
        <is>
          <t>course lecture - no single paper</t>
        </is>
      </c>
      <c r="P3161" s="10" t="inlineStr"/>
    </row>
    <row r="3162">
      <c r="A3162" s="23" t="n">
        <v>3161</v>
      </c>
      <c r="B3162" s="23" t="inlineStr">
        <is>
          <t>Part VI - Appendices</t>
        </is>
      </c>
      <c r="C3162" s="24" t="inlineStr">
        <is>
          <t>B.5 AMMI Geometric Deep Learning, 2nd edition (2022</t>
        </is>
      </c>
      <c r="D3162" s="10" t="inlineStr">
        <is>
          <t>Groups and Homogeneous Spaces</t>
        </is>
      </c>
      <c r="E3162" s="10" t="inlineStr">
        <is>
          <t>Cohen</t>
        </is>
      </c>
      <c r="F3162" s="11" t="inlineStr">
        <is>
          <t>1:11:51</t>
        </is>
      </c>
      <c r="G3162" s="11" t="n">
        <v>1.2</v>
      </c>
      <c r="H3162" s="12" t="inlineStr">
        <is>
          <t>★</t>
        </is>
      </c>
      <c r="I3162" s="11" t="inlineStr">
        <is>
          <t>Not started</t>
        </is>
      </c>
      <c r="J3162" s="13" t="n"/>
      <c r="K3162" s="10" t="inlineStr"/>
      <c r="L3162" s="14" t="inlineStr">
        <is>
          <t>▶ watch</t>
        </is>
      </c>
      <c r="M3162" s="10" t="inlineStr"/>
      <c r="N3162" s="11" t="inlineStr"/>
      <c r="O3162" s="11" t="inlineStr">
        <is>
          <t>course lecture - no single paper</t>
        </is>
      </c>
      <c r="P3162" s="10" t="inlineStr"/>
    </row>
    <row r="3163">
      <c r="A3163" s="23" t="n">
        <v>3162</v>
      </c>
      <c r="B3163" s="23" t="inlineStr">
        <is>
          <t>Part VI - Appendices</t>
        </is>
      </c>
      <c r="C3163" s="24" t="inlineStr">
        <is>
          <t>B.5 AMMI Geometric Deep Learning, 2nd edition (2022</t>
        </is>
      </c>
      <c r="D3163" s="10" t="inlineStr">
        <is>
          <t>Manifolds</t>
        </is>
      </c>
      <c r="E3163" s="10" t="inlineStr">
        <is>
          <t>Bronstein</t>
        </is>
      </c>
      <c r="F3163" s="11" t="inlineStr">
        <is>
          <t>1:14:01</t>
        </is>
      </c>
      <c r="G3163" s="11" t="n">
        <v>1.23</v>
      </c>
      <c r="H3163" s="12" t="inlineStr"/>
      <c r="I3163" s="11" t="inlineStr">
        <is>
          <t>Not started</t>
        </is>
      </c>
      <c r="J3163" s="13" t="n"/>
      <c r="K3163" s="10" t="inlineStr"/>
      <c r="L3163" s="14" t="inlineStr">
        <is>
          <t>▶ watch</t>
        </is>
      </c>
      <c r="M3163" s="10" t="inlineStr"/>
      <c r="N3163" s="11" t="inlineStr"/>
      <c r="O3163" s="11" t="inlineStr">
        <is>
          <t>course lecture - no single paper</t>
        </is>
      </c>
      <c r="P3163" s="10" t="inlineStr"/>
    </row>
    <row r="3164">
      <c r="A3164" s="23" t="n">
        <v>3163</v>
      </c>
      <c r="B3164" s="23" t="inlineStr">
        <is>
          <t>Part VI - Appendices</t>
        </is>
      </c>
      <c r="C3164" s="24" t="inlineStr">
        <is>
          <t>B.5 AMMI Geometric Deep Learning, 2nd edition (2022</t>
        </is>
      </c>
      <c r="D3164" s="10" t="inlineStr">
        <is>
          <t>Gauges</t>
        </is>
      </c>
      <c r="E3164" s="10" t="inlineStr">
        <is>
          <t>Cohen</t>
        </is>
      </c>
      <c r="F3164" s="11" t="inlineStr">
        <is>
          <t>46:54</t>
        </is>
      </c>
      <c r="G3164" s="11" t="n">
        <v>0.78</v>
      </c>
      <c r="H3164" s="12" t="inlineStr"/>
      <c r="I3164" s="11" t="inlineStr">
        <is>
          <t>Not started</t>
        </is>
      </c>
      <c r="J3164" s="13" t="n"/>
      <c r="K3164" s="10" t="inlineStr"/>
      <c r="L3164" s="14" t="inlineStr">
        <is>
          <t>▶ watch</t>
        </is>
      </c>
      <c r="M3164" s="10" t="inlineStr"/>
      <c r="N3164" s="11" t="inlineStr"/>
      <c r="O3164" s="11" t="inlineStr">
        <is>
          <t>course lecture - no single paper</t>
        </is>
      </c>
      <c r="P3164" s="10" t="inlineStr"/>
    </row>
    <row r="3165">
      <c r="A3165" s="23" t="n">
        <v>3164</v>
      </c>
      <c r="B3165" s="23" t="inlineStr">
        <is>
          <t>Part VI - Appendices</t>
        </is>
      </c>
      <c r="C3165" s="24" t="inlineStr">
        <is>
          <t>B.5 AMMI Geometric Deep Learning, 2nd edition (2022</t>
        </is>
      </c>
      <c r="D3165" s="10" t="inlineStr">
        <is>
          <t>Beyond Groups</t>
        </is>
      </c>
      <c r="E3165" s="10" t="inlineStr">
        <is>
          <t>Veličković</t>
        </is>
      </c>
      <c r="F3165" s="11" t="inlineStr">
        <is>
          <t>1:15:33</t>
        </is>
      </c>
      <c r="G3165" s="11" t="n">
        <v>1.26</v>
      </c>
      <c r="H3165" s="12" t="inlineStr"/>
      <c r="I3165" s="11" t="inlineStr">
        <is>
          <t>Not started</t>
        </is>
      </c>
      <c r="J3165" s="13" t="n"/>
      <c r="K3165" s="10" t="inlineStr"/>
      <c r="L3165" s="14" t="inlineStr">
        <is>
          <t>▶ watch</t>
        </is>
      </c>
      <c r="M3165" s="10" t="inlineStr"/>
      <c r="N3165" s="11" t="inlineStr"/>
      <c r="O3165" s="11" t="inlineStr">
        <is>
          <t>course lecture - no single paper</t>
        </is>
      </c>
      <c r="P3165" s="10" t="inlineStr"/>
    </row>
    <row r="3166">
      <c r="A3166" s="23" t="n">
        <v>3165</v>
      </c>
      <c r="B3166" s="23" t="inlineStr">
        <is>
          <t>Part VI - Appendices</t>
        </is>
      </c>
      <c r="C3166" s="24" t="inlineStr">
        <is>
          <t>B.5 AMMI Geometric Deep Learning, 2nd edition (2022</t>
        </is>
      </c>
      <c r="D3166" s="10" t="inlineStr">
        <is>
          <t>Applications and Trends</t>
        </is>
      </c>
      <c r="E3166" s="10" t="inlineStr">
        <is>
          <t>Bronstein</t>
        </is>
      </c>
      <c r="F3166" s="11" t="inlineStr">
        <is>
          <t>1:11:00</t>
        </is>
      </c>
      <c r="G3166" s="11" t="n">
        <v>1.18</v>
      </c>
      <c r="H3166" s="12" t="inlineStr"/>
      <c r="I3166" s="11" t="inlineStr">
        <is>
          <t>Not started</t>
        </is>
      </c>
      <c r="J3166" s="13" t="n"/>
      <c r="K3166" s="10" t="inlineStr"/>
      <c r="L3166" s="14" t="inlineStr">
        <is>
          <t>▶ watch</t>
        </is>
      </c>
      <c r="M3166" s="10" t="inlineStr"/>
      <c r="N3166" s="11" t="inlineStr"/>
      <c r="O3166" s="11" t="inlineStr">
        <is>
          <t>course lecture - no single paper</t>
        </is>
      </c>
      <c r="P3166" s="10" t="inlineStr"/>
    </row>
    <row r="3167">
      <c r="A3167" s="23" t="n">
        <v>3166</v>
      </c>
      <c r="B3167" s="23" t="inlineStr">
        <is>
          <t>Part VI - Appendices</t>
        </is>
      </c>
      <c r="C3167" s="24" t="inlineStr">
        <is>
          <t>B.5 AMMI Geometric Deep Learning, 2nd edition (2022</t>
        </is>
      </c>
      <c r="D3167" s="10" t="inlineStr">
        <is>
          <t>Physics-based GNNs</t>
        </is>
      </c>
      <c r="E3167" s="10" t="inlineStr">
        <is>
          <t>Di Giovanni</t>
        </is>
      </c>
      <c r="F3167" s="11" t="inlineStr">
        <is>
          <t>1:12:39</t>
        </is>
      </c>
      <c r="G3167" s="11" t="n">
        <v>1.21</v>
      </c>
      <c r="H3167" s="12" t="inlineStr"/>
      <c r="I3167" s="11" t="inlineStr">
        <is>
          <t>Not started</t>
        </is>
      </c>
      <c r="J3167" s="13" t="n"/>
      <c r="K3167" s="10" t="inlineStr"/>
      <c r="L3167" s="14" t="inlineStr">
        <is>
          <t>▶ watch</t>
        </is>
      </c>
      <c r="M3167" s="10" t="inlineStr"/>
      <c r="N3167" s="11" t="inlineStr"/>
      <c r="O3167" s="11" t="inlineStr">
        <is>
          <t>course lecture - no single paper</t>
        </is>
      </c>
      <c r="P3167" s="10" t="inlineStr"/>
    </row>
    <row r="3168">
      <c r="A3168" s="23" t="n">
        <v>3167</v>
      </c>
      <c r="B3168" s="23" t="inlineStr">
        <is>
          <t>Part VI - Appendices</t>
        </is>
      </c>
      <c r="C3168" s="24" t="inlineStr">
        <is>
          <t>B.5 AMMI Geometric Deep Learning, 2nd edition (2022</t>
        </is>
      </c>
      <c r="D3168" s="10" t="inlineStr">
        <is>
          <t>Subgraph GNNs</t>
        </is>
      </c>
      <c r="E3168" s="10" t="inlineStr">
        <is>
          <t>Frasca</t>
        </is>
      </c>
      <c r="F3168" s="11" t="inlineStr">
        <is>
          <t>1:00:24</t>
        </is>
      </c>
      <c r="G3168" s="11" t="n">
        <v>1.01</v>
      </c>
      <c r="H3168" s="12" t="inlineStr"/>
      <c r="I3168" s="11" t="inlineStr">
        <is>
          <t>Not started</t>
        </is>
      </c>
      <c r="J3168" s="13" t="n"/>
      <c r="K3168" s="10" t="inlineStr"/>
      <c r="L3168" s="14" t="inlineStr">
        <is>
          <t>▶ watch</t>
        </is>
      </c>
      <c r="M3168" s="10" t="inlineStr"/>
      <c r="N3168" s="11" t="inlineStr"/>
      <c r="O3168" s="11" t="inlineStr">
        <is>
          <t>course lecture - no single paper</t>
        </is>
      </c>
      <c r="P3168" s="10" t="inlineStr"/>
    </row>
    <row r="3169">
      <c r="A3169" s="23" t="n">
        <v>3168</v>
      </c>
      <c r="B3169" s="23" t="inlineStr">
        <is>
          <t>Part VI - Appendices</t>
        </is>
      </c>
      <c r="C3169" s="24" t="inlineStr">
        <is>
          <t>B.5 AMMI Geometric Deep Learning, 2nd edition (2022</t>
        </is>
      </c>
      <c r="D3169" s="10" t="inlineStr">
        <is>
          <t>Equivariance in ML</t>
        </is>
      </c>
      <c r="E3169" s="10" t="inlineStr">
        <is>
          <t>Williamson</t>
        </is>
      </c>
      <c r="F3169" s="11" t="inlineStr">
        <is>
          <t>1:01:52</t>
        </is>
      </c>
      <c r="G3169" s="11" t="n">
        <v>1.03</v>
      </c>
      <c r="H3169" s="12" t="inlineStr"/>
      <c r="I3169" s="11" t="inlineStr">
        <is>
          <t>Not started</t>
        </is>
      </c>
      <c r="J3169" s="13" t="n"/>
      <c r="K3169" s="10" t="inlineStr"/>
      <c r="L3169" s="14" t="inlineStr">
        <is>
          <t>▶ watch</t>
        </is>
      </c>
      <c r="M3169" s="10" t="inlineStr"/>
      <c r="N3169" s="11" t="inlineStr"/>
      <c r="O3169" s="11" t="inlineStr">
        <is>
          <t>course lecture - no single paper</t>
        </is>
      </c>
      <c r="P3169" s="10" t="inlineStr"/>
    </row>
    <row r="3170">
      <c r="A3170" s="23" t="n">
        <v>3169</v>
      </c>
      <c r="B3170" s="23" t="inlineStr">
        <is>
          <t>Part VI - Appendices</t>
        </is>
      </c>
      <c r="C3170" s="24" t="inlineStr">
        <is>
          <t>B.5 AMMI Geometric Deep Learning, 2nd edition (2022</t>
        </is>
      </c>
      <c r="D3170" s="10" t="inlineStr">
        <is>
          <t>Neural Sheaf Diffusion</t>
        </is>
      </c>
      <c r="E3170" s="10" t="inlineStr">
        <is>
          <t>Bodnar</t>
        </is>
      </c>
      <c r="F3170" s="11" t="inlineStr">
        <is>
          <t>52:51</t>
        </is>
      </c>
      <c r="G3170" s="11" t="n">
        <v>0.88</v>
      </c>
      <c r="H3170" s="12" t="inlineStr"/>
      <c r="I3170" s="11" t="inlineStr">
        <is>
          <t>Not started</t>
        </is>
      </c>
      <c r="J3170" s="13" t="n"/>
      <c r="K3170" s="10" t="inlineStr"/>
      <c r="L3170" s="14" t="inlineStr">
        <is>
          <t>▶ watch</t>
        </is>
      </c>
      <c r="M3170" s="10" t="inlineStr"/>
      <c r="N3170" s="11" t="inlineStr"/>
      <c r="O3170" s="11" t="inlineStr">
        <is>
          <t>course lecture - no single paper</t>
        </is>
      </c>
      <c r="P3170" s="10" t="inlineStr"/>
    </row>
    <row r="3171">
      <c r="A3171" s="23" t="n">
        <v>3170</v>
      </c>
      <c r="B3171" s="23" t="inlineStr">
        <is>
          <t>Part VI - Appendices</t>
        </is>
      </c>
      <c r="C3171" s="24" t="inlineStr">
        <is>
          <t>B.5 AMMI Geometric Deep Learning, 2nd edition (2022</t>
        </is>
      </c>
      <c r="D3171" s="10" t="inlineStr">
        <is>
          <t>Russ Bates</t>
        </is>
      </c>
      <c r="E3171" s="10" t="inlineStr">
        <is>
          <t>AlphaFold</t>
        </is>
      </c>
      <c r="F3171" s="11" t="inlineStr">
        <is>
          <t>55:50</t>
        </is>
      </c>
      <c r="G3171" s="11" t="n">
        <v>0.93</v>
      </c>
      <c r="H3171" s="12" t="inlineStr">
        <is>
          <t>★</t>
        </is>
      </c>
      <c r="I3171" s="11" t="inlineStr">
        <is>
          <t>Not started</t>
        </is>
      </c>
      <c r="J3171" s="13" t="n"/>
      <c r="K3171" s="10" t="inlineStr"/>
      <c r="L3171" s="14" t="inlineStr">
        <is>
          <t>▶ watch</t>
        </is>
      </c>
      <c r="M3171" s="10" t="inlineStr"/>
      <c r="N3171" s="11" t="inlineStr"/>
      <c r="O3171" s="11" t="inlineStr">
        <is>
          <t>course lecture - no single paper</t>
        </is>
      </c>
      <c r="P3171" s="10" t="inlineStr"/>
    </row>
    <row r="3172">
      <c r="A3172" s="23" t="n">
        <v>3171</v>
      </c>
      <c r="B3172" s="23" t="inlineStr">
        <is>
          <t>Part VI - Appendices</t>
        </is>
      </c>
      <c r="C3172" s="24" t="inlineStr">
        <is>
          <t>B.6 Erik Bekkers - Group Equivariant Deep Learning (UvA 2022), 21 videos</t>
        </is>
      </c>
      <c r="D3172" s="10" t="inlineStr">
        <is>
          <t>Introduction</t>
        </is>
      </c>
      <c r="E3172" s="10" t="inlineStr"/>
      <c r="F3172" s="11" t="inlineStr">
        <is>
          <t>19:04</t>
        </is>
      </c>
      <c r="G3172" s="11" t="n">
        <v>0.32</v>
      </c>
      <c r="H3172" s="12" t="inlineStr"/>
      <c r="I3172" s="11" t="inlineStr">
        <is>
          <t>Not started</t>
        </is>
      </c>
      <c r="J3172" s="13" t="n"/>
      <c r="K3172" s="10" t="inlineStr"/>
      <c r="L3172" s="14" t="inlineStr">
        <is>
          <t>▶ watch</t>
        </is>
      </c>
      <c r="M3172" s="10" t="inlineStr"/>
      <c r="N3172" s="11" t="inlineStr"/>
      <c r="O3172" s="11" t="inlineStr">
        <is>
          <t>course lecture - no single paper</t>
        </is>
      </c>
      <c r="P3172" s="10" t="inlineStr"/>
    </row>
    <row r="3173">
      <c r="A3173" s="23" t="n">
        <v>3172</v>
      </c>
      <c r="B3173" s="23" t="inlineStr">
        <is>
          <t>Part VI - Appendices</t>
        </is>
      </c>
      <c r="C3173" s="24" t="inlineStr">
        <is>
          <t>B.6 Erik Bekkers - Group Equivariant Deep Learning (UvA 2022), 21 videos</t>
        </is>
      </c>
      <c r="D3173" s="10" t="inlineStr">
        <is>
          <t>Group theory: product, inverse, representations</t>
        </is>
      </c>
      <c r="E3173" s="10" t="inlineStr"/>
      <c r="F3173" s="11" t="inlineStr">
        <is>
          <t>23:27</t>
        </is>
      </c>
      <c r="G3173" s="11" t="n">
        <v>0.39</v>
      </c>
      <c r="H3173" s="12" t="inlineStr"/>
      <c r="I3173" s="11" t="inlineStr">
        <is>
          <t>Not started</t>
        </is>
      </c>
      <c r="J3173" s="13" t="n"/>
      <c r="K3173" s="10" t="inlineStr"/>
      <c r="L3173" s="14" t="inlineStr">
        <is>
          <t>▶ watch</t>
        </is>
      </c>
      <c r="M3173" s="10" t="inlineStr"/>
      <c r="N3173" s="11" t="inlineStr"/>
      <c r="O3173" s="11" t="inlineStr">
        <is>
          <t>course lecture - no single paper</t>
        </is>
      </c>
      <c r="P3173" s="10" t="inlineStr"/>
    </row>
    <row r="3174">
      <c r="A3174" s="23" t="n">
        <v>3173</v>
      </c>
      <c r="B3174" s="23" t="inlineStr">
        <is>
          <t>Part VI - Appendices</t>
        </is>
      </c>
      <c r="C3174" s="24" t="inlineStr">
        <is>
          <t>B.6 Erik Bekkers - Group Equivariant Deep Learning (UvA 2022), 21 videos</t>
        </is>
      </c>
      <c r="D3174" s="10" t="inlineStr">
        <is>
          <t>Regular group convolutional neural networks</t>
        </is>
      </c>
      <c r="E3174" s="10" t="inlineStr"/>
      <c r="F3174" s="11" t="inlineStr">
        <is>
          <t>20:46</t>
        </is>
      </c>
      <c r="G3174" s="11" t="n">
        <v>0.35</v>
      </c>
      <c r="H3174" s="12" t="inlineStr">
        <is>
          <t>★</t>
        </is>
      </c>
      <c r="I3174" s="11" t="inlineStr">
        <is>
          <t>Not started</t>
        </is>
      </c>
      <c r="J3174" s="13" t="n"/>
      <c r="K3174" s="10" t="inlineStr"/>
      <c r="L3174" s="14" t="inlineStr">
        <is>
          <t>▶ watch</t>
        </is>
      </c>
      <c r="M3174" s="10" t="inlineStr"/>
      <c r="N3174" s="11" t="inlineStr"/>
      <c r="O3174" s="11" t="inlineStr">
        <is>
          <t>course lecture - no single paper</t>
        </is>
      </c>
      <c r="P3174" s="10" t="inlineStr"/>
    </row>
    <row r="3175">
      <c r="A3175" s="23" t="n">
        <v>3174</v>
      </c>
      <c r="B3175" s="23" t="inlineStr">
        <is>
          <t>Part VI - Appendices</t>
        </is>
      </c>
      <c r="C3175" s="24" t="inlineStr">
        <is>
          <t>B.6 Erik Bekkers - Group Equivariant Deep Learning (UvA 2022), 21 videos</t>
        </is>
      </c>
      <c r="D3175" s="10" t="inlineStr">
        <is>
          <t>Example</t>
        </is>
      </c>
      <c r="E3175" s="10" t="inlineStr"/>
      <c r="F3175" s="11" t="inlineStr">
        <is>
          <t>16:38</t>
        </is>
      </c>
      <c r="G3175" s="11" t="n">
        <v>0.28</v>
      </c>
      <c r="H3175" s="12" t="inlineStr"/>
      <c r="I3175" s="11" t="inlineStr">
        <is>
          <t>Not started</t>
        </is>
      </c>
      <c r="J3175" s="13" t="n"/>
      <c r="K3175" s="10" t="inlineStr"/>
      <c r="L3175" s="14" t="inlineStr">
        <is>
          <t>▶ watch</t>
        </is>
      </c>
      <c r="M3175" s="10" t="inlineStr"/>
      <c r="N3175" s="11" t="inlineStr"/>
      <c r="O3175" s="11" t="inlineStr">
        <is>
          <t>course lecture - no single paper</t>
        </is>
      </c>
      <c r="P3175" s="10" t="inlineStr"/>
    </row>
    <row r="3176">
      <c r="A3176" s="23" t="n">
        <v>3175</v>
      </c>
      <c r="B3176" s="23" t="inlineStr">
        <is>
          <t>Part VI - Appendices</t>
        </is>
      </c>
      <c r="C3176" s="24" t="inlineStr">
        <is>
          <t>B.6 Erik Bekkers - Group Equivariant Deep Learning (UvA 2022), 21 videos</t>
        </is>
      </c>
      <c r="D3176" s="10" t="inlineStr">
        <is>
          <t>A brief history of G-CNNs</t>
        </is>
      </c>
      <c r="E3176" s="10" t="inlineStr"/>
      <c r="F3176" s="11" t="inlineStr">
        <is>
          <t>16:08</t>
        </is>
      </c>
      <c r="G3176" s="11" t="n">
        <v>0.27</v>
      </c>
      <c r="H3176" s="12" t="inlineStr"/>
      <c r="I3176" s="11" t="inlineStr">
        <is>
          <t>Not started</t>
        </is>
      </c>
      <c r="J3176" s="13" t="n"/>
      <c r="K3176" s="10" t="inlineStr"/>
      <c r="L3176" s="14" t="inlineStr">
        <is>
          <t>▶ watch</t>
        </is>
      </c>
      <c r="M3176" s="10" t="inlineStr"/>
      <c r="N3176" s="11" t="inlineStr"/>
      <c r="O3176" s="11" t="inlineStr">
        <is>
          <t>course lecture - no single paper</t>
        </is>
      </c>
      <c r="P3176" s="10" t="inlineStr"/>
    </row>
    <row r="3177">
      <c r="A3177" s="23" t="n">
        <v>3176</v>
      </c>
      <c r="B3177" s="23" t="inlineStr">
        <is>
          <t>Part VI - Appendices</t>
        </is>
      </c>
      <c r="C3177" s="24" t="inlineStr">
        <is>
          <t>B.6 Erik Bekkers - Group Equivariant Deep Learning (UvA 2022), 21 videos</t>
        </is>
      </c>
      <c r="D3177" s="10" t="inlineStr">
        <is>
          <t>Group theory: homogeneous and quotient spaces</t>
        </is>
      </c>
      <c r="E3177" s="10" t="inlineStr"/>
      <c r="F3177" s="11" t="inlineStr">
        <is>
          <t>16:31</t>
        </is>
      </c>
      <c r="G3177" s="11" t="n">
        <v>0.28</v>
      </c>
      <c r="H3177" s="12" t="inlineStr"/>
      <c r="I3177" s="11" t="inlineStr">
        <is>
          <t>Not started</t>
        </is>
      </c>
      <c r="J3177" s="13" t="n"/>
      <c r="K3177" s="10" t="inlineStr"/>
      <c r="L3177" s="14" t="inlineStr">
        <is>
          <t>▶ watch</t>
        </is>
      </c>
      <c r="M3177" s="10" t="inlineStr"/>
      <c r="N3177" s="11" t="inlineStr"/>
      <c r="O3177" s="11" t="inlineStr">
        <is>
          <t>course lecture - no single paper</t>
        </is>
      </c>
      <c r="P3177" s="10" t="inlineStr"/>
    </row>
    <row r="3178">
      <c r="A3178" s="23" t="n">
        <v>3177</v>
      </c>
      <c r="B3178" s="23" t="inlineStr">
        <is>
          <t>Part VI - Appendices</t>
        </is>
      </c>
      <c r="C3178" s="24" t="inlineStr">
        <is>
          <t>B.6 Erik Bekkers - Group Equivariant Deep Learning (UvA 2022), 21 videos</t>
        </is>
      </c>
      <c r="D3178" s="10" t="inlineStr">
        <is>
          <t>Group convolutions are all you need</t>
        </is>
      </c>
      <c r="E3178" s="10" t="inlineStr"/>
      <c r="F3178" s="11" t="inlineStr">
        <is>
          <t>23:36</t>
        </is>
      </c>
      <c r="G3178" s="11" t="n">
        <v>0.39</v>
      </c>
      <c r="H3178" s="12" t="inlineStr">
        <is>
          <t>★</t>
        </is>
      </c>
      <c r="I3178" s="11" t="inlineStr">
        <is>
          <t>Not started</t>
        </is>
      </c>
      <c r="J3178" s="13" t="n"/>
      <c r="K3178" s="10" t="inlineStr"/>
      <c r="L3178" s="14" t="inlineStr">
        <is>
          <t>▶ watch</t>
        </is>
      </c>
      <c r="M3178" s="10" t="inlineStr"/>
      <c r="N3178" s="11" t="inlineStr"/>
      <c r="O3178" s="11" t="inlineStr">
        <is>
          <t>course lecture - no single paper</t>
        </is>
      </c>
      <c r="P3178" s="10" t="inlineStr"/>
    </row>
    <row r="3179">
      <c r="A3179" s="23" t="n">
        <v>3178</v>
      </c>
      <c r="B3179" s="23" t="inlineStr">
        <is>
          <t>Part VI - Appendices</t>
        </is>
      </c>
      <c r="C3179" s="24" t="inlineStr">
        <is>
          <t>B.6 Erik Bekkers - Group Equivariant Deep Learning (UvA 2022), 21 videos</t>
        </is>
      </c>
      <c r="D3179" s="10" t="inlineStr">
        <is>
          <t>Steerable kernels and basis functions</t>
        </is>
      </c>
      <c r="E3179" s="10" t="inlineStr"/>
      <c r="F3179" s="11" t="inlineStr">
        <is>
          <t>22:28</t>
        </is>
      </c>
      <c r="G3179" s="11" t="n">
        <v>0.37</v>
      </c>
      <c r="H3179" s="12" t="inlineStr"/>
      <c r="I3179" s="11" t="inlineStr">
        <is>
          <t>Not started</t>
        </is>
      </c>
      <c r="J3179" s="13" t="n"/>
      <c r="K3179" s="10" t="inlineStr"/>
      <c r="L3179" s="14" t="inlineStr">
        <is>
          <t>▶ watch</t>
        </is>
      </c>
      <c r="M3179" s="10" t="inlineStr"/>
      <c r="N3179" s="11" t="inlineStr"/>
      <c r="O3179" s="11" t="inlineStr">
        <is>
          <t>course lecture - no single paper</t>
        </is>
      </c>
      <c r="P3179" s="10" t="inlineStr"/>
    </row>
    <row r="3180">
      <c r="A3180" s="23" t="n">
        <v>3179</v>
      </c>
      <c r="B3180" s="23" t="inlineStr">
        <is>
          <t>Part VI - Appendices</t>
        </is>
      </c>
      <c r="C3180" s="24" t="inlineStr">
        <is>
          <t>B.6 Erik Bekkers - Group Equivariant Deep Learning (UvA 2022), 21 videos</t>
        </is>
      </c>
      <c r="D3180" s="10" t="inlineStr">
        <is>
          <t>Revisiting regular G-convs with steerable kernels</t>
        </is>
      </c>
      <c r="E3180" s="10" t="inlineStr"/>
      <c r="F3180" s="11" t="inlineStr">
        <is>
          <t>15:20</t>
        </is>
      </c>
      <c r="G3180" s="11" t="n">
        <v>0.26</v>
      </c>
      <c r="H3180" s="12" t="inlineStr"/>
      <c r="I3180" s="11" t="inlineStr">
        <is>
          <t>Not started</t>
        </is>
      </c>
      <c r="J3180" s="13" t="n"/>
      <c r="K3180" s="10" t="inlineStr"/>
      <c r="L3180" s="14" t="inlineStr">
        <is>
          <t>▶ watch</t>
        </is>
      </c>
      <c r="M3180" s="10" t="inlineStr"/>
      <c r="N3180" s="11" t="inlineStr"/>
      <c r="O3180" s="11" t="inlineStr">
        <is>
          <t>course lecture - no single paper</t>
        </is>
      </c>
      <c r="P3180" s="10" t="inlineStr"/>
    </row>
    <row r="3181">
      <c r="A3181" s="23" t="n">
        <v>3180</v>
      </c>
      <c r="B3181" s="23" t="inlineStr">
        <is>
          <t>Part VI - Appendices</t>
        </is>
      </c>
      <c r="C3181" s="24" t="inlineStr">
        <is>
          <t>B.6 Erik Bekkers - Group Equivariant Deep Learning (UvA 2022), 21 videos</t>
        </is>
      </c>
      <c r="D3181" s="10" t="inlineStr">
        <is>
          <t>Group theory: irreducible representations, Fourier</t>
        </is>
      </c>
      <c r="E3181" s="10" t="inlineStr"/>
      <c r="F3181" s="11" t="inlineStr">
        <is>
          <t>18:35</t>
        </is>
      </c>
      <c r="G3181" s="11" t="n">
        <v>0.31</v>
      </c>
      <c r="H3181" s="12" t="inlineStr"/>
      <c r="I3181" s="11" t="inlineStr">
        <is>
          <t>Not started</t>
        </is>
      </c>
      <c r="J3181" s="13" t="n"/>
      <c r="K3181" s="10" t="inlineStr"/>
      <c r="L3181" s="14" t="inlineStr">
        <is>
          <t>▶ watch</t>
        </is>
      </c>
      <c r="M3181" s="10" t="inlineStr"/>
      <c r="N3181" s="11" t="inlineStr"/>
      <c r="O3181" s="11" t="inlineStr">
        <is>
          <t>course lecture - no single paper</t>
        </is>
      </c>
      <c r="P3181" s="10" t="inlineStr"/>
    </row>
    <row r="3182">
      <c r="A3182" s="23" t="n">
        <v>3181</v>
      </c>
      <c r="B3182" s="23" t="inlineStr">
        <is>
          <t>Part VI - Appendices</t>
        </is>
      </c>
      <c r="C3182" s="24" t="inlineStr">
        <is>
          <t>B.6 Erik Bekkers - Group Equivariant Deep Learning (UvA 2022), 21 videos</t>
        </is>
      </c>
      <c r="D3182" s="10" t="inlineStr">
        <is>
          <t>Group theory: induced representations, feature fields</t>
        </is>
      </c>
      <c r="E3182" s="10" t="inlineStr"/>
      <c r="F3182" s="11" t="inlineStr">
        <is>
          <t>8:57</t>
        </is>
      </c>
      <c r="G3182" s="11" t="n">
        <v>0.15</v>
      </c>
      <c r="H3182" s="12" t="inlineStr"/>
      <c r="I3182" s="11" t="inlineStr">
        <is>
          <t>Not started</t>
        </is>
      </c>
      <c r="J3182" s="13" t="n"/>
      <c r="K3182" s="10" t="inlineStr"/>
      <c r="L3182" s="14" t="inlineStr">
        <is>
          <t>▶ watch</t>
        </is>
      </c>
      <c r="M3182" s="10" t="inlineStr"/>
      <c r="N3182" s="11" t="inlineStr"/>
      <c r="O3182" s="11" t="inlineStr">
        <is>
          <t>course lecture - no single paper</t>
        </is>
      </c>
      <c r="P3182" s="10" t="inlineStr"/>
    </row>
    <row r="3183">
      <c r="A3183" s="23" t="n">
        <v>3182</v>
      </c>
      <c r="B3183" s="23" t="inlineStr">
        <is>
          <t>Part VI - Appendices</t>
        </is>
      </c>
      <c r="C3183" s="24" t="inlineStr">
        <is>
          <t>B.6 Erik Bekkers - Group Equivariant Deep Learning (UvA 2022), 21 videos</t>
        </is>
      </c>
      <c r="D3183" s="10" t="inlineStr">
        <is>
          <t>Steerable group convolutions</t>
        </is>
      </c>
      <c r="E3183" s="10" t="inlineStr"/>
      <c r="F3183" s="11" t="inlineStr">
        <is>
          <t>19:22</t>
        </is>
      </c>
      <c r="G3183" s="11" t="n">
        <v>0.32</v>
      </c>
      <c r="H3183" s="12" t="inlineStr"/>
      <c r="I3183" s="11" t="inlineStr">
        <is>
          <t>Not started</t>
        </is>
      </c>
      <c r="J3183" s="13" t="n"/>
      <c r="K3183" s="10" t="inlineStr"/>
      <c r="L3183" s="14" t="inlineStr">
        <is>
          <t>▶ watch</t>
        </is>
      </c>
      <c r="M3183" s="10" t="inlineStr"/>
      <c r="N3183" s="11" t="inlineStr"/>
      <c r="O3183" s="11" t="inlineStr">
        <is>
          <t>course lecture - no single paper</t>
        </is>
      </c>
      <c r="P3183" s="10" t="inlineStr"/>
    </row>
    <row r="3184">
      <c r="A3184" s="23" t="n">
        <v>3183</v>
      </c>
      <c r="B3184" s="23" t="inlineStr">
        <is>
          <t>Part VI - Appendices</t>
        </is>
      </c>
      <c r="C3184" s="24" t="inlineStr">
        <is>
          <t>B.6 Erik Bekkers - Group Equivariant Deep Learning (UvA 2022), 21 videos</t>
        </is>
      </c>
      <c r="D3184" s="10" t="inlineStr">
        <is>
          <t>Activation functions for steerable G-CNNs</t>
        </is>
      </c>
      <c r="E3184" s="10" t="inlineStr"/>
      <c r="F3184" s="11" t="inlineStr">
        <is>
          <t>11:33</t>
        </is>
      </c>
      <c r="G3184" s="11" t="n">
        <v>0.19</v>
      </c>
      <c r="H3184" s="12" t="inlineStr"/>
      <c r="I3184" s="11" t="inlineStr">
        <is>
          <t>Not started</t>
        </is>
      </c>
      <c r="J3184" s="13" t="n"/>
      <c r="K3184" s="10" t="inlineStr"/>
      <c r="L3184" s="14" t="inlineStr">
        <is>
          <t>▶ watch</t>
        </is>
      </c>
      <c r="M3184" s="10" t="inlineStr"/>
      <c r="N3184" s="11" t="inlineStr"/>
      <c r="O3184" s="11" t="inlineStr">
        <is>
          <t>course lecture - no single paper</t>
        </is>
      </c>
      <c r="P3184" s="10" t="inlineStr"/>
    </row>
    <row r="3185">
      <c r="A3185" s="23" t="n">
        <v>3184</v>
      </c>
      <c r="B3185" s="23" t="inlineStr">
        <is>
          <t>Part VI - Appendices</t>
        </is>
      </c>
      <c r="C3185" s="24" t="inlineStr">
        <is>
          <t>B.6 Erik Bekkers - Group Equivariant Deep Learning (UvA 2022), 21 videos</t>
        </is>
      </c>
      <c r="D3185" s="10" t="inlineStr">
        <is>
          <t>Deriving harmonic networks from regular G-convs</t>
        </is>
      </c>
      <c r="E3185" s="10" t="inlineStr"/>
      <c r="F3185" s="11" t="inlineStr">
        <is>
          <t>20:14</t>
        </is>
      </c>
      <c r="G3185" s="11" t="n">
        <v>0.34</v>
      </c>
      <c r="H3185" s="12" t="inlineStr"/>
      <c r="I3185" s="11" t="inlineStr">
        <is>
          <t>Not started</t>
        </is>
      </c>
      <c r="J3185" s="13" t="n"/>
      <c r="K3185" s="10" t="inlineStr"/>
      <c r="L3185" s="14" t="inlineStr">
        <is>
          <t>▶ watch</t>
        </is>
      </c>
      <c r="M3185" s="10" t="inlineStr"/>
      <c r="N3185" s="11" t="inlineStr"/>
      <c r="O3185" s="11" t="inlineStr">
        <is>
          <t>course lecture - no single paper</t>
        </is>
      </c>
      <c r="P3185" s="10" t="inlineStr"/>
    </row>
    <row r="3186">
      <c r="A3186" s="23" t="n">
        <v>3185</v>
      </c>
      <c r="B3186" s="23" t="inlineStr">
        <is>
          <t>Part VI - Appendices</t>
        </is>
      </c>
      <c r="C3186" s="24" t="inlineStr">
        <is>
          <t>B.6 Erik Bekkers - Group Equivariant Deep Learning (UvA 2022), 21 videos</t>
        </is>
      </c>
      <c r="D3186" s="10" t="inlineStr">
        <is>
          <t>Motivation for SE(3) equivariant graph NNs</t>
        </is>
      </c>
      <c r="E3186" s="10" t="inlineStr"/>
      <c r="F3186" s="11" t="inlineStr">
        <is>
          <t>18:43</t>
        </is>
      </c>
      <c r="G3186" s="11" t="n">
        <v>0.31</v>
      </c>
      <c r="H3186" s="12" t="inlineStr">
        <is>
          <t>★</t>
        </is>
      </c>
      <c r="I3186" s="11" t="inlineStr">
        <is>
          <t>Not started</t>
        </is>
      </c>
      <c r="J3186" s="13" t="n"/>
      <c r="K3186" s="10" t="inlineStr"/>
      <c r="L3186" s="14" t="inlineStr">
        <is>
          <t>▶ watch</t>
        </is>
      </c>
      <c r="M3186" s="10" t="inlineStr"/>
      <c r="N3186" s="11" t="inlineStr"/>
      <c r="O3186" s="11" t="inlineStr">
        <is>
          <t>course lecture - no single paper</t>
        </is>
      </c>
      <c r="P3186" s="10" t="inlineStr"/>
    </row>
    <row r="3187">
      <c r="A3187" s="23" t="n">
        <v>3186</v>
      </c>
      <c r="B3187" s="23" t="inlineStr">
        <is>
          <t>Part VI - Appendices</t>
        </is>
      </c>
      <c r="C3187" s="24" t="inlineStr">
        <is>
          <t>B.6 Erik Bekkers - Group Equivariant Deep Learning (UvA 2022), 21 videos</t>
        </is>
      </c>
      <c r="D3187" s="10" t="inlineStr">
        <is>
          <t>Equivariant message passing as non-linear convolution</t>
        </is>
      </c>
      <c r="E3187" s="10" t="inlineStr"/>
      <c r="F3187" s="11" t="inlineStr">
        <is>
          <t>33:08</t>
        </is>
      </c>
      <c r="G3187" s="11" t="n">
        <v>0.55</v>
      </c>
      <c r="H3187" s="12" t="inlineStr">
        <is>
          <t>★</t>
        </is>
      </c>
      <c r="I3187" s="11" t="inlineStr">
        <is>
          <t>Not started</t>
        </is>
      </c>
      <c r="J3187" s="13" t="n"/>
      <c r="K3187" s="10" t="inlineStr"/>
      <c r="L3187" s="14" t="inlineStr">
        <is>
          <t>▶ watch</t>
        </is>
      </c>
      <c r="M3187" s="10" t="inlineStr"/>
      <c r="N3187" s="11" t="inlineStr"/>
      <c r="O3187" s="11" t="inlineStr">
        <is>
          <t>course lecture - no single paper</t>
        </is>
      </c>
      <c r="P3187" s="10" t="inlineStr"/>
    </row>
    <row r="3188">
      <c r="A3188" s="23" t="n">
        <v>3187</v>
      </c>
      <c r="B3188" s="23" t="inlineStr">
        <is>
          <t>Part VI - Appendices</t>
        </is>
      </c>
      <c r="C3188" s="24" t="inlineStr">
        <is>
          <t>B.6 Erik Bekkers - Group Equivariant Deep Learning (UvA 2022), 21 videos</t>
        </is>
      </c>
      <c r="D3188" s="10" t="inlineStr">
        <is>
          <t>Tensor products as conditional linear layers</t>
        </is>
      </c>
      <c r="E3188" s="10" t="inlineStr"/>
      <c r="F3188" s="11" t="inlineStr">
        <is>
          <t>12:34</t>
        </is>
      </c>
      <c r="G3188" s="11" t="n">
        <v>0.21</v>
      </c>
      <c r="H3188" s="12" t="inlineStr"/>
      <c r="I3188" s="11" t="inlineStr">
        <is>
          <t>Not started</t>
        </is>
      </c>
      <c r="J3188" s="13" t="n"/>
      <c r="K3188" s="10" t="inlineStr"/>
      <c r="L3188" s="14" t="inlineStr">
        <is>
          <t>▶ watch</t>
        </is>
      </c>
      <c r="M3188" s="10" t="inlineStr"/>
      <c r="N3188" s="11" t="inlineStr"/>
      <c r="O3188" s="11" t="inlineStr">
        <is>
          <t>course lecture - no single paper</t>
        </is>
      </c>
      <c r="P3188" s="10" t="inlineStr"/>
    </row>
    <row r="3189">
      <c r="A3189" s="23" t="n">
        <v>3188</v>
      </c>
      <c r="B3189" s="23" t="inlineStr">
        <is>
          <t>Part VI - Appendices</t>
        </is>
      </c>
      <c r="C3189" s="24" t="inlineStr">
        <is>
          <t>B.6 Erik Bekkers - Group Equivariant Deep Learning (UvA 2022), 21 videos</t>
        </is>
      </c>
      <c r="D3189" s="10" t="inlineStr">
        <is>
          <t>SO(3) irreps, Wigner-D, Clebsch-Gordan</t>
        </is>
      </c>
      <c r="E3189" s="10" t="inlineStr"/>
      <c r="F3189" s="11" t="inlineStr">
        <is>
          <t>34:17</t>
        </is>
      </c>
      <c r="G3189" s="11" t="n">
        <v>0.57</v>
      </c>
      <c r="H3189" s="12" t="inlineStr">
        <is>
          <t>★</t>
        </is>
      </c>
      <c r="I3189" s="11" t="inlineStr">
        <is>
          <t>Not started</t>
        </is>
      </c>
      <c r="J3189" s="13" t="n"/>
      <c r="K3189" s="10" t="inlineStr"/>
      <c r="L3189" s="14" t="inlineStr">
        <is>
          <t>▶ watch</t>
        </is>
      </c>
      <c r="M3189" s="10" t="inlineStr"/>
      <c r="N3189" s="11" t="inlineStr"/>
      <c r="O3189" s="11" t="inlineStr">
        <is>
          <t>course lecture - no single paper</t>
        </is>
      </c>
      <c r="P3189" s="10" t="inlineStr"/>
    </row>
    <row r="3190">
      <c r="A3190" s="23" t="n">
        <v>3189</v>
      </c>
      <c r="B3190" s="23" t="inlineStr">
        <is>
          <t>Part VI - Appendices</t>
        </is>
      </c>
      <c r="C3190" s="24" t="inlineStr">
        <is>
          <t>B.6 Erik Bekkers - Group Equivariant Deep Learning (UvA 2022), 21 videos</t>
        </is>
      </c>
      <c r="D3190" s="10" t="inlineStr">
        <is>
          <t>Literature survey: 3D steerable graph NNs</t>
        </is>
      </c>
      <c r="E3190" s="10" t="inlineStr"/>
      <c r="F3190" s="11" t="inlineStr">
        <is>
          <t>48:43</t>
        </is>
      </c>
      <c r="G3190" s="11" t="n">
        <v>0.8100000000000001</v>
      </c>
      <c r="H3190" s="12" t="inlineStr"/>
      <c r="I3190" s="11" t="inlineStr">
        <is>
          <t>Not started</t>
        </is>
      </c>
      <c r="J3190" s="13" t="n"/>
      <c r="K3190" s="10" t="inlineStr"/>
      <c r="L3190" s="14" t="inlineStr">
        <is>
          <t>▶ watch</t>
        </is>
      </c>
      <c r="M3190" s="10" t="inlineStr"/>
      <c r="N3190" s="11" t="inlineStr"/>
      <c r="O3190" s="11" t="inlineStr">
        <is>
          <t>course lecture - no single paper</t>
        </is>
      </c>
      <c r="P3190" s="10" t="inlineStr"/>
    </row>
    <row r="3191">
      <c r="A3191" s="23" t="n">
        <v>3190</v>
      </c>
      <c r="B3191" s="23" t="inlineStr">
        <is>
          <t>Part VI - Appendices</t>
        </is>
      </c>
      <c r="C3191" s="24" t="inlineStr">
        <is>
          <t>B.6 Erik Bekkers - Group Equivariant Deep Learning (UvA 2022), 21 videos</t>
        </is>
      </c>
      <c r="D3191" s="10" t="inlineStr">
        <is>
          <t>Literature survey: regular equivariant graph NNs</t>
        </is>
      </c>
      <c r="E3191" s="10" t="inlineStr"/>
      <c r="F3191" s="11" t="inlineStr">
        <is>
          <t>43:56</t>
        </is>
      </c>
      <c r="G3191" s="11" t="n">
        <v>0.73</v>
      </c>
      <c r="H3191" s="12" t="inlineStr"/>
      <c r="I3191" s="11" t="inlineStr">
        <is>
          <t>Not started</t>
        </is>
      </c>
      <c r="J3191" s="13" t="n"/>
      <c r="K3191" s="10" t="inlineStr"/>
      <c r="L3191" s="14" t="inlineStr">
        <is>
          <t>▶ watch</t>
        </is>
      </c>
      <c r="M3191" s="10" t="inlineStr"/>
      <c r="N3191" s="11" t="inlineStr"/>
      <c r="O3191" s="11" t="inlineStr">
        <is>
          <t>course lecture - no single paper</t>
        </is>
      </c>
      <c r="P3191" s="10" t="inlineStr"/>
    </row>
    <row r="3192">
      <c r="A3192" s="23" t="n">
        <v>3191</v>
      </c>
      <c r="B3192" s="23" t="inlineStr">
        <is>
          <t>Part VI - Appendices</t>
        </is>
      </c>
      <c r="C3192" s="24" t="inlineStr">
        <is>
          <t>B.6 Erik Bekkers - Group Equivariant Deep Learning (UvA 2022), 21 videos</t>
        </is>
      </c>
      <c r="D3192" s="10" t="inlineStr">
        <is>
          <t>Gauge equivariant graph NNs</t>
        </is>
      </c>
      <c r="E3192" s="10" t="inlineStr"/>
      <c r="F3192" s="11" t="inlineStr">
        <is>
          <t>31:40</t>
        </is>
      </c>
      <c r="G3192" s="11" t="n">
        <v>0.53</v>
      </c>
      <c r="H3192" s="12" t="inlineStr"/>
      <c r="I3192" s="11" t="inlineStr">
        <is>
          <t>Not started</t>
        </is>
      </c>
      <c r="J3192" s="13" t="n"/>
      <c r="K3192" s="10" t="inlineStr"/>
      <c r="L3192" s="14" t="inlineStr">
        <is>
          <t>▶ watch</t>
        </is>
      </c>
      <c r="M3192" s="10" t="inlineStr"/>
      <c r="N3192" s="11" t="inlineStr"/>
      <c r="O3192" s="11" t="inlineStr">
        <is>
          <t>course lecture - no single paper</t>
        </is>
      </c>
      <c r="P3192" s="10" t="inlineStr"/>
    </row>
    <row r="3193">
      <c r="A3193" s="23" t="n">
        <v>3192</v>
      </c>
      <c r="B3193" s="23" t="inlineStr">
        <is>
          <t>Part VI - Appendices</t>
        </is>
      </c>
      <c r="C3193" s="24" t="inlineStr">
        <is>
          <t>B.7 Stanford CS224W - Machine Learning with Graphs (2021), 60 videos</t>
        </is>
      </c>
      <c r="D3193" s="10" t="inlineStr">
        <is>
          <t>Why Graphs</t>
        </is>
      </c>
      <c r="E3193" s="10" t="inlineStr"/>
      <c r="F3193" s="11" t="inlineStr">
        <is>
          <t>11:55</t>
        </is>
      </c>
      <c r="G3193" s="11" t="n">
        <v>0.2</v>
      </c>
      <c r="H3193" s="12" t="inlineStr"/>
      <c r="I3193" s="11" t="inlineStr">
        <is>
          <t>Not started</t>
        </is>
      </c>
      <c r="J3193" s="13" t="n"/>
      <c r="K3193" s="10" t="inlineStr"/>
      <c r="L3193" s="14" t="inlineStr">
        <is>
          <t>▶ watch</t>
        </is>
      </c>
      <c r="M3193" s="10" t="inlineStr"/>
      <c r="N3193" s="11" t="inlineStr"/>
      <c r="O3193" s="11" t="inlineStr">
        <is>
          <t>course lecture - no single paper</t>
        </is>
      </c>
      <c r="P3193" s="10" t="inlineStr"/>
    </row>
    <row r="3194">
      <c r="A3194" s="23" t="n">
        <v>3193</v>
      </c>
      <c r="B3194" s="23" t="inlineStr">
        <is>
          <t>Part VI - Appendices</t>
        </is>
      </c>
      <c r="C3194" s="24" t="inlineStr">
        <is>
          <t>B.7 Stanford CS224W - Machine Learning with Graphs (2021), 60 videos</t>
        </is>
      </c>
      <c r="D3194" s="10" t="inlineStr">
        <is>
          <t>Traditional feature-based methods (node, link, graph</t>
        </is>
      </c>
      <c r="E3194" s="10" t="inlineStr">
        <is>
          <t>27:30 / 16:47 / 20:10</t>
        </is>
      </c>
      <c r="F3194" s="11" t="inlineStr">
        <is>
          <t>27:30</t>
        </is>
      </c>
      <c r="G3194" s="11" t="n">
        <v>0.46</v>
      </c>
      <c r="H3194" s="12" t="inlineStr"/>
      <c r="I3194" s="11" t="inlineStr">
        <is>
          <t>Not started</t>
        </is>
      </c>
      <c r="J3194" s="13" t="n"/>
      <c r="K3194" s="10" t="inlineStr"/>
      <c r="L3194" s="14" t="inlineStr">
        <is>
          <t>▶ watch</t>
        </is>
      </c>
      <c r="M3194" s="10" t="inlineStr"/>
      <c r="N3194" s="11" t="inlineStr"/>
      <c r="O3194" s="11" t="inlineStr">
        <is>
          <t>course lecture - no single paper</t>
        </is>
      </c>
      <c r="P3194" s="10" t="inlineStr"/>
    </row>
    <row r="3195">
      <c r="A3195" s="23" t="n">
        <v>3194</v>
      </c>
      <c r="B3195" s="23" t="inlineStr">
        <is>
          <t>Part VI - Appendices</t>
        </is>
      </c>
      <c r="C3195" s="24" t="inlineStr">
        <is>
          <t>B.7 Stanford CS224W - Machine Learning with Graphs (2021), 60 videos</t>
        </is>
      </c>
      <c r="D3195" s="10" t="inlineStr">
        <is>
          <t>Traditional feature-based methods (node, link, graph</t>
        </is>
      </c>
      <c r="E3195" s="10" t="inlineStr">
        <is>
          <t>27:30 / 16:47 / 20:10</t>
        </is>
      </c>
      <c r="F3195" s="11" t="inlineStr">
        <is>
          <t>27:30</t>
        </is>
      </c>
      <c r="G3195" s="11" t="n">
        <v>0.46</v>
      </c>
      <c r="H3195" s="12" t="inlineStr"/>
      <c r="I3195" s="11" t="inlineStr">
        <is>
          <t>Not started</t>
        </is>
      </c>
      <c r="J3195" s="13" t="n"/>
      <c r="K3195" s="10" t="inlineStr"/>
      <c r="L3195" s="14" t="inlineStr">
        <is>
          <t>▶ watch</t>
        </is>
      </c>
      <c r="M3195" s="10" t="inlineStr"/>
      <c r="N3195" s="11" t="inlineStr"/>
      <c r="O3195" s="11" t="inlineStr">
        <is>
          <t>course lecture - no single paper</t>
        </is>
      </c>
      <c r="P3195" s="10" t="inlineStr"/>
    </row>
    <row r="3196">
      <c r="A3196" s="23" t="n">
        <v>3195</v>
      </c>
      <c r="B3196" s="23" t="inlineStr">
        <is>
          <t>Part VI - Appendices</t>
        </is>
      </c>
      <c r="C3196" s="24" t="inlineStr">
        <is>
          <t>B.7 Stanford CS224W - Machine Learning with Graphs (2021), 60 videos</t>
        </is>
      </c>
      <c r="D3196" s="10" t="inlineStr">
        <is>
          <t>Traditional feature-based methods (node, link, graph</t>
        </is>
      </c>
      <c r="E3196" s="10" t="inlineStr">
        <is>
          <t>27:30 / 16:47 / 20:10</t>
        </is>
      </c>
      <c r="F3196" s="11" t="inlineStr">
        <is>
          <t>27:30</t>
        </is>
      </c>
      <c r="G3196" s="11" t="n">
        <v>0.46</v>
      </c>
      <c r="H3196" s="12" t="inlineStr"/>
      <c r="I3196" s="11" t="inlineStr">
        <is>
          <t>Not started</t>
        </is>
      </c>
      <c r="J3196" s="13" t="n"/>
      <c r="K3196" s="10" t="inlineStr"/>
      <c r="L3196" s="14" t="inlineStr">
        <is>
          <t>▶ watch</t>
        </is>
      </c>
      <c r="M3196" s="10" t="inlineStr"/>
      <c r="N3196" s="11" t="inlineStr"/>
      <c r="O3196" s="11" t="inlineStr">
        <is>
          <t>course lecture - no single paper</t>
        </is>
      </c>
      <c r="P3196" s="10" t="inlineStr"/>
    </row>
    <row r="3197">
      <c r="A3197" s="23" t="n">
        <v>3196</v>
      </c>
      <c r="B3197" s="23" t="inlineStr">
        <is>
          <t>Part VI - Appendices</t>
        </is>
      </c>
      <c r="C3197" s="24" t="inlineStr">
        <is>
          <t>B.7 Stanford CS224W - Machine Learning with Graphs (2021), 60 videos</t>
        </is>
      </c>
      <c r="D3197" s="10" t="inlineStr">
        <is>
          <t>Node embeddings; random walks; embedding whole graphs</t>
        </is>
      </c>
      <c r="E3197" s="10" t="inlineStr">
        <is>
          <t>14:44 / 27:07 / 18:04</t>
        </is>
      </c>
      <c r="F3197" s="11" t="inlineStr">
        <is>
          <t>14:44</t>
        </is>
      </c>
      <c r="G3197" s="11" t="n">
        <v>0.25</v>
      </c>
      <c r="H3197" s="12" t="inlineStr"/>
      <c r="I3197" s="11" t="inlineStr">
        <is>
          <t>Not started</t>
        </is>
      </c>
      <c r="J3197" s="13" t="n"/>
      <c r="K3197" s="10" t="inlineStr"/>
      <c r="L3197" s="14" t="inlineStr">
        <is>
          <t>▶ watch</t>
        </is>
      </c>
      <c r="M3197" s="10" t="inlineStr"/>
      <c r="N3197" s="11" t="inlineStr"/>
      <c r="O3197" s="11" t="inlineStr">
        <is>
          <t>course lecture - no single paper</t>
        </is>
      </c>
      <c r="P3197" s="10" t="inlineStr"/>
    </row>
    <row r="3198">
      <c r="A3198" s="23" t="n">
        <v>3197</v>
      </c>
      <c r="B3198" s="23" t="inlineStr">
        <is>
          <t>Part VI - Appendices</t>
        </is>
      </c>
      <c r="C3198" s="24" t="inlineStr">
        <is>
          <t>B.7 Stanford CS224W - Machine Learning with Graphs (2021), 60 videos</t>
        </is>
      </c>
      <c r="D3198" s="10" t="inlineStr">
        <is>
          <t>Node embeddings; random walks; embedding whole graphs</t>
        </is>
      </c>
      <c r="E3198" s="10" t="inlineStr">
        <is>
          <t>14:44 / 27:07 / 18:04</t>
        </is>
      </c>
      <c r="F3198" s="11" t="inlineStr">
        <is>
          <t>14:44</t>
        </is>
      </c>
      <c r="G3198" s="11" t="n">
        <v>0.25</v>
      </c>
      <c r="H3198" s="12" t="inlineStr"/>
      <c r="I3198" s="11" t="inlineStr">
        <is>
          <t>Not started</t>
        </is>
      </c>
      <c r="J3198" s="13" t="n"/>
      <c r="K3198" s="10" t="inlineStr"/>
      <c r="L3198" s="14" t="inlineStr">
        <is>
          <t>▶ watch</t>
        </is>
      </c>
      <c r="M3198" s="10" t="inlineStr"/>
      <c r="N3198" s="11" t="inlineStr"/>
      <c r="O3198" s="11" t="inlineStr">
        <is>
          <t>course lecture - no single paper</t>
        </is>
      </c>
      <c r="P3198" s="10" t="inlineStr"/>
    </row>
    <row r="3199">
      <c r="A3199" s="23" t="n">
        <v>3198</v>
      </c>
      <c r="B3199" s="23" t="inlineStr">
        <is>
          <t>Part VI - Appendices</t>
        </is>
      </c>
      <c r="C3199" s="24" t="inlineStr">
        <is>
          <t>B.7 Stanford CS224W - Machine Learning with Graphs (2021), 60 videos</t>
        </is>
      </c>
      <c r="D3199" s="10" t="inlineStr">
        <is>
          <t>Node embeddings; random walks; embedding whole graphs</t>
        </is>
      </c>
      <c r="E3199" s="10" t="inlineStr">
        <is>
          <t>14:44 / 27:07 / 18:04</t>
        </is>
      </c>
      <c r="F3199" s="11" t="inlineStr">
        <is>
          <t>14:44</t>
        </is>
      </c>
      <c r="G3199" s="11" t="n">
        <v>0.25</v>
      </c>
      <c r="H3199" s="12" t="inlineStr"/>
      <c r="I3199" s="11" t="inlineStr">
        <is>
          <t>Not started</t>
        </is>
      </c>
      <c r="J3199" s="13" t="n"/>
      <c r="K3199" s="10" t="inlineStr"/>
      <c r="L3199" s="14" t="inlineStr">
        <is>
          <t>▶ watch</t>
        </is>
      </c>
      <c r="M3199" s="10" t="inlineStr"/>
      <c r="N3199" s="11" t="inlineStr"/>
      <c r="O3199" s="11" t="inlineStr">
        <is>
          <t>course lecture - no single paper</t>
        </is>
      </c>
      <c r="P3199" s="10" t="inlineStr"/>
    </row>
    <row r="3200">
      <c r="A3200" s="23" t="n">
        <v>3199</v>
      </c>
      <c r="B3200" s="23" t="inlineStr">
        <is>
          <t>Part VI - Appendices</t>
        </is>
      </c>
      <c r="C3200" s="24" t="inlineStr">
        <is>
          <t>B.7 Stanford CS224W - Machine Learning with Graphs (2021), 60 videos</t>
        </is>
      </c>
      <c r="D3200" s="10" t="inlineStr">
        <is>
          <t>Introduction to GNNs; deep learning basics; DL for graphs</t>
        </is>
      </c>
      <c r="E3200" s="10" t="inlineStr">
        <is>
          <t>10:31 / 29:31 / 35:41</t>
        </is>
      </c>
      <c r="F3200" s="11" t="inlineStr">
        <is>
          <t>10:31</t>
        </is>
      </c>
      <c r="G3200" s="11" t="n">
        <v>0.18</v>
      </c>
      <c r="H3200" s="12" t="inlineStr">
        <is>
          <t>★</t>
        </is>
      </c>
      <c r="I3200" s="11" t="inlineStr">
        <is>
          <t>Not started</t>
        </is>
      </c>
      <c r="J3200" s="13" t="n"/>
      <c r="K3200" s="10" t="inlineStr"/>
      <c r="L3200" s="14" t="inlineStr">
        <is>
          <t>▶ watch</t>
        </is>
      </c>
      <c r="M3200" s="10" t="inlineStr"/>
      <c r="N3200" s="11" t="inlineStr"/>
      <c r="O3200" s="11" t="inlineStr">
        <is>
          <t>course lecture - no single paper</t>
        </is>
      </c>
      <c r="P3200" s="10" t="inlineStr"/>
    </row>
    <row r="3201">
      <c r="A3201" s="23" t="n">
        <v>3200</v>
      </c>
      <c r="B3201" s="23" t="inlineStr">
        <is>
          <t>Part VI - Appendices</t>
        </is>
      </c>
      <c r="C3201" s="24" t="inlineStr">
        <is>
          <t>B.7 Stanford CS224W - Machine Learning with Graphs (2021), 60 videos</t>
        </is>
      </c>
      <c r="D3201" s="10" t="inlineStr">
        <is>
          <t>Introduction to GNNs; deep learning basics; DL for graphs</t>
        </is>
      </c>
      <c r="E3201" s="10" t="inlineStr">
        <is>
          <t>10:31 / 29:31 / 35:41</t>
        </is>
      </c>
      <c r="F3201" s="11" t="inlineStr">
        <is>
          <t>10:31</t>
        </is>
      </c>
      <c r="G3201" s="11" t="n">
        <v>0.18</v>
      </c>
      <c r="H3201" s="12" t="inlineStr">
        <is>
          <t>★</t>
        </is>
      </c>
      <c r="I3201" s="11" t="inlineStr">
        <is>
          <t>Not started</t>
        </is>
      </c>
      <c r="J3201" s="13" t="n"/>
      <c r="K3201" s="10" t="inlineStr"/>
      <c r="L3201" s="14" t="inlineStr">
        <is>
          <t>▶ watch</t>
        </is>
      </c>
      <c r="M3201" s="10" t="inlineStr"/>
      <c r="N3201" s="11" t="inlineStr"/>
      <c r="O3201" s="11" t="inlineStr">
        <is>
          <t>course lecture - no single paper</t>
        </is>
      </c>
      <c r="P3201" s="10" t="inlineStr"/>
    </row>
    <row r="3202">
      <c r="A3202" s="23" t="n">
        <v>3201</v>
      </c>
      <c r="B3202" s="23" t="inlineStr">
        <is>
          <t>Part VI - Appendices</t>
        </is>
      </c>
      <c r="C3202" s="24" t="inlineStr">
        <is>
          <t>B.7 Stanford CS224W - Machine Learning with Graphs (2021), 60 videos</t>
        </is>
      </c>
      <c r="D3202" s="10" t="inlineStr">
        <is>
          <t>Introduction to GNNs; deep learning basics; DL for graphs</t>
        </is>
      </c>
      <c r="E3202" s="10" t="inlineStr">
        <is>
          <t>10:31 / 29:31 / 35:41</t>
        </is>
      </c>
      <c r="F3202" s="11" t="inlineStr">
        <is>
          <t>10:31</t>
        </is>
      </c>
      <c r="G3202" s="11" t="n">
        <v>0.18</v>
      </c>
      <c r="H3202" s="12" t="inlineStr">
        <is>
          <t>★</t>
        </is>
      </c>
      <c r="I3202" s="11" t="inlineStr">
        <is>
          <t>Not started</t>
        </is>
      </c>
      <c r="J3202" s="13" t="n"/>
      <c r="K3202" s="10" t="inlineStr"/>
      <c r="L3202" s="14" t="inlineStr">
        <is>
          <t>▶ watch</t>
        </is>
      </c>
      <c r="M3202" s="10" t="inlineStr"/>
      <c r="N3202" s="11" t="inlineStr"/>
      <c r="O3202" s="11" t="inlineStr">
        <is>
          <t>course lecture - no single paper</t>
        </is>
      </c>
      <c r="P3202" s="10" t="inlineStr"/>
    </row>
    <row r="3203">
      <c r="A3203" s="23" t="n">
        <v>3202</v>
      </c>
      <c r="B3203" s="23" t="inlineStr">
        <is>
          <t>Part VI - Appendices</t>
        </is>
      </c>
      <c r="C3203" s="24" t="inlineStr">
        <is>
          <t>B.7 Stanford CS224W - Machine Learning with Graphs (2021), 60 videos</t>
        </is>
      </c>
      <c r="D3203" s="10" t="inlineStr">
        <is>
          <t>A general perspective on GNNs; a single layer; stacking layers</t>
        </is>
      </c>
      <c r="E3203" s="10" t="inlineStr">
        <is>
          <t>5:51 / 40:09 / 18:11</t>
        </is>
      </c>
      <c r="F3203" s="11" t="inlineStr">
        <is>
          <t>5:51</t>
        </is>
      </c>
      <c r="G3203" s="11" t="n">
        <v>0.1</v>
      </c>
      <c r="H3203" s="12" t="inlineStr"/>
      <c r="I3203" s="11" t="inlineStr">
        <is>
          <t>Not started</t>
        </is>
      </c>
      <c r="J3203" s="13" t="n"/>
      <c r="K3203" s="10" t="inlineStr"/>
      <c r="L3203" s="14" t="inlineStr">
        <is>
          <t>▶ watch</t>
        </is>
      </c>
      <c r="M3203" s="10" t="inlineStr"/>
      <c r="N3203" s="11" t="inlineStr"/>
      <c r="O3203" s="11" t="inlineStr">
        <is>
          <t>course lecture - no single paper</t>
        </is>
      </c>
      <c r="P3203" s="10" t="inlineStr"/>
    </row>
    <row r="3204">
      <c r="A3204" s="23" t="n">
        <v>3203</v>
      </c>
      <c r="B3204" s="23" t="inlineStr">
        <is>
          <t>Part VI - Appendices</t>
        </is>
      </c>
      <c r="C3204" s="24" t="inlineStr">
        <is>
          <t>B.7 Stanford CS224W - Machine Learning with Graphs (2021), 60 videos</t>
        </is>
      </c>
      <c r="D3204" s="10" t="inlineStr">
        <is>
          <t>A general perspective on GNNs; a single layer; stacking layers</t>
        </is>
      </c>
      <c r="E3204" s="10" t="inlineStr">
        <is>
          <t>5:51 / 40:09 / 18:11</t>
        </is>
      </c>
      <c r="F3204" s="11" t="inlineStr">
        <is>
          <t>5:51</t>
        </is>
      </c>
      <c r="G3204" s="11" t="n">
        <v>0.1</v>
      </c>
      <c r="H3204" s="12" t="inlineStr"/>
      <c r="I3204" s="11" t="inlineStr">
        <is>
          <t>Not started</t>
        </is>
      </c>
      <c r="J3204" s="13" t="n"/>
      <c r="K3204" s="10" t="inlineStr"/>
      <c r="L3204" s="14" t="inlineStr">
        <is>
          <t>▶ watch</t>
        </is>
      </c>
      <c r="M3204" s="10" t="inlineStr"/>
      <c r="N3204" s="11" t="inlineStr"/>
      <c r="O3204" s="11" t="inlineStr">
        <is>
          <t>course lecture - no single paper</t>
        </is>
      </c>
      <c r="P3204" s="10" t="inlineStr"/>
    </row>
    <row r="3205">
      <c r="A3205" s="23" t="n">
        <v>3204</v>
      </c>
      <c r="B3205" s="23" t="inlineStr">
        <is>
          <t>Part VI - Appendices</t>
        </is>
      </c>
      <c r="C3205" s="24" t="inlineStr">
        <is>
          <t>B.7 Stanford CS224W - Machine Learning with Graphs (2021), 60 videos</t>
        </is>
      </c>
      <c r="D3205" s="10" t="inlineStr">
        <is>
          <t>A general perspective on GNNs; a single layer; stacking layers</t>
        </is>
      </c>
      <c r="E3205" s="10" t="inlineStr">
        <is>
          <t>5:51 / 40:09 / 18:11</t>
        </is>
      </c>
      <c r="F3205" s="11" t="inlineStr">
        <is>
          <t>5:51</t>
        </is>
      </c>
      <c r="G3205" s="11" t="n">
        <v>0.1</v>
      </c>
      <c r="H3205" s="12" t="inlineStr"/>
      <c r="I3205" s="11" t="inlineStr">
        <is>
          <t>Not started</t>
        </is>
      </c>
      <c r="J3205" s="13" t="n"/>
      <c r="K3205" s="10" t="inlineStr"/>
      <c r="L3205" s="14" t="inlineStr">
        <is>
          <t>▶ watch</t>
        </is>
      </c>
      <c r="M3205" s="10" t="inlineStr"/>
      <c r="N3205" s="11" t="inlineStr"/>
      <c r="O3205" s="11" t="inlineStr">
        <is>
          <t>course lecture - no single paper</t>
        </is>
      </c>
      <c r="P3205" s="10" t="inlineStr"/>
    </row>
    <row r="3206">
      <c r="A3206" s="23" t="n">
        <v>3205</v>
      </c>
      <c r="B3206" s="23" t="inlineStr">
        <is>
          <t>Part VI - Appendices</t>
        </is>
      </c>
      <c r="C3206" s="24" t="inlineStr">
        <is>
          <t>B.7 Stanford CS224W - Machine Learning with Graphs (2021), 60 videos</t>
        </is>
      </c>
      <c r="D3206" s="10" t="inlineStr">
        <is>
          <t>Graph augmentation; training GNNs; prediction tasks</t>
        </is>
      </c>
      <c r="E3206" s="10" t="inlineStr">
        <is>
          <t>27:50 / 40:19 / 17:49</t>
        </is>
      </c>
      <c r="F3206" s="11" t="inlineStr">
        <is>
          <t>27:50</t>
        </is>
      </c>
      <c r="G3206" s="11" t="n">
        <v>0.46</v>
      </c>
      <c r="H3206" s="12" t="inlineStr"/>
      <c r="I3206" s="11" t="inlineStr">
        <is>
          <t>Not started</t>
        </is>
      </c>
      <c r="J3206" s="13" t="n"/>
      <c r="K3206" s="10" t="inlineStr"/>
      <c r="L3206" s="14" t="inlineStr">
        <is>
          <t>▶ watch</t>
        </is>
      </c>
      <c r="M3206" s="10" t="inlineStr"/>
      <c r="N3206" s="11" t="inlineStr"/>
      <c r="O3206" s="11" t="inlineStr">
        <is>
          <t>course lecture - no single paper</t>
        </is>
      </c>
      <c r="P3206" s="10" t="inlineStr"/>
    </row>
    <row r="3207">
      <c r="A3207" s="23" t="n">
        <v>3206</v>
      </c>
      <c r="B3207" s="23" t="inlineStr">
        <is>
          <t>Part VI - Appendices</t>
        </is>
      </c>
      <c r="C3207" s="24" t="inlineStr">
        <is>
          <t>B.7 Stanford CS224W - Machine Learning with Graphs (2021), 60 videos</t>
        </is>
      </c>
      <c r="D3207" s="10" t="inlineStr">
        <is>
          <t>Graph augmentation; training GNNs; prediction tasks</t>
        </is>
      </c>
      <c r="E3207" s="10" t="inlineStr">
        <is>
          <t>27:50 / 40:19 / 17:49</t>
        </is>
      </c>
      <c r="F3207" s="11" t="inlineStr">
        <is>
          <t>27:50</t>
        </is>
      </c>
      <c r="G3207" s="11" t="n">
        <v>0.46</v>
      </c>
      <c r="H3207" s="12" t="inlineStr"/>
      <c r="I3207" s="11" t="inlineStr">
        <is>
          <t>Not started</t>
        </is>
      </c>
      <c r="J3207" s="13" t="n"/>
      <c r="K3207" s="10" t="inlineStr"/>
      <c r="L3207" s="14" t="inlineStr">
        <is>
          <t>▶ watch</t>
        </is>
      </c>
      <c r="M3207" s="10" t="inlineStr"/>
      <c r="N3207" s="11" t="inlineStr"/>
      <c r="O3207" s="11" t="inlineStr">
        <is>
          <t>course lecture - no single paper</t>
        </is>
      </c>
      <c r="P3207" s="10" t="inlineStr"/>
    </row>
    <row r="3208">
      <c r="A3208" s="23" t="n">
        <v>3207</v>
      </c>
      <c r="B3208" s="23" t="inlineStr">
        <is>
          <t>Part VI - Appendices</t>
        </is>
      </c>
      <c r="C3208" s="24" t="inlineStr">
        <is>
          <t>B.7 Stanford CS224W - Machine Learning with Graphs (2021), 60 videos</t>
        </is>
      </c>
      <c r="D3208" s="10" t="inlineStr">
        <is>
          <t>Graph augmentation; training GNNs; prediction tasks</t>
        </is>
      </c>
      <c r="E3208" s="10" t="inlineStr">
        <is>
          <t>27:50 / 40:19 / 17:49</t>
        </is>
      </c>
      <c r="F3208" s="11" t="inlineStr">
        <is>
          <t>27:50</t>
        </is>
      </c>
      <c r="G3208" s="11" t="n">
        <v>0.46</v>
      </c>
      <c r="H3208" s="12" t="inlineStr"/>
      <c r="I3208" s="11" t="inlineStr">
        <is>
          <t>Not started</t>
        </is>
      </c>
      <c r="J3208" s="13" t="n"/>
      <c r="K3208" s="10" t="inlineStr"/>
      <c r="L3208" s="14" t="inlineStr">
        <is>
          <t>▶ watch</t>
        </is>
      </c>
      <c r="M3208" s="10" t="inlineStr"/>
      <c r="N3208" s="11" t="inlineStr"/>
      <c r="O3208" s="11" t="inlineStr">
        <is>
          <t>course lecture - no single paper</t>
        </is>
      </c>
      <c r="P3208" s="10" t="inlineStr"/>
    </row>
    <row r="3209">
      <c r="A3209" s="23" t="n">
        <v>3208</v>
      </c>
      <c r="B3209" s="23" t="inlineStr">
        <is>
          <t>Part VI - Appendices</t>
        </is>
      </c>
      <c r="C3209" s="24" t="inlineStr">
        <is>
          <t>B.7 Stanford CS224W - Machine Learning with Graphs (2021), 60 videos</t>
        </is>
      </c>
      <c r="D3209" s="10" t="inlineStr">
        <is>
          <t>How expressive are GNNs; designing the most powerful GNNs</t>
        </is>
      </c>
      <c r="E3209" s="10" t="inlineStr">
        <is>
          <t>25:21 / 31:52</t>
        </is>
      </c>
      <c r="F3209" s="11" t="inlineStr">
        <is>
          <t>25:21</t>
        </is>
      </c>
      <c r="G3209" s="11" t="n">
        <v>0.42</v>
      </c>
      <c r="H3209" s="12" t="inlineStr">
        <is>
          <t>★</t>
        </is>
      </c>
      <c r="I3209" s="11" t="inlineStr">
        <is>
          <t>Not started</t>
        </is>
      </c>
      <c r="J3209" s="13" t="n"/>
      <c r="K3209" s="10" t="inlineStr"/>
      <c r="L3209" s="14" t="inlineStr">
        <is>
          <t>▶ watch</t>
        </is>
      </c>
      <c r="M3209" s="10" t="inlineStr"/>
      <c r="N3209" s="11" t="inlineStr"/>
      <c r="O3209" s="11" t="inlineStr">
        <is>
          <t>course lecture - no single paper</t>
        </is>
      </c>
      <c r="P3209" s="10" t="inlineStr"/>
    </row>
    <row r="3210">
      <c r="A3210" s="23" t="n">
        <v>3209</v>
      </c>
      <c r="B3210" s="23" t="inlineStr">
        <is>
          <t>Part VI - Appendices</t>
        </is>
      </c>
      <c r="C3210" s="24" t="inlineStr">
        <is>
          <t>B.7 Stanford CS224W - Machine Learning with Graphs (2021), 60 videos</t>
        </is>
      </c>
      <c r="D3210" s="10" t="inlineStr">
        <is>
          <t>How expressive are GNNs; designing the most powerful GNNs</t>
        </is>
      </c>
      <c r="E3210" s="10" t="inlineStr">
        <is>
          <t>25:21 / 31:52</t>
        </is>
      </c>
      <c r="F3210" s="11" t="inlineStr">
        <is>
          <t>25:21</t>
        </is>
      </c>
      <c r="G3210" s="11" t="n">
        <v>0.42</v>
      </c>
      <c r="H3210" s="12" t="inlineStr">
        <is>
          <t>★</t>
        </is>
      </c>
      <c r="I3210" s="11" t="inlineStr">
        <is>
          <t>Not started</t>
        </is>
      </c>
      <c r="J3210" s="13" t="n"/>
      <c r="K3210" s="10" t="inlineStr"/>
      <c r="L3210" s="14" t="inlineStr">
        <is>
          <t>▶ watch</t>
        </is>
      </c>
      <c r="M3210" s="10" t="inlineStr"/>
      <c r="N3210" s="11" t="inlineStr"/>
      <c r="O3210" s="11" t="inlineStr">
        <is>
          <t>course lecture - no single paper</t>
        </is>
      </c>
      <c r="P3210" s="10" t="inlineStr"/>
    </row>
    <row r="3211">
      <c r="A3211" s="23" t="n">
        <v>3210</v>
      </c>
      <c r="B3211" s="23" t="inlineStr">
        <is>
          <t>Part VI - Appendices</t>
        </is>
      </c>
      <c r="C3211" s="24" t="inlineStr">
        <is>
          <t>B.7 Stanford CS224W - Machine Learning with Graphs (2021), 60 videos</t>
        </is>
      </c>
      <c r="D3211" s="10" t="inlineStr">
        <is>
          <t>Deep generative models for graphs; GraphRNN; scaling; applications</t>
        </is>
      </c>
      <c r="E3211" s="10" t="inlineStr">
        <is>
          <t>15:44 / 24:52 / 15:29 / 13:35</t>
        </is>
      </c>
      <c r="F3211" s="11" t="inlineStr">
        <is>
          <t>15:44</t>
        </is>
      </c>
      <c r="G3211" s="11" t="n">
        <v>0.26</v>
      </c>
      <c r="H3211" s="12" t="inlineStr"/>
      <c r="I3211" s="11" t="inlineStr">
        <is>
          <t>Not started</t>
        </is>
      </c>
      <c r="J3211" s="13" t="n"/>
      <c r="K3211" s="10" t="inlineStr"/>
      <c r="L3211" s="14" t="inlineStr">
        <is>
          <t>▶ watch</t>
        </is>
      </c>
      <c r="M3211" s="10" t="inlineStr"/>
      <c r="N3211" s="11" t="inlineStr"/>
      <c r="O3211" s="11" t="inlineStr">
        <is>
          <t>course lecture - no single paper</t>
        </is>
      </c>
      <c r="P3211" s="10" t="inlineStr"/>
    </row>
    <row r="3212">
      <c r="A3212" s="23" t="n">
        <v>3211</v>
      </c>
      <c r="B3212" s="23" t="inlineStr">
        <is>
          <t>Part VI - Appendices</t>
        </is>
      </c>
      <c r="C3212" s="24" t="inlineStr">
        <is>
          <t>B.7 Stanford CS224W - Machine Learning with Graphs (2021), 60 videos</t>
        </is>
      </c>
      <c r="D3212" s="10" t="inlineStr">
        <is>
          <t>Deep generative models for graphs; GraphRNN; scaling; applications</t>
        </is>
      </c>
      <c r="E3212" s="10" t="inlineStr">
        <is>
          <t>15:44 / 24:52 / 15:29 / 13:35</t>
        </is>
      </c>
      <c r="F3212" s="11" t="inlineStr">
        <is>
          <t>15:44</t>
        </is>
      </c>
      <c r="G3212" s="11" t="n">
        <v>0.26</v>
      </c>
      <c r="H3212" s="12" t="inlineStr"/>
      <c r="I3212" s="11" t="inlineStr">
        <is>
          <t>Not started</t>
        </is>
      </c>
      <c r="J3212" s="13" t="n"/>
      <c r="K3212" s="10" t="inlineStr"/>
      <c r="L3212" s="14" t="inlineStr">
        <is>
          <t>▶ watch</t>
        </is>
      </c>
      <c r="M3212" s="10" t="inlineStr"/>
      <c r="N3212" s="11" t="inlineStr"/>
      <c r="O3212" s="11" t="inlineStr">
        <is>
          <t>course lecture - no single paper</t>
        </is>
      </c>
      <c r="P3212" s="10" t="inlineStr"/>
    </row>
    <row r="3213">
      <c r="A3213" s="23" t="n">
        <v>3212</v>
      </c>
      <c r="B3213" s="23" t="inlineStr">
        <is>
          <t>Part VI - Appendices</t>
        </is>
      </c>
      <c r="C3213" s="24" t="inlineStr">
        <is>
          <t>B.7 Stanford CS224W - Machine Learning with Graphs (2021), 60 videos</t>
        </is>
      </c>
      <c r="D3213" s="10" t="inlineStr">
        <is>
          <t>Deep generative models for graphs; GraphRNN; scaling; applications</t>
        </is>
      </c>
      <c r="E3213" s="10" t="inlineStr">
        <is>
          <t>15:44 / 24:52 / 15:29 / 13:35</t>
        </is>
      </c>
      <c r="F3213" s="11" t="inlineStr">
        <is>
          <t>15:44</t>
        </is>
      </c>
      <c r="G3213" s="11" t="n">
        <v>0.26</v>
      </c>
      <c r="H3213" s="12" t="inlineStr"/>
      <c r="I3213" s="11" t="inlineStr">
        <is>
          <t>Not started</t>
        </is>
      </c>
      <c r="J3213" s="13" t="n"/>
      <c r="K3213" s="10" t="inlineStr"/>
      <c r="L3213" s="14" t="inlineStr">
        <is>
          <t>▶ watch</t>
        </is>
      </c>
      <c r="M3213" s="10" t="inlineStr"/>
      <c r="N3213" s="11" t="inlineStr"/>
      <c r="O3213" s="11" t="inlineStr">
        <is>
          <t>course lecture - no single paper</t>
        </is>
      </c>
      <c r="P3213" s="10" t="inlineStr"/>
    </row>
    <row r="3214">
      <c r="A3214" s="23" t="n">
        <v>3213</v>
      </c>
      <c r="B3214" s="23" t="inlineStr">
        <is>
          <t>Part VI - Appendices</t>
        </is>
      </c>
      <c r="C3214" s="24" t="inlineStr">
        <is>
          <t>B.7 Stanford CS224W - Machine Learning with Graphs (2021), 60 videos</t>
        </is>
      </c>
      <c r="D3214" s="10" t="inlineStr">
        <is>
          <t>Deep generative models for graphs; GraphRNN; scaling; applications</t>
        </is>
      </c>
      <c r="E3214" s="10" t="inlineStr">
        <is>
          <t>15:44 / 24:52 / 15:29 / 13:35</t>
        </is>
      </c>
      <c r="F3214" s="11" t="inlineStr">
        <is>
          <t>15:44</t>
        </is>
      </c>
      <c r="G3214" s="11" t="n">
        <v>0.26</v>
      </c>
      <c r="H3214" s="12" t="inlineStr"/>
      <c r="I3214" s="11" t="inlineStr">
        <is>
          <t>Not started</t>
        </is>
      </c>
      <c r="J3214" s="13" t="n"/>
      <c r="K3214" s="10" t="inlineStr"/>
      <c r="L3214" s="14" t="inlineStr">
        <is>
          <t>▶ watch</t>
        </is>
      </c>
      <c r="M3214" s="10" t="inlineStr"/>
      <c r="N3214" s="11" t="inlineStr"/>
      <c r="O3214" s="11" t="inlineStr">
        <is>
          <t>course lecture - no single paper</t>
        </is>
      </c>
      <c r="P3214" s="10" t="inlineStr"/>
    </row>
    <row r="3215">
      <c r="A3215" s="23" t="n">
        <v>3214</v>
      </c>
      <c r="B3215" s="23" t="inlineStr">
        <is>
          <t>Part VI - Appendices</t>
        </is>
      </c>
      <c r="C3215" s="24" t="inlineStr">
        <is>
          <t>B.7 Stanford CS224W - Machine Learning with Graphs (2021), 60 videos</t>
        </is>
      </c>
      <c r="D3215" s="10" t="inlineStr">
        <is>
          <t>Limitations of GNNs; position-aware; identity-aware; robustness</t>
        </is>
      </c>
      <c r="E3215" s="10" t="inlineStr">
        <is>
          <t>11:10 / 12:41 / 20:01 / 22:39</t>
        </is>
      </c>
      <c r="F3215" s="11" t="inlineStr">
        <is>
          <t>11:10</t>
        </is>
      </c>
      <c r="G3215" s="11" t="n">
        <v>0.19</v>
      </c>
      <c r="H3215" s="12" t="inlineStr">
        <is>
          <t>★</t>
        </is>
      </c>
      <c r="I3215" s="11" t="inlineStr">
        <is>
          <t>Not started</t>
        </is>
      </c>
      <c r="J3215" s="13" t="n"/>
      <c r="K3215" s="10" t="inlineStr"/>
      <c r="L3215" s="14" t="inlineStr">
        <is>
          <t>▶ watch</t>
        </is>
      </c>
      <c r="M3215" s="10" t="inlineStr"/>
      <c r="N3215" s="11" t="inlineStr"/>
      <c r="O3215" s="11" t="inlineStr">
        <is>
          <t>course lecture - no single paper</t>
        </is>
      </c>
      <c r="P3215" s="10" t="inlineStr"/>
    </row>
    <row r="3216">
      <c r="A3216" s="23" t="n">
        <v>3215</v>
      </c>
      <c r="B3216" s="23" t="inlineStr">
        <is>
          <t>Part VI - Appendices</t>
        </is>
      </c>
      <c r="C3216" s="24" t="inlineStr">
        <is>
          <t>B.7 Stanford CS224W - Machine Learning with Graphs (2021), 60 videos</t>
        </is>
      </c>
      <c r="D3216" s="10" t="inlineStr">
        <is>
          <t>Limitations of GNNs; position-aware; identity-aware; robustness</t>
        </is>
      </c>
      <c r="E3216" s="10" t="inlineStr">
        <is>
          <t>11:10 / 12:41 / 20:01 / 22:39</t>
        </is>
      </c>
      <c r="F3216" s="11" t="inlineStr">
        <is>
          <t>11:10</t>
        </is>
      </c>
      <c r="G3216" s="11" t="n">
        <v>0.19</v>
      </c>
      <c r="H3216" s="12" t="inlineStr">
        <is>
          <t>★</t>
        </is>
      </c>
      <c r="I3216" s="11" t="inlineStr">
        <is>
          <t>Not started</t>
        </is>
      </c>
      <c r="J3216" s="13" t="n"/>
      <c r="K3216" s="10" t="inlineStr"/>
      <c r="L3216" s="14" t="inlineStr">
        <is>
          <t>▶ watch</t>
        </is>
      </c>
      <c r="M3216" s="10" t="inlineStr"/>
      <c r="N3216" s="11" t="inlineStr"/>
      <c r="O3216" s="11" t="inlineStr">
        <is>
          <t>course lecture - no single paper</t>
        </is>
      </c>
      <c r="P3216" s="10" t="inlineStr"/>
    </row>
    <row r="3217">
      <c r="A3217" s="23" t="n">
        <v>3216</v>
      </c>
      <c r="B3217" s="23" t="inlineStr">
        <is>
          <t>Part VI - Appendices</t>
        </is>
      </c>
      <c r="C3217" s="24" t="inlineStr">
        <is>
          <t>B.7 Stanford CS224W - Machine Learning with Graphs (2021), 60 videos</t>
        </is>
      </c>
      <c r="D3217" s="10" t="inlineStr">
        <is>
          <t>Limitations of GNNs; position-aware; identity-aware; robustness</t>
        </is>
      </c>
      <c r="E3217" s="10" t="inlineStr">
        <is>
          <t>11:10 / 12:41 / 20:01 / 22:39</t>
        </is>
      </c>
      <c r="F3217" s="11" t="inlineStr">
        <is>
          <t>11:10</t>
        </is>
      </c>
      <c r="G3217" s="11" t="n">
        <v>0.19</v>
      </c>
      <c r="H3217" s="12" t="inlineStr">
        <is>
          <t>★</t>
        </is>
      </c>
      <c r="I3217" s="11" t="inlineStr">
        <is>
          <t>Not started</t>
        </is>
      </c>
      <c r="J3217" s="13" t="n"/>
      <c r="K3217" s="10" t="inlineStr"/>
      <c r="L3217" s="14" t="inlineStr">
        <is>
          <t>▶ watch</t>
        </is>
      </c>
      <c r="M3217" s="10" t="inlineStr"/>
      <c r="N3217" s="11" t="inlineStr"/>
      <c r="O3217" s="11" t="inlineStr">
        <is>
          <t>course lecture - no single paper</t>
        </is>
      </c>
      <c r="P3217" s="10" t="inlineStr"/>
    </row>
    <row r="3218">
      <c r="A3218" s="23" t="n">
        <v>3217</v>
      </c>
      <c r="B3218" s="23" t="inlineStr">
        <is>
          <t>Part VI - Appendices</t>
        </is>
      </c>
      <c r="C3218" s="24" t="inlineStr">
        <is>
          <t>B.7 Stanford CS224W - Machine Learning with Graphs (2021), 60 videos</t>
        </is>
      </c>
      <c r="D3218" s="10" t="inlineStr">
        <is>
          <t>Limitations of GNNs; position-aware; identity-aware; robustness</t>
        </is>
      </c>
      <c r="E3218" s="10" t="inlineStr">
        <is>
          <t>11:10 / 12:41 / 20:01 / 22:39</t>
        </is>
      </c>
      <c r="F3218" s="11" t="inlineStr">
        <is>
          <t>11:10</t>
        </is>
      </c>
      <c r="G3218" s="11" t="n">
        <v>0.19</v>
      </c>
      <c r="H3218" s="12" t="inlineStr">
        <is>
          <t>★</t>
        </is>
      </c>
      <c r="I3218" s="11" t="inlineStr">
        <is>
          <t>Not started</t>
        </is>
      </c>
      <c r="J3218" s="13" t="n"/>
      <c r="K3218" s="10" t="inlineStr"/>
      <c r="L3218" s="14" t="inlineStr">
        <is>
          <t>▶ watch</t>
        </is>
      </c>
      <c r="M3218" s="10" t="inlineStr"/>
      <c r="N3218" s="11" t="inlineStr"/>
      <c r="O3218" s="11" t="inlineStr">
        <is>
          <t>course lecture - no single paper</t>
        </is>
      </c>
      <c r="P3218" s="10" t="inlineStr"/>
    </row>
    <row r="3219">
      <c r="A3219" s="23" t="n">
        <v>3218</v>
      </c>
      <c r="B3219" s="23" t="inlineStr">
        <is>
          <t>Part VI - Appendices</t>
        </is>
      </c>
      <c r="C3219" s="24" t="inlineStr">
        <is>
          <t>B.7 Stanford CS224W - Machine Learning with Graphs (2021), 60 videos</t>
        </is>
      </c>
      <c r="D3219" s="10" t="inlineStr">
        <is>
          <t>Scaling up GNNs; GraphSAGE sampling; Cluster-GCN; simplifying</t>
        </is>
      </c>
      <c r="E3219" s="10" t="inlineStr">
        <is>
          <t>14:51 / 16:50 / 19:18 / 18:40</t>
        </is>
      </c>
      <c r="F3219" s="11" t="inlineStr">
        <is>
          <t>14:51</t>
        </is>
      </c>
      <c r="G3219" s="11" t="n">
        <v>0.25</v>
      </c>
      <c r="H3219" s="12" t="inlineStr"/>
      <c r="I3219" s="11" t="inlineStr">
        <is>
          <t>Not started</t>
        </is>
      </c>
      <c r="J3219" s="13" t="n"/>
      <c r="K3219" s="10" t="inlineStr"/>
      <c r="L3219" s="14" t="inlineStr">
        <is>
          <t>▶ watch</t>
        </is>
      </c>
      <c r="M3219" s="10" t="inlineStr"/>
      <c r="N3219" s="11" t="inlineStr"/>
      <c r="O3219" s="11" t="inlineStr">
        <is>
          <t>course lecture - no single paper</t>
        </is>
      </c>
      <c r="P3219" s="10" t="inlineStr"/>
    </row>
    <row r="3220">
      <c r="A3220" s="23" t="n">
        <v>3219</v>
      </c>
      <c r="B3220" s="23" t="inlineStr">
        <is>
          <t>Part VI - Appendices</t>
        </is>
      </c>
      <c r="C3220" s="24" t="inlineStr">
        <is>
          <t>B.7 Stanford CS224W - Machine Learning with Graphs (2021), 60 videos</t>
        </is>
      </c>
      <c r="D3220" s="10" t="inlineStr">
        <is>
          <t>Scaling up GNNs; GraphSAGE sampling; Cluster-GCN; simplifying</t>
        </is>
      </c>
      <c r="E3220" s="10" t="inlineStr">
        <is>
          <t>14:51 / 16:50 / 19:18 / 18:40</t>
        </is>
      </c>
      <c r="F3220" s="11" t="inlineStr">
        <is>
          <t>14:51</t>
        </is>
      </c>
      <c r="G3220" s="11" t="n">
        <v>0.25</v>
      </c>
      <c r="H3220" s="12" t="inlineStr"/>
      <c r="I3220" s="11" t="inlineStr">
        <is>
          <t>Not started</t>
        </is>
      </c>
      <c r="J3220" s="13" t="n"/>
      <c r="K3220" s="10" t="inlineStr"/>
      <c r="L3220" s="14" t="inlineStr">
        <is>
          <t>▶ watch</t>
        </is>
      </c>
      <c r="M3220" s="10" t="inlineStr"/>
      <c r="N3220" s="11" t="inlineStr"/>
      <c r="O3220" s="11" t="inlineStr">
        <is>
          <t>course lecture - no single paper</t>
        </is>
      </c>
      <c r="P3220" s="10" t="inlineStr"/>
    </row>
    <row r="3221">
      <c r="A3221" s="23" t="n">
        <v>3220</v>
      </c>
      <c r="B3221" s="23" t="inlineStr">
        <is>
          <t>Part VI - Appendices</t>
        </is>
      </c>
      <c r="C3221" s="24" t="inlineStr">
        <is>
          <t>B.7 Stanford CS224W - Machine Learning with Graphs (2021), 60 videos</t>
        </is>
      </c>
      <c r="D3221" s="10" t="inlineStr">
        <is>
          <t>Scaling up GNNs; GraphSAGE sampling; Cluster-GCN; simplifying</t>
        </is>
      </c>
      <c r="E3221" s="10" t="inlineStr">
        <is>
          <t>14:51 / 16:50 / 19:18 / 18:40</t>
        </is>
      </c>
      <c r="F3221" s="11" t="inlineStr">
        <is>
          <t>14:51</t>
        </is>
      </c>
      <c r="G3221" s="11" t="n">
        <v>0.25</v>
      </c>
      <c r="H3221" s="12" t="inlineStr"/>
      <c r="I3221" s="11" t="inlineStr">
        <is>
          <t>Not started</t>
        </is>
      </c>
      <c r="J3221" s="13" t="n"/>
      <c r="K3221" s="10" t="inlineStr"/>
      <c r="L3221" s="14" t="inlineStr">
        <is>
          <t>▶ watch</t>
        </is>
      </c>
      <c r="M3221" s="10" t="inlineStr"/>
      <c r="N3221" s="11" t="inlineStr"/>
      <c r="O3221" s="11" t="inlineStr">
        <is>
          <t>course lecture - no single paper</t>
        </is>
      </c>
      <c r="P3221" s="10" t="inlineStr"/>
    </row>
    <row r="3222">
      <c r="A3222" s="23" t="n">
        <v>3221</v>
      </c>
      <c r="B3222" s="23" t="inlineStr">
        <is>
          <t>Part VI - Appendices</t>
        </is>
      </c>
      <c r="C3222" s="24" t="inlineStr">
        <is>
          <t>B.7 Stanford CS224W - Machine Learning with Graphs (2021), 60 videos</t>
        </is>
      </c>
      <c r="D3222" s="10" t="inlineStr">
        <is>
          <t>Scaling up GNNs; GraphSAGE sampling; Cluster-GCN; simplifying</t>
        </is>
      </c>
      <c r="E3222" s="10" t="inlineStr">
        <is>
          <t>14:51 / 16:50 / 19:18 / 18:40</t>
        </is>
      </c>
      <c r="F3222" s="11" t="inlineStr">
        <is>
          <t>14:51</t>
        </is>
      </c>
      <c r="G3222" s="11" t="n">
        <v>0.25</v>
      </c>
      <c r="H3222" s="12" t="inlineStr"/>
      <c r="I3222" s="11" t="inlineStr">
        <is>
          <t>Not started</t>
        </is>
      </c>
      <c r="J3222" s="13" t="n"/>
      <c r="K3222" s="10" t="inlineStr"/>
      <c r="L3222" s="14" t="inlineStr">
        <is>
          <t>▶ watch</t>
        </is>
      </c>
      <c r="M3222" s="10" t="inlineStr"/>
      <c r="N3222" s="11" t="inlineStr"/>
      <c r="O3222" s="11" t="inlineStr">
        <is>
          <t>course lecture - no single paper</t>
        </is>
      </c>
      <c r="P3222" s="10" t="inlineStr"/>
    </row>
    <row r="3223">
      <c r="A3223" s="23" t="n">
        <v>3222</v>
      </c>
      <c r="B3223" s="23" t="inlineStr">
        <is>
          <t>Part VI - Appendices</t>
        </is>
      </c>
      <c r="C3223" s="24" t="inlineStr">
        <is>
          <t>B.7 Stanford CS224W - Machine Learning with Graphs (2021), 60 videos</t>
        </is>
      </c>
      <c r="D3223" s="10" t="inlineStr">
        <is>
          <t>GNNs in Computational Biology (Zitnik</t>
        </is>
      </c>
      <c r="E3223" s="10" t="inlineStr"/>
      <c r="F3223" s="11" t="inlineStr">
        <is>
          <t>1:21:19</t>
        </is>
      </c>
      <c r="G3223" s="11" t="n">
        <v>1.36</v>
      </c>
      <c r="H3223" s="12" t="inlineStr">
        <is>
          <t>★</t>
        </is>
      </c>
      <c r="I3223" s="11" t="inlineStr">
        <is>
          <t>Not started</t>
        </is>
      </c>
      <c r="J3223" s="13" t="n"/>
      <c r="K3223" s="10" t="inlineStr"/>
      <c r="L3223" s="14" t="inlineStr">
        <is>
          <t>▶ watch</t>
        </is>
      </c>
      <c r="M3223" s="10" t="inlineStr"/>
      <c r="N3223" s="11" t="inlineStr"/>
      <c r="O3223" s="11" t="inlineStr">
        <is>
          <t>course lecture - no single paper</t>
        </is>
      </c>
      <c r="P3223" s="10" t="inlineStr"/>
    </row>
    <row r="3224">
      <c r="A3224" s="23" t="n">
        <v>3223</v>
      </c>
      <c r="B3224" s="23" t="inlineStr">
        <is>
          <t>Part VI - Appendices</t>
        </is>
      </c>
      <c r="C3224" s="24" t="inlineStr">
        <is>
          <t>B.7 Stanford CS224W - Machine Learning with Graphs (2021), 60 videos</t>
        </is>
      </c>
      <c r="D3224" s="10" t="inlineStr">
        <is>
          <t>Pre-training GNNs; hyperbolic embeddings; GNN design space</t>
        </is>
      </c>
      <c r="E3224" s="10" t="inlineStr">
        <is>
          <t>20:07 / 31:47 / 18:10</t>
        </is>
      </c>
      <c r="F3224" s="11" t="inlineStr">
        <is>
          <t>20:07</t>
        </is>
      </c>
      <c r="G3224" s="11" t="n">
        <v>0.34</v>
      </c>
      <c r="H3224" s="12" t="inlineStr"/>
      <c r="I3224" s="11" t="inlineStr">
        <is>
          <t>Not started</t>
        </is>
      </c>
      <c r="J3224" s="13" t="n"/>
      <c r="K3224" s="10" t="inlineStr"/>
      <c r="L3224" s="14" t="inlineStr">
        <is>
          <t>▶ watch</t>
        </is>
      </c>
      <c r="M3224" s="10" t="inlineStr"/>
      <c r="N3224" s="11" t="inlineStr"/>
      <c r="O3224" s="11" t="inlineStr">
        <is>
          <t>course lecture - no single paper</t>
        </is>
      </c>
      <c r="P3224" s="10" t="inlineStr"/>
    </row>
    <row r="3225">
      <c r="A3225" s="23" t="n">
        <v>3224</v>
      </c>
      <c r="B3225" s="23" t="inlineStr">
        <is>
          <t>Part VI - Appendices</t>
        </is>
      </c>
      <c r="C3225" s="24" t="inlineStr">
        <is>
          <t>B.7 Stanford CS224W - Machine Learning with Graphs (2021), 60 videos</t>
        </is>
      </c>
      <c r="D3225" s="10" t="inlineStr">
        <is>
          <t>Pre-training GNNs; hyperbolic embeddings; GNN design space</t>
        </is>
      </c>
      <c r="E3225" s="10" t="inlineStr">
        <is>
          <t>20:07 / 31:47 / 18:10</t>
        </is>
      </c>
      <c r="F3225" s="11" t="inlineStr">
        <is>
          <t>20:07</t>
        </is>
      </c>
      <c r="G3225" s="11" t="n">
        <v>0.34</v>
      </c>
      <c r="H3225" s="12" t="inlineStr"/>
      <c r="I3225" s="11" t="inlineStr">
        <is>
          <t>Not started</t>
        </is>
      </c>
      <c r="J3225" s="13" t="n"/>
      <c r="K3225" s="10" t="inlineStr"/>
      <c r="L3225" s="14" t="inlineStr">
        <is>
          <t>▶ watch</t>
        </is>
      </c>
      <c r="M3225" s="10" t="inlineStr"/>
      <c r="N3225" s="11" t="inlineStr"/>
      <c r="O3225" s="11" t="inlineStr">
        <is>
          <t>course lecture - no single paper</t>
        </is>
      </c>
      <c r="P3225" s="10" t="inlineStr"/>
    </row>
    <row r="3226">
      <c r="A3226" s="23" t="n">
        <v>3225</v>
      </c>
      <c r="B3226" s="23" t="inlineStr">
        <is>
          <t>Part VI - Appendices</t>
        </is>
      </c>
      <c r="C3226" s="24" t="inlineStr">
        <is>
          <t>B.7 Stanford CS224W - Machine Learning with Graphs (2021), 60 videos</t>
        </is>
      </c>
      <c r="D3226" s="10" t="inlineStr">
        <is>
          <t>Pre-training GNNs; hyperbolic embeddings; GNN design space</t>
        </is>
      </c>
      <c r="E3226" s="10" t="inlineStr">
        <is>
          <t>20:07 / 31:47 / 18:10</t>
        </is>
      </c>
      <c r="F3226" s="11" t="inlineStr">
        <is>
          <t>20:07</t>
        </is>
      </c>
      <c r="G3226" s="11" t="n">
        <v>0.34</v>
      </c>
      <c r="H3226" s="12" t="inlineStr"/>
      <c r="I3226" s="11" t="inlineStr">
        <is>
          <t>Not started</t>
        </is>
      </c>
      <c r="J3226" s="13" t="n"/>
      <c r="K3226" s="10" t="inlineStr"/>
      <c r="L3226" s="14" t="inlineStr">
        <is>
          <t>▶ watch</t>
        </is>
      </c>
      <c r="M3226" s="10" t="inlineStr"/>
      <c r="N3226" s="11" t="inlineStr"/>
      <c r="O3226" s="11" t="inlineStr">
        <is>
          <t>course lecture - no single paper</t>
        </is>
      </c>
      <c r="P3226" s="10" t="inlineStr"/>
    </row>
    <row r="3227">
      <c r="A3227" s="23" t="n">
        <v>3226</v>
      </c>
      <c r="B3227" s="23" t="inlineStr">
        <is>
          <t>Part VI - Appendices</t>
        </is>
      </c>
      <c r="C3227" s="24" t="inlineStr">
        <is>
          <t>B.8 Stanford CS236 - Deep Generative Models (Autumn 2023), 18 lectures</t>
        </is>
      </c>
      <c r="D3227" s="10" t="inlineStr">
        <is>
          <t>Introduction</t>
        </is>
      </c>
      <c r="E3227" s="10" t="inlineStr"/>
      <c r="F3227" s="11" t="inlineStr">
        <is>
          <t>57:28</t>
        </is>
      </c>
      <c r="G3227" s="11" t="n">
        <v>0.96</v>
      </c>
      <c r="H3227" s="12" t="inlineStr"/>
      <c r="I3227" s="11" t="inlineStr">
        <is>
          <t>Not started</t>
        </is>
      </c>
      <c r="J3227" s="13" t="n"/>
      <c r="K3227" s="10" t="inlineStr"/>
      <c r="L3227" s="14" t="inlineStr">
        <is>
          <t>▶ watch</t>
        </is>
      </c>
      <c r="M3227" s="10" t="inlineStr"/>
      <c r="N3227" s="11" t="inlineStr"/>
      <c r="O3227" s="11" t="inlineStr">
        <is>
          <t>course lecture - no single paper</t>
        </is>
      </c>
      <c r="P3227" s="10" t="inlineStr"/>
    </row>
    <row r="3228">
      <c r="A3228" s="23" t="n">
        <v>3227</v>
      </c>
      <c r="B3228" s="23" t="inlineStr">
        <is>
          <t>Part VI - Appendices</t>
        </is>
      </c>
      <c r="C3228" s="24" t="inlineStr">
        <is>
          <t>B.8 Stanford CS236 - Deep Generative Models (Autumn 2023), 18 lectures</t>
        </is>
      </c>
      <c r="D3228" s="10" t="inlineStr">
        <is>
          <t>Background</t>
        </is>
      </c>
      <c r="E3228" s="10" t="inlineStr"/>
      <c r="F3228" s="11" t="inlineStr">
        <is>
          <t>1:20:09</t>
        </is>
      </c>
      <c r="G3228" s="11" t="n">
        <v>1.34</v>
      </c>
      <c r="H3228" s="12" t="inlineStr"/>
      <c r="I3228" s="11" t="inlineStr">
        <is>
          <t>Not started</t>
        </is>
      </c>
      <c r="J3228" s="13" t="n"/>
      <c r="K3228" s="10" t="inlineStr"/>
      <c r="L3228" s="14" t="inlineStr">
        <is>
          <t>▶ watch</t>
        </is>
      </c>
      <c r="M3228" s="10" t="inlineStr"/>
      <c r="N3228" s="11" t="inlineStr"/>
      <c r="O3228" s="11" t="inlineStr">
        <is>
          <t>course lecture - no single paper</t>
        </is>
      </c>
      <c r="P3228" s="10" t="inlineStr"/>
    </row>
    <row r="3229">
      <c r="A3229" s="23" t="n">
        <v>3228</v>
      </c>
      <c r="B3229" s="23" t="inlineStr">
        <is>
          <t>Part VI - Appendices</t>
        </is>
      </c>
      <c r="C3229" s="24" t="inlineStr">
        <is>
          <t>B.8 Stanford CS236 - Deep Generative Models (Autumn 2023), 18 lectures</t>
        </is>
      </c>
      <c r="D3229" s="10" t="inlineStr">
        <is>
          <t>Autoregressive Models</t>
        </is>
      </c>
      <c r="E3229" s="10" t="inlineStr"/>
      <c r="F3229" s="11" t="inlineStr">
        <is>
          <t>1:21:24</t>
        </is>
      </c>
      <c r="G3229" s="11" t="n">
        <v>1.36</v>
      </c>
      <c r="H3229" s="12" t="inlineStr"/>
      <c r="I3229" s="11" t="inlineStr">
        <is>
          <t>Not started</t>
        </is>
      </c>
      <c r="J3229" s="13" t="n"/>
      <c r="K3229" s="10" t="inlineStr"/>
      <c r="L3229" s="14" t="inlineStr">
        <is>
          <t>▶ watch</t>
        </is>
      </c>
      <c r="M3229" s="10" t="inlineStr"/>
      <c r="N3229" s="11" t="inlineStr"/>
      <c r="O3229" s="11" t="inlineStr">
        <is>
          <t>course lecture - no single paper</t>
        </is>
      </c>
      <c r="P3229" s="10" t="inlineStr"/>
    </row>
    <row r="3230">
      <c r="A3230" s="23" t="n">
        <v>3229</v>
      </c>
      <c r="B3230" s="23" t="inlineStr">
        <is>
          <t>Part VI - Appendices</t>
        </is>
      </c>
      <c r="C3230" s="24" t="inlineStr">
        <is>
          <t>B.8 Stanford CS236 - Deep Generative Models (Autumn 2023), 18 lectures</t>
        </is>
      </c>
      <c r="D3230" s="10" t="inlineStr">
        <is>
          <t>Maximum Likelihood Learning</t>
        </is>
      </c>
      <c r="E3230" s="10" t="inlineStr"/>
      <c r="F3230" s="11" t="inlineStr">
        <is>
          <t>1:23:52</t>
        </is>
      </c>
      <c r="G3230" s="11" t="n">
        <v>1.4</v>
      </c>
      <c r="H3230" s="12" t="inlineStr">
        <is>
          <t>★</t>
        </is>
      </c>
      <c r="I3230" s="11" t="inlineStr">
        <is>
          <t>Not started</t>
        </is>
      </c>
      <c r="J3230" s="13" t="n"/>
      <c r="K3230" s="10" t="inlineStr"/>
      <c r="L3230" s="14" t="inlineStr">
        <is>
          <t>▶ watch</t>
        </is>
      </c>
      <c r="M3230" s="10" t="inlineStr"/>
      <c r="N3230" s="11" t="inlineStr"/>
      <c r="O3230" s="11" t="inlineStr">
        <is>
          <t>course lecture - no single paper</t>
        </is>
      </c>
      <c r="P3230" s="10" t="inlineStr"/>
    </row>
    <row r="3231">
      <c r="A3231" s="23" t="n">
        <v>3230</v>
      </c>
      <c r="B3231" s="23" t="inlineStr">
        <is>
          <t>Part VI - Appendices</t>
        </is>
      </c>
      <c r="C3231" s="24" t="inlineStr">
        <is>
          <t>B.8 Stanford CS236 - Deep Generative Models (Autumn 2023), 18 lectures</t>
        </is>
      </c>
      <c r="D3231" s="10" t="inlineStr">
        <is>
          <t>VAEs</t>
        </is>
      </c>
      <c r="E3231" s="10" t="inlineStr"/>
      <c r="F3231" s="11" t="inlineStr">
        <is>
          <t>1:21:02</t>
        </is>
      </c>
      <c r="G3231" s="11" t="n">
        <v>1.35</v>
      </c>
      <c r="H3231" s="12" t="inlineStr"/>
      <c r="I3231" s="11" t="inlineStr">
        <is>
          <t>Not started</t>
        </is>
      </c>
      <c r="J3231" s="13" t="n"/>
      <c r="K3231" s="10" t="inlineStr"/>
      <c r="L3231" s="14" t="inlineStr">
        <is>
          <t>▶ watch</t>
        </is>
      </c>
      <c r="M3231" s="10" t="inlineStr"/>
      <c r="N3231" s="11" t="inlineStr"/>
      <c r="O3231" s="11" t="inlineStr">
        <is>
          <t>course lecture - no single paper</t>
        </is>
      </c>
      <c r="P3231" s="10" t="inlineStr"/>
    </row>
    <row r="3232">
      <c r="A3232" s="23" t="n">
        <v>3231</v>
      </c>
      <c r="B3232" s="23" t="inlineStr">
        <is>
          <t>Part VI - Appendices</t>
        </is>
      </c>
      <c r="C3232" s="24" t="inlineStr">
        <is>
          <t>B.8 Stanford CS236 - Deep Generative Models (Autumn 2023), 18 lectures</t>
        </is>
      </c>
      <c r="D3232" s="10" t="inlineStr">
        <is>
          <t>VAEs</t>
        </is>
      </c>
      <c r="E3232" s="10" t="inlineStr"/>
      <c r="F3232" s="11" t="inlineStr">
        <is>
          <t>1:22:01</t>
        </is>
      </c>
      <c r="G3232" s="11" t="n">
        <v>1.37</v>
      </c>
      <c r="H3232" s="12" t="inlineStr"/>
      <c r="I3232" s="11" t="inlineStr">
        <is>
          <t>Not started</t>
        </is>
      </c>
      <c r="J3232" s="13" t="n"/>
      <c r="K3232" s="10" t="inlineStr"/>
      <c r="L3232" s="14" t="inlineStr">
        <is>
          <t>▶ watch</t>
        </is>
      </c>
      <c r="M3232" s="10" t="inlineStr"/>
      <c r="N3232" s="11" t="inlineStr"/>
      <c r="O3232" s="11" t="inlineStr">
        <is>
          <t>course lecture - no single paper</t>
        </is>
      </c>
      <c r="P3232" s="10" t="inlineStr"/>
    </row>
    <row r="3233">
      <c r="A3233" s="23" t="n">
        <v>3232</v>
      </c>
      <c r="B3233" s="23" t="inlineStr">
        <is>
          <t>Part VI - Appendices</t>
        </is>
      </c>
      <c r="C3233" s="24" t="inlineStr">
        <is>
          <t>B.8 Stanford CS236 - Deep Generative Models (Autumn 2023), 18 lectures</t>
        </is>
      </c>
      <c r="D3233" s="10" t="inlineStr">
        <is>
          <t>Normalizing Flows</t>
        </is>
      </c>
      <c r="E3233" s="10" t="inlineStr"/>
      <c r="F3233" s="11" t="inlineStr">
        <is>
          <t>1:23:02</t>
        </is>
      </c>
      <c r="G3233" s="11" t="n">
        <v>1.38</v>
      </c>
      <c r="H3233" s="12" t="inlineStr">
        <is>
          <t>★</t>
        </is>
      </c>
      <c r="I3233" s="11" t="inlineStr">
        <is>
          <t>Not started</t>
        </is>
      </c>
      <c r="J3233" s="13" t="n"/>
      <c r="K3233" s="10" t="inlineStr"/>
      <c r="L3233" s="14" t="inlineStr">
        <is>
          <t>▶ watch</t>
        </is>
      </c>
      <c r="M3233" s="10" t="inlineStr"/>
      <c r="N3233" s="11" t="inlineStr"/>
      <c r="O3233" s="11" t="inlineStr">
        <is>
          <t>course lecture - no single paper</t>
        </is>
      </c>
      <c r="P3233" s="10" t="inlineStr"/>
    </row>
    <row r="3234">
      <c r="A3234" s="23" t="n">
        <v>3233</v>
      </c>
      <c r="B3234" s="23" t="inlineStr">
        <is>
          <t>Part VI - Appendices</t>
        </is>
      </c>
      <c r="C3234" s="24" t="inlineStr">
        <is>
          <t>B.8 Stanford CS236 - Deep Generative Models (Autumn 2023), 18 lectures</t>
        </is>
      </c>
      <c r="D3234" s="10" t="inlineStr">
        <is>
          <t>Normalizing Flows</t>
        </is>
      </c>
      <c r="E3234" s="10" t="inlineStr"/>
      <c r="F3234" s="11" t="inlineStr">
        <is>
          <t>1:22:58</t>
        </is>
      </c>
      <c r="G3234" s="11" t="n">
        <v>1.38</v>
      </c>
      <c r="H3234" s="12" t="inlineStr"/>
      <c r="I3234" s="11" t="inlineStr">
        <is>
          <t>Not started</t>
        </is>
      </c>
      <c r="J3234" s="13" t="n"/>
      <c r="K3234" s="10" t="inlineStr"/>
      <c r="L3234" s="14" t="inlineStr">
        <is>
          <t>▶ watch</t>
        </is>
      </c>
      <c r="M3234" s="10" t="inlineStr"/>
      <c r="N3234" s="11" t="inlineStr"/>
      <c r="O3234" s="11" t="inlineStr">
        <is>
          <t>course lecture - no single paper</t>
        </is>
      </c>
      <c r="P3234" s="10" t="inlineStr"/>
    </row>
    <row r="3235">
      <c r="A3235" s="23" t="n">
        <v>3234</v>
      </c>
      <c r="B3235" s="23" t="inlineStr">
        <is>
          <t>Part VI - Appendices</t>
        </is>
      </c>
      <c r="C3235" s="24" t="inlineStr">
        <is>
          <t>B.8 Stanford CS236 - Deep Generative Models (Autumn 2023), 18 lectures</t>
        </is>
      </c>
      <c r="D3235" s="10" t="inlineStr">
        <is>
          <t>GANs</t>
        </is>
      </c>
      <c r="E3235" s="10" t="inlineStr"/>
      <c r="F3235" s="11" t="inlineStr">
        <is>
          <t>1:18:40</t>
        </is>
      </c>
      <c r="G3235" s="11" t="n">
        <v>1.31</v>
      </c>
      <c r="H3235" s="12" t="inlineStr"/>
      <c r="I3235" s="11" t="inlineStr">
        <is>
          <t>Not started</t>
        </is>
      </c>
      <c r="J3235" s="13" t="n"/>
      <c r="K3235" s="10" t="inlineStr"/>
      <c r="L3235" s="14" t="inlineStr">
        <is>
          <t>▶ watch</t>
        </is>
      </c>
      <c r="M3235" s="10" t="inlineStr"/>
      <c r="N3235" s="11" t="inlineStr"/>
      <c r="O3235" s="11" t="inlineStr">
        <is>
          <t>course lecture - no single paper</t>
        </is>
      </c>
      <c r="P3235" s="10" t="inlineStr"/>
    </row>
    <row r="3236">
      <c r="A3236" s="23" t="n">
        <v>3235</v>
      </c>
      <c r="B3236" s="23" t="inlineStr">
        <is>
          <t>Part VI - Appendices</t>
        </is>
      </c>
      <c r="C3236" s="24" t="inlineStr">
        <is>
          <t>B.8 Stanford CS236 - Deep Generative Models (Autumn 2023), 18 lectures</t>
        </is>
      </c>
      <c r="D3236" s="10" t="inlineStr">
        <is>
          <t>GANs</t>
        </is>
      </c>
      <c r="E3236" s="10" t="inlineStr"/>
      <c r="F3236" s="11" t="inlineStr">
        <is>
          <t>1:27:30</t>
        </is>
      </c>
      <c r="G3236" s="11" t="n">
        <v>1.46</v>
      </c>
      <c r="H3236" s="12" t="inlineStr"/>
      <c r="I3236" s="11" t="inlineStr">
        <is>
          <t>Not started</t>
        </is>
      </c>
      <c r="J3236" s="13" t="n"/>
      <c r="K3236" s="10" t="inlineStr"/>
      <c r="L3236" s="14" t="inlineStr">
        <is>
          <t>▶ watch</t>
        </is>
      </c>
      <c r="M3236" s="10" t="inlineStr"/>
      <c r="N3236" s="11" t="inlineStr"/>
      <c r="O3236" s="11" t="inlineStr">
        <is>
          <t>course lecture - no single paper</t>
        </is>
      </c>
      <c r="P3236" s="10" t="inlineStr"/>
    </row>
    <row r="3237">
      <c r="A3237" s="23" t="n">
        <v>3236</v>
      </c>
      <c r="B3237" s="23" t="inlineStr">
        <is>
          <t>Part VI - Appendices</t>
        </is>
      </c>
      <c r="C3237" s="24" t="inlineStr">
        <is>
          <t>B.8 Stanford CS236 - Deep Generative Models (Autumn 2023), 18 lectures</t>
        </is>
      </c>
      <c r="D3237" s="10" t="inlineStr">
        <is>
          <t>Energy Based Models</t>
        </is>
      </c>
      <c r="E3237" s="10" t="inlineStr"/>
      <c r="F3237" s="11" t="inlineStr">
        <is>
          <t>1:24:48</t>
        </is>
      </c>
      <c r="G3237" s="11" t="n">
        <v>1.41</v>
      </c>
      <c r="H3237" s="12" t="inlineStr">
        <is>
          <t>★</t>
        </is>
      </c>
      <c r="I3237" s="11" t="inlineStr">
        <is>
          <t>Not started</t>
        </is>
      </c>
      <c r="J3237" s="13" t="n"/>
      <c r="K3237" s="10" t="inlineStr"/>
      <c r="L3237" s="14" t="inlineStr">
        <is>
          <t>▶ watch</t>
        </is>
      </c>
      <c r="M3237" s="10" t="inlineStr"/>
      <c r="N3237" s="11" t="inlineStr"/>
      <c r="O3237" s="11" t="inlineStr">
        <is>
          <t>course lecture - no single paper</t>
        </is>
      </c>
      <c r="P3237" s="10" t="inlineStr"/>
    </row>
    <row r="3238">
      <c r="A3238" s="23" t="n">
        <v>3237</v>
      </c>
      <c r="B3238" s="23" t="inlineStr">
        <is>
          <t>Part VI - Appendices</t>
        </is>
      </c>
      <c r="C3238" s="24" t="inlineStr">
        <is>
          <t>B.8 Stanford CS236 - Deep Generative Models (Autumn 2023), 18 lectures</t>
        </is>
      </c>
      <c r="D3238" s="10" t="inlineStr">
        <is>
          <t>Energy Based Models</t>
        </is>
      </c>
      <c r="E3238" s="10" t="inlineStr"/>
      <c r="F3238" s="11" t="inlineStr">
        <is>
          <t>1:23:15</t>
        </is>
      </c>
      <c r="G3238" s="11" t="n">
        <v>1.39</v>
      </c>
      <c r="H3238" s="12" t="inlineStr"/>
      <c r="I3238" s="11" t="inlineStr">
        <is>
          <t>Not started</t>
        </is>
      </c>
      <c r="J3238" s="13" t="n"/>
      <c r="K3238" s="10" t="inlineStr"/>
      <c r="L3238" s="14" t="inlineStr">
        <is>
          <t>▶ watch</t>
        </is>
      </c>
      <c r="M3238" s="10" t="inlineStr"/>
      <c r="N3238" s="11" t="inlineStr"/>
      <c r="O3238" s="11" t="inlineStr">
        <is>
          <t>course lecture - no single paper</t>
        </is>
      </c>
      <c r="P3238" s="10" t="inlineStr"/>
    </row>
    <row r="3239">
      <c r="A3239" s="23" t="n">
        <v>3238</v>
      </c>
      <c r="B3239" s="23" t="inlineStr">
        <is>
          <t>Part VI - Appendices</t>
        </is>
      </c>
      <c r="C3239" s="24" t="inlineStr">
        <is>
          <t>B.8 Stanford CS236 - Deep Generative Models (Autumn 2023), 18 lectures</t>
        </is>
      </c>
      <c r="D3239" s="10" t="inlineStr">
        <is>
          <t>Score Based Models</t>
        </is>
      </c>
      <c r="E3239" s="10" t="inlineStr"/>
      <c r="F3239" s="11" t="inlineStr">
        <is>
          <t>1:21:56</t>
        </is>
      </c>
      <c r="G3239" s="11" t="n">
        <v>1.37</v>
      </c>
      <c r="H3239" s="12" t="inlineStr">
        <is>
          <t>★</t>
        </is>
      </c>
      <c r="I3239" s="11" t="inlineStr">
        <is>
          <t>Not started</t>
        </is>
      </c>
      <c r="J3239" s="13" t="n"/>
      <c r="K3239" s="10" t="inlineStr"/>
      <c r="L3239" s="14" t="inlineStr">
        <is>
          <t>▶ watch</t>
        </is>
      </c>
      <c r="M3239" s="10" t="inlineStr"/>
      <c r="N3239" s="11" t="inlineStr"/>
      <c r="O3239" s="11" t="inlineStr">
        <is>
          <t>course lecture - no single paper</t>
        </is>
      </c>
      <c r="P3239" s="10" t="inlineStr"/>
    </row>
    <row r="3240">
      <c r="A3240" s="23" t="n">
        <v>3239</v>
      </c>
      <c r="B3240" s="23" t="inlineStr">
        <is>
          <t>Part VI - Appendices</t>
        </is>
      </c>
      <c r="C3240" s="24" t="inlineStr">
        <is>
          <t>B.8 Stanford CS236 - Deep Generative Models (Autumn 2023), 18 lectures</t>
        </is>
      </c>
      <c r="D3240" s="10" t="inlineStr">
        <is>
          <t>titled "Energy Based Models" - almost certainly mislabeled; sits in the score-based block</t>
        </is>
      </c>
      <c r="E3240" s="10" t="inlineStr"/>
      <c r="F3240" s="11" t="inlineStr">
        <is>
          <t>1:25:03</t>
        </is>
      </c>
      <c r="G3240" s="11" t="n">
        <v>1.42</v>
      </c>
      <c r="H3240" s="12" t="inlineStr"/>
      <c r="I3240" s="11" t="inlineStr">
        <is>
          <t>Not started</t>
        </is>
      </c>
      <c r="J3240" s="13" t="n"/>
      <c r="K3240" s="10" t="inlineStr"/>
      <c r="L3240" s="14" t="inlineStr">
        <is>
          <t>▶ watch</t>
        </is>
      </c>
      <c r="M3240" s="10" t="inlineStr"/>
      <c r="N3240" s="11" t="inlineStr"/>
      <c r="O3240" s="11" t="inlineStr">
        <is>
          <t>course lecture - no single paper</t>
        </is>
      </c>
      <c r="P3240" s="10" t="inlineStr"/>
    </row>
    <row r="3241">
      <c r="A3241" s="23" t="n">
        <v>3240</v>
      </c>
      <c r="B3241" s="23" t="inlineStr">
        <is>
          <t>Part VI - Appendices</t>
        </is>
      </c>
      <c r="C3241" s="24" t="inlineStr">
        <is>
          <t>B.8 Stanford CS236 - Deep Generative Models (Autumn 2023), 18 lectures</t>
        </is>
      </c>
      <c r="D3241" s="10" t="inlineStr">
        <is>
          <t>Evaluation of Generative Models</t>
        </is>
      </c>
      <c r="E3241" s="10" t="inlineStr"/>
      <c r="F3241" s="11" t="inlineStr">
        <is>
          <t>1:21:34</t>
        </is>
      </c>
      <c r="G3241" s="11" t="n">
        <v>1.36</v>
      </c>
      <c r="H3241" s="12" t="inlineStr">
        <is>
          <t>★</t>
        </is>
      </c>
      <c r="I3241" s="11" t="inlineStr">
        <is>
          <t>Not started</t>
        </is>
      </c>
      <c r="J3241" s="13" t="n"/>
      <c r="K3241" s="10" t="inlineStr"/>
      <c r="L3241" s="14" t="inlineStr">
        <is>
          <t>▶ watch</t>
        </is>
      </c>
      <c r="M3241" s="10" t="inlineStr"/>
      <c r="N3241" s="11" t="inlineStr"/>
      <c r="O3241" s="11" t="inlineStr">
        <is>
          <t>course lecture - no single paper</t>
        </is>
      </c>
      <c r="P3241" s="10" t="inlineStr"/>
    </row>
    <row r="3242">
      <c r="A3242" s="23" t="n">
        <v>3241</v>
      </c>
      <c r="B3242" s="23" t="inlineStr">
        <is>
          <t>Part VI - Appendices</t>
        </is>
      </c>
      <c r="C3242" s="24" t="inlineStr">
        <is>
          <t>B.8 Stanford CS236 - Deep Generative Models (Autumn 2023), 18 lectures</t>
        </is>
      </c>
      <c r="D3242" s="10" t="inlineStr">
        <is>
          <t>Score Based Diffusion Models</t>
        </is>
      </c>
      <c r="E3242" s="10" t="inlineStr"/>
      <c r="F3242" s="11" t="inlineStr">
        <is>
          <t>1:09:37</t>
        </is>
      </c>
      <c r="G3242" s="11" t="n">
        <v>1.16</v>
      </c>
      <c r="H3242" s="12" t="inlineStr">
        <is>
          <t>★</t>
        </is>
      </c>
      <c r="I3242" s="11" t="inlineStr">
        <is>
          <t>Not started</t>
        </is>
      </c>
      <c r="J3242" s="13" t="n"/>
      <c r="K3242" s="10" t="inlineStr"/>
      <c r="L3242" s="14" t="inlineStr">
        <is>
          <t>▶ watch</t>
        </is>
      </c>
      <c r="M3242" s="10" t="inlineStr"/>
      <c r="N3242" s="11" t="inlineStr"/>
      <c r="O3242" s="11" t="inlineStr">
        <is>
          <t>course lecture - no single paper</t>
        </is>
      </c>
      <c r="P3242" s="10" t="inlineStr"/>
    </row>
    <row r="3243">
      <c r="A3243" s="23" t="n">
        <v>3242</v>
      </c>
      <c r="B3243" s="23" t="inlineStr">
        <is>
          <t>Part VI - Appendices</t>
        </is>
      </c>
      <c r="C3243" s="24" t="inlineStr">
        <is>
          <t>B.8 Stanford CS236 - Deep Generative Models (Autumn 2023), 18 lectures</t>
        </is>
      </c>
      <c r="D3243" s="10" t="inlineStr">
        <is>
          <t>Discrete Latent Variable Models</t>
        </is>
      </c>
      <c r="E3243" s="10" t="inlineStr"/>
      <c r="F3243" s="11" t="inlineStr">
        <is>
          <t>1:13:35</t>
        </is>
      </c>
      <c r="G3243" s="11" t="n">
        <v>1.23</v>
      </c>
      <c r="H3243" s="12" t="inlineStr"/>
      <c r="I3243" s="11" t="inlineStr">
        <is>
          <t>Not started</t>
        </is>
      </c>
      <c r="J3243" s="13" t="n"/>
      <c r="K3243" s="10" t="inlineStr"/>
      <c r="L3243" s="14" t="inlineStr">
        <is>
          <t>▶ watch</t>
        </is>
      </c>
      <c r="M3243" s="10" t="inlineStr"/>
      <c r="N3243" s="11" t="inlineStr"/>
      <c r="O3243" s="11" t="inlineStr">
        <is>
          <t>course lecture - no single paper</t>
        </is>
      </c>
      <c r="P3243" s="10" t="inlineStr"/>
    </row>
    <row r="3244">
      <c r="A3244" s="23" t="n">
        <v>3243</v>
      </c>
      <c r="B3244" s="23" t="inlineStr">
        <is>
          <t>Part VI - Appendices</t>
        </is>
      </c>
      <c r="C3244" s="24" t="inlineStr">
        <is>
          <t>B.8 Stanford CS236 - Deep Generative Models (Autumn 2023), 18 lectures</t>
        </is>
      </c>
      <c r="D3244" s="10" t="inlineStr">
        <is>
          <t>Diffusion Models for Discrete Data</t>
        </is>
      </c>
      <c r="E3244" s="10" t="inlineStr"/>
      <c r="F3244" s="11" t="inlineStr">
        <is>
          <t>1:00:03</t>
        </is>
      </c>
      <c r="G3244" s="11" t="n">
        <v>1</v>
      </c>
      <c r="H3244" s="12" t="inlineStr">
        <is>
          <t>★</t>
        </is>
      </c>
      <c r="I3244" s="11" t="inlineStr">
        <is>
          <t>Not started</t>
        </is>
      </c>
      <c r="J3244" s="13" t="n"/>
      <c r="K3244" s="10" t="inlineStr"/>
      <c r="L3244" s="14" t="inlineStr">
        <is>
          <t>▶ watch</t>
        </is>
      </c>
      <c r="M3244" s="10" t="inlineStr"/>
      <c r="N3244" s="11" t="inlineStr"/>
      <c r="O3244" s="11" t="inlineStr">
        <is>
          <t>course lecture - no single paper</t>
        </is>
      </c>
      <c r="P3244" s="10" t="inlineStr"/>
    </row>
    <row r="3245">
      <c r="A3245" s="23" t="n">
        <v>3244</v>
      </c>
      <c r="B3245" s="23" t="inlineStr">
        <is>
          <t>Part VI - Appendices</t>
        </is>
      </c>
      <c r="C3245" s="24" t="inlineStr">
        <is>
          <t>B.9 WESTPA - weighted ensemble</t>
        </is>
      </c>
      <c r="D3245" s="10" t="inlineStr">
        <is>
          <t>Non-spatial systems</t>
        </is>
      </c>
      <c r="E3245" s="10" t="inlineStr">
        <is>
          <t>Rory Donovan</t>
        </is>
      </c>
      <c r="F3245" s="11" t="inlineStr">
        <is>
          <t>29:50</t>
        </is>
      </c>
      <c r="G3245" s="11" t="n">
        <v>0.5</v>
      </c>
      <c r="H3245" s="12" t="inlineStr"/>
      <c r="I3245" s="11" t="inlineStr">
        <is>
          <t>Not started</t>
        </is>
      </c>
      <c r="J3245" s="13" t="n"/>
      <c r="K3245" s="10" t="inlineStr"/>
      <c r="L3245" s="14" t="inlineStr">
        <is>
          <t>▶ watch</t>
        </is>
      </c>
      <c r="M3245" s="10" t="inlineStr"/>
      <c r="N3245" s="11" t="inlineStr"/>
      <c r="O3245" s="11" t="inlineStr">
        <is>
          <t>course lecture - no single paper</t>
        </is>
      </c>
      <c r="P3245" s="10" t="inlineStr"/>
    </row>
    <row r="3246">
      <c r="A3246" s="23" t="n">
        <v>3245</v>
      </c>
      <c r="B3246" s="23" t="inlineStr">
        <is>
          <t>Part VI - Appendices</t>
        </is>
      </c>
      <c r="C3246" s="24" t="inlineStr">
        <is>
          <t>B.9 WESTPA - weighted ensemble</t>
        </is>
      </c>
      <c r="D3246" s="10" t="inlineStr">
        <is>
          <t>Molecular scale systems</t>
        </is>
      </c>
      <c r="E3246" s="10" t="inlineStr">
        <is>
          <t>Adam Pratt</t>
        </is>
      </c>
      <c r="F3246" s="11" t="inlineStr">
        <is>
          <t>47:25</t>
        </is>
      </c>
      <c r="G3246" s="11" t="n">
        <v>0.79</v>
      </c>
      <c r="H3246" s="12" t="inlineStr"/>
      <c r="I3246" s="11" t="inlineStr">
        <is>
          <t>Not started</t>
        </is>
      </c>
      <c r="J3246" s="13" t="n"/>
      <c r="K3246" s="10" t="inlineStr"/>
      <c r="L3246" s="14" t="inlineStr">
        <is>
          <t>▶ watch</t>
        </is>
      </c>
      <c r="M3246" s="10" t="inlineStr"/>
      <c r="N3246" s="11" t="inlineStr"/>
      <c r="O3246" s="11" t="inlineStr">
        <is>
          <t>course lecture - no single paper</t>
        </is>
      </c>
      <c r="P3246" s="10" t="inlineStr"/>
    </row>
    <row r="3247">
      <c r="A3247" s="23" t="n">
        <v>3246</v>
      </c>
      <c r="B3247" s="23" t="inlineStr">
        <is>
          <t>Part VI - Appendices</t>
        </is>
      </c>
      <c r="C3247" s="24" t="inlineStr">
        <is>
          <t>B.9 WESTPA - weighted ensemble</t>
        </is>
      </c>
      <c r="D3247" s="10" t="inlineStr">
        <is>
          <t>Ali Sinan Saglam</t>
        </is>
      </c>
      <c r="E3247" s="10" t="inlineStr">
        <is>
          <t>Analysis tools</t>
        </is>
      </c>
      <c r="F3247" s="11" t="inlineStr">
        <is>
          <t>34:29</t>
        </is>
      </c>
      <c r="G3247" s="11" t="n">
        <v>0.57</v>
      </c>
      <c r="H3247" s="12" t="inlineStr"/>
      <c r="I3247" s="11" t="inlineStr">
        <is>
          <t>Not started</t>
        </is>
      </c>
      <c r="J3247" s="13" t="n"/>
      <c r="K3247" s="10" t="inlineStr"/>
      <c r="L3247" s="14" t="inlineStr">
        <is>
          <t>▶ watch</t>
        </is>
      </c>
      <c r="M3247" s="10" t="inlineStr"/>
      <c r="N3247" s="11" t="inlineStr"/>
      <c r="O3247" s="11" t="inlineStr">
        <is>
          <t>course lecture - no single paper</t>
        </is>
      </c>
      <c r="P3247" s="10" t="inlineStr"/>
    </row>
    <row r="3248">
      <c r="A3248" s="23" t="n">
        <v>3247</v>
      </c>
      <c r="B3248" s="23" t="inlineStr">
        <is>
          <t>Part VI - Appendices</t>
        </is>
      </c>
      <c r="C3248" s="24" t="inlineStr">
        <is>
          <t>B.9 WESTPA - weighted ensemble</t>
        </is>
      </c>
      <c r="D3248" s="10" t="inlineStr">
        <is>
          <t>Zuckerman seminar (TCBG UIUC, 2020</t>
        </is>
      </c>
      <c r="E3248" s="10" t="inlineStr">
        <is>
          <t>Dan Zuckerman</t>
        </is>
      </c>
      <c r="F3248" s="11" t="inlineStr">
        <is>
          <t>1:08:03</t>
        </is>
      </c>
      <c r="G3248" s="11" t="n">
        <v>1.13</v>
      </c>
      <c r="H3248" s="12" t="inlineStr"/>
      <c r="I3248" s="11" t="inlineStr">
        <is>
          <t>Not started</t>
        </is>
      </c>
      <c r="J3248" s="13" t="n"/>
      <c r="K3248" s="10" t="inlineStr"/>
      <c r="L3248" s="14" t="inlineStr">
        <is>
          <t>▶ watch</t>
        </is>
      </c>
      <c r="M3248" s="10" t="inlineStr"/>
      <c r="N3248" s="11" t="inlineStr"/>
      <c r="O3248" s="11" t="inlineStr">
        <is>
          <t>course lecture - no single paper</t>
        </is>
      </c>
      <c r="P3248" s="10" t="inlineStr"/>
    </row>
    <row r="3249">
      <c r="A3249" s="23" t="n">
        <v>3248</v>
      </c>
      <c r="B3249" s="23" t="inlineStr">
        <is>
          <t>Part VI - Appendices</t>
        </is>
      </c>
      <c r="C3249" s="24" t="inlineStr">
        <is>
          <t>B.9 WESTPA - weighted ensemble</t>
        </is>
      </c>
      <c r="D3249" s="10" t="inlineStr">
        <is>
          <t>HITS Colloquium on weighted ensemble simulations</t>
        </is>
      </c>
      <c r="E3249" s="10" t="inlineStr">
        <is>
          <t>Lillian Chong</t>
        </is>
      </c>
      <c r="F3249" s="11" t="inlineStr">
        <is>
          <t>41:54</t>
        </is>
      </c>
      <c r="G3249" s="11" t="n">
        <v>0.7</v>
      </c>
      <c r="H3249" s="12" t="inlineStr">
        <is>
          <t>★</t>
        </is>
      </c>
      <c r="I3249" s="11" t="inlineStr">
        <is>
          <t>Not started</t>
        </is>
      </c>
      <c r="J3249" s="13" t="n"/>
      <c r="K3249" s="10" t="inlineStr"/>
      <c r="L3249" s="14" t="inlineStr">
        <is>
          <t>▶ watch</t>
        </is>
      </c>
      <c r="M3249" s="10" t="inlineStr"/>
      <c r="N3249" s="11" t="inlineStr"/>
      <c r="O3249" s="11" t="inlineStr">
        <is>
          <t>course lecture - no single paper</t>
        </is>
      </c>
      <c r="P3249" s="10" t="inlineStr"/>
    </row>
    <row r="3250">
      <c r="A3250" s="23" t="n">
        <v>3249</v>
      </c>
      <c r="B3250" s="23" t="inlineStr">
        <is>
          <t>Part VI - Appendices</t>
        </is>
      </c>
      <c r="C3250" s="24" t="inlineStr">
        <is>
          <t>B.9 WESTPA - weighted ensemble</t>
        </is>
      </c>
      <c r="D3250" s="10" t="inlineStr">
        <is>
          <t>Starting your own WE simulation (walkthrough</t>
        </is>
      </c>
      <c r="E3250" s="10" t="inlineStr">
        <is>
          <t>Shirley Ahn</t>
        </is>
      </c>
      <c r="F3250" s="11" t="inlineStr">
        <is>
          <t>27:09</t>
        </is>
      </c>
      <c r="G3250" s="11" t="n">
        <v>0.45</v>
      </c>
      <c r="H3250" s="12" t="inlineStr"/>
      <c r="I3250" s="11" t="inlineStr">
        <is>
          <t>Not started</t>
        </is>
      </c>
      <c r="J3250" s="13" t="n"/>
      <c r="K3250" s="10" t="inlineStr"/>
      <c r="L3250" s="14" t="inlineStr">
        <is>
          <t>▶ watch</t>
        </is>
      </c>
      <c r="M3250" s="10" t="inlineStr"/>
      <c r="N3250" s="11" t="inlineStr"/>
      <c r="O3250" s="11" t="inlineStr">
        <is>
          <t>course lecture - no single paper</t>
        </is>
      </c>
      <c r="P3250" s="10" t="inlineStr"/>
    </row>
    <row r="3251">
      <c r="A3251" s="23" t="n">
        <v>3250</v>
      </c>
      <c r="B3251" s="23" t="inlineStr">
        <is>
          <t>Part VI - Appendices</t>
        </is>
      </c>
      <c r="C3251" s="24" t="inlineStr">
        <is>
          <t>B.10 PyEMMA and Markov state models - 29 videos</t>
        </is>
      </c>
      <c r="D3251" s="10" t="inlineStr">
        <is>
          <t>Overview</t>
        </is>
      </c>
      <c r="E3251" s="10" t="inlineStr"/>
      <c r="F3251" s="11" t="inlineStr">
        <is>
          <t>1:09:18</t>
        </is>
      </c>
      <c r="G3251" s="11" t="n">
        <v>1.16</v>
      </c>
      <c r="H3251" s="12" t="inlineStr"/>
      <c r="I3251" s="11" t="inlineStr">
        <is>
          <t>Not started</t>
        </is>
      </c>
      <c r="J3251" s="13" t="n"/>
      <c r="K3251" s="10" t="inlineStr"/>
      <c r="L3251" s="14" t="inlineStr">
        <is>
          <t>▶ watch</t>
        </is>
      </c>
      <c r="M3251" s="10" t="inlineStr"/>
      <c r="N3251" s="11" t="inlineStr"/>
      <c r="O3251" s="11" t="inlineStr">
        <is>
          <t>course lecture - no single paper</t>
        </is>
      </c>
      <c r="P3251" s="10" t="inlineStr"/>
    </row>
    <row r="3252">
      <c r="A3252" s="23" t="n">
        <v>3251</v>
      </c>
      <c r="B3252" s="23" t="inlineStr">
        <is>
          <t>Part VI - Appendices</t>
        </is>
      </c>
      <c r="C3252" s="24" t="inlineStr">
        <is>
          <t>B.10 PyEMMA and Markov state models - 29 videos</t>
        </is>
      </c>
      <c r="D3252" s="10" t="inlineStr">
        <is>
          <t>The software</t>
        </is>
      </c>
      <c r="E3252" s="10" t="inlineStr"/>
      <c r="F3252" s="11" t="inlineStr">
        <is>
          <t>20:08</t>
        </is>
      </c>
      <c r="G3252" s="11" t="n">
        <v>0.34</v>
      </c>
      <c r="H3252" s="12" t="inlineStr"/>
      <c r="I3252" s="11" t="inlineStr">
        <is>
          <t>Not started</t>
        </is>
      </c>
      <c r="J3252" s="13" t="n"/>
      <c r="K3252" s="10" t="inlineStr"/>
      <c r="L3252" s="14" t="inlineStr">
        <is>
          <t>▶ watch</t>
        </is>
      </c>
      <c r="M3252" s="10" t="inlineStr"/>
      <c r="N3252" s="11" t="inlineStr"/>
      <c r="O3252" s="11" t="inlineStr">
        <is>
          <t>course lecture - no single paper</t>
        </is>
      </c>
      <c r="P3252" s="10" t="inlineStr"/>
    </row>
    <row r="3253">
      <c r="A3253" s="23" t="n">
        <v>3252</v>
      </c>
      <c r="B3253" s="23" t="inlineStr">
        <is>
          <t>Part VI - Appendices</t>
        </is>
      </c>
      <c r="C3253" s="24" t="inlineStr">
        <is>
          <t>B.10 PyEMMA and Markov state models - 29 videos</t>
        </is>
      </c>
      <c r="D3253" s="10" t="inlineStr">
        <is>
          <t>MSM theory</t>
        </is>
      </c>
      <c r="E3253" s="10" t="inlineStr"/>
      <c r="F3253" s="11" t="inlineStr">
        <is>
          <t>1:00:32</t>
        </is>
      </c>
      <c r="G3253" s="11" t="n">
        <v>1.01</v>
      </c>
      <c r="H3253" s="12" t="inlineStr">
        <is>
          <t>★</t>
        </is>
      </c>
      <c r="I3253" s="11" t="inlineStr">
        <is>
          <t>Not started</t>
        </is>
      </c>
      <c r="J3253" s="13" t="n"/>
      <c r="K3253" s="10" t="inlineStr"/>
      <c r="L3253" s="14" t="inlineStr">
        <is>
          <t>▶ watch</t>
        </is>
      </c>
      <c r="M3253" s="10" t="inlineStr"/>
      <c r="N3253" s="11" t="inlineStr"/>
      <c r="O3253" s="11" t="inlineStr">
        <is>
          <t>course lecture - no single paper</t>
        </is>
      </c>
      <c r="P3253" s="10" t="inlineStr"/>
    </row>
    <row r="3254">
      <c r="A3254" s="23" t="n">
        <v>3253</v>
      </c>
      <c r="B3254" s="23" t="inlineStr">
        <is>
          <t>Part VI - Appendices</t>
        </is>
      </c>
      <c r="C3254" s="24" t="inlineStr">
        <is>
          <t>B.10 PyEMMA and Markov state models - 29 videos</t>
        </is>
      </c>
      <c r="D3254" s="10" t="inlineStr">
        <is>
          <t>MSM estimation</t>
        </is>
      </c>
      <c r="E3254" s="10" t="inlineStr"/>
      <c r="F3254" s="11" t="inlineStr">
        <is>
          <t>51:04</t>
        </is>
      </c>
      <c r="G3254" s="11" t="n">
        <v>0.85</v>
      </c>
      <c r="H3254" s="12" t="inlineStr">
        <is>
          <t>★</t>
        </is>
      </c>
      <c r="I3254" s="11" t="inlineStr">
        <is>
          <t>Not started</t>
        </is>
      </c>
      <c r="J3254" s="13" t="n"/>
      <c r="K3254" s="10" t="inlineStr"/>
      <c r="L3254" s="14" t="inlineStr">
        <is>
          <t>▶ watch</t>
        </is>
      </c>
      <c r="M3254" s="10" t="inlineStr"/>
      <c r="N3254" s="11" t="inlineStr"/>
      <c r="O3254" s="11" t="inlineStr">
        <is>
          <t>course lecture - no single paper</t>
        </is>
      </c>
      <c r="P3254" s="10" t="inlineStr"/>
    </row>
    <row r="3255">
      <c r="A3255" s="23" t="n">
        <v>3254</v>
      </c>
      <c r="B3255" s="23" t="inlineStr">
        <is>
          <t>Part VI - Appendices</t>
        </is>
      </c>
      <c r="C3255" s="24" t="inlineStr">
        <is>
          <t>B.10 PyEMMA and Markov state models - 29 videos</t>
        </is>
      </c>
      <c r="D3255" s="10" t="inlineStr">
        <is>
          <t>MSM analysis</t>
        </is>
      </c>
      <c r="E3255" s="10" t="inlineStr"/>
      <c r="F3255" s="11" t="inlineStr">
        <is>
          <t>27:17</t>
        </is>
      </c>
      <c r="G3255" s="11" t="n">
        <v>0.45</v>
      </c>
      <c r="H3255" s="12" t="inlineStr"/>
      <c r="I3255" s="11" t="inlineStr">
        <is>
          <t>Not started</t>
        </is>
      </c>
      <c r="J3255" s="13" t="n"/>
      <c r="K3255" s="10" t="inlineStr"/>
      <c r="L3255" s="14" t="inlineStr">
        <is>
          <t>▶ watch</t>
        </is>
      </c>
      <c r="M3255" s="10" t="inlineStr"/>
      <c r="N3255" s="11" t="inlineStr"/>
      <c r="O3255" s="11" t="inlineStr">
        <is>
          <t>course lecture - no single paper</t>
        </is>
      </c>
      <c r="P3255" s="10" t="inlineStr"/>
    </row>
    <row r="3256">
      <c r="A3256" s="23" t="n">
        <v>3255</v>
      </c>
      <c r="B3256" s="23" t="inlineStr">
        <is>
          <t>Part VI - Appendices</t>
        </is>
      </c>
      <c r="C3256" s="24" t="inlineStr">
        <is>
          <t>B.10 PyEMMA and Markov state models - 29 videos</t>
        </is>
      </c>
      <c r="D3256" s="10" t="inlineStr">
        <is>
          <t>Coarse graining</t>
        </is>
      </c>
      <c r="E3256" s="10" t="inlineStr"/>
      <c r="F3256" s="11" t="inlineStr">
        <is>
          <t>20:11</t>
        </is>
      </c>
      <c r="G3256" s="11" t="n">
        <v>0.34</v>
      </c>
      <c r="H3256" s="12" t="inlineStr"/>
      <c r="I3256" s="11" t="inlineStr">
        <is>
          <t>Not started</t>
        </is>
      </c>
      <c r="J3256" s="13" t="n"/>
      <c r="K3256" s="10" t="inlineStr"/>
      <c r="L3256" s="14" t="inlineStr">
        <is>
          <t>▶ watch</t>
        </is>
      </c>
      <c r="M3256" s="10" t="inlineStr"/>
      <c r="N3256" s="11" t="inlineStr"/>
      <c r="O3256" s="11" t="inlineStr">
        <is>
          <t>course lecture - no single paper</t>
        </is>
      </c>
      <c r="P3256" s="10" t="inlineStr"/>
    </row>
    <row r="3257">
      <c r="A3257" s="23" t="n">
        <v>3256</v>
      </c>
      <c r="B3257" s="23" t="inlineStr">
        <is>
          <t>Part VI - Appendices</t>
        </is>
      </c>
      <c r="C3257" s="24" t="inlineStr">
        <is>
          <t>B.10 PyEMMA and Markov state models - 29 videos</t>
        </is>
      </c>
      <c r="D3257" s="10" t="inlineStr">
        <is>
          <t>Hidden Markov models</t>
        </is>
      </c>
      <c r="E3257" s="10" t="inlineStr"/>
      <c r="F3257" s="11" t="inlineStr">
        <is>
          <t>31:59</t>
        </is>
      </c>
      <c r="G3257" s="11" t="n">
        <v>0.53</v>
      </c>
      <c r="H3257" s="12" t="inlineStr"/>
      <c r="I3257" s="11" t="inlineStr">
        <is>
          <t>Not started</t>
        </is>
      </c>
      <c r="J3257" s="13" t="n"/>
      <c r="K3257" s="10" t="inlineStr"/>
      <c r="L3257" s="14" t="inlineStr">
        <is>
          <t>▶ watch</t>
        </is>
      </c>
      <c r="M3257" s="10" t="inlineStr"/>
      <c r="N3257" s="11" t="inlineStr"/>
      <c r="O3257" s="11" t="inlineStr">
        <is>
          <t>course lecture - no single paper</t>
        </is>
      </c>
      <c r="P3257" s="10" t="inlineStr"/>
    </row>
    <row r="3258">
      <c r="A3258" s="23" t="n">
        <v>3257</v>
      </c>
      <c r="B3258" s="23" t="inlineStr">
        <is>
          <t>Part VI - Appendices</t>
        </is>
      </c>
      <c r="C3258" s="24" t="inlineStr">
        <is>
          <t>B.10 PyEMMA and Markov state models - 29 videos</t>
        </is>
      </c>
      <c r="D3258" s="10" t="inlineStr">
        <is>
          <t>Transition path theory</t>
        </is>
      </c>
      <c r="E3258" s="10" t="inlineStr"/>
      <c r="F3258" s="11" t="inlineStr">
        <is>
          <t>41:23</t>
        </is>
      </c>
      <c r="G3258" s="11" t="n">
        <v>0.6899999999999999</v>
      </c>
      <c r="H3258" s="12" t="inlineStr">
        <is>
          <t>★</t>
        </is>
      </c>
      <c r="I3258" s="11" t="inlineStr">
        <is>
          <t>Not started</t>
        </is>
      </c>
      <c r="J3258" s="13" t="n"/>
      <c r="K3258" s="10" t="inlineStr"/>
      <c r="L3258" s="14" t="inlineStr">
        <is>
          <t>▶ watch</t>
        </is>
      </c>
      <c r="M3258" s="10" t="inlineStr"/>
      <c r="N3258" s="11" t="inlineStr"/>
      <c r="O3258" s="11" t="inlineStr">
        <is>
          <t>course lecture - no single paper</t>
        </is>
      </c>
      <c r="P3258" s="10" t="inlineStr"/>
    </row>
    <row r="3259">
      <c r="A3259" s="23" t="n">
        <v>3258</v>
      </c>
      <c r="B3259" s="23" t="inlineStr">
        <is>
          <t>Part VI - Appendices</t>
        </is>
      </c>
      <c r="C3259" s="24" t="inlineStr">
        <is>
          <t>B.10 PyEMMA and Markov state models - 29 videos</t>
        </is>
      </c>
      <c r="D3259" s="10" t="inlineStr">
        <is>
          <t>Enhanced sampling (title typo: "PEMMA"</t>
        </is>
      </c>
      <c r="E3259" s="10" t="inlineStr"/>
      <c r="F3259" s="11" t="inlineStr">
        <is>
          <t>1:14:18</t>
        </is>
      </c>
      <c r="G3259" s="11" t="n">
        <v>1.24</v>
      </c>
      <c r="H3259" s="12" t="inlineStr"/>
      <c r="I3259" s="11" t="inlineStr">
        <is>
          <t>Not started</t>
        </is>
      </c>
      <c r="J3259" s="13" t="n"/>
      <c r="K3259" s="10" t="inlineStr"/>
      <c r="L3259" s="14" t="inlineStr">
        <is>
          <t>▶ watch</t>
        </is>
      </c>
      <c r="M3259" s="10" t="inlineStr"/>
      <c r="N3259" s="11" t="inlineStr"/>
      <c r="O3259" s="11" t="inlineStr">
        <is>
          <t>course lecture - no single paper</t>
        </is>
      </c>
      <c r="P3259" s="10" t="inlineStr"/>
    </row>
    <row r="3260">
      <c r="A3260" s="23" t="n">
        <v>3259</v>
      </c>
      <c r="B3260" s="23" t="inlineStr">
        <is>
          <t>Part VI - Appendices</t>
        </is>
      </c>
      <c r="C3260" s="24" t="inlineStr">
        <is>
          <t>B.10 PyEMMA and Markov state models - 29 videos</t>
        </is>
      </c>
      <c r="D3260" s="10" t="inlineStr">
        <is>
          <t>TRAM and MEMM theory</t>
        </is>
      </c>
      <c r="E3260" s="10" t="inlineStr"/>
      <c r="F3260" s="11" t="inlineStr">
        <is>
          <t>1:27:17</t>
        </is>
      </c>
      <c r="G3260" s="11" t="n">
        <v>1.45</v>
      </c>
      <c r="H3260" s="12" t="inlineStr"/>
      <c r="I3260" s="11" t="inlineStr">
        <is>
          <t>Not started</t>
        </is>
      </c>
      <c r="J3260" s="13" t="n"/>
      <c r="K3260" s="10" t="inlineStr"/>
      <c r="L3260" s="14" t="inlineStr">
        <is>
          <t>▶ watch</t>
        </is>
      </c>
      <c r="M3260" s="10" t="inlineStr"/>
      <c r="N3260" s="11" t="inlineStr"/>
      <c r="O3260" s="11" t="inlineStr">
        <is>
          <t>course lecture - no single paper</t>
        </is>
      </c>
      <c r="P3260" s="10" t="inlineStr"/>
    </row>
    <row r="3261">
      <c r="A3261" s="23" t="n">
        <v>3260</v>
      </c>
      <c r="B3261" s="23" t="inlineStr">
        <is>
          <t>Part VI - Appendices</t>
        </is>
      </c>
      <c r="C3261" s="24" t="inlineStr">
        <is>
          <t>B.10 PyEMMA and Markov state models - 29 videos</t>
        </is>
      </c>
      <c r="D3261" s="10" t="inlineStr">
        <is>
          <t>TRAM and MEMM hands-on</t>
        </is>
      </c>
      <c r="E3261" s="10" t="inlineStr"/>
      <c r="F3261" s="11" t="inlineStr">
        <is>
          <t>41:27</t>
        </is>
      </c>
      <c r="G3261" s="11" t="n">
        <v>0.6899999999999999</v>
      </c>
      <c r="H3261" s="12" t="inlineStr"/>
      <c r="I3261" s="11" t="inlineStr">
        <is>
          <t>Not started</t>
        </is>
      </c>
      <c r="J3261" s="13" t="n"/>
      <c r="K3261" s="10" t="inlineStr"/>
      <c r="L3261" s="14" t="inlineStr">
        <is>
          <t>▶ watch</t>
        </is>
      </c>
      <c r="M3261" s="10" t="inlineStr"/>
      <c r="N3261" s="11" t="inlineStr"/>
      <c r="O3261" s="11" t="inlineStr">
        <is>
          <t>course lecture - no single paper</t>
        </is>
      </c>
      <c r="P3261" s="10" t="inlineStr"/>
    </row>
    <row r="3262">
      <c r="A3262" s="23" t="n">
        <v>3261</v>
      </c>
      <c r="B3262" s="23" t="inlineStr">
        <is>
          <t>Part VI - Appendices</t>
        </is>
      </c>
      <c r="C3262" s="24" t="inlineStr">
        <is>
          <t>B.10 PyEMMA and Markov state models - 29 videos</t>
        </is>
      </c>
      <c r="D3262" s="10" t="inlineStr">
        <is>
          <t>molPX: interactive molecular projection visualization</t>
        </is>
      </c>
      <c r="E3262" s="10" t="inlineStr"/>
      <c r="F3262" s="11" t="inlineStr">
        <is>
          <t>21:35</t>
        </is>
      </c>
      <c r="G3262" s="11" t="n">
        <v>0.36</v>
      </c>
      <c r="H3262" s="12" t="inlineStr"/>
      <c r="I3262" s="11" t="inlineStr">
        <is>
          <t>Not started</t>
        </is>
      </c>
      <c r="J3262" s="13" t="n"/>
      <c r="K3262" s="10" t="inlineStr"/>
      <c r="L3262" s="14" t="inlineStr">
        <is>
          <t>▶ watch</t>
        </is>
      </c>
      <c r="M3262" s="10" t="inlineStr"/>
      <c r="N3262" s="11" t="inlineStr"/>
      <c r="O3262" s="11" t="inlineStr">
        <is>
          <t>course lecture - no single paper</t>
        </is>
      </c>
      <c r="P3262" s="10" t="inlineStr"/>
    </row>
    <row r="3263">
      <c r="A3263" s="23" t="n">
        <v>3262</v>
      </c>
      <c r="B3263" s="23" t="inlineStr">
        <is>
          <t>Part VI - Appendices</t>
        </is>
      </c>
      <c r="C3263" s="24" t="inlineStr">
        <is>
          <t>B.10 PyEMMA and Markov state models - 29 videos</t>
        </is>
      </c>
      <c r="D3263" s="10" t="inlineStr">
        <is>
          <t>The software</t>
        </is>
      </c>
      <c r="E3263" s="10" t="inlineStr"/>
      <c r="F3263" s="11" t="inlineStr"/>
      <c r="G3263" s="11" t="n">
        <v>0</v>
      </c>
      <c r="H3263" s="12" t="inlineStr"/>
      <c r="I3263" s="11" t="inlineStr">
        <is>
          <t>Not started</t>
        </is>
      </c>
      <c r="J3263" s="13" t="n"/>
      <c r="K3263" s="10" t="inlineStr"/>
      <c r="L3263" s="14" t="inlineStr">
        <is>
          <t>▶ watch</t>
        </is>
      </c>
      <c r="M3263" s="10" t="inlineStr"/>
      <c r="N3263" s="11" t="inlineStr"/>
      <c r="O3263" s="11" t="inlineStr">
        <is>
          <t>course lecture - no single paper</t>
        </is>
      </c>
      <c r="P3263" s="10" t="inlineStr"/>
    </row>
    <row r="3264">
      <c r="A3264" s="23" t="n">
        <v>3263</v>
      </c>
      <c r="B3264" s="23" t="inlineStr">
        <is>
          <t>Part VI - Appendices</t>
        </is>
      </c>
      <c r="C3264" s="24" t="inlineStr">
        <is>
          <t>B.10 PyEMMA and Markov state models - 29 videos</t>
        </is>
      </c>
      <c r="D3264" s="10" t="inlineStr">
        <is>
          <t>MSM theory</t>
        </is>
      </c>
      <c r="E3264" s="10" t="inlineStr"/>
      <c r="F3264" s="11" t="inlineStr"/>
      <c r="G3264" s="11" t="n">
        <v>0</v>
      </c>
      <c r="H3264" s="12" t="inlineStr"/>
      <c r="I3264" s="11" t="inlineStr">
        <is>
          <t>Not started</t>
        </is>
      </c>
      <c r="J3264" s="13" t="n"/>
      <c r="K3264" s="10" t="inlineStr"/>
      <c r="L3264" s="14" t="inlineStr">
        <is>
          <t>▶ watch</t>
        </is>
      </c>
      <c r="M3264" s="10" t="inlineStr"/>
      <c r="N3264" s="11" t="inlineStr"/>
      <c r="O3264" s="11" t="inlineStr">
        <is>
          <t>course lecture - no single paper</t>
        </is>
      </c>
      <c r="P3264" s="10" t="inlineStr"/>
    </row>
    <row r="3265">
      <c r="A3265" s="23" t="n">
        <v>3264</v>
      </c>
      <c r="B3265" s="23" t="inlineStr">
        <is>
          <t>Part VI - Appendices</t>
        </is>
      </c>
      <c r="C3265" s="24" t="inlineStr">
        <is>
          <t>B.10 PyEMMA and Markov state models - 29 videos</t>
        </is>
      </c>
      <c r="D3265" s="10" t="inlineStr">
        <is>
          <t>MSM estimation and validation</t>
        </is>
      </c>
      <c r="E3265" s="10" t="inlineStr"/>
      <c r="F3265" s="11" t="inlineStr"/>
      <c r="G3265" s="11" t="n">
        <v>0</v>
      </c>
      <c r="H3265" s="12" t="inlineStr">
        <is>
          <t>★</t>
        </is>
      </c>
      <c r="I3265" s="11" t="inlineStr">
        <is>
          <t>Not started</t>
        </is>
      </c>
      <c r="J3265" s="13" t="n"/>
      <c r="K3265" s="10" t="inlineStr"/>
      <c r="L3265" s="14" t="inlineStr">
        <is>
          <t>▶ watch</t>
        </is>
      </c>
      <c r="M3265" s="10" t="inlineStr"/>
      <c r="N3265" s="11" t="inlineStr"/>
      <c r="O3265" s="11" t="inlineStr">
        <is>
          <t>course lecture - no single paper</t>
        </is>
      </c>
      <c r="P3265" s="10" t="inlineStr"/>
    </row>
    <row r="3266">
      <c r="A3266" s="23" t="n">
        <v>3265</v>
      </c>
      <c r="B3266" s="23" t="inlineStr">
        <is>
          <t>Part VI - Appendices</t>
        </is>
      </c>
      <c r="C3266" s="24" t="inlineStr">
        <is>
          <t>B.10 PyEMMA and Markov state models - 29 videos</t>
        </is>
      </c>
      <c r="D3266" s="10" t="inlineStr">
        <is>
          <t>PCCA++ coarse graining</t>
        </is>
      </c>
      <c r="E3266" s="10" t="inlineStr"/>
      <c r="F3266" s="11" t="inlineStr"/>
      <c r="G3266" s="11" t="n">
        <v>0</v>
      </c>
      <c r="H3266" s="12" t="inlineStr">
        <is>
          <t>★</t>
        </is>
      </c>
      <c r="I3266" s="11" t="inlineStr">
        <is>
          <t>Not started</t>
        </is>
      </c>
      <c r="J3266" s="13" t="n"/>
      <c r="K3266" s="10" t="inlineStr"/>
      <c r="L3266" s="14" t="inlineStr">
        <is>
          <t>▶ watch</t>
        </is>
      </c>
      <c r="M3266" s="10" t="inlineStr"/>
      <c r="N3266" s="11" t="inlineStr"/>
      <c r="O3266" s="11" t="inlineStr">
        <is>
          <t>course lecture - no single paper</t>
        </is>
      </c>
      <c r="P3266" s="10" t="inlineStr"/>
    </row>
    <row r="3267">
      <c r="A3267" s="23" t="n">
        <v>3266</v>
      </c>
      <c r="B3267" s="23" t="inlineStr">
        <is>
          <t>Part VI - Appendices</t>
        </is>
      </c>
      <c r="C3267" s="24" t="inlineStr">
        <is>
          <t>B.10 PyEMMA and Markov state models - 29 videos</t>
        </is>
      </c>
      <c r="D3267" s="10" t="inlineStr">
        <is>
          <t>VAMP score model selection</t>
        </is>
      </c>
      <c r="E3267" s="10" t="inlineStr"/>
      <c r="F3267" s="11" t="inlineStr"/>
      <c r="G3267" s="11" t="n">
        <v>0</v>
      </c>
      <c r="H3267" s="12" t="inlineStr">
        <is>
          <t>★</t>
        </is>
      </c>
      <c r="I3267" s="11" t="inlineStr">
        <is>
          <t>Not started</t>
        </is>
      </c>
      <c r="J3267" s="13" t="n"/>
      <c r="K3267" s="10" t="inlineStr"/>
      <c r="L3267" s="14" t="inlineStr">
        <is>
          <t>▶ watch</t>
        </is>
      </c>
      <c r="M3267" s="10" t="inlineStr"/>
      <c r="N3267" s="11" t="inlineStr"/>
      <c r="O3267" s="11" t="inlineStr">
        <is>
          <t>course lecture - no single paper</t>
        </is>
      </c>
      <c r="P3267" s="10" t="inlineStr"/>
    </row>
    <row r="3268">
      <c r="A3268" s="23" t="n">
        <v>3267</v>
      </c>
      <c r="B3268" s="23" t="inlineStr">
        <is>
          <t>Part VI - Appendices</t>
        </is>
      </c>
      <c r="C3268" s="24" t="inlineStr">
        <is>
          <t>B.10 PyEMMA and Markov state models - 29 videos</t>
        </is>
      </c>
      <c r="D3268" s="10" t="inlineStr">
        <is>
          <t>VAMP score model selection</t>
        </is>
      </c>
      <c r="E3268" s="10" t="inlineStr"/>
      <c r="F3268" s="11" t="inlineStr"/>
      <c r="G3268" s="11" t="n">
        <v>0</v>
      </c>
      <c r="H3268" s="12" t="inlineStr">
        <is>
          <t>★</t>
        </is>
      </c>
      <c r="I3268" s="11" t="inlineStr">
        <is>
          <t>Not started</t>
        </is>
      </c>
      <c r="J3268" s="13" t="n"/>
      <c r="K3268" s="10" t="inlineStr"/>
      <c r="L3268" s="14" t="inlineStr">
        <is>
          <t>▶ watch</t>
        </is>
      </c>
      <c r="M3268" s="10" t="inlineStr"/>
      <c r="N3268" s="11" t="inlineStr"/>
      <c r="O3268" s="11" t="inlineStr">
        <is>
          <t>course lecture - no single paper</t>
        </is>
      </c>
      <c r="P3268" s="10" t="inlineStr"/>
    </row>
    <row r="3269">
      <c r="A3269" s="23" t="n">
        <v>3268</v>
      </c>
      <c r="B3269" s="23" t="inlineStr">
        <is>
          <t>Part VI - Appendices</t>
        </is>
      </c>
      <c r="C3269" s="24" t="inlineStr">
        <is>
          <t>B.10 PyEMMA and Markov state models - 29 videos</t>
        </is>
      </c>
      <c r="D3269" s="10" t="inlineStr">
        <is>
          <t>VAMP score model selection</t>
        </is>
      </c>
      <c r="E3269" s="10" t="inlineStr"/>
      <c r="F3269" s="11" t="inlineStr"/>
      <c r="G3269" s="11" t="n">
        <v>0</v>
      </c>
      <c r="H3269" s="12" t="inlineStr"/>
      <c r="I3269" s="11" t="inlineStr">
        <is>
          <t>Not started</t>
        </is>
      </c>
      <c r="J3269" s="13" t="n"/>
      <c r="K3269" s="10" t="inlineStr"/>
      <c r="L3269" s="14" t="inlineStr">
        <is>
          <t>▶ watch</t>
        </is>
      </c>
      <c r="M3269" s="10" t="inlineStr"/>
      <c r="N3269" s="11" t="inlineStr"/>
      <c r="O3269" s="11" t="inlineStr">
        <is>
          <t>course lecture - no single paper</t>
        </is>
      </c>
      <c r="P3269" s="10" t="inlineStr"/>
    </row>
    <row r="3270">
      <c r="A3270" s="23" t="n">
        <v>3269</v>
      </c>
      <c r="B3270" s="23" t="inlineStr">
        <is>
          <t>Part VI - Appendices</t>
        </is>
      </c>
      <c r="C3270" s="24" t="inlineStr">
        <is>
          <t>B.10 PyEMMA and Markov state models - 29 videos</t>
        </is>
      </c>
      <c r="D3270" s="10" t="inlineStr">
        <is>
          <t>Introduction</t>
        </is>
      </c>
      <c r="E3270" s="10" t="inlineStr"/>
      <c r="F3270" s="11" t="inlineStr"/>
      <c r="G3270" s="11" t="n">
        <v>0</v>
      </c>
      <c r="H3270" s="12" t="inlineStr"/>
      <c r="I3270" s="11" t="inlineStr">
        <is>
          <t>Not started</t>
        </is>
      </c>
      <c r="J3270" s="13" t="n"/>
      <c r="K3270" s="10" t="inlineStr"/>
      <c r="L3270" s="14" t="inlineStr">
        <is>
          <t>▶ watch</t>
        </is>
      </c>
      <c r="M3270" s="10" t="inlineStr"/>
      <c r="N3270" s="11" t="inlineStr"/>
      <c r="O3270" s="11" t="inlineStr">
        <is>
          <t>course lecture - no single paper</t>
        </is>
      </c>
      <c r="P3270" s="10" t="inlineStr"/>
    </row>
    <row r="3271">
      <c r="A3271" s="23" t="n">
        <v>3270</v>
      </c>
      <c r="B3271" s="23" t="inlineStr">
        <is>
          <t>Part VI - Appendices</t>
        </is>
      </c>
      <c r="C3271" s="24" t="inlineStr">
        <is>
          <t>B.10 PyEMMA and Markov state models - 29 videos</t>
        </is>
      </c>
      <c r="D3271" s="10" t="inlineStr">
        <is>
          <t>VAMP theory</t>
        </is>
      </c>
      <c r="E3271" s="10" t="inlineStr"/>
      <c r="F3271" s="11" t="inlineStr"/>
      <c r="G3271" s="11" t="n">
        <v>0</v>
      </c>
      <c r="H3271" s="12" t="inlineStr">
        <is>
          <t>★</t>
        </is>
      </c>
      <c r="I3271" s="11" t="inlineStr">
        <is>
          <t>Not started</t>
        </is>
      </c>
      <c r="J3271" s="13" t="n"/>
      <c r="K3271" s="10" t="inlineStr"/>
      <c r="L3271" s="14" t="inlineStr">
        <is>
          <t>▶ watch</t>
        </is>
      </c>
      <c r="M3271" s="10" t="inlineStr"/>
      <c r="N3271" s="11" t="inlineStr"/>
      <c r="O3271" s="11" t="inlineStr">
        <is>
          <t>course lecture - no single paper</t>
        </is>
      </c>
      <c r="P3271" s="10" t="inlineStr"/>
    </row>
    <row r="3272">
      <c r="A3272" s="23" t="n">
        <v>3271</v>
      </c>
      <c r="B3272" s="23" t="inlineStr">
        <is>
          <t>Part VI - Appendices</t>
        </is>
      </c>
      <c r="C3272" s="24" t="inlineStr">
        <is>
          <t>B.10 PyEMMA and Markov state models - 29 videos</t>
        </is>
      </c>
      <c r="D3272" s="10" t="inlineStr">
        <is>
          <t>VAMP theory</t>
        </is>
      </c>
      <c r="E3272" s="10" t="inlineStr"/>
      <c r="F3272" s="11" t="inlineStr"/>
      <c r="G3272" s="11" t="n">
        <v>0</v>
      </c>
      <c r="H3272" s="12" t="inlineStr">
        <is>
          <t>★</t>
        </is>
      </c>
      <c r="I3272" s="11" t="inlineStr">
        <is>
          <t>Not started</t>
        </is>
      </c>
      <c r="J3272" s="13" t="n"/>
      <c r="K3272" s="10" t="inlineStr"/>
      <c r="L3272" s="14" t="inlineStr">
        <is>
          <t>▶ watch</t>
        </is>
      </c>
      <c r="M3272" s="10" t="inlineStr"/>
      <c r="N3272" s="11" t="inlineStr"/>
      <c r="O3272" s="11" t="inlineStr">
        <is>
          <t>course lecture - no single paper</t>
        </is>
      </c>
      <c r="P3272" s="10" t="inlineStr"/>
    </row>
  </sheetData>
  <autoFilter ref="A1:P3272"/>
  <conditionalFormatting sqref="I2:I3272">
    <cfRule type="cellIs" priority="1" operator="equal" dxfId="0">
      <formula>"Done"</formula>
    </cfRule>
    <cfRule type="cellIs" priority="2" operator="equal" dxfId="1">
      <formula>"Watching"</formula>
    </cfRule>
    <cfRule type="cellIs" priority="3" operator="equal" dxfId="2">
      <formula>"Skipped"</formula>
    </cfRule>
  </conditionalFormatting>
  <conditionalFormatting sqref="A2:H3272">
    <cfRule type="expression" priority="4" dxfId="3">
      <formula>$I2="Done"</formula>
    </cfRule>
  </conditionalFormatting>
  <dataValidations count="1">
    <dataValidation sqref="I2:I3272" showDropDown="0" showInputMessage="0" showErrorMessage="0" allowBlank="1" type="list">
      <formula1>"Not started,Watching,Done,Skipped"</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N241" r:id="rId241"/>
    <hyperlink xmlns:r="http://schemas.openxmlformats.org/officeDocument/2006/relationships" ref="L242" r:id="rId242"/>
    <hyperlink xmlns:r="http://schemas.openxmlformats.org/officeDocument/2006/relationships" ref="N242" r:id="rId243"/>
    <hyperlink xmlns:r="http://schemas.openxmlformats.org/officeDocument/2006/relationships" ref="L243" r:id="rId244"/>
    <hyperlink xmlns:r="http://schemas.openxmlformats.org/officeDocument/2006/relationships" ref="N243" r:id="rId245"/>
    <hyperlink xmlns:r="http://schemas.openxmlformats.org/officeDocument/2006/relationships" ref="L244" r:id="rId246"/>
    <hyperlink xmlns:r="http://schemas.openxmlformats.org/officeDocument/2006/relationships" ref="L245" r:id="rId247"/>
    <hyperlink xmlns:r="http://schemas.openxmlformats.org/officeDocument/2006/relationships" ref="L246" r:id="rId248"/>
    <hyperlink xmlns:r="http://schemas.openxmlformats.org/officeDocument/2006/relationships" ref="L247" r:id="rId249"/>
    <hyperlink xmlns:r="http://schemas.openxmlformats.org/officeDocument/2006/relationships" ref="L248" r:id="rId250"/>
    <hyperlink xmlns:r="http://schemas.openxmlformats.org/officeDocument/2006/relationships" ref="L249" r:id="rId251"/>
    <hyperlink xmlns:r="http://schemas.openxmlformats.org/officeDocument/2006/relationships" ref="L250" r:id="rId252"/>
    <hyperlink xmlns:r="http://schemas.openxmlformats.org/officeDocument/2006/relationships" ref="L251" r:id="rId253"/>
    <hyperlink xmlns:r="http://schemas.openxmlformats.org/officeDocument/2006/relationships" ref="L252" r:id="rId254"/>
    <hyperlink xmlns:r="http://schemas.openxmlformats.org/officeDocument/2006/relationships" ref="L253" r:id="rId255"/>
    <hyperlink xmlns:r="http://schemas.openxmlformats.org/officeDocument/2006/relationships" ref="L254" r:id="rId256"/>
    <hyperlink xmlns:r="http://schemas.openxmlformats.org/officeDocument/2006/relationships" ref="L255" r:id="rId257"/>
    <hyperlink xmlns:r="http://schemas.openxmlformats.org/officeDocument/2006/relationships" ref="L256" r:id="rId258"/>
    <hyperlink xmlns:r="http://schemas.openxmlformats.org/officeDocument/2006/relationships" ref="L257" r:id="rId259"/>
    <hyperlink xmlns:r="http://schemas.openxmlformats.org/officeDocument/2006/relationships" ref="L258" r:id="rId260"/>
    <hyperlink xmlns:r="http://schemas.openxmlformats.org/officeDocument/2006/relationships" ref="L259" r:id="rId261"/>
    <hyperlink xmlns:r="http://schemas.openxmlformats.org/officeDocument/2006/relationships" ref="L260" r:id="rId262"/>
    <hyperlink xmlns:r="http://schemas.openxmlformats.org/officeDocument/2006/relationships" ref="L261" r:id="rId263"/>
    <hyperlink xmlns:r="http://schemas.openxmlformats.org/officeDocument/2006/relationships" ref="L262" r:id="rId264"/>
    <hyperlink xmlns:r="http://schemas.openxmlformats.org/officeDocument/2006/relationships" ref="L263" r:id="rId265"/>
    <hyperlink xmlns:r="http://schemas.openxmlformats.org/officeDocument/2006/relationships" ref="L264" r:id="rId266"/>
    <hyperlink xmlns:r="http://schemas.openxmlformats.org/officeDocument/2006/relationships" ref="L265" r:id="rId267"/>
    <hyperlink xmlns:r="http://schemas.openxmlformats.org/officeDocument/2006/relationships" ref="L266" r:id="rId268"/>
    <hyperlink xmlns:r="http://schemas.openxmlformats.org/officeDocument/2006/relationships" ref="L267" r:id="rId269"/>
    <hyperlink xmlns:r="http://schemas.openxmlformats.org/officeDocument/2006/relationships" ref="L268" r:id="rId270"/>
    <hyperlink xmlns:r="http://schemas.openxmlformats.org/officeDocument/2006/relationships" ref="L269" r:id="rId271"/>
    <hyperlink xmlns:r="http://schemas.openxmlformats.org/officeDocument/2006/relationships" ref="L270" r:id="rId272"/>
    <hyperlink xmlns:r="http://schemas.openxmlformats.org/officeDocument/2006/relationships" ref="L271" r:id="rId273"/>
    <hyperlink xmlns:r="http://schemas.openxmlformats.org/officeDocument/2006/relationships" ref="L272" r:id="rId274"/>
    <hyperlink xmlns:r="http://schemas.openxmlformats.org/officeDocument/2006/relationships" ref="L273" r:id="rId275"/>
    <hyperlink xmlns:r="http://schemas.openxmlformats.org/officeDocument/2006/relationships" ref="L274" r:id="rId276"/>
    <hyperlink xmlns:r="http://schemas.openxmlformats.org/officeDocument/2006/relationships" ref="L275" r:id="rId277"/>
    <hyperlink xmlns:r="http://schemas.openxmlformats.org/officeDocument/2006/relationships" ref="L276" r:id="rId278"/>
    <hyperlink xmlns:r="http://schemas.openxmlformats.org/officeDocument/2006/relationships" ref="L277" r:id="rId279"/>
    <hyperlink xmlns:r="http://schemas.openxmlformats.org/officeDocument/2006/relationships" ref="L278" r:id="rId280"/>
    <hyperlink xmlns:r="http://schemas.openxmlformats.org/officeDocument/2006/relationships" ref="L279" r:id="rId281"/>
    <hyperlink xmlns:r="http://schemas.openxmlformats.org/officeDocument/2006/relationships" ref="L280" r:id="rId282"/>
    <hyperlink xmlns:r="http://schemas.openxmlformats.org/officeDocument/2006/relationships" ref="L281" r:id="rId283"/>
    <hyperlink xmlns:r="http://schemas.openxmlformats.org/officeDocument/2006/relationships" ref="L282" r:id="rId284"/>
    <hyperlink xmlns:r="http://schemas.openxmlformats.org/officeDocument/2006/relationships" ref="L283" r:id="rId285"/>
    <hyperlink xmlns:r="http://schemas.openxmlformats.org/officeDocument/2006/relationships" ref="L284" r:id="rId286"/>
    <hyperlink xmlns:r="http://schemas.openxmlformats.org/officeDocument/2006/relationships" ref="L285" r:id="rId287"/>
    <hyperlink xmlns:r="http://schemas.openxmlformats.org/officeDocument/2006/relationships" ref="L286" r:id="rId288"/>
    <hyperlink xmlns:r="http://schemas.openxmlformats.org/officeDocument/2006/relationships" ref="L287" r:id="rId289"/>
    <hyperlink xmlns:r="http://schemas.openxmlformats.org/officeDocument/2006/relationships" ref="L288" r:id="rId290"/>
    <hyperlink xmlns:r="http://schemas.openxmlformats.org/officeDocument/2006/relationships" ref="L289" r:id="rId291"/>
    <hyperlink xmlns:r="http://schemas.openxmlformats.org/officeDocument/2006/relationships" ref="L290" r:id="rId292"/>
    <hyperlink xmlns:r="http://schemas.openxmlformats.org/officeDocument/2006/relationships" ref="L291" r:id="rId293"/>
    <hyperlink xmlns:r="http://schemas.openxmlformats.org/officeDocument/2006/relationships" ref="L292" r:id="rId294"/>
    <hyperlink xmlns:r="http://schemas.openxmlformats.org/officeDocument/2006/relationships" ref="L293" r:id="rId295"/>
    <hyperlink xmlns:r="http://schemas.openxmlformats.org/officeDocument/2006/relationships" ref="L294" r:id="rId296"/>
    <hyperlink xmlns:r="http://schemas.openxmlformats.org/officeDocument/2006/relationships" ref="L295" r:id="rId297"/>
    <hyperlink xmlns:r="http://schemas.openxmlformats.org/officeDocument/2006/relationships" ref="L296" r:id="rId298"/>
    <hyperlink xmlns:r="http://schemas.openxmlformats.org/officeDocument/2006/relationships" ref="L297" r:id="rId299"/>
    <hyperlink xmlns:r="http://schemas.openxmlformats.org/officeDocument/2006/relationships" ref="L298" r:id="rId300"/>
    <hyperlink xmlns:r="http://schemas.openxmlformats.org/officeDocument/2006/relationships" ref="N298" r:id="rId301"/>
    <hyperlink xmlns:r="http://schemas.openxmlformats.org/officeDocument/2006/relationships" ref="L299" r:id="rId302"/>
    <hyperlink xmlns:r="http://schemas.openxmlformats.org/officeDocument/2006/relationships" ref="N299" r:id="rId303"/>
    <hyperlink xmlns:r="http://schemas.openxmlformats.org/officeDocument/2006/relationships" ref="L300" r:id="rId304"/>
    <hyperlink xmlns:r="http://schemas.openxmlformats.org/officeDocument/2006/relationships" ref="N300" r:id="rId305"/>
    <hyperlink xmlns:r="http://schemas.openxmlformats.org/officeDocument/2006/relationships" ref="L301" r:id="rId306"/>
    <hyperlink xmlns:r="http://schemas.openxmlformats.org/officeDocument/2006/relationships" ref="N301" r:id="rId307"/>
    <hyperlink xmlns:r="http://schemas.openxmlformats.org/officeDocument/2006/relationships" ref="L302" r:id="rId308"/>
    <hyperlink xmlns:r="http://schemas.openxmlformats.org/officeDocument/2006/relationships" ref="N302" r:id="rId309"/>
    <hyperlink xmlns:r="http://schemas.openxmlformats.org/officeDocument/2006/relationships" ref="L303" r:id="rId310"/>
    <hyperlink xmlns:r="http://schemas.openxmlformats.org/officeDocument/2006/relationships" ref="N303" r:id="rId311"/>
    <hyperlink xmlns:r="http://schemas.openxmlformats.org/officeDocument/2006/relationships" ref="L304" r:id="rId312"/>
    <hyperlink xmlns:r="http://schemas.openxmlformats.org/officeDocument/2006/relationships" ref="N304" r:id="rId313"/>
    <hyperlink xmlns:r="http://schemas.openxmlformats.org/officeDocument/2006/relationships" ref="L305" r:id="rId314"/>
    <hyperlink xmlns:r="http://schemas.openxmlformats.org/officeDocument/2006/relationships" ref="N305" r:id="rId315"/>
    <hyperlink xmlns:r="http://schemas.openxmlformats.org/officeDocument/2006/relationships" ref="L306" r:id="rId316"/>
    <hyperlink xmlns:r="http://schemas.openxmlformats.org/officeDocument/2006/relationships" ref="N306" r:id="rId317"/>
    <hyperlink xmlns:r="http://schemas.openxmlformats.org/officeDocument/2006/relationships" ref="L307" r:id="rId318"/>
    <hyperlink xmlns:r="http://schemas.openxmlformats.org/officeDocument/2006/relationships" ref="N307" r:id="rId319"/>
    <hyperlink xmlns:r="http://schemas.openxmlformats.org/officeDocument/2006/relationships" ref="L308" r:id="rId320"/>
    <hyperlink xmlns:r="http://schemas.openxmlformats.org/officeDocument/2006/relationships" ref="N308" r:id="rId321"/>
    <hyperlink xmlns:r="http://schemas.openxmlformats.org/officeDocument/2006/relationships" ref="L309" r:id="rId322"/>
    <hyperlink xmlns:r="http://schemas.openxmlformats.org/officeDocument/2006/relationships" ref="N309" r:id="rId323"/>
    <hyperlink xmlns:r="http://schemas.openxmlformats.org/officeDocument/2006/relationships" ref="L310" r:id="rId324"/>
    <hyperlink xmlns:r="http://schemas.openxmlformats.org/officeDocument/2006/relationships" ref="N310" r:id="rId325"/>
    <hyperlink xmlns:r="http://schemas.openxmlformats.org/officeDocument/2006/relationships" ref="L311" r:id="rId326"/>
    <hyperlink xmlns:r="http://schemas.openxmlformats.org/officeDocument/2006/relationships" ref="N311" r:id="rId327"/>
    <hyperlink xmlns:r="http://schemas.openxmlformats.org/officeDocument/2006/relationships" ref="L312" r:id="rId328"/>
    <hyperlink xmlns:r="http://schemas.openxmlformats.org/officeDocument/2006/relationships" ref="N312" r:id="rId329"/>
    <hyperlink xmlns:r="http://schemas.openxmlformats.org/officeDocument/2006/relationships" ref="L313" r:id="rId330"/>
    <hyperlink xmlns:r="http://schemas.openxmlformats.org/officeDocument/2006/relationships" ref="N313" r:id="rId331"/>
    <hyperlink xmlns:r="http://schemas.openxmlformats.org/officeDocument/2006/relationships" ref="L314" r:id="rId332"/>
    <hyperlink xmlns:r="http://schemas.openxmlformats.org/officeDocument/2006/relationships" ref="N314" r:id="rId333"/>
    <hyperlink xmlns:r="http://schemas.openxmlformats.org/officeDocument/2006/relationships" ref="L315" r:id="rId334"/>
    <hyperlink xmlns:r="http://schemas.openxmlformats.org/officeDocument/2006/relationships" ref="N315" r:id="rId335"/>
    <hyperlink xmlns:r="http://schemas.openxmlformats.org/officeDocument/2006/relationships" ref="L316" r:id="rId336"/>
    <hyperlink xmlns:r="http://schemas.openxmlformats.org/officeDocument/2006/relationships" ref="N316" r:id="rId337"/>
    <hyperlink xmlns:r="http://schemas.openxmlformats.org/officeDocument/2006/relationships" ref="L317" r:id="rId338"/>
    <hyperlink xmlns:r="http://schemas.openxmlformats.org/officeDocument/2006/relationships" ref="N317" r:id="rId339"/>
    <hyperlink xmlns:r="http://schemas.openxmlformats.org/officeDocument/2006/relationships" ref="L318" r:id="rId340"/>
    <hyperlink xmlns:r="http://schemas.openxmlformats.org/officeDocument/2006/relationships" ref="N318" r:id="rId341"/>
    <hyperlink xmlns:r="http://schemas.openxmlformats.org/officeDocument/2006/relationships" ref="L319" r:id="rId342"/>
    <hyperlink xmlns:r="http://schemas.openxmlformats.org/officeDocument/2006/relationships" ref="N319" r:id="rId343"/>
    <hyperlink xmlns:r="http://schemas.openxmlformats.org/officeDocument/2006/relationships" ref="L320" r:id="rId344"/>
    <hyperlink xmlns:r="http://schemas.openxmlformats.org/officeDocument/2006/relationships" ref="N320" r:id="rId345"/>
    <hyperlink xmlns:r="http://schemas.openxmlformats.org/officeDocument/2006/relationships" ref="L321" r:id="rId346"/>
    <hyperlink xmlns:r="http://schemas.openxmlformats.org/officeDocument/2006/relationships" ref="N321" r:id="rId347"/>
    <hyperlink xmlns:r="http://schemas.openxmlformats.org/officeDocument/2006/relationships" ref="L322" r:id="rId348"/>
    <hyperlink xmlns:r="http://schemas.openxmlformats.org/officeDocument/2006/relationships" ref="N322" r:id="rId349"/>
    <hyperlink xmlns:r="http://schemas.openxmlformats.org/officeDocument/2006/relationships" ref="L323" r:id="rId350"/>
    <hyperlink xmlns:r="http://schemas.openxmlformats.org/officeDocument/2006/relationships" ref="N323" r:id="rId351"/>
    <hyperlink xmlns:r="http://schemas.openxmlformats.org/officeDocument/2006/relationships" ref="L324" r:id="rId352"/>
    <hyperlink xmlns:r="http://schemas.openxmlformats.org/officeDocument/2006/relationships" ref="N324" r:id="rId353"/>
    <hyperlink xmlns:r="http://schemas.openxmlformats.org/officeDocument/2006/relationships" ref="L325" r:id="rId354"/>
    <hyperlink xmlns:r="http://schemas.openxmlformats.org/officeDocument/2006/relationships" ref="N325" r:id="rId355"/>
    <hyperlink xmlns:r="http://schemas.openxmlformats.org/officeDocument/2006/relationships" ref="L326" r:id="rId356"/>
    <hyperlink xmlns:r="http://schemas.openxmlformats.org/officeDocument/2006/relationships" ref="N326" r:id="rId357"/>
    <hyperlink xmlns:r="http://schemas.openxmlformats.org/officeDocument/2006/relationships" ref="L327" r:id="rId358"/>
    <hyperlink xmlns:r="http://schemas.openxmlformats.org/officeDocument/2006/relationships" ref="N327" r:id="rId359"/>
    <hyperlink xmlns:r="http://schemas.openxmlformats.org/officeDocument/2006/relationships" ref="L328" r:id="rId360"/>
    <hyperlink xmlns:r="http://schemas.openxmlformats.org/officeDocument/2006/relationships" ref="N328" r:id="rId361"/>
    <hyperlink xmlns:r="http://schemas.openxmlformats.org/officeDocument/2006/relationships" ref="L329" r:id="rId362"/>
    <hyperlink xmlns:r="http://schemas.openxmlformats.org/officeDocument/2006/relationships" ref="N329" r:id="rId363"/>
    <hyperlink xmlns:r="http://schemas.openxmlformats.org/officeDocument/2006/relationships" ref="L330" r:id="rId364"/>
    <hyperlink xmlns:r="http://schemas.openxmlformats.org/officeDocument/2006/relationships" ref="N330" r:id="rId365"/>
    <hyperlink xmlns:r="http://schemas.openxmlformats.org/officeDocument/2006/relationships" ref="L331" r:id="rId366"/>
    <hyperlink xmlns:r="http://schemas.openxmlformats.org/officeDocument/2006/relationships" ref="N331" r:id="rId367"/>
    <hyperlink xmlns:r="http://schemas.openxmlformats.org/officeDocument/2006/relationships" ref="L332" r:id="rId368"/>
    <hyperlink xmlns:r="http://schemas.openxmlformats.org/officeDocument/2006/relationships" ref="N332" r:id="rId369"/>
    <hyperlink xmlns:r="http://schemas.openxmlformats.org/officeDocument/2006/relationships" ref="L333" r:id="rId370"/>
    <hyperlink xmlns:r="http://schemas.openxmlformats.org/officeDocument/2006/relationships" ref="N333" r:id="rId371"/>
    <hyperlink xmlns:r="http://schemas.openxmlformats.org/officeDocument/2006/relationships" ref="L334" r:id="rId372"/>
    <hyperlink xmlns:r="http://schemas.openxmlformats.org/officeDocument/2006/relationships" ref="N334" r:id="rId373"/>
    <hyperlink xmlns:r="http://schemas.openxmlformats.org/officeDocument/2006/relationships" ref="L335" r:id="rId374"/>
    <hyperlink xmlns:r="http://schemas.openxmlformats.org/officeDocument/2006/relationships" ref="N335" r:id="rId375"/>
    <hyperlink xmlns:r="http://schemas.openxmlformats.org/officeDocument/2006/relationships" ref="L336" r:id="rId376"/>
    <hyperlink xmlns:r="http://schemas.openxmlformats.org/officeDocument/2006/relationships" ref="N336" r:id="rId377"/>
    <hyperlink xmlns:r="http://schemas.openxmlformats.org/officeDocument/2006/relationships" ref="L337" r:id="rId378"/>
    <hyperlink xmlns:r="http://schemas.openxmlformats.org/officeDocument/2006/relationships" ref="N337" r:id="rId379"/>
    <hyperlink xmlns:r="http://schemas.openxmlformats.org/officeDocument/2006/relationships" ref="L338" r:id="rId380"/>
    <hyperlink xmlns:r="http://schemas.openxmlformats.org/officeDocument/2006/relationships" ref="N338" r:id="rId381"/>
    <hyperlink xmlns:r="http://schemas.openxmlformats.org/officeDocument/2006/relationships" ref="L339" r:id="rId382"/>
    <hyperlink xmlns:r="http://schemas.openxmlformats.org/officeDocument/2006/relationships" ref="N339" r:id="rId383"/>
    <hyperlink xmlns:r="http://schemas.openxmlformats.org/officeDocument/2006/relationships" ref="L340" r:id="rId384"/>
    <hyperlink xmlns:r="http://schemas.openxmlformats.org/officeDocument/2006/relationships" ref="N340" r:id="rId385"/>
    <hyperlink xmlns:r="http://schemas.openxmlformats.org/officeDocument/2006/relationships" ref="L341" r:id="rId386"/>
    <hyperlink xmlns:r="http://schemas.openxmlformats.org/officeDocument/2006/relationships" ref="N341" r:id="rId387"/>
    <hyperlink xmlns:r="http://schemas.openxmlformats.org/officeDocument/2006/relationships" ref="L342" r:id="rId388"/>
    <hyperlink xmlns:r="http://schemas.openxmlformats.org/officeDocument/2006/relationships" ref="N342" r:id="rId389"/>
    <hyperlink xmlns:r="http://schemas.openxmlformats.org/officeDocument/2006/relationships" ref="L343" r:id="rId390"/>
    <hyperlink xmlns:r="http://schemas.openxmlformats.org/officeDocument/2006/relationships" ref="N343" r:id="rId391"/>
    <hyperlink xmlns:r="http://schemas.openxmlformats.org/officeDocument/2006/relationships" ref="L344" r:id="rId392"/>
    <hyperlink xmlns:r="http://schemas.openxmlformats.org/officeDocument/2006/relationships" ref="N344" r:id="rId393"/>
    <hyperlink xmlns:r="http://schemas.openxmlformats.org/officeDocument/2006/relationships" ref="L345" r:id="rId394"/>
    <hyperlink xmlns:r="http://schemas.openxmlformats.org/officeDocument/2006/relationships" ref="N345" r:id="rId395"/>
    <hyperlink xmlns:r="http://schemas.openxmlformats.org/officeDocument/2006/relationships" ref="L346" r:id="rId396"/>
    <hyperlink xmlns:r="http://schemas.openxmlformats.org/officeDocument/2006/relationships" ref="N346" r:id="rId397"/>
    <hyperlink xmlns:r="http://schemas.openxmlformats.org/officeDocument/2006/relationships" ref="L347" r:id="rId398"/>
    <hyperlink xmlns:r="http://schemas.openxmlformats.org/officeDocument/2006/relationships" ref="N347" r:id="rId399"/>
    <hyperlink xmlns:r="http://schemas.openxmlformats.org/officeDocument/2006/relationships" ref="L348" r:id="rId400"/>
    <hyperlink xmlns:r="http://schemas.openxmlformats.org/officeDocument/2006/relationships" ref="N348" r:id="rId401"/>
    <hyperlink xmlns:r="http://schemas.openxmlformats.org/officeDocument/2006/relationships" ref="L349" r:id="rId402"/>
    <hyperlink xmlns:r="http://schemas.openxmlformats.org/officeDocument/2006/relationships" ref="N349" r:id="rId403"/>
    <hyperlink xmlns:r="http://schemas.openxmlformats.org/officeDocument/2006/relationships" ref="L350" r:id="rId404"/>
    <hyperlink xmlns:r="http://schemas.openxmlformats.org/officeDocument/2006/relationships" ref="N350" r:id="rId405"/>
    <hyperlink xmlns:r="http://schemas.openxmlformats.org/officeDocument/2006/relationships" ref="L351" r:id="rId406"/>
    <hyperlink xmlns:r="http://schemas.openxmlformats.org/officeDocument/2006/relationships" ref="N351" r:id="rId407"/>
    <hyperlink xmlns:r="http://schemas.openxmlformats.org/officeDocument/2006/relationships" ref="L352" r:id="rId408"/>
    <hyperlink xmlns:r="http://schemas.openxmlformats.org/officeDocument/2006/relationships" ref="N352" r:id="rId409"/>
    <hyperlink xmlns:r="http://schemas.openxmlformats.org/officeDocument/2006/relationships" ref="L353" r:id="rId410"/>
    <hyperlink xmlns:r="http://schemas.openxmlformats.org/officeDocument/2006/relationships" ref="N353" r:id="rId411"/>
    <hyperlink xmlns:r="http://schemas.openxmlformats.org/officeDocument/2006/relationships" ref="L354" r:id="rId412"/>
    <hyperlink xmlns:r="http://schemas.openxmlformats.org/officeDocument/2006/relationships" ref="N354" r:id="rId413"/>
    <hyperlink xmlns:r="http://schemas.openxmlformats.org/officeDocument/2006/relationships" ref="L355" r:id="rId414"/>
    <hyperlink xmlns:r="http://schemas.openxmlformats.org/officeDocument/2006/relationships" ref="N355" r:id="rId415"/>
    <hyperlink xmlns:r="http://schemas.openxmlformats.org/officeDocument/2006/relationships" ref="L356" r:id="rId416"/>
    <hyperlink xmlns:r="http://schemas.openxmlformats.org/officeDocument/2006/relationships" ref="N356" r:id="rId417"/>
    <hyperlink xmlns:r="http://schemas.openxmlformats.org/officeDocument/2006/relationships" ref="L357" r:id="rId418"/>
    <hyperlink xmlns:r="http://schemas.openxmlformats.org/officeDocument/2006/relationships" ref="N357" r:id="rId419"/>
    <hyperlink xmlns:r="http://schemas.openxmlformats.org/officeDocument/2006/relationships" ref="L358" r:id="rId420"/>
    <hyperlink xmlns:r="http://schemas.openxmlformats.org/officeDocument/2006/relationships" ref="N358" r:id="rId421"/>
    <hyperlink xmlns:r="http://schemas.openxmlformats.org/officeDocument/2006/relationships" ref="L359" r:id="rId422"/>
    <hyperlink xmlns:r="http://schemas.openxmlformats.org/officeDocument/2006/relationships" ref="N359" r:id="rId423"/>
    <hyperlink xmlns:r="http://schemas.openxmlformats.org/officeDocument/2006/relationships" ref="L360" r:id="rId424"/>
    <hyperlink xmlns:r="http://schemas.openxmlformats.org/officeDocument/2006/relationships" ref="N360" r:id="rId425"/>
    <hyperlink xmlns:r="http://schemas.openxmlformats.org/officeDocument/2006/relationships" ref="L361" r:id="rId426"/>
    <hyperlink xmlns:r="http://schemas.openxmlformats.org/officeDocument/2006/relationships" ref="N361" r:id="rId427"/>
    <hyperlink xmlns:r="http://schemas.openxmlformats.org/officeDocument/2006/relationships" ref="L362" r:id="rId428"/>
    <hyperlink xmlns:r="http://schemas.openxmlformats.org/officeDocument/2006/relationships" ref="N362" r:id="rId429"/>
    <hyperlink xmlns:r="http://schemas.openxmlformats.org/officeDocument/2006/relationships" ref="L363" r:id="rId430"/>
    <hyperlink xmlns:r="http://schemas.openxmlformats.org/officeDocument/2006/relationships" ref="N363" r:id="rId431"/>
    <hyperlink xmlns:r="http://schemas.openxmlformats.org/officeDocument/2006/relationships" ref="L364" r:id="rId432"/>
    <hyperlink xmlns:r="http://schemas.openxmlformats.org/officeDocument/2006/relationships" ref="N364" r:id="rId433"/>
    <hyperlink xmlns:r="http://schemas.openxmlformats.org/officeDocument/2006/relationships" ref="L365" r:id="rId434"/>
    <hyperlink xmlns:r="http://schemas.openxmlformats.org/officeDocument/2006/relationships" ref="N365" r:id="rId435"/>
    <hyperlink xmlns:r="http://schemas.openxmlformats.org/officeDocument/2006/relationships" ref="L366" r:id="rId436"/>
    <hyperlink xmlns:r="http://schemas.openxmlformats.org/officeDocument/2006/relationships" ref="N366" r:id="rId437"/>
    <hyperlink xmlns:r="http://schemas.openxmlformats.org/officeDocument/2006/relationships" ref="L367" r:id="rId438"/>
    <hyperlink xmlns:r="http://schemas.openxmlformats.org/officeDocument/2006/relationships" ref="N367" r:id="rId439"/>
    <hyperlink xmlns:r="http://schemas.openxmlformats.org/officeDocument/2006/relationships" ref="L368" r:id="rId440"/>
    <hyperlink xmlns:r="http://schemas.openxmlformats.org/officeDocument/2006/relationships" ref="N368" r:id="rId441"/>
    <hyperlink xmlns:r="http://schemas.openxmlformats.org/officeDocument/2006/relationships" ref="L369" r:id="rId442"/>
    <hyperlink xmlns:r="http://schemas.openxmlformats.org/officeDocument/2006/relationships" ref="N369" r:id="rId443"/>
    <hyperlink xmlns:r="http://schemas.openxmlformats.org/officeDocument/2006/relationships" ref="L370" r:id="rId444"/>
    <hyperlink xmlns:r="http://schemas.openxmlformats.org/officeDocument/2006/relationships" ref="N370" r:id="rId445"/>
    <hyperlink xmlns:r="http://schemas.openxmlformats.org/officeDocument/2006/relationships" ref="L371" r:id="rId446"/>
    <hyperlink xmlns:r="http://schemas.openxmlformats.org/officeDocument/2006/relationships" ref="N371" r:id="rId447"/>
    <hyperlink xmlns:r="http://schemas.openxmlformats.org/officeDocument/2006/relationships" ref="L372" r:id="rId448"/>
    <hyperlink xmlns:r="http://schemas.openxmlformats.org/officeDocument/2006/relationships" ref="N372" r:id="rId449"/>
    <hyperlink xmlns:r="http://schemas.openxmlformats.org/officeDocument/2006/relationships" ref="L373" r:id="rId450"/>
    <hyperlink xmlns:r="http://schemas.openxmlformats.org/officeDocument/2006/relationships" ref="N373" r:id="rId451"/>
    <hyperlink xmlns:r="http://schemas.openxmlformats.org/officeDocument/2006/relationships" ref="L374" r:id="rId452"/>
    <hyperlink xmlns:r="http://schemas.openxmlformats.org/officeDocument/2006/relationships" ref="N374" r:id="rId453"/>
    <hyperlink xmlns:r="http://schemas.openxmlformats.org/officeDocument/2006/relationships" ref="L375" r:id="rId454"/>
    <hyperlink xmlns:r="http://schemas.openxmlformats.org/officeDocument/2006/relationships" ref="N375" r:id="rId455"/>
    <hyperlink xmlns:r="http://schemas.openxmlformats.org/officeDocument/2006/relationships" ref="L376" r:id="rId456"/>
    <hyperlink xmlns:r="http://schemas.openxmlformats.org/officeDocument/2006/relationships" ref="N376" r:id="rId457"/>
    <hyperlink xmlns:r="http://schemas.openxmlformats.org/officeDocument/2006/relationships" ref="L377" r:id="rId458"/>
    <hyperlink xmlns:r="http://schemas.openxmlformats.org/officeDocument/2006/relationships" ref="N377" r:id="rId459"/>
    <hyperlink xmlns:r="http://schemas.openxmlformats.org/officeDocument/2006/relationships" ref="L378" r:id="rId460"/>
    <hyperlink xmlns:r="http://schemas.openxmlformats.org/officeDocument/2006/relationships" ref="N378" r:id="rId461"/>
    <hyperlink xmlns:r="http://schemas.openxmlformats.org/officeDocument/2006/relationships" ref="L379" r:id="rId462"/>
    <hyperlink xmlns:r="http://schemas.openxmlformats.org/officeDocument/2006/relationships" ref="N379" r:id="rId463"/>
    <hyperlink xmlns:r="http://schemas.openxmlformats.org/officeDocument/2006/relationships" ref="L380" r:id="rId464"/>
    <hyperlink xmlns:r="http://schemas.openxmlformats.org/officeDocument/2006/relationships" ref="N380" r:id="rId465"/>
    <hyperlink xmlns:r="http://schemas.openxmlformats.org/officeDocument/2006/relationships" ref="L381" r:id="rId466"/>
    <hyperlink xmlns:r="http://schemas.openxmlformats.org/officeDocument/2006/relationships" ref="N381" r:id="rId467"/>
    <hyperlink xmlns:r="http://schemas.openxmlformats.org/officeDocument/2006/relationships" ref="L382" r:id="rId468"/>
    <hyperlink xmlns:r="http://schemas.openxmlformats.org/officeDocument/2006/relationships" ref="N382" r:id="rId469"/>
    <hyperlink xmlns:r="http://schemas.openxmlformats.org/officeDocument/2006/relationships" ref="L383" r:id="rId470"/>
    <hyperlink xmlns:r="http://schemas.openxmlformats.org/officeDocument/2006/relationships" ref="N383" r:id="rId471"/>
    <hyperlink xmlns:r="http://schemas.openxmlformats.org/officeDocument/2006/relationships" ref="L384" r:id="rId472"/>
    <hyperlink xmlns:r="http://schemas.openxmlformats.org/officeDocument/2006/relationships" ref="N384" r:id="rId473"/>
    <hyperlink xmlns:r="http://schemas.openxmlformats.org/officeDocument/2006/relationships" ref="L385" r:id="rId474"/>
    <hyperlink xmlns:r="http://schemas.openxmlformats.org/officeDocument/2006/relationships" ref="N385" r:id="rId475"/>
    <hyperlink xmlns:r="http://schemas.openxmlformats.org/officeDocument/2006/relationships" ref="L386" r:id="rId476"/>
    <hyperlink xmlns:r="http://schemas.openxmlformats.org/officeDocument/2006/relationships" ref="N386" r:id="rId477"/>
    <hyperlink xmlns:r="http://schemas.openxmlformats.org/officeDocument/2006/relationships" ref="L387" r:id="rId478"/>
    <hyperlink xmlns:r="http://schemas.openxmlformats.org/officeDocument/2006/relationships" ref="N387" r:id="rId479"/>
    <hyperlink xmlns:r="http://schemas.openxmlformats.org/officeDocument/2006/relationships" ref="L388" r:id="rId480"/>
    <hyperlink xmlns:r="http://schemas.openxmlformats.org/officeDocument/2006/relationships" ref="N388" r:id="rId481"/>
    <hyperlink xmlns:r="http://schemas.openxmlformats.org/officeDocument/2006/relationships" ref="L389" r:id="rId482"/>
    <hyperlink xmlns:r="http://schemas.openxmlformats.org/officeDocument/2006/relationships" ref="N389" r:id="rId483"/>
    <hyperlink xmlns:r="http://schemas.openxmlformats.org/officeDocument/2006/relationships" ref="L390" r:id="rId484"/>
    <hyperlink xmlns:r="http://schemas.openxmlformats.org/officeDocument/2006/relationships" ref="N390" r:id="rId485"/>
    <hyperlink xmlns:r="http://schemas.openxmlformats.org/officeDocument/2006/relationships" ref="L391" r:id="rId486"/>
    <hyperlink xmlns:r="http://schemas.openxmlformats.org/officeDocument/2006/relationships" ref="N391" r:id="rId487"/>
    <hyperlink xmlns:r="http://schemas.openxmlformats.org/officeDocument/2006/relationships" ref="L392" r:id="rId488"/>
    <hyperlink xmlns:r="http://schemas.openxmlformats.org/officeDocument/2006/relationships" ref="N392" r:id="rId489"/>
    <hyperlink xmlns:r="http://schemas.openxmlformats.org/officeDocument/2006/relationships" ref="L393" r:id="rId490"/>
    <hyperlink xmlns:r="http://schemas.openxmlformats.org/officeDocument/2006/relationships" ref="N393" r:id="rId491"/>
    <hyperlink xmlns:r="http://schemas.openxmlformats.org/officeDocument/2006/relationships" ref="L394" r:id="rId492"/>
    <hyperlink xmlns:r="http://schemas.openxmlformats.org/officeDocument/2006/relationships" ref="N394" r:id="rId493"/>
    <hyperlink xmlns:r="http://schemas.openxmlformats.org/officeDocument/2006/relationships" ref="L395" r:id="rId494"/>
    <hyperlink xmlns:r="http://schemas.openxmlformats.org/officeDocument/2006/relationships" ref="N395" r:id="rId495"/>
    <hyperlink xmlns:r="http://schemas.openxmlformats.org/officeDocument/2006/relationships" ref="L396" r:id="rId496"/>
    <hyperlink xmlns:r="http://schemas.openxmlformats.org/officeDocument/2006/relationships" ref="N396" r:id="rId497"/>
    <hyperlink xmlns:r="http://schemas.openxmlformats.org/officeDocument/2006/relationships" ref="L397" r:id="rId498"/>
    <hyperlink xmlns:r="http://schemas.openxmlformats.org/officeDocument/2006/relationships" ref="N397" r:id="rId499"/>
    <hyperlink xmlns:r="http://schemas.openxmlformats.org/officeDocument/2006/relationships" ref="L398" r:id="rId500"/>
    <hyperlink xmlns:r="http://schemas.openxmlformats.org/officeDocument/2006/relationships" ref="N398" r:id="rId501"/>
    <hyperlink xmlns:r="http://schemas.openxmlformats.org/officeDocument/2006/relationships" ref="L399" r:id="rId502"/>
    <hyperlink xmlns:r="http://schemas.openxmlformats.org/officeDocument/2006/relationships" ref="N399" r:id="rId503"/>
    <hyperlink xmlns:r="http://schemas.openxmlformats.org/officeDocument/2006/relationships" ref="L400" r:id="rId504"/>
    <hyperlink xmlns:r="http://schemas.openxmlformats.org/officeDocument/2006/relationships" ref="N400" r:id="rId505"/>
    <hyperlink xmlns:r="http://schemas.openxmlformats.org/officeDocument/2006/relationships" ref="L401" r:id="rId506"/>
    <hyperlink xmlns:r="http://schemas.openxmlformats.org/officeDocument/2006/relationships" ref="N401" r:id="rId507"/>
    <hyperlink xmlns:r="http://schemas.openxmlformats.org/officeDocument/2006/relationships" ref="L402" r:id="rId508"/>
    <hyperlink xmlns:r="http://schemas.openxmlformats.org/officeDocument/2006/relationships" ref="N402" r:id="rId509"/>
    <hyperlink xmlns:r="http://schemas.openxmlformats.org/officeDocument/2006/relationships" ref="L403" r:id="rId510"/>
    <hyperlink xmlns:r="http://schemas.openxmlformats.org/officeDocument/2006/relationships" ref="N403" r:id="rId511"/>
    <hyperlink xmlns:r="http://schemas.openxmlformats.org/officeDocument/2006/relationships" ref="L404" r:id="rId512"/>
    <hyperlink xmlns:r="http://schemas.openxmlformats.org/officeDocument/2006/relationships" ref="N404" r:id="rId513"/>
    <hyperlink xmlns:r="http://schemas.openxmlformats.org/officeDocument/2006/relationships" ref="L405" r:id="rId514"/>
    <hyperlink xmlns:r="http://schemas.openxmlformats.org/officeDocument/2006/relationships" ref="N405" r:id="rId515"/>
    <hyperlink xmlns:r="http://schemas.openxmlformats.org/officeDocument/2006/relationships" ref="L406" r:id="rId516"/>
    <hyperlink xmlns:r="http://schemas.openxmlformats.org/officeDocument/2006/relationships" ref="N406" r:id="rId517"/>
    <hyperlink xmlns:r="http://schemas.openxmlformats.org/officeDocument/2006/relationships" ref="L407" r:id="rId518"/>
    <hyperlink xmlns:r="http://schemas.openxmlformats.org/officeDocument/2006/relationships" ref="N407" r:id="rId519"/>
    <hyperlink xmlns:r="http://schemas.openxmlformats.org/officeDocument/2006/relationships" ref="L408" r:id="rId520"/>
    <hyperlink xmlns:r="http://schemas.openxmlformats.org/officeDocument/2006/relationships" ref="N408" r:id="rId521"/>
    <hyperlink xmlns:r="http://schemas.openxmlformats.org/officeDocument/2006/relationships" ref="L409" r:id="rId522"/>
    <hyperlink xmlns:r="http://schemas.openxmlformats.org/officeDocument/2006/relationships" ref="N409" r:id="rId523"/>
    <hyperlink xmlns:r="http://schemas.openxmlformats.org/officeDocument/2006/relationships" ref="L410" r:id="rId524"/>
    <hyperlink xmlns:r="http://schemas.openxmlformats.org/officeDocument/2006/relationships" ref="N410" r:id="rId525"/>
    <hyperlink xmlns:r="http://schemas.openxmlformats.org/officeDocument/2006/relationships" ref="L411" r:id="rId526"/>
    <hyperlink xmlns:r="http://schemas.openxmlformats.org/officeDocument/2006/relationships" ref="N411" r:id="rId527"/>
    <hyperlink xmlns:r="http://schemas.openxmlformats.org/officeDocument/2006/relationships" ref="L412" r:id="rId528"/>
    <hyperlink xmlns:r="http://schemas.openxmlformats.org/officeDocument/2006/relationships" ref="N412" r:id="rId529"/>
    <hyperlink xmlns:r="http://schemas.openxmlformats.org/officeDocument/2006/relationships" ref="L413" r:id="rId530"/>
    <hyperlink xmlns:r="http://schemas.openxmlformats.org/officeDocument/2006/relationships" ref="N413" r:id="rId531"/>
    <hyperlink xmlns:r="http://schemas.openxmlformats.org/officeDocument/2006/relationships" ref="L414" r:id="rId532"/>
    <hyperlink xmlns:r="http://schemas.openxmlformats.org/officeDocument/2006/relationships" ref="N414" r:id="rId533"/>
    <hyperlink xmlns:r="http://schemas.openxmlformats.org/officeDocument/2006/relationships" ref="L415" r:id="rId534"/>
    <hyperlink xmlns:r="http://schemas.openxmlformats.org/officeDocument/2006/relationships" ref="N415" r:id="rId535"/>
    <hyperlink xmlns:r="http://schemas.openxmlformats.org/officeDocument/2006/relationships" ref="L416" r:id="rId536"/>
    <hyperlink xmlns:r="http://schemas.openxmlformats.org/officeDocument/2006/relationships" ref="N416" r:id="rId537"/>
    <hyperlink xmlns:r="http://schemas.openxmlformats.org/officeDocument/2006/relationships" ref="L417" r:id="rId538"/>
    <hyperlink xmlns:r="http://schemas.openxmlformats.org/officeDocument/2006/relationships" ref="N417" r:id="rId539"/>
    <hyperlink xmlns:r="http://schemas.openxmlformats.org/officeDocument/2006/relationships" ref="L418" r:id="rId540"/>
    <hyperlink xmlns:r="http://schemas.openxmlformats.org/officeDocument/2006/relationships" ref="N418" r:id="rId541"/>
    <hyperlink xmlns:r="http://schemas.openxmlformats.org/officeDocument/2006/relationships" ref="L419" r:id="rId542"/>
    <hyperlink xmlns:r="http://schemas.openxmlformats.org/officeDocument/2006/relationships" ref="N419" r:id="rId543"/>
    <hyperlink xmlns:r="http://schemas.openxmlformats.org/officeDocument/2006/relationships" ref="L420" r:id="rId544"/>
    <hyperlink xmlns:r="http://schemas.openxmlformats.org/officeDocument/2006/relationships" ref="N420" r:id="rId545"/>
    <hyperlink xmlns:r="http://schemas.openxmlformats.org/officeDocument/2006/relationships" ref="L421" r:id="rId546"/>
    <hyperlink xmlns:r="http://schemas.openxmlformats.org/officeDocument/2006/relationships" ref="N421" r:id="rId547"/>
    <hyperlink xmlns:r="http://schemas.openxmlformats.org/officeDocument/2006/relationships" ref="L422" r:id="rId548"/>
    <hyperlink xmlns:r="http://schemas.openxmlformats.org/officeDocument/2006/relationships" ref="N422" r:id="rId549"/>
    <hyperlink xmlns:r="http://schemas.openxmlformats.org/officeDocument/2006/relationships" ref="L423" r:id="rId550"/>
    <hyperlink xmlns:r="http://schemas.openxmlformats.org/officeDocument/2006/relationships" ref="N423" r:id="rId551"/>
    <hyperlink xmlns:r="http://schemas.openxmlformats.org/officeDocument/2006/relationships" ref="L424" r:id="rId552"/>
    <hyperlink xmlns:r="http://schemas.openxmlformats.org/officeDocument/2006/relationships" ref="N424" r:id="rId553"/>
    <hyperlink xmlns:r="http://schemas.openxmlformats.org/officeDocument/2006/relationships" ref="L425" r:id="rId554"/>
    <hyperlink xmlns:r="http://schemas.openxmlformats.org/officeDocument/2006/relationships" ref="N425" r:id="rId555"/>
    <hyperlink xmlns:r="http://schemas.openxmlformats.org/officeDocument/2006/relationships" ref="L426" r:id="rId556"/>
    <hyperlink xmlns:r="http://schemas.openxmlformats.org/officeDocument/2006/relationships" ref="N426" r:id="rId557"/>
    <hyperlink xmlns:r="http://schemas.openxmlformats.org/officeDocument/2006/relationships" ref="L427" r:id="rId558"/>
    <hyperlink xmlns:r="http://schemas.openxmlformats.org/officeDocument/2006/relationships" ref="N427" r:id="rId559"/>
    <hyperlink xmlns:r="http://schemas.openxmlformats.org/officeDocument/2006/relationships" ref="L428" r:id="rId560"/>
    <hyperlink xmlns:r="http://schemas.openxmlformats.org/officeDocument/2006/relationships" ref="N428" r:id="rId561"/>
    <hyperlink xmlns:r="http://schemas.openxmlformats.org/officeDocument/2006/relationships" ref="L429" r:id="rId562"/>
    <hyperlink xmlns:r="http://schemas.openxmlformats.org/officeDocument/2006/relationships" ref="N429" r:id="rId563"/>
    <hyperlink xmlns:r="http://schemas.openxmlformats.org/officeDocument/2006/relationships" ref="L430" r:id="rId564"/>
    <hyperlink xmlns:r="http://schemas.openxmlformats.org/officeDocument/2006/relationships" ref="N430" r:id="rId565"/>
    <hyperlink xmlns:r="http://schemas.openxmlformats.org/officeDocument/2006/relationships" ref="L431" r:id="rId566"/>
    <hyperlink xmlns:r="http://schemas.openxmlformats.org/officeDocument/2006/relationships" ref="N431" r:id="rId567"/>
    <hyperlink xmlns:r="http://schemas.openxmlformats.org/officeDocument/2006/relationships" ref="L432" r:id="rId568"/>
    <hyperlink xmlns:r="http://schemas.openxmlformats.org/officeDocument/2006/relationships" ref="N432" r:id="rId569"/>
    <hyperlink xmlns:r="http://schemas.openxmlformats.org/officeDocument/2006/relationships" ref="L433" r:id="rId570"/>
    <hyperlink xmlns:r="http://schemas.openxmlformats.org/officeDocument/2006/relationships" ref="N433" r:id="rId571"/>
    <hyperlink xmlns:r="http://schemas.openxmlformats.org/officeDocument/2006/relationships" ref="L434" r:id="rId572"/>
    <hyperlink xmlns:r="http://schemas.openxmlformats.org/officeDocument/2006/relationships" ref="N434" r:id="rId573"/>
    <hyperlink xmlns:r="http://schemas.openxmlformats.org/officeDocument/2006/relationships" ref="L435" r:id="rId574"/>
    <hyperlink xmlns:r="http://schemas.openxmlformats.org/officeDocument/2006/relationships" ref="N435" r:id="rId575"/>
    <hyperlink xmlns:r="http://schemas.openxmlformats.org/officeDocument/2006/relationships" ref="L436" r:id="rId576"/>
    <hyperlink xmlns:r="http://schemas.openxmlformats.org/officeDocument/2006/relationships" ref="N436" r:id="rId577"/>
    <hyperlink xmlns:r="http://schemas.openxmlformats.org/officeDocument/2006/relationships" ref="L437" r:id="rId578"/>
    <hyperlink xmlns:r="http://schemas.openxmlformats.org/officeDocument/2006/relationships" ref="N437" r:id="rId579"/>
    <hyperlink xmlns:r="http://schemas.openxmlformats.org/officeDocument/2006/relationships" ref="L438" r:id="rId580"/>
    <hyperlink xmlns:r="http://schemas.openxmlformats.org/officeDocument/2006/relationships" ref="N438" r:id="rId581"/>
    <hyperlink xmlns:r="http://schemas.openxmlformats.org/officeDocument/2006/relationships" ref="L439" r:id="rId582"/>
    <hyperlink xmlns:r="http://schemas.openxmlformats.org/officeDocument/2006/relationships" ref="N439" r:id="rId583"/>
    <hyperlink xmlns:r="http://schemas.openxmlformats.org/officeDocument/2006/relationships" ref="L440" r:id="rId584"/>
    <hyperlink xmlns:r="http://schemas.openxmlformats.org/officeDocument/2006/relationships" ref="N440" r:id="rId585"/>
    <hyperlink xmlns:r="http://schemas.openxmlformats.org/officeDocument/2006/relationships" ref="L441" r:id="rId586"/>
    <hyperlink xmlns:r="http://schemas.openxmlformats.org/officeDocument/2006/relationships" ref="N441" r:id="rId587"/>
    <hyperlink xmlns:r="http://schemas.openxmlformats.org/officeDocument/2006/relationships" ref="L442" r:id="rId588"/>
    <hyperlink xmlns:r="http://schemas.openxmlformats.org/officeDocument/2006/relationships" ref="N442" r:id="rId589"/>
    <hyperlink xmlns:r="http://schemas.openxmlformats.org/officeDocument/2006/relationships" ref="L443" r:id="rId590"/>
    <hyperlink xmlns:r="http://schemas.openxmlformats.org/officeDocument/2006/relationships" ref="N443" r:id="rId591"/>
    <hyperlink xmlns:r="http://schemas.openxmlformats.org/officeDocument/2006/relationships" ref="L444" r:id="rId592"/>
    <hyperlink xmlns:r="http://schemas.openxmlformats.org/officeDocument/2006/relationships" ref="N444" r:id="rId593"/>
    <hyperlink xmlns:r="http://schemas.openxmlformats.org/officeDocument/2006/relationships" ref="L445" r:id="rId594"/>
    <hyperlink xmlns:r="http://schemas.openxmlformats.org/officeDocument/2006/relationships" ref="N445" r:id="rId595"/>
    <hyperlink xmlns:r="http://schemas.openxmlformats.org/officeDocument/2006/relationships" ref="L446" r:id="rId596"/>
    <hyperlink xmlns:r="http://schemas.openxmlformats.org/officeDocument/2006/relationships" ref="N446" r:id="rId597"/>
    <hyperlink xmlns:r="http://schemas.openxmlformats.org/officeDocument/2006/relationships" ref="L447" r:id="rId598"/>
    <hyperlink xmlns:r="http://schemas.openxmlformats.org/officeDocument/2006/relationships" ref="N447" r:id="rId599"/>
    <hyperlink xmlns:r="http://schemas.openxmlformats.org/officeDocument/2006/relationships" ref="L448" r:id="rId600"/>
    <hyperlink xmlns:r="http://schemas.openxmlformats.org/officeDocument/2006/relationships" ref="N448" r:id="rId601"/>
    <hyperlink xmlns:r="http://schemas.openxmlformats.org/officeDocument/2006/relationships" ref="L449" r:id="rId602"/>
    <hyperlink xmlns:r="http://schemas.openxmlformats.org/officeDocument/2006/relationships" ref="N449" r:id="rId603"/>
    <hyperlink xmlns:r="http://schemas.openxmlformats.org/officeDocument/2006/relationships" ref="L450" r:id="rId604"/>
    <hyperlink xmlns:r="http://schemas.openxmlformats.org/officeDocument/2006/relationships" ref="N450" r:id="rId605"/>
    <hyperlink xmlns:r="http://schemas.openxmlformats.org/officeDocument/2006/relationships" ref="L451" r:id="rId606"/>
    <hyperlink xmlns:r="http://schemas.openxmlformats.org/officeDocument/2006/relationships" ref="N451" r:id="rId607"/>
    <hyperlink xmlns:r="http://schemas.openxmlformats.org/officeDocument/2006/relationships" ref="L452" r:id="rId608"/>
    <hyperlink xmlns:r="http://schemas.openxmlformats.org/officeDocument/2006/relationships" ref="N452" r:id="rId609"/>
    <hyperlink xmlns:r="http://schemas.openxmlformats.org/officeDocument/2006/relationships" ref="L453" r:id="rId610"/>
    <hyperlink xmlns:r="http://schemas.openxmlformats.org/officeDocument/2006/relationships" ref="N453" r:id="rId611"/>
    <hyperlink xmlns:r="http://schemas.openxmlformats.org/officeDocument/2006/relationships" ref="L454" r:id="rId612"/>
    <hyperlink xmlns:r="http://schemas.openxmlformats.org/officeDocument/2006/relationships" ref="N454" r:id="rId613"/>
    <hyperlink xmlns:r="http://schemas.openxmlformats.org/officeDocument/2006/relationships" ref="L455" r:id="rId614"/>
    <hyperlink xmlns:r="http://schemas.openxmlformats.org/officeDocument/2006/relationships" ref="N455" r:id="rId615"/>
    <hyperlink xmlns:r="http://schemas.openxmlformats.org/officeDocument/2006/relationships" ref="L456" r:id="rId616"/>
    <hyperlink xmlns:r="http://schemas.openxmlformats.org/officeDocument/2006/relationships" ref="N456" r:id="rId617"/>
    <hyperlink xmlns:r="http://schemas.openxmlformats.org/officeDocument/2006/relationships" ref="L457" r:id="rId618"/>
    <hyperlink xmlns:r="http://schemas.openxmlformats.org/officeDocument/2006/relationships" ref="N457" r:id="rId619"/>
    <hyperlink xmlns:r="http://schemas.openxmlformats.org/officeDocument/2006/relationships" ref="L458" r:id="rId620"/>
    <hyperlink xmlns:r="http://schemas.openxmlformats.org/officeDocument/2006/relationships" ref="N458" r:id="rId621"/>
    <hyperlink xmlns:r="http://schemas.openxmlformats.org/officeDocument/2006/relationships" ref="L459" r:id="rId622"/>
    <hyperlink xmlns:r="http://schemas.openxmlformats.org/officeDocument/2006/relationships" ref="N459" r:id="rId623"/>
    <hyperlink xmlns:r="http://schemas.openxmlformats.org/officeDocument/2006/relationships" ref="L460" r:id="rId624"/>
    <hyperlink xmlns:r="http://schemas.openxmlformats.org/officeDocument/2006/relationships" ref="N460" r:id="rId625"/>
    <hyperlink xmlns:r="http://schemas.openxmlformats.org/officeDocument/2006/relationships" ref="L461" r:id="rId626"/>
    <hyperlink xmlns:r="http://schemas.openxmlformats.org/officeDocument/2006/relationships" ref="N461" r:id="rId627"/>
    <hyperlink xmlns:r="http://schemas.openxmlformats.org/officeDocument/2006/relationships" ref="L462" r:id="rId628"/>
    <hyperlink xmlns:r="http://schemas.openxmlformats.org/officeDocument/2006/relationships" ref="N462" r:id="rId629"/>
    <hyperlink xmlns:r="http://schemas.openxmlformats.org/officeDocument/2006/relationships" ref="L463" r:id="rId630"/>
    <hyperlink xmlns:r="http://schemas.openxmlformats.org/officeDocument/2006/relationships" ref="N463" r:id="rId631"/>
    <hyperlink xmlns:r="http://schemas.openxmlformats.org/officeDocument/2006/relationships" ref="L464" r:id="rId632"/>
    <hyperlink xmlns:r="http://schemas.openxmlformats.org/officeDocument/2006/relationships" ref="N464" r:id="rId633"/>
    <hyperlink xmlns:r="http://schemas.openxmlformats.org/officeDocument/2006/relationships" ref="L465" r:id="rId634"/>
    <hyperlink xmlns:r="http://schemas.openxmlformats.org/officeDocument/2006/relationships" ref="N465" r:id="rId635"/>
    <hyperlink xmlns:r="http://schemas.openxmlformats.org/officeDocument/2006/relationships" ref="L466" r:id="rId636"/>
    <hyperlink xmlns:r="http://schemas.openxmlformats.org/officeDocument/2006/relationships" ref="N466" r:id="rId637"/>
    <hyperlink xmlns:r="http://schemas.openxmlformats.org/officeDocument/2006/relationships" ref="L467" r:id="rId638"/>
    <hyperlink xmlns:r="http://schemas.openxmlformats.org/officeDocument/2006/relationships" ref="N467" r:id="rId639"/>
    <hyperlink xmlns:r="http://schemas.openxmlformats.org/officeDocument/2006/relationships" ref="L468" r:id="rId640"/>
    <hyperlink xmlns:r="http://schemas.openxmlformats.org/officeDocument/2006/relationships" ref="N468" r:id="rId641"/>
    <hyperlink xmlns:r="http://schemas.openxmlformats.org/officeDocument/2006/relationships" ref="L469" r:id="rId642"/>
    <hyperlink xmlns:r="http://schemas.openxmlformats.org/officeDocument/2006/relationships" ref="N469" r:id="rId643"/>
    <hyperlink xmlns:r="http://schemas.openxmlformats.org/officeDocument/2006/relationships" ref="L470" r:id="rId644"/>
    <hyperlink xmlns:r="http://schemas.openxmlformats.org/officeDocument/2006/relationships" ref="N470" r:id="rId645"/>
    <hyperlink xmlns:r="http://schemas.openxmlformats.org/officeDocument/2006/relationships" ref="L471" r:id="rId646"/>
    <hyperlink xmlns:r="http://schemas.openxmlformats.org/officeDocument/2006/relationships" ref="N471" r:id="rId647"/>
    <hyperlink xmlns:r="http://schemas.openxmlformats.org/officeDocument/2006/relationships" ref="L472" r:id="rId648"/>
    <hyperlink xmlns:r="http://schemas.openxmlformats.org/officeDocument/2006/relationships" ref="N472" r:id="rId649"/>
    <hyperlink xmlns:r="http://schemas.openxmlformats.org/officeDocument/2006/relationships" ref="L473" r:id="rId650"/>
    <hyperlink xmlns:r="http://schemas.openxmlformats.org/officeDocument/2006/relationships" ref="N473" r:id="rId651"/>
    <hyperlink xmlns:r="http://schemas.openxmlformats.org/officeDocument/2006/relationships" ref="L474" r:id="rId652"/>
    <hyperlink xmlns:r="http://schemas.openxmlformats.org/officeDocument/2006/relationships" ref="N474" r:id="rId653"/>
    <hyperlink xmlns:r="http://schemas.openxmlformats.org/officeDocument/2006/relationships" ref="L475" r:id="rId654"/>
    <hyperlink xmlns:r="http://schemas.openxmlformats.org/officeDocument/2006/relationships" ref="N475" r:id="rId655"/>
    <hyperlink xmlns:r="http://schemas.openxmlformats.org/officeDocument/2006/relationships" ref="L476" r:id="rId656"/>
    <hyperlink xmlns:r="http://schemas.openxmlformats.org/officeDocument/2006/relationships" ref="N476" r:id="rId657"/>
    <hyperlink xmlns:r="http://schemas.openxmlformats.org/officeDocument/2006/relationships" ref="L477" r:id="rId658"/>
    <hyperlink xmlns:r="http://schemas.openxmlformats.org/officeDocument/2006/relationships" ref="N477" r:id="rId659"/>
    <hyperlink xmlns:r="http://schemas.openxmlformats.org/officeDocument/2006/relationships" ref="L478" r:id="rId660"/>
    <hyperlink xmlns:r="http://schemas.openxmlformats.org/officeDocument/2006/relationships" ref="N478" r:id="rId661"/>
    <hyperlink xmlns:r="http://schemas.openxmlformats.org/officeDocument/2006/relationships" ref="L479" r:id="rId662"/>
    <hyperlink xmlns:r="http://schemas.openxmlformats.org/officeDocument/2006/relationships" ref="N479" r:id="rId663"/>
    <hyperlink xmlns:r="http://schemas.openxmlformats.org/officeDocument/2006/relationships" ref="L480" r:id="rId664"/>
    <hyperlink xmlns:r="http://schemas.openxmlformats.org/officeDocument/2006/relationships" ref="N480" r:id="rId665"/>
    <hyperlink xmlns:r="http://schemas.openxmlformats.org/officeDocument/2006/relationships" ref="L481" r:id="rId666"/>
    <hyperlink xmlns:r="http://schemas.openxmlformats.org/officeDocument/2006/relationships" ref="N481" r:id="rId667"/>
    <hyperlink xmlns:r="http://schemas.openxmlformats.org/officeDocument/2006/relationships" ref="L482" r:id="rId668"/>
    <hyperlink xmlns:r="http://schemas.openxmlformats.org/officeDocument/2006/relationships" ref="N482" r:id="rId669"/>
    <hyperlink xmlns:r="http://schemas.openxmlformats.org/officeDocument/2006/relationships" ref="L483" r:id="rId670"/>
    <hyperlink xmlns:r="http://schemas.openxmlformats.org/officeDocument/2006/relationships" ref="N483" r:id="rId671"/>
    <hyperlink xmlns:r="http://schemas.openxmlformats.org/officeDocument/2006/relationships" ref="L484" r:id="rId672"/>
    <hyperlink xmlns:r="http://schemas.openxmlformats.org/officeDocument/2006/relationships" ref="N484" r:id="rId673"/>
    <hyperlink xmlns:r="http://schemas.openxmlformats.org/officeDocument/2006/relationships" ref="L485" r:id="rId674"/>
    <hyperlink xmlns:r="http://schemas.openxmlformats.org/officeDocument/2006/relationships" ref="N485" r:id="rId675"/>
    <hyperlink xmlns:r="http://schemas.openxmlformats.org/officeDocument/2006/relationships" ref="L486" r:id="rId676"/>
    <hyperlink xmlns:r="http://schemas.openxmlformats.org/officeDocument/2006/relationships" ref="N486" r:id="rId677"/>
    <hyperlink xmlns:r="http://schemas.openxmlformats.org/officeDocument/2006/relationships" ref="L487" r:id="rId678"/>
    <hyperlink xmlns:r="http://schemas.openxmlformats.org/officeDocument/2006/relationships" ref="N487" r:id="rId679"/>
    <hyperlink xmlns:r="http://schemas.openxmlformats.org/officeDocument/2006/relationships" ref="L488" r:id="rId680"/>
    <hyperlink xmlns:r="http://schemas.openxmlformats.org/officeDocument/2006/relationships" ref="N488" r:id="rId681"/>
    <hyperlink xmlns:r="http://schemas.openxmlformats.org/officeDocument/2006/relationships" ref="L489" r:id="rId682"/>
    <hyperlink xmlns:r="http://schemas.openxmlformats.org/officeDocument/2006/relationships" ref="N489" r:id="rId683"/>
    <hyperlink xmlns:r="http://schemas.openxmlformats.org/officeDocument/2006/relationships" ref="L490" r:id="rId684"/>
    <hyperlink xmlns:r="http://schemas.openxmlformats.org/officeDocument/2006/relationships" ref="N490" r:id="rId685"/>
    <hyperlink xmlns:r="http://schemas.openxmlformats.org/officeDocument/2006/relationships" ref="L491" r:id="rId686"/>
    <hyperlink xmlns:r="http://schemas.openxmlformats.org/officeDocument/2006/relationships" ref="N491" r:id="rId687"/>
    <hyperlink xmlns:r="http://schemas.openxmlformats.org/officeDocument/2006/relationships" ref="L492" r:id="rId688"/>
    <hyperlink xmlns:r="http://schemas.openxmlformats.org/officeDocument/2006/relationships" ref="N492" r:id="rId689"/>
    <hyperlink xmlns:r="http://schemas.openxmlformats.org/officeDocument/2006/relationships" ref="L493" r:id="rId690"/>
    <hyperlink xmlns:r="http://schemas.openxmlformats.org/officeDocument/2006/relationships" ref="N493" r:id="rId691"/>
    <hyperlink xmlns:r="http://schemas.openxmlformats.org/officeDocument/2006/relationships" ref="L494" r:id="rId692"/>
    <hyperlink xmlns:r="http://schemas.openxmlformats.org/officeDocument/2006/relationships" ref="N494" r:id="rId693"/>
    <hyperlink xmlns:r="http://schemas.openxmlformats.org/officeDocument/2006/relationships" ref="L495" r:id="rId694"/>
    <hyperlink xmlns:r="http://schemas.openxmlformats.org/officeDocument/2006/relationships" ref="N495" r:id="rId695"/>
    <hyperlink xmlns:r="http://schemas.openxmlformats.org/officeDocument/2006/relationships" ref="L496" r:id="rId696"/>
    <hyperlink xmlns:r="http://schemas.openxmlformats.org/officeDocument/2006/relationships" ref="N496" r:id="rId697"/>
    <hyperlink xmlns:r="http://schemas.openxmlformats.org/officeDocument/2006/relationships" ref="L497" r:id="rId698"/>
    <hyperlink xmlns:r="http://schemas.openxmlformats.org/officeDocument/2006/relationships" ref="N497" r:id="rId699"/>
    <hyperlink xmlns:r="http://schemas.openxmlformats.org/officeDocument/2006/relationships" ref="L498" r:id="rId700"/>
    <hyperlink xmlns:r="http://schemas.openxmlformats.org/officeDocument/2006/relationships" ref="N498" r:id="rId701"/>
    <hyperlink xmlns:r="http://schemas.openxmlformats.org/officeDocument/2006/relationships" ref="L499" r:id="rId702"/>
    <hyperlink xmlns:r="http://schemas.openxmlformats.org/officeDocument/2006/relationships" ref="N499" r:id="rId703"/>
    <hyperlink xmlns:r="http://schemas.openxmlformats.org/officeDocument/2006/relationships" ref="L500" r:id="rId704"/>
    <hyperlink xmlns:r="http://schemas.openxmlformats.org/officeDocument/2006/relationships" ref="N500" r:id="rId705"/>
    <hyperlink xmlns:r="http://schemas.openxmlformats.org/officeDocument/2006/relationships" ref="L501" r:id="rId706"/>
    <hyperlink xmlns:r="http://schemas.openxmlformats.org/officeDocument/2006/relationships" ref="N501" r:id="rId707"/>
    <hyperlink xmlns:r="http://schemas.openxmlformats.org/officeDocument/2006/relationships" ref="L502" r:id="rId708"/>
    <hyperlink xmlns:r="http://schemas.openxmlformats.org/officeDocument/2006/relationships" ref="N502" r:id="rId709"/>
    <hyperlink xmlns:r="http://schemas.openxmlformats.org/officeDocument/2006/relationships" ref="L503" r:id="rId710"/>
    <hyperlink xmlns:r="http://schemas.openxmlformats.org/officeDocument/2006/relationships" ref="N503" r:id="rId711"/>
    <hyperlink xmlns:r="http://schemas.openxmlformats.org/officeDocument/2006/relationships" ref="L504" r:id="rId712"/>
    <hyperlink xmlns:r="http://schemas.openxmlformats.org/officeDocument/2006/relationships" ref="N504" r:id="rId713"/>
    <hyperlink xmlns:r="http://schemas.openxmlformats.org/officeDocument/2006/relationships" ref="L505" r:id="rId714"/>
    <hyperlink xmlns:r="http://schemas.openxmlformats.org/officeDocument/2006/relationships" ref="N505" r:id="rId715"/>
    <hyperlink xmlns:r="http://schemas.openxmlformats.org/officeDocument/2006/relationships" ref="L506" r:id="rId716"/>
    <hyperlink xmlns:r="http://schemas.openxmlformats.org/officeDocument/2006/relationships" ref="N506" r:id="rId717"/>
    <hyperlink xmlns:r="http://schemas.openxmlformats.org/officeDocument/2006/relationships" ref="L507" r:id="rId718"/>
    <hyperlink xmlns:r="http://schemas.openxmlformats.org/officeDocument/2006/relationships" ref="N507" r:id="rId719"/>
    <hyperlink xmlns:r="http://schemas.openxmlformats.org/officeDocument/2006/relationships" ref="L508" r:id="rId720"/>
    <hyperlink xmlns:r="http://schemas.openxmlformats.org/officeDocument/2006/relationships" ref="N508" r:id="rId721"/>
    <hyperlink xmlns:r="http://schemas.openxmlformats.org/officeDocument/2006/relationships" ref="L509" r:id="rId722"/>
    <hyperlink xmlns:r="http://schemas.openxmlformats.org/officeDocument/2006/relationships" ref="N509" r:id="rId723"/>
    <hyperlink xmlns:r="http://schemas.openxmlformats.org/officeDocument/2006/relationships" ref="L510" r:id="rId724"/>
    <hyperlink xmlns:r="http://schemas.openxmlformats.org/officeDocument/2006/relationships" ref="N510" r:id="rId725"/>
    <hyperlink xmlns:r="http://schemas.openxmlformats.org/officeDocument/2006/relationships" ref="L511" r:id="rId726"/>
    <hyperlink xmlns:r="http://schemas.openxmlformats.org/officeDocument/2006/relationships" ref="N511" r:id="rId727"/>
    <hyperlink xmlns:r="http://schemas.openxmlformats.org/officeDocument/2006/relationships" ref="L512" r:id="rId728"/>
    <hyperlink xmlns:r="http://schemas.openxmlformats.org/officeDocument/2006/relationships" ref="N512" r:id="rId729"/>
    <hyperlink xmlns:r="http://schemas.openxmlformats.org/officeDocument/2006/relationships" ref="L513" r:id="rId730"/>
    <hyperlink xmlns:r="http://schemas.openxmlformats.org/officeDocument/2006/relationships" ref="N513" r:id="rId731"/>
    <hyperlink xmlns:r="http://schemas.openxmlformats.org/officeDocument/2006/relationships" ref="L514" r:id="rId732"/>
    <hyperlink xmlns:r="http://schemas.openxmlformats.org/officeDocument/2006/relationships" ref="N514" r:id="rId733"/>
    <hyperlink xmlns:r="http://schemas.openxmlformats.org/officeDocument/2006/relationships" ref="L515" r:id="rId734"/>
    <hyperlink xmlns:r="http://schemas.openxmlformats.org/officeDocument/2006/relationships" ref="N515" r:id="rId735"/>
    <hyperlink xmlns:r="http://schemas.openxmlformats.org/officeDocument/2006/relationships" ref="L516" r:id="rId736"/>
    <hyperlink xmlns:r="http://schemas.openxmlformats.org/officeDocument/2006/relationships" ref="N516" r:id="rId737"/>
    <hyperlink xmlns:r="http://schemas.openxmlformats.org/officeDocument/2006/relationships" ref="L517" r:id="rId738"/>
    <hyperlink xmlns:r="http://schemas.openxmlformats.org/officeDocument/2006/relationships" ref="N517" r:id="rId739"/>
    <hyperlink xmlns:r="http://schemas.openxmlformats.org/officeDocument/2006/relationships" ref="L518" r:id="rId740"/>
    <hyperlink xmlns:r="http://schemas.openxmlformats.org/officeDocument/2006/relationships" ref="N518" r:id="rId741"/>
    <hyperlink xmlns:r="http://schemas.openxmlformats.org/officeDocument/2006/relationships" ref="L519" r:id="rId742"/>
    <hyperlink xmlns:r="http://schemas.openxmlformats.org/officeDocument/2006/relationships" ref="N519" r:id="rId743"/>
    <hyperlink xmlns:r="http://schemas.openxmlformats.org/officeDocument/2006/relationships" ref="L520" r:id="rId744"/>
    <hyperlink xmlns:r="http://schemas.openxmlformats.org/officeDocument/2006/relationships" ref="N520" r:id="rId745"/>
    <hyperlink xmlns:r="http://schemas.openxmlformats.org/officeDocument/2006/relationships" ref="L521" r:id="rId746"/>
    <hyperlink xmlns:r="http://schemas.openxmlformats.org/officeDocument/2006/relationships" ref="N521" r:id="rId747"/>
    <hyperlink xmlns:r="http://schemas.openxmlformats.org/officeDocument/2006/relationships" ref="L522" r:id="rId748"/>
    <hyperlink xmlns:r="http://schemas.openxmlformats.org/officeDocument/2006/relationships" ref="N522" r:id="rId749"/>
    <hyperlink xmlns:r="http://schemas.openxmlformats.org/officeDocument/2006/relationships" ref="L523" r:id="rId750"/>
    <hyperlink xmlns:r="http://schemas.openxmlformats.org/officeDocument/2006/relationships" ref="N523" r:id="rId751"/>
    <hyperlink xmlns:r="http://schemas.openxmlformats.org/officeDocument/2006/relationships" ref="L524" r:id="rId752"/>
    <hyperlink xmlns:r="http://schemas.openxmlformats.org/officeDocument/2006/relationships" ref="N524" r:id="rId753"/>
    <hyperlink xmlns:r="http://schemas.openxmlformats.org/officeDocument/2006/relationships" ref="L525" r:id="rId754"/>
    <hyperlink xmlns:r="http://schemas.openxmlformats.org/officeDocument/2006/relationships" ref="N525" r:id="rId755"/>
    <hyperlink xmlns:r="http://schemas.openxmlformats.org/officeDocument/2006/relationships" ref="L526" r:id="rId756"/>
    <hyperlink xmlns:r="http://schemas.openxmlformats.org/officeDocument/2006/relationships" ref="N526" r:id="rId757"/>
    <hyperlink xmlns:r="http://schemas.openxmlformats.org/officeDocument/2006/relationships" ref="L527" r:id="rId758"/>
    <hyperlink xmlns:r="http://schemas.openxmlformats.org/officeDocument/2006/relationships" ref="N527" r:id="rId759"/>
    <hyperlink xmlns:r="http://schemas.openxmlformats.org/officeDocument/2006/relationships" ref="L528" r:id="rId760"/>
    <hyperlink xmlns:r="http://schemas.openxmlformats.org/officeDocument/2006/relationships" ref="N528" r:id="rId761"/>
    <hyperlink xmlns:r="http://schemas.openxmlformats.org/officeDocument/2006/relationships" ref="L529" r:id="rId762"/>
    <hyperlink xmlns:r="http://schemas.openxmlformats.org/officeDocument/2006/relationships" ref="N529" r:id="rId763"/>
    <hyperlink xmlns:r="http://schemas.openxmlformats.org/officeDocument/2006/relationships" ref="L530" r:id="rId764"/>
    <hyperlink xmlns:r="http://schemas.openxmlformats.org/officeDocument/2006/relationships" ref="N530" r:id="rId765"/>
    <hyperlink xmlns:r="http://schemas.openxmlformats.org/officeDocument/2006/relationships" ref="L531" r:id="rId766"/>
    <hyperlink xmlns:r="http://schemas.openxmlformats.org/officeDocument/2006/relationships" ref="N531" r:id="rId767"/>
    <hyperlink xmlns:r="http://schemas.openxmlformats.org/officeDocument/2006/relationships" ref="L532" r:id="rId768"/>
    <hyperlink xmlns:r="http://schemas.openxmlformats.org/officeDocument/2006/relationships" ref="N532" r:id="rId769"/>
    <hyperlink xmlns:r="http://schemas.openxmlformats.org/officeDocument/2006/relationships" ref="L533" r:id="rId770"/>
    <hyperlink xmlns:r="http://schemas.openxmlformats.org/officeDocument/2006/relationships" ref="N533" r:id="rId771"/>
    <hyperlink xmlns:r="http://schemas.openxmlformats.org/officeDocument/2006/relationships" ref="L534" r:id="rId772"/>
    <hyperlink xmlns:r="http://schemas.openxmlformats.org/officeDocument/2006/relationships" ref="N534" r:id="rId773"/>
    <hyperlink xmlns:r="http://schemas.openxmlformats.org/officeDocument/2006/relationships" ref="L535" r:id="rId774"/>
    <hyperlink xmlns:r="http://schemas.openxmlformats.org/officeDocument/2006/relationships" ref="N535" r:id="rId775"/>
    <hyperlink xmlns:r="http://schemas.openxmlformats.org/officeDocument/2006/relationships" ref="L536" r:id="rId776"/>
    <hyperlink xmlns:r="http://schemas.openxmlformats.org/officeDocument/2006/relationships" ref="N536" r:id="rId777"/>
    <hyperlink xmlns:r="http://schemas.openxmlformats.org/officeDocument/2006/relationships" ref="L537" r:id="rId778"/>
    <hyperlink xmlns:r="http://schemas.openxmlformats.org/officeDocument/2006/relationships" ref="N537" r:id="rId779"/>
    <hyperlink xmlns:r="http://schemas.openxmlformats.org/officeDocument/2006/relationships" ref="L538" r:id="rId780"/>
    <hyperlink xmlns:r="http://schemas.openxmlformats.org/officeDocument/2006/relationships" ref="N538" r:id="rId781"/>
    <hyperlink xmlns:r="http://schemas.openxmlformats.org/officeDocument/2006/relationships" ref="L539" r:id="rId782"/>
    <hyperlink xmlns:r="http://schemas.openxmlformats.org/officeDocument/2006/relationships" ref="N539" r:id="rId783"/>
    <hyperlink xmlns:r="http://schemas.openxmlformats.org/officeDocument/2006/relationships" ref="L540" r:id="rId784"/>
    <hyperlink xmlns:r="http://schemas.openxmlformats.org/officeDocument/2006/relationships" ref="N540" r:id="rId785"/>
    <hyperlink xmlns:r="http://schemas.openxmlformats.org/officeDocument/2006/relationships" ref="L541" r:id="rId786"/>
    <hyperlink xmlns:r="http://schemas.openxmlformats.org/officeDocument/2006/relationships" ref="N541" r:id="rId787"/>
    <hyperlink xmlns:r="http://schemas.openxmlformats.org/officeDocument/2006/relationships" ref="L542" r:id="rId788"/>
    <hyperlink xmlns:r="http://schemas.openxmlformats.org/officeDocument/2006/relationships" ref="N542" r:id="rId789"/>
    <hyperlink xmlns:r="http://schemas.openxmlformats.org/officeDocument/2006/relationships" ref="L543" r:id="rId790"/>
    <hyperlink xmlns:r="http://schemas.openxmlformats.org/officeDocument/2006/relationships" ref="N543" r:id="rId791"/>
    <hyperlink xmlns:r="http://schemas.openxmlformats.org/officeDocument/2006/relationships" ref="L544" r:id="rId792"/>
    <hyperlink xmlns:r="http://schemas.openxmlformats.org/officeDocument/2006/relationships" ref="N544" r:id="rId793"/>
    <hyperlink xmlns:r="http://schemas.openxmlformats.org/officeDocument/2006/relationships" ref="L545" r:id="rId794"/>
    <hyperlink xmlns:r="http://schemas.openxmlformats.org/officeDocument/2006/relationships" ref="N545" r:id="rId795"/>
    <hyperlink xmlns:r="http://schemas.openxmlformats.org/officeDocument/2006/relationships" ref="L546" r:id="rId796"/>
    <hyperlink xmlns:r="http://schemas.openxmlformats.org/officeDocument/2006/relationships" ref="N546" r:id="rId797"/>
    <hyperlink xmlns:r="http://schemas.openxmlformats.org/officeDocument/2006/relationships" ref="L547" r:id="rId798"/>
    <hyperlink xmlns:r="http://schemas.openxmlformats.org/officeDocument/2006/relationships" ref="N547" r:id="rId799"/>
    <hyperlink xmlns:r="http://schemas.openxmlformats.org/officeDocument/2006/relationships" ref="L548" r:id="rId800"/>
    <hyperlink xmlns:r="http://schemas.openxmlformats.org/officeDocument/2006/relationships" ref="N548" r:id="rId801"/>
    <hyperlink xmlns:r="http://schemas.openxmlformats.org/officeDocument/2006/relationships" ref="L549" r:id="rId802"/>
    <hyperlink xmlns:r="http://schemas.openxmlformats.org/officeDocument/2006/relationships" ref="N549" r:id="rId803"/>
    <hyperlink xmlns:r="http://schemas.openxmlformats.org/officeDocument/2006/relationships" ref="L550" r:id="rId804"/>
    <hyperlink xmlns:r="http://schemas.openxmlformats.org/officeDocument/2006/relationships" ref="N550" r:id="rId805"/>
    <hyperlink xmlns:r="http://schemas.openxmlformats.org/officeDocument/2006/relationships" ref="L551" r:id="rId806"/>
    <hyperlink xmlns:r="http://schemas.openxmlformats.org/officeDocument/2006/relationships" ref="N551" r:id="rId807"/>
    <hyperlink xmlns:r="http://schemas.openxmlformats.org/officeDocument/2006/relationships" ref="L552" r:id="rId808"/>
    <hyperlink xmlns:r="http://schemas.openxmlformats.org/officeDocument/2006/relationships" ref="N552" r:id="rId809"/>
    <hyperlink xmlns:r="http://schemas.openxmlformats.org/officeDocument/2006/relationships" ref="L553" r:id="rId810"/>
    <hyperlink xmlns:r="http://schemas.openxmlformats.org/officeDocument/2006/relationships" ref="N553" r:id="rId811"/>
    <hyperlink xmlns:r="http://schemas.openxmlformats.org/officeDocument/2006/relationships" ref="L554" r:id="rId812"/>
    <hyperlink xmlns:r="http://schemas.openxmlformats.org/officeDocument/2006/relationships" ref="N554" r:id="rId813"/>
    <hyperlink xmlns:r="http://schemas.openxmlformats.org/officeDocument/2006/relationships" ref="L555" r:id="rId814"/>
    <hyperlink xmlns:r="http://schemas.openxmlformats.org/officeDocument/2006/relationships" ref="N555" r:id="rId815"/>
    <hyperlink xmlns:r="http://schemas.openxmlformats.org/officeDocument/2006/relationships" ref="L556" r:id="rId816"/>
    <hyperlink xmlns:r="http://schemas.openxmlformats.org/officeDocument/2006/relationships" ref="N556" r:id="rId817"/>
    <hyperlink xmlns:r="http://schemas.openxmlformats.org/officeDocument/2006/relationships" ref="L557" r:id="rId818"/>
    <hyperlink xmlns:r="http://schemas.openxmlformats.org/officeDocument/2006/relationships" ref="N557" r:id="rId819"/>
    <hyperlink xmlns:r="http://schemas.openxmlformats.org/officeDocument/2006/relationships" ref="L558" r:id="rId820"/>
    <hyperlink xmlns:r="http://schemas.openxmlformats.org/officeDocument/2006/relationships" ref="N558" r:id="rId821"/>
    <hyperlink xmlns:r="http://schemas.openxmlformats.org/officeDocument/2006/relationships" ref="L559" r:id="rId822"/>
    <hyperlink xmlns:r="http://schemas.openxmlformats.org/officeDocument/2006/relationships" ref="N559" r:id="rId823"/>
    <hyperlink xmlns:r="http://schemas.openxmlformats.org/officeDocument/2006/relationships" ref="L560" r:id="rId824"/>
    <hyperlink xmlns:r="http://schemas.openxmlformats.org/officeDocument/2006/relationships" ref="N560" r:id="rId825"/>
    <hyperlink xmlns:r="http://schemas.openxmlformats.org/officeDocument/2006/relationships" ref="L561" r:id="rId826"/>
    <hyperlink xmlns:r="http://schemas.openxmlformats.org/officeDocument/2006/relationships" ref="N561" r:id="rId827"/>
    <hyperlink xmlns:r="http://schemas.openxmlformats.org/officeDocument/2006/relationships" ref="L562" r:id="rId828"/>
    <hyperlink xmlns:r="http://schemas.openxmlformats.org/officeDocument/2006/relationships" ref="N562" r:id="rId829"/>
    <hyperlink xmlns:r="http://schemas.openxmlformats.org/officeDocument/2006/relationships" ref="L563" r:id="rId830"/>
    <hyperlink xmlns:r="http://schemas.openxmlformats.org/officeDocument/2006/relationships" ref="N563" r:id="rId831"/>
    <hyperlink xmlns:r="http://schemas.openxmlformats.org/officeDocument/2006/relationships" ref="L564" r:id="rId832"/>
    <hyperlink xmlns:r="http://schemas.openxmlformats.org/officeDocument/2006/relationships" ref="N564" r:id="rId833"/>
    <hyperlink xmlns:r="http://schemas.openxmlformats.org/officeDocument/2006/relationships" ref="L565" r:id="rId834"/>
    <hyperlink xmlns:r="http://schemas.openxmlformats.org/officeDocument/2006/relationships" ref="N565" r:id="rId835"/>
    <hyperlink xmlns:r="http://schemas.openxmlformats.org/officeDocument/2006/relationships" ref="L566" r:id="rId836"/>
    <hyperlink xmlns:r="http://schemas.openxmlformats.org/officeDocument/2006/relationships" ref="N566" r:id="rId837"/>
    <hyperlink xmlns:r="http://schemas.openxmlformats.org/officeDocument/2006/relationships" ref="L567" r:id="rId838"/>
    <hyperlink xmlns:r="http://schemas.openxmlformats.org/officeDocument/2006/relationships" ref="N567" r:id="rId839"/>
    <hyperlink xmlns:r="http://schemas.openxmlformats.org/officeDocument/2006/relationships" ref="L568" r:id="rId840"/>
    <hyperlink xmlns:r="http://schemas.openxmlformats.org/officeDocument/2006/relationships" ref="N568" r:id="rId841"/>
    <hyperlink xmlns:r="http://schemas.openxmlformats.org/officeDocument/2006/relationships" ref="L569" r:id="rId842"/>
    <hyperlink xmlns:r="http://schemas.openxmlformats.org/officeDocument/2006/relationships" ref="N569" r:id="rId843"/>
    <hyperlink xmlns:r="http://schemas.openxmlformats.org/officeDocument/2006/relationships" ref="L570" r:id="rId844"/>
    <hyperlink xmlns:r="http://schemas.openxmlformats.org/officeDocument/2006/relationships" ref="N570" r:id="rId845"/>
    <hyperlink xmlns:r="http://schemas.openxmlformats.org/officeDocument/2006/relationships" ref="L571" r:id="rId846"/>
    <hyperlink xmlns:r="http://schemas.openxmlformats.org/officeDocument/2006/relationships" ref="N571" r:id="rId847"/>
    <hyperlink xmlns:r="http://schemas.openxmlformats.org/officeDocument/2006/relationships" ref="L572" r:id="rId848"/>
    <hyperlink xmlns:r="http://schemas.openxmlformats.org/officeDocument/2006/relationships" ref="N572" r:id="rId849"/>
    <hyperlink xmlns:r="http://schemas.openxmlformats.org/officeDocument/2006/relationships" ref="L573" r:id="rId850"/>
    <hyperlink xmlns:r="http://schemas.openxmlformats.org/officeDocument/2006/relationships" ref="N573" r:id="rId851"/>
    <hyperlink xmlns:r="http://schemas.openxmlformats.org/officeDocument/2006/relationships" ref="L574" r:id="rId852"/>
    <hyperlink xmlns:r="http://schemas.openxmlformats.org/officeDocument/2006/relationships" ref="N574" r:id="rId853"/>
    <hyperlink xmlns:r="http://schemas.openxmlformats.org/officeDocument/2006/relationships" ref="L575" r:id="rId854"/>
    <hyperlink xmlns:r="http://schemas.openxmlformats.org/officeDocument/2006/relationships" ref="N575" r:id="rId855"/>
    <hyperlink xmlns:r="http://schemas.openxmlformats.org/officeDocument/2006/relationships" ref="L576" r:id="rId856"/>
    <hyperlink xmlns:r="http://schemas.openxmlformats.org/officeDocument/2006/relationships" ref="N576" r:id="rId857"/>
    <hyperlink xmlns:r="http://schemas.openxmlformats.org/officeDocument/2006/relationships" ref="L577" r:id="rId858"/>
    <hyperlink xmlns:r="http://schemas.openxmlformats.org/officeDocument/2006/relationships" ref="N577" r:id="rId859"/>
    <hyperlink xmlns:r="http://schemas.openxmlformats.org/officeDocument/2006/relationships" ref="L578" r:id="rId860"/>
    <hyperlink xmlns:r="http://schemas.openxmlformats.org/officeDocument/2006/relationships" ref="N578" r:id="rId861"/>
    <hyperlink xmlns:r="http://schemas.openxmlformats.org/officeDocument/2006/relationships" ref="L579" r:id="rId862"/>
    <hyperlink xmlns:r="http://schemas.openxmlformats.org/officeDocument/2006/relationships" ref="N579" r:id="rId863"/>
    <hyperlink xmlns:r="http://schemas.openxmlformats.org/officeDocument/2006/relationships" ref="L580" r:id="rId864"/>
    <hyperlink xmlns:r="http://schemas.openxmlformats.org/officeDocument/2006/relationships" ref="N580" r:id="rId865"/>
    <hyperlink xmlns:r="http://schemas.openxmlformats.org/officeDocument/2006/relationships" ref="L581" r:id="rId866"/>
    <hyperlink xmlns:r="http://schemas.openxmlformats.org/officeDocument/2006/relationships" ref="N581" r:id="rId867"/>
    <hyperlink xmlns:r="http://schemas.openxmlformats.org/officeDocument/2006/relationships" ref="L582" r:id="rId868"/>
    <hyperlink xmlns:r="http://schemas.openxmlformats.org/officeDocument/2006/relationships" ref="N582" r:id="rId869"/>
    <hyperlink xmlns:r="http://schemas.openxmlformats.org/officeDocument/2006/relationships" ref="L583" r:id="rId870"/>
    <hyperlink xmlns:r="http://schemas.openxmlformats.org/officeDocument/2006/relationships" ref="N583" r:id="rId871"/>
    <hyperlink xmlns:r="http://schemas.openxmlformats.org/officeDocument/2006/relationships" ref="L584" r:id="rId872"/>
    <hyperlink xmlns:r="http://schemas.openxmlformats.org/officeDocument/2006/relationships" ref="N584" r:id="rId873"/>
    <hyperlink xmlns:r="http://schemas.openxmlformats.org/officeDocument/2006/relationships" ref="L585" r:id="rId874"/>
    <hyperlink xmlns:r="http://schemas.openxmlformats.org/officeDocument/2006/relationships" ref="N585" r:id="rId875"/>
    <hyperlink xmlns:r="http://schemas.openxmlformats.org/officeDocument/2006/relationships" ref="L586" r:id="rId876"/>
    <hyperlink xmlns:r="http://schemas.openxmlformats.org/officeDocument/2006/relationships" ref="N586" r:id="rId877"/>
    <hyperlink xmlns:r="http://schemas.openxmlformats.org/officeDocument/2006/relationships" ref="L587" r:id="rId878"/>
    <hyperlink xmlns:r="http://schemas.openxmlformats.org/officeDocument/2006/relationships" ref="N587" r:id="rId879"/>
    <hyperlink xmlns:r="http://schemas.openxmlformats.org/officeDocument/2006/relationships" ref="L588" r:id="rId880"/>
    <hyperlink xmlns:r="http://schemas.openxmlformats.org/officeDocument/2006/relationships" ref="N588" r:id="rId881"/>
    <hyperlink xmlns:r="http://schemas.openxmlformats.org/officeDocument/2006/relationships" ref="L589" r:id="rId882"/>
    <hyperlink xmlns:r="http://schemas.openxmlformats.org/officeDocument/2006/relationships" ref="N589" r:id="rId883"/>
    <hyperlink xmlns:r="http://schemas.openxmlformats.org/officeDocument/2006/relationships" ref="L590" r:id="rId884"/>
    <hyperlink xmlns:r="http://schemas.openxmlformats.org/officeDocument/2006/relationships" ref="N590" r:id="rId885"/>
    <hyperlink xmlns:r="http://schemas.openxmlformats.org/officeDocument/2006/relationships" ref="L591" r:id="rId886"/>
    <hyperlink xmlns:r="http://schemas.openxmlformats.org/officeDocument/2006/relationships" ref="N591" r:id="rId887"/>
    <hyperlink xmlns:r="http://schemas.openxmlformats.org/officeDocument/2006/relationships" ref="L592" r:id="rId888"/>
    <hyperlink xmlns:r="http://schemas.openxmlformats.org/officeDocument/2006/relationships" ref="N592" r:id="rId889"/>
    <hyperlink xmlns:r="http://schemas.openxmlformats.org/officeDocument/2006/relationships" ref="L593" r:id="rId890"/>
    <hyperlink xmlns:r="http://schemas.openxmlformats.org/officeDocument/2006/relationships" ref="N593" r:id="rId891"/>
    <hyperlink xmlns:r="http://schemas.openxmlformats.org/officeDocument/2006/relationships" ref="L594" r:id="rId892"/>
    <hyperlink xmlns:r="http://schemas.openxmlformats.org/officeDocument/2006/relationships" ref="N594" r:id="rId893"/>
    <hyperlink xmlns:r="http://schemas.openxmlformats.org/officeDocument/2006/relationships" ref="L595" r:id="rId894"/>
    <hyperlink xmlns:r="http://schemas.openxmlformats.org/officeDocument/2006/relationships" ref="N595" r:id="rId895"/>
    <hyperlink xmlns:r="http://schemas.openxmlformats.org/officeDocument/2006/relationships" ref="L596" r:id="rId896"/>
    <hyperlink xmlns:r="http://schemas.openxmlformats.org/officeDocument/2006/relationships" ref="N596" r:id="rId897"/>
    <hyperlink xmlns:r="http://schemas.openxmlformats.org/officeDocument/2006/relationships" ref="L597" r:id="rId898"/>
    <hyperlink xmlns:r="http://schemas.openxmlformats.org/officeDocument/2006/relationships" ref="N597" r:id="rId899"/>
    <hyperlink xmlns:r="http://schemas.openxmlformats.org/officeDocument/2006/relationships" ref="L598" r:id="rId900"/>
    <hyperlink xmlns:r="http://schemas.openxmlformats.org/officeDocument/2006/relationships" ref="N598" r:id="rId901"/>
    <hyperlink xmlns:r="http://schemas.openxmlformats.org/officeDocument/2006/relationships" ref="L599" r:id="rId902"/>
    <hyperlink xmlns:r="http://schemas.openxmlformats.org/officeDocument/2006/relationships" ref="N599" r:id="rId903"/>
    <hyperlink xmlns:r="http://schemas.openxmlformats.org/officeDocument/2006/relationships" ref="L600" r:id="rId904"/>
    <hyperlink xmlns:r="http://schemas.openxmlformats.org/officeDocument/2006/relationships" ref="N600" r:id="rId905"/>
    <hyperlink xmlns:r="http://schemas.openxmlformats.org/officeDocument/2006/relationships" ref="L601" r:id="rId906"/>
    <hyperlink xmlns:r="http://schemas.openxmlformats.org/officeDocument/2006/relationships" ref="N601" r:id="rId907"/>
    <hyperlink xmlns:r="http://schemas.openxmlformats.org/officeDocument/2006/relationships" ref="L602" r:id="rId908"/>
    <hyperlink xmlns:r="http://schemas.openxmlformats.org/officeDocument/2006/relationships" ref="N602" r:id="rId909"/>
    <hyperlink xmlns:r="http://schemas.openxmlformats.org/officeDocument/2006/relationships" ref="L603" r:id="rId910"/>
    <hyperlink xmlns:r="http://schemas.openxmlformats.org/officeDocument/2006/relationships" ref="N603" r:id="rId911"/>
    <hyperlink xmlns:r="http://schemas.openxmlformats.org/officeDocument/2006/relationships" ref="L604" r:id="rId912"/>
    <hyperlink xmlns:r="http://schemas.openxmlformats.org/officeDocument/2006/relationships" ref="N604" r:id="rId913"/>
    <hyperlink xmlns:r="http://schemas.openxmlformats.org/officeDocument/2006/relationships" ref="L605" r:id="rId914"/>
    <hyperlink xmlns:r="http://schemas.openxmlformats.org/officeDocument/2006/relationships" ref="N605" r:id="rId915"/>
    <hyperlink xmlns:r="http://schemas.openxmlformats.org/officeDocument/2006/relationships" ref="L606" r:id="rId916"/>
    <hyperlink xmlns:r="http://schemas.openxmlformats.org/officeDocument/2006/relationships" ref="N606" r:id="rId917"/>
    <hyperlink xmlns:r="http://schemas.openxmlformats.org/officeDocument/2006/relationships" ref="L607" r:id="rId918"/>
    <hyperlink xmlns:r="http://schemas.openxmlformats.org/officeDocument/2006/relationships" ref="N607" r:id="rId919"/>
    <hyperlink xmlns:r="http://schemas.openxmlformats.org/officeDocument/2006/relationships" ref="L608" r:id="rId920"/>
    <hyperlink xmlns:r="http://schemas.openxmlformats.org/officeDocument/2006/relationships" ref="N608" r:id="rId921"/>
    <hyperlink xmlns:r="http://schemas.openxmlformats.org/officeDocument/2006/relationships" ref="L609" r:id="rId922"/>
    <hyperlink xmlns:r="http://schemas.openxmlformats.org/officeDocument/2006/relationships" ref="N609" r:id="rId923"/>
    <hyperlink xmlns:r="http://schemas.openxmlformats.org/officeDocument/2006/relationships" ref="L610" r:id="rId924"/>
    <hyperlink xmlns:r="http://schemas.openxmlformats.org/officeDocument/2006/relationships" ref="N610" r:id="rId925"/>
    <hyperlink xmlns:r="http://schemas.openxmlformats.org/officeDocument/2006/relationships" ref="L611" r:id="rId926"/>
    <hyperlink xmlns:r="http://schemas.openxmlformats.org/officeDocument/2006/relationships" ref="N611" r:id="rId927"/>
    <hyperlink xmlns:r="http://schemas.openxmlformats.org/officeDocument/2006/relationships" ref="L612" r:id="rId928"/>
    <hyperlink xmlns:r="http://schemas.openxmlformats.org/officeDocument/2006/relationships" ref="N612" r:id="rId929"/>
    <hyperlink xmlns:r="http://schemas.openxmlformats.org/officeDocument/2006/relationships" ref="L613" r:id="rId930"/>
    <hyperlink xmlns:r="http://schemas.openxmlformats.org/officeDocument/2006/relationships" ref="N613" r:id="rId931"/>
    <hyperlink xmlns:r="http://schemas.openxmlformats.org/officeDocument/2006/relationships" ref="L614" r:id="rId932"/>
    <hyperlink xmlns:r="http://schemas.openxmlformats.org/officeDocument/2006/relationships" ref="N614" r:id="rId933"/>
    <hyperlink xmlns:r="http://schemas.openxmlformats.org/officeDocument/2006/relationships" ref="L615" r:id="rId934"/>
    <hyperlink xmlns:r="http://schemas.openxmlformats.org/officeDocument/2006/relationships" ref="N615" r:id="rId935"/>
    <hyperlink xmlns:r="http://schemas.openxmlformats.org/officeDocument/2006/relationships" ref="L616" r:id="rId936"/>
    <hyperlink xmlns:r="http://schemas.openxmlformats.org/officeDocument/2006/relationships" ref="N616" r:id="rId937"/>
    <hyperlink xmlns:r="http://schemas.openxmlformats.org/officeDocument/2006/relationships" ref="L617" r:id="rId938"/>
    <hyperlink xmlns:r="http://schemas.openxmlformats.org/officeDocument/2006/relationships" ref="N617" r:id="rId939"/>
    <hyperlink xmlns:r="http://schemas.openxmlformats.org/officeDocument/2006/relationships" ref="L618" r:id="rId940"/>
    <hyperlink xmlns:r="http://schemas.openxmlformats.org/officeDocument/2006/relationships" ref="N618" r:id="rId941"/>
    <hyperlink xmlns:r="http://schemas.openxmlformats.org/officeDocument/2006/relationships" ref="L619" r:id="rId942"/>
    <hyperlink xmlns:r="http://schemas.openxmlformats.org/officeDocument/2006/relationships" ref="N619" r:id="rId943"/>
    <hyperlink xmlns:r="http://schemas.openxmlformats.org/officeDocument/2006/relationships" ref="L620" r:id="rId944"/>
    <hyperlink xmlns:r="http://schemas.openxmlformats.org/officeDocument/2006/relationships" ref="N620" r:id="rId945"/>
    <hyperlink xmlns:r="http://schemas.openxmlformats.org/officeDocument/2006/relationships" ref="L621" r:id="rId946"/>
    <hyperlink xmlns:r="http://schemas.openxmlformats.org/officeDocument/2006/relationships" ref="N621" r:id="rId947"/>
    <hyperlink xmlns:r="http://schemas.openxmlformats.org/officeDocument/2006/relationships" ref="L622" r:id="rId948"/>
    <hyperlink xmlns:r="http://schemas.openxmlformats.org/officeDocument/2006/relationships" ref="N622" r:id="rId949"/>
    <hyperlink xmlns:r="http://schemas.openxmlformats.org/officeDocument/2006/relationships" ref="L623" r:id="rId950"/>
    <hyperlink xmlns:r="http://schemas.openxmlformats.org/officeDocument/2006/relationships" ref="N623" r:id="rId951"/>
    <hyperlink xmlns:r="http://schemas.openxmlformats.org/officeDocument/2006/relationships" ref="L624" r:id="rId952"/>
    <hyperlink xmlns:r="http://schemas.openxmlformats.org/officeDocument/2006/relationships" ref="N624" r:id="rId953"/>
    <hyperlink xmlns:r="http://schemas.openxmlformats.org/officeDocument/2006/relationships" ref="L625" r:id="rId954"/>
    <hyperlink xmlns:r="http://schemas.openxmlformats.org/officeDocument/2006/relationships" ref="N625" r:id="rId955"/>
    <hyperlink xmlns:r="http://schemas.openxmlformats.org/officeDocument/2006/relationships" ref="L626" r:id="rId956"/>
    <hyperlink xmlns:r="http://schemas.openxmlformats.org/officeDocument/2006/relationships" ref="N626" r:id="rId957"/>
    <hyperlink xmlns:r="http://schemas.openxmlformats.org/officeDocument/2006/relationships" ref="L627" r:id="rId958"/>
    <hyperlink xmlns:r="http://schemas.openxmlformats.org/officeDocument/2006/relationships" ref="N627" r:id="rId959"/>
    <hyperlink xmlns:r="http://schemas.openxmlformats.org/officeDocument/2006/relationships" ref="L628" r:id="rId960"/>
    <hyperlink xmlns:r="http://schemas.openxmlformats.org/officeDocument/2006/relationships" ref="N628" r:id="rId961"/>
    <hyperlink xmlns:r="http://schemas.openxmlformats.org/officeDocument/2006/relationships" ref="L629" r:id="rId962"/>
    <hyperlink xmlns:r="http://schemas.openxmlformats.org/officeDocument/2006/relationships" ref="N629" r:id="rId963"/>
    <hyperlink xmlns:r="http://schemas.openxmlformats.org/officeDocument/2006/relationships" ref="L630" r:id="rId964"/>
    <hyperlink xmlns:r="http://schemas.openxmlformats.org/officeDocument/2006/relationships" ref="N630" r:id="rId965"/>
    <hyperlink xmlns:r="http://schemas.openxmlformats.org/officeDocument/2006/relationships" ref="L631" r:id="rId966"/>
    <hyperlink xmlns:r="http://schemas.openxmlformats.org/officeDocument/2006/relationships" ref="N631" r:id="rId967"/>
    <hyperlink xmlns:r="http://schemas.openxmlformats.org/officeDocument/2006/relationships" ref="L632" r:id="rId968"/>
    <hyperlink xmlns:r="http://schemas.openxmlformats.org/officeDocument/2006/relationships" ref="N632" r:id="rId969"/>
    <hyperlink xmlns:r="http://schemas.openxmlformats.org/officeDocument/2006/relationships" ref="L633" r:id="rId970"/>
    <hyperlink xmlns:r="http://schemas.openxmlformats.org/officeDocument/2006/relationships" ref="N633" r:id="rId971"/>
    <hyperlink xmlns:r="http://schemas.openxmlformats.org/officeDocument/2006/relationships" ref="L634" r:id="rId972"/>
    <hyperlink xmlns:r="http://schemas.openxmlformats.org/officeDocument/2006/relationships" ref="N634" r:id="rId973"/>
    <hyperlink xmlns:r="http://schemas.openxmlformats.org/officeDocument/2006/relationships" ref="L635" r:id="rId974"/>
    <hyperlink xmlns:r="http://schemas.openxmlformats.org/officeDocument/2006/relationships" ref="N635" r:id="rId975"/>
    <hyperlink xmlns:r="http://schemas.openxmlformats.org/officeDocument/2006/relationships" ref="L636" r:id="rId976"/>
    <hyperlink xmlns:r="http://schemas.openxmlformats.org/officeDocument/2006/relationships" ref="N636" r:id="rId977"/>
    <hyperlink xmlns:r="http://schemas.openxmlformats.org/officeDocument/2006/relationships" ref="L637" r:id="rId978"/>
    <hyperlink xmlns:r="http://schemas.openxmlformats.org/officeDocument/2006/relationships" ref="N637" r:id="rId979"/>
    <hyperlink xmlns:r="http://schemas.openxmlformats.org/officeDocument/2006/relationships" ref="L638" r:id="rId980"/>
    <hyperlink xmlns:r="http://schemas.openxmlformats.org/officeDocument/2006/relationships" ref="N638" r:id="rId981"/>
    <hyperlink xmlns:r="http://schemas.openxmlformats.org/officeDocument/2006/relationships" ref="L639" r:id="rId982"/>
    <hyperlink xmlns:r="http://schemas.openxmlformats.org/officeDocument/2006/relationships" ref="N639" r:id="rId983"/>
    <hyperlink xmlns:r="http://schemas.openxmlformats.org/officeDocument/2006/relationships" ref="L640" r:id="rId984"/>
    <hyperlink xmlns:r="http://schemas.openxmlformats.org/officeDocument/2006/relationships" ref="N640" r:id="rId985"/>
    <hyperlink xmlns:r="http://schemas.openxmlformats.org/officeDocument/2006/relationships" ref="L641" r:id="rId986"/>
    <hyperlink xmlns:r="http://schemas.openxmlformats.org/officeDocument/2006/relationships" ref="N641" r:id="rId987"/>
    <hyperlink xmlns:r="http://schemas.openxmlformats.org/officeDocument/2006/relationships" ref="L642" r:id="rId988"/>
    <hyperlink xmlns:r="http://schemas.openxmlformats.org/officeDocument/2006/relationships" ref="N642" r:id="rId989"/>
    <hyperlink xmlns:r="http://schemas.openxmlformats.org/officeDocument/2006/relationships" ref="L643" r:id="rId990"/>
    <hyperlink xmlns:r="http://schemas.openxmlformats.org/officeDocument/2006/relationships" ref="N643" r:id="rId991"/>
    <hyperlink xmlns:r="http://schemas.openxmlformats.org/officeDocument/2006/relationships" ref="L644" r:id="rId992"/>
    <hyperlink xmlns:r="http://schemas.openxmlformats.org/officeDocument/2006/relationships" ref="N644" r:id="rId993"/>
    <hyperlink xmlns:r="http://schemas.openxmlformats.org/officeDocument/2006/relationships" ref="L645" r:id="rId994"/>
    <hyperlink xmlns:r="http://schemas.openxmlformats.org/officeDocument/2006/relationships" ref="N645" r:id="rId995"/>
    <hyperlink xmlns:r="http://schemas.openxmlformats.org/officeDocument/2006/relationships" ref="L646" r:id="rId996"/>
    <hyperlink xmlns:r="http://schemas.openxmlformats.org/officeDocument/2006/relationships" ref="N646" r:id="rId997"/>
    <hyperlink xmlns:r="http://schemas.openxmlformats.org/officeDocument/2006/relationships" ref="L647" r:id="rId998"/>
    <hyperlink xmlns:r="http://schemas.openxmlformats.org/officeDocument/2006/relationships" ref="N647" r:id="rId999"/>
    <hyperlink xmlns:r="http://schemas.openxmlformats.org/officeDocument/2006/relationships" ref="L648" r:id="rId1000"/>
    <hyperlink xmlns:r="http://schemas.openxmlformats.org/officeDocument/2006/relationships" ref="N648" r:id="rId1001"/>
    <hyperlink xmlns:r="http://schemas.openxmlformats.org/officeDocument/2006/relationships" ref="L649" r:id="rId1002"/>
    <hyperlink xmlns:r="http://schemas.openxmlformats.org/officeDocument/2006/relationships" ref="N649" r:id="rId1003"/>
    <hyperlink xmlns:r="http://schemas.openxmlformats.org/officeDocument/2006/relationships" ref="L650" r:id="rId1004"/>
    <hyperlink xmlns:r="http://schemas.openxmlformats.org/officeDocument/2006/relationships" ref="N650" r:id="rId1005"/>
    <hyperlink xmlns:r="http://schemas.openxmlformats.org/officeDocument/2006/relationships" ref="L651" r:id="rId1006"/>
    <hyperlink xmlns:r="http://schemas.openxmlformats.org/officeDocument/2006/relationships" ref="N651" r:id="rId1007"/>
    <hyperlink xmlns:r="http://schemas.openxmlformats.org/officeDocument/2006/relationships" ref="L652" r:id="rId1008"/>
    <hyperlink xmlns:r="http://schemas.openxmlformats.org/officeDocument/2006/relationships" ref="N652" r:id="rId1009"/>
    <hyperlink xmlns:r="http://schemas.openxmlformats.org/officeDocument/2006/relationships" ref="L653" r:id="rId1010"/>
    <hyperlink xmlns:r="http://schemas.openxmlformats.org/officeDocument/2006/relationships" ref="N653" r:id="rId1011"/>
    <hyperlink xmlns:r="http://schemas.openxmlformats.org/officeDocument/2006/relationships" ref="L654" r:id="rId1012"/>
    <hyperlink xmlns:r="http://schemas.openxmlformats.org/officeDocument/2006/relationships" ref="N654" r:id="rId1013"/>
    <hyperlink xmlns:r="http://schemas.openxmlformats.org/officeDocument/2006/relationships" ref="L655" r:id="rId1014"/>
    <hyperlink xmlns:r="http://schemas.openxmlformats.org/officeDocument/2006/relationships" ref="N655" r:id="rId1015"/>
    <hyperlink xmlns:r="http://schemas.openxmlformats.org/officeDocument/2006/relationships" ref="L656" r:id="rId1016"/>
    <hyperlink xmlns:r="http://schemas.openxmlformats.org/officeDocument/2006/relationships" ref="N656" r:id="rId1017"/>
    <hyperlink xmlns:r="http://schemas.openxmlformats.org/officeDocument/2006/relationships" ref="L657" r:id="rId1018"/>
    <hyperlink xmlns:r="http://schemas.openxmlformats.org/officeDocument/2006/relationships" ref="N657" r:id="rId1019"/>
    <hyperlink xmlns:r="http://schemas.openxmlformats.org/officeDocument/2006/relationships" ref="L658" r:id="rId1020"/>
    <hyperlink xmlns:r="http://schemas.openxmlformats.org/officeDocument/2006/relationships" ref="N658" r:id="rId1021"/>
    <hyperlink xmlns:r="http://schemas.openxmlformats.org/officeDocument/2006/relationships" ref="L659" r:id="rId1022"/>
    <hyperlink xmlns:r="http://schemas.openxmlformats.org/officeDocument/2006/relationships" ref="N659" r:id="rId1023"/>
    <hyperlink xmlns:r="http://schemas.openxmlformats.org/officeDocument/2006/relationships" ref="L660" r:id="rId1024"/>
    <hyperlink xmlns:r="http://schemas.openxmlformats.org/officeDocument/2006/relationships" ref="N660" r:id="rId1025"/>
    <hyperlink xmlns:r="http://schemas.openxmlformats.org/officeDocument/2006/relationships" ref="L661" r:id="rId1026"/>
    <hyperlink xmlns:r="http://schemas.openxmlformats.org/officeDocument/2006/relationships" ref="N661" r:id="rId1027"/>
    <hyperlink xmlns:r="http://schemas.openxmlformats.org/officeDocument/2006/relationships" ref="L662" r:id="rId1028"/>
    <hyperlink xmlns:r="http://schemas.openxmlformats.org/officeDocument/2006/relationships" ref="N662" r:id="rId1029"/>
    <hyperlink xmlns:r="http://schemas.openxmlformats.org/officeDocument/2006/relationships" ref="L663" r:id="rId1030"/>
    <hyperlink xmlns:r="http://schemas.openxmlformats.org/officeDocument/2006/relationships" ref="N663" r:id="rId1031"/>
    <hyperlink xmlns:r="http://schemas.openxmlformats.org/officeDocument/2006/relationships" ref="L664" r:id="rId1032"/>
    <hyperlink xmlns:r="http://schemas.openxmlformats.org/officeDocument/2006/relationships" ref="N664" r:id="rId1033"/>
    <hyperlink xmlns:r="http://schemas.openxmlformats.org/officeDocument/2006/relationships" ref="L665" r:id="rId1034"/>
    <hyperlink xmlns:r="http://schemas.openxmlformats.org/officeDocument/2006/relationships" ref="N665" r:id="rId1035"/>
    <hyperlink xmlns:r="http://schemas.openxmlformats.org/officeDocument/2006/relationships" ref="L666" r:id="rId1036"/>
    <hyperlink xmlns:r="http://schemas.openxmlformats.org/officeDocument/2006/relationships" ref="N666" r:id="rId1037"/>
    <hyperlink xmlns:r="http://schemas.openxmlformats.org/officeDocument/2006/relationships" ref="L667" r:id="rId1038"/>
    <hyperlink xmlns:r="http://schemas.openxmlformats.org/officeDocument/2006/relationships" ref="N667" r:id="rId1039"/>
    <hyperlink xmlns:r="http://schemas.openxmlformats.org/officeDocument/2006/relationships" ref="L668" r:id="rId1040"/>
    <hyperlink xmlns:r="http://schemas.openxmlformats.org/officeDocument/2006/relationships" ref="N668" r:id="rId1041"/>
    <hyperlink xmlns:r="http://schemas.openxmlformats.org/officeDocument/2006/relationships" ref="L669" r:id="rId1042"/>
    <hyperlink xmlns:r="http://schemas.openxmlformats.org/officeDocument/2006/relationships" ref="N669" r:id="rId1043"/>
    <hyperlink xmlns:r="http://schemas.openxmlformats.org/officeDocument/2006/relationships" ref="L670" r:id="rId1044"/>
    <hyperlink xmlns:r="http://schemas.openxmlformats.org/officeDocument/2006/relationships" ref="N670" r:id="rId1045"/>
    <hyperlink xmlns:r="http://schemas.openxmlformats.org/officeDocument/2006/relationships" ref="L671" r:id="rId1046"/>
    <hyperlink xmlns:r="http://schemas.openxmlformats.org/officeDocument/2006/relationships" ref="N671" r:id="rId1047"/>
    <hyperlink xmlns:r="http://schemas.openxmlformats.org/officeDocument/2006/relationships" ref="L672" r:id="rId1048"/>
    <hyperlink xmlns:r="http://schemas.openxmlformats.org/officeDocument/2006/relationships" ref="N672" r:id="rId1049"/>
    <hyperlink xmlns:r="http://schemas.openxmlformats.org/officeDocument/2006/relationships" ref="L673" r:id="rId1050"/>
    <hyperlink xmlns:r="http://schemas.openxmlformats.org/officeDocument/2006/relationships" ref="N673" r:id="rId1051"/>
    <hyperlink xmlns:r="http://schemas.openxmlformats.org/officeDocument/2006/relationships" ref="L674" r:id="rId1052"/>
    <hyperlink xmlns:r="http://schemas.openxmlformats.org/officeDocument/2006/relationships" ref="N674" r:id="rId1053"/>
    <hyperlink xmlns:r="http://schemas.openxmlformats.org/officeDocument/2006/relationships" ref="L675" r:id="rId1054"/>
    <hyperlink xmlns:r="http://schemas.openxmlformats.org/officeDocument/2006/relationships" ref="N675" r:id="rId1055"/>
    <hyperlink xmlns:r="http://schemas.openxmlformats.org/officeDocument/2006/relationships" ref="L676" r:id="rId1056"/>
    <hyperlink xmlns:r="http://schemas.openxmlformats.org/officeDocument/2006/relationships" ref="N676" r:id="rId1057"/>
    <hyperlink xmlns:r="http://schemas.openxmlformats.org/officeDocument/2006/relationships" ref="L677" r:id="rId1058"/>
    <hyperlink xmlns:r="http://schemas.openxmlformats.org/officeDocument/2006/relationships" ref="N677" r:id="rId1059"/>
    <hyperlink xmlns:r="http://schemas.openxmlformats.org/officeDocument/2006/relationships" ref="L678" r:id="rId1060"/>
    <hyperlink xmlns:r="http://schemas.openxmlformats.org/officeDocument/2006/relationships" ref="N678" r:id="rId1061"/>
    <hyperlink xmlns:r="http://schemas.openxmlformats.org/officeDocument/2006/relationships" ref="L679" r:id="rId1062"/>
    <hyperlink xmlns:r="http://schemas.openxmlformats.org/officeDocument/2006/relationships" ref="N679" r:id="rId1063"/>
    <hyperlink xmlns:r="http://schemas.openxmlformats.org/officeDocument/2006/relationships" ref="L680" r:id="rId1064"/>
    <hyperlink xmlns:r="http://schemas.openxmlformats.org/officeDocument/2006/relationships" ref="N680" r:id="rId1065"/>
    <hyperlink xmlns:r="http://schemas.openxmlformats.org/officeDocument/2006/relationships" ref="L681" r:id="rId1066"/>
    <hyperlink xmlns:r="http://schemas.openxmlformats.org/officeDocument/2006/relationships" ref="N681" r:id="rId1067"/>
    <hyperlink xmlns:r="http://schemas.openxmlformats.org/officeDocument/2006/relationships" ref="L682" r:id="rId1068"/>
    <hyperlink xmlns:r="http://schemas.openxmlformats.org/officeDocument/2006/relationships" ref="N682" r:id="rId1069"/>
    <hyperlink xmlns:r="http://schemas.openxmlformats.org/officeDocument/2006/relationships" ref="L683" r:id="rId1070"/>
    <hyperlink xmlns:r="http://schemas.openxmlformats.org/officeDocument/2006/relationships" ref="N683" r:id="rId1071"/>
    <hyperlink xmlns:r="http://schemas.openxmlformats.org/officeDocument/2006/relationships" ref="L684" r:id="rId1072"/>
    <hyperlink xmlns:r="http://schemas.openxmlformats.org/officeDocument/2006/relationships" ref="N684" r:id="rId1073"/>
    <hyperlink xmlns:r="http://schemas.openxmlformats.org/officeDocument/2006/relationships" ref="L685" r:id="rId1074"/>
    <hyperlink xmlns:r="http://schemas.openxmlformats.org/officeDocument/2006/relationships" ref="N685" r:id="rId1075"/>
    <hyperlink xmlns:r="http://schemas.openxmlformats.org/officeDocument/2006/relationships" ref="L686" r:id="rId1076"/>
    <hyperlink xmlns:r="http://schemas.openxmlformats.org/officeDocument/2006/relationships" ref="N686" r:id="rId1077"/>
    <hyperlink xmlns:r="http://schemas.openxmlformats.org/officeDocument/2006/relationships" ref="L687" r:id="rId1078"/>
    <hyperlink xmlns:r="http://schemas.openxmlformats.org/officeDocument/2006/relationships" ref="N687" r:id="rId1079"/>
    <hyperlink xmlns:r="http://schemas.openxmlformats.org/officeDocument/2006/relationships" ref="L688" r:id="rId1080"/>
    <hyperlink xmlns:r="http://schemas.openxmlformats.org/officeDocument/2006/relationships" ref="N688" r:id="rId1081"/>
    <hyperlink xmlns:r="http://schemas.openxmlformats.org/officeDocument/2006/relationships" ref="L689" r:id="rId1082"/>
    <hyperlink xmlns:r="http://schemas.openxmlformats.org/officeDocument/2006/relationships" ref="N689" r:id="rId1083"/>
    <hyperlink xmlns:r="http://schemas.openxmlformats.org/officeDocument/2006/relationships" ref="L690" r:id="rId1084"/>
    <hyperlink xmlns:r="http://schemas.openxmlformats.org/officeDocument/2006/relationships" ref="N690" r:id="rId1085"/>
    <hyperlink xmlns:r="http://schemas.openxmlformats.org/officeDocument/2006/relationships" ref="L691" r:id="rId1086"/>
    <hyperlink xmlns:r="http://schemas.openxmlformats.org/officeDocument/2006/relationships" ref="N691" r:id="rId1087"/>
    <hyperlink xmlns:r="http://schemas.openxmlformats.org/officeDocument/2006/relationships" ref="L692" r:id="rId1088"/>
    <hyperlink xmlns:r="http://schemas.openxmlformats.org/officeDocument/2006/relationships" ref="N692" r:id="rId1089"/>
    <hyperlink xmlns:r="http://schemas.openxmlformats.org/officeDocument/2006/relationships" ref="L693" r:id="rId1090"/>
    <hyperlink xmlns:r="http://schemas.openxmlformats.org/officeDocument/2006/relationships" ref="N693" r:id="rId1091"/>
    <hyperlink xmlns:r="http://schemas.openxmlformats.org/officeDocument/2006/relationships" ref="L694" r:id="rId1092"/>
    <hyperlink xmlns:r="http://schemas.openxmlformats.org/officeDocument/2006/relationships" ref="N694" r:id="rId1093"/>
    <hyperlink xmlns:r="http://schemas.openxmlformats.org/officeDocument/2006/relationships" ref="L695" r:id="rId1094"/>
    <hyperlink xmlns:r="http://schemas.openxmlformats.org/officeDocument/2006/relationships" ref="N695" r:id="rId1095"/>
    <hyperlink xmlns:r="http://schemas.openxmlformats.org/officeDocument/2006/relationships" ref="L696" r:id="rId1096"/>
    <hyperlink xmlns:r="http://schemas.openxmlformats.org/officeDocument/2006/relationships" ref="N696" r:id="rId1097"/>
    <hyperlink xmlns:r="http://schemas.openxmlformats.org/officeDocument/2006/relationships" ref="L697" r:id="rId1098"/>
    <hyperlink xmlns:r="http://schemas.openxmlformats.org/officeDocument/2006/relationships" ref="N697" r:id="rId1099"/>
    <hyperlink xmlns:r="http://schemas.openxmlformats.org/officeDocument/2006/relationships" ref="L698" r:id="rId1100"/>
    <hyperlink xmlns:r="http://schemas.openxmlformats.org/officeDocument/2006/relationships" ref="N698" r:id="rId1101"/>
    <hyperlink xmlns:r="http://schemas.openxmlformats.org/officeDocument/2006/relationships" ref="L699" r:id="rId1102"/>
    <hyperlink xmlns:r="http://schemas.openxmlformats.org/officeDocument/2006/relationships" ref="N699" r:id="rId1103"/>
    <hyperlink xmlns:r="http://schemas.openxmlformats.org/officeDocument/2006/relationships" ref="L700" r:id="rId1104"/>
    <hyperlink xmlns:r="http://schemas.openxmlformats.org/officeDocument/2006/relationships" ref="N700" r:id="rId1105"/>
    <hyperlink xmlns:r="http://schemas.openxmlformats.org/officeDocument/2006/relationships" ref="L701" r:id="rId1106"/>
    <hyperlink xmlns:r="http://schemas.openxmlformats.org/officeDocument/2006/relationships" ref="N701" r:id="rId1107"/>
    <hyperlink xmlns:r="http://schemas.openxmlformats.org/officeDocument/2006/relationships" ref="L702" r:id="rId1108"/>
    <hyperlink xmlns:r="http://schemas.openxmlformats.org/officeDocument/2006/relationships" ref="N702" r:id="rId1109"/>
    <hyperlink xmlns:r="http://schemas.openxmlformats.org/officeDocument/2006/relationships" ref="L703" r:id="rId1110"/>
    <hyperlink xmlns:r="http://schemas.openxmlformats.org/officeDocument/2006/relationships" ref="N703" r:id="rId1111"/>
    <hyperlink xmlns:r="http://schemas.openxmlformats.org/officeDocument/2006/relationships" ref="L704" r:id="rId1112"/>
    <hyperlink xmlns:r="http://schemas.openxmlformats.org/officeDocument/2006/relationships" ref="N704" r:id="rId1113"/>
    <hyperlink xmlns:r="http://schemas.openxmlformats.org/officeDocument/2006/relationships" ref="L705" r:id="rId1114"/>
    <hyperlink xmlns:r="http://schemas.openxmlformats.org/officeDocument/2006/relationships" ref="N705" r:id="rId1115"/>
    <hyperlink xmlns:r="http://schemas.openxmlformats.org/officeDocument/2006/relationships" ref="L706" r:id="rId1116"/>
    <hyperlink xmlns:r="http://schemas.openxmlformats.org/officeDocument/2006/relationships" ref="N706" r:id="rId1117"/>
    <hyperlink xmlns:r="http://schemas.openxmlformats.org/officeDocument/2006/relationships" ref="L707" r:id="rId1118"/>
    <hyperlink xmlns:r="http://schemas.openxmlformats.org/officeDocument/2006/relationships" ref="N707" r:id="rId1119"/>
    <hyperlink xmlns:r="http://schemas.openxmlformats.org/officeDocument/2006/relationships" ref="L708" r:id="rId1120"/>
    <hyperlink xmlns:r="http://schemas.openxmlformats.org/officeDocument/2006/relationships" ref="N708" r:id="rId1121"/>
    <hyperlink xmlns:r="http://schemas.openxmlformats.org/officeDocument/2006/relationships" ref="L709" r:id="rId1122"/>
    <hyperlink xmlns:r="http://schemas.openxmlformats.org/officeDocument/2006/relationships" ref="N709" r:id="rId1123"/>
    <hyperlink xmlns:r="http://schemas.openxmlformats.org/officeDocument/2006/relationships" ref="L710" r:id="rId1124"/>
    <hyperlink xmlns:r="http://schemas.openxmlformats.org/officeDocument/2006/relationships" ref="N710" r:id="rId1125"/>
    <hyperlink xmlns:r="http://schemas.openxmlformats.org/officeDocument/2006/relationships" ref="L711" r:id="rId1126"/>
    <hyperlink xmlns:r="http://schemas.openxmlformats.org/officeDocument/2006/relationships" ref="N711" r:id="rId1127"/>
    <hyperlink xmlns:r="http://schemas.openxmlformats.org/officeDocument/2006/relationships" ref="L712" r:id="rId1128"/>
    <hyperlink xmlns:r="http://schemas.openxmlformats.org/officeDocument/2006/relationships" ref="N712" r:id="rId1129"/>
    <hyperlink xmlns:r="http://schemas.openxmlformats.org/officeDocument/2006/relationships" ref="L713" r:id="rId1130"/>
    <hyperlink xmlns:r="http://schemas.openxmlformats.org/officeDocument/2006/relationships" ref="N713" r:id="rId1131"/>
    <hyperlink xmlns:r="http://schemas.openxmlformats.org/officeDocument/2006/relationships" ref="L714" r:id="rId1132"/>
    <hyperlink xmlns:r="http://schemas.openxmlformats.org/officeDocument/2006/relationships" ref="N714" r:id="rId1133"/>
    <hyperlink xmlns:r="http://schemas.openxmlformats.org/officeDocument/2006/relationships" ref="L715" r:id="rId1134"/>
    <hyperlink xmlns:r="http://schemas.openxmlformats.org/officeDocument/2006/relationships" ref="N715" r:id="rId1135"/>
    <hyperlink xmlns:r="http://schemas.openxmlformats.org/officeDocument/2006/relationships" ref="L716" r:id="rId1136"/>
    <hyperlink xmlns:r="http://schemas.openxmlformats.org/officeDocument/2006/relationships" ref="N716" r:id="rId1137"/>
    <hyperlink xmlns:r="http://schemas.openxmlformats.org/officeDocument/2006/relationships" ref="L717" r:id="rId1138"/>
    <hyperlink xmlns:r="http://schemas.openxmlformats.org/officeDocument/2006/relationships" ref="N717" r:id="rId1139"/>
    <hyperlink xmlns:r="http://schemas.openxmlformats.org/officeDocument/2006/relationships" ref="L718" r:id="rId1140"/>
    <hyperlink xmlns:r="http://schemas.openxmlformats.org/officeDocument/2006/relationships" ref="N718" r:id="rId1141"/>
    <hyperlink xmlns:r="http://schemas.openxmlformats.org/officeDocument/2006/relationships" ref="L719" r:id="rId1142"/>
    <hyperlink xmlns:r="http://schemas.openxmlformats.org/officeDocument/2006/relationships" ref="N719" r:id="rId1143"/>
    <hyperlink xmlns:r="http://schemas.openxmlformats.org/officeDocument/2006/relationships" ref="L720" r:id="rId1144"/>
    <hyperlink xmlns:r="http://schemas.openxmlformats.org/officeDocument/2006/relationships" ref="N720" r:id="rId1145"/>
    <hyperlink xmlns:r="http://schemas.openxmlformats.org/officeDocument/2006/relationships" ref="L721" r:id="rId1146"/>
    <hyperlink xmlns:r="http://schemas.openxmlformats.org/officeDocument/2006/relationships" ref="N721" r:id="rId1147"/>
    <hyperlink xmlns:r="http://schemas.openxmlformats.org/officeDocument/2006/relationships" ref="L722" r:id="rId1148"/>
    <hyperlink xmlns:r="http://schemas.openxmlformats.org/officeDocument/2006/relationships" ref="N722" r:id="rId1149"/>
    <hyperlink xmlns:r="http://schemas.openxmlformats.org/officeDocument/2006/relationships" ref="L723" r:id="rId1150"/>
    <hyperlink xmlns:r="http://schemas.openxmlformats.org/officeDocument/2006/relationships" ref="N723" r:id="rId1151"/>
    <hyperlink xmlns:r="http://schemas.openxmlformats.org/officeDocument/2006/relationships" ref="L724" r:id="rId1152"/>
    <hyperlink xmlns:r="http://schemas.openxmlformats.org/officeDocument/2006/relationships" ref="N724" r:id="rId1153"/>
    <hyperlink xmlns:r="http://schemas.openxmlformats.org/officeDocument/2006/relationships" ref="L725" r:id="rId1154"/>
    <hyperlink xmlns:r="http://schemas.openxmlformats.org/officeDocument/2006/relationships" ref="N725" r:id="rId1155"/>
    <hyperlink xmlns:r="http://schemas.openxmlformats.org/officeDocument/2006/relationships" ref="L726" r:id="rId1156"/>
    <hyperlink xmlns:r="http://schemas.openxmlformats.org/officeDocument/2006/relationships" ref="N726" r:id="rId1157"/>
    <hyperlink xmlns:r="http://schemas.openxmlformats.org/officeDocument/2006/relationships" ref="L727" r:id="rId1158"/>
    <hyperlink xmlns:r="http://schemas.openxmlformats.org/officeDocument/2006/relationships" ref="N727" r:id="rId1159"/>
    <hyperlink xmlns:r="http://schemas.openxmlformats.org/officeDocument/2006/relationships" ref="L728" r:id="rId1160"/>
    <hyperlink xmlns:r="http://schemas.openxmlformats.org/officeDocument/2006/relationships" ref="N728" r:id="rId1161"/>
    <hyperlink xmlns:r="http://schemas.openxmlformats.org/officeDocument/2006/relationships" ref="L729" r:id="rId1162"/>
    <hyperlink xmlns:r="http://schemas.openxmlformats.org/officeDocument/2006/relationships" ref="N729" r:id="rId1163"/>
    <hyperlink xmlns:r="http://schemas.openxmlformats.org/officeDocument/2006/relationships" ref="L730" r:id="rId1164"/>
    <hyperlink xmlns:r="http://schemas.openxmlformats.org/officeDocument/2006/relationships" ref="N730" r:id="rId1165"/>
    <hyperlink xmlns:r="http://schemas.openxmlformats.org/officeDocument/2006/relationships" ref="L731" r:id="rId1166"/>
    <hyperlink xmlns:r="http://schemas.openxmlformats.org/officeDocument/2006/relationships" ref="N731" r:id="rId1167"/>
    <hyperlink xmlns:r="http://schemas.openxmlformats.org/officeDocument/2006/relationships" ref="L732" r:id="rId1168"/>
    <hyperlink xmlns:r="http://schemas.openxmlformats.org/officeDocument/2006/relationships" ref="N732" r:id="rId1169"/>
    <hyperlink xmlns:r="http://schemas.openxmlformats.org/officeDocument/2006/relationships" ref="L733" r:id="rId1170"/>
    <hyperlink xmlns:r="http://schemas.openxmlformats.org/officeDocument/2006/relationships" ref="N733" r:id="rId1171"/>
    <hyperlink xmlns:r="http://schemas.openxmlformats.org/officeDocument/2006/relationships" ref="L734" r:id="rId1172"/>
    <hyperlink xmlns:r="http://schemas.openxmlformats.org/officeDocument/2006/relationships" ref="N734" r:id="rId1173"/>
    <hyperlink xmlns:r="http://schemas.openxmlformats.org/officeDocument/2006/relationships" ref="L735" r:id="rId1174"/>
    <hyperlink xmlns:r="http://schemas.openxmlformats.org/officeDocument/2006/relationships" ref="N735" r:id="rId1175"/>
    <hyperlink xmlns:r="http://schemas.openxmlformats.org/officeDocument/2006/relationships" ref="L736" r:id="rId1176"/>
    <hyperlink xmlns:r="http://schemas.openxmlformats.org/officeDocument/2006/relationships" ref="N736" r:id="rId1177"/>
    <hyperlink xmlns:r="http://schemas.openxmlformats.org/officeDocument/2006/relationships" ref="L737" r:id="rId1178"/>
    <hyperlink xmlns:r="http://schemas.openxmlformats.org/officeDocument/2006/relationships" ref="N737" r:id="rId1179"/>
    <hyperlink xmlns:r="http://schemas.openxmlformats.org/officeDocument/2006/relationships" ref="L738" r:id="rId1180"/>
    <hyperlink xmlns:r="http://schemas.openxmlformats.org/officeDocument/2006/relationships" ref="N738" r:id="rId1181"/>
    <hyperlink xmlns:r="http://schemas.openxmlformats.org/officeDocument/2006/relationships" ref="L739" r:id="rId1182"/>
    <hyperlink xmlns:r="http://schemas.openxmlformats.org/officeDocument/2006/relationships" ref="N739" r:id="rId1183"/>
    <hyperlink xmlns:r="http://schemas.openxmlformats.org/officeDocument/2006/relationships" ref="L740" r:id="rId1184"/>
    <hyperlink xmlns:r="http://schemas.openxmlformats.org/officeDocument/2006/relationships" ref="N740" r:id="rId1185"/>
    <hyperlink xmlns:r="http://schemas.openxmlformats.org/officeDocument/2006/relationships" ref="L741" r:id="rId1186"/>
    <hyperlink xmlns:r="http://schemas.openxmlformats.org/officeDocument/2006/relationships" ref="N741" r:id="rId1187"/>
    <hyperlink xmlns:r="http://schemas.openxmlformats.org/officeDocument/2006/relationships" ref="L742" r:id="rId1188"/>
    <hyperlink xmlns:r="http://schemas.openxmlformats.org/officeDocument/2006/relationships" ref="N742" r:id="rId1189"/>
    <hyperlink xmlns:r="http://schemas.openxmlformats.org/officeDocument/2006/relationships" ref="L743" r:id="rId1190"/>
    <hyperlink xmlns:r="http://schemas.openxmlformats.org/officeDocument/2006/relationships" ref="N743" r:id="rId1191"/>
    <hyperlink xmlns:r="http://schemas.openxmlformats.org/officeDocument/2006/relationships" ref="L744" r:id="rId1192"/>
    <hyperlink xmlns:r="http://schemas.openxmlformats.org/officeDocument/2006/relationships" ref="N744" r:id="rId1193"/>
    <hyperlink xmlns:r="http://schemas.openxmlformats.org/officeDocument/2006/relationships" ref="L745" r:id="rId1194"/>
    <hyperlink xmlns:r="http://schemas.openxmlformats.org/officeDocument/2006/relationships" ref="N745" r:id="rId1195"/>
    <hyperlink xmlns:r="http://schemas.openxmlformats.org/officeDocument/2006/relationships" ref="L746" r:id="rId1196"/>
    <hyperlink xmlns:r="http://schemas.openxmlformats.org/officeDocument/2006/relationships" ref="N746" r:id="rId1197"/>
    <hyperlink xmlns:r="http://schemas.openxmlformats.org/officeDocument/2006/relationships" ref="L747" r:id="rId1198"/>
    <hyperlink xmlns:r="http://schemas.openxmlformats.org/officeDocument/2006/relationships" ref="N747" r:id="rId1199"/>
    <hyperlink xmlns:r="http://schemas.openxmlformats.org/officeDocument/2006/relationships" ref="L748" r:id="rId1200"/>
    <hyperlink xmlns:r="http://schemas.openxmlformats.org/officeDocument/2006/relationships" ref="N748" r:id="rId1201"/>
    <hyperlink xmlns:r="http://schemas.openxmlformats.org/officeDocument/2006/relationships" ref="L749" r:id="rId1202"/>
    <hyperlink xmlns:r="http://schemas.openxmlformats.org/officeDocument/2006/relationships" ref="N749" r:id="rId1203"/>
    <hyperlink xmlns:r="http://schemas.openxmlformats.org/officeDocument/2006/relationships" ref="L750" r:id="rId1204"/>
    <hyperlink xmlns:r="http://schemas.openxmlformats.org/officeDocument/2006/relationships" ref="N750" r:id="rId1205"/>
    <hyperlink xmlns:r="http://schemas.openxmlformats.org/officeDocument/2006/relationships" ref="L751" r:id="rId1206"/>
    <hyperlink xmlns:r="http://schemas.openxmlformats.org/officeDocument/2006/relationships" ref="N751" r:id="rId1207"/>
    <hyperlink xmlns:r="http://schemas.openxmlformats.org/officeDocument/2006/relationships" ref="L752" r:id="rId1208"/>
    <hyperlink xmlns:r="http://schemas.openxmlformats.org/officeDocument/2006/relationships" ref="N752" r:id="rId1209"/>
    <hyperlink xmlns:r="http://schemas.openxmlformats.org/officeDocument/2006/relationships" ref="L753" r:id="rId1210"/>
    <hyperlink xmlns:r="http://schemas.openxmlformats.org/officeDocument/2006/relationships" ref="N753" r:id="rId1211"/>
    <hyperlink xmlns:r="http://schemas.openxmlformats.org/officeDocument/2006/relationships" ref="L754" r:id="rId1212"/>
    <hyperlink xmlns:r="http://schemas.openxmlformats.org/officeDocument/2006/relationships" ref="N754" r:id="rId1213"/>
    <hyperlink xmlns:r="http://schemas.openxmlformats.org/officeDocument/2006/relationships" ref="L755" r:id="rId1214"/>
    <hyperlink xmlns:r="http://schemas.openxmlformats.org/officeDocument/2006/relationships" ref="N755" r:id="rId1215"/>
    <hyperlink xmlns:r="http://schemas.openxmlformats.org/officeDocument/2006/relationships" ref="L756" r:id="rId1216"/>
    <hyperlink xmlns:r="http://schemas.openxmlformats.org/officeDocument/2006/relationships" ref="N756" r:id="rId1217"/>
    <hyperlink xmlns:r="http://schemas.openxmlformats.org/officeDocument/2006/relationships" ref="L757" r:id="rId1218"/>
    <hyperlink xmlns:r="http://schemas.openxmlformats.org/officeDocument/2006/relationships" ref="N757" r:id="rId1219"/>
    <hyperlink xmlns:r="http://schemas.openxmlformats.org/officeDocument/2006/relationships" ref="L758" r:id="rId1220"/>
    <hyperlink xmlns:r="http://schemas.openxmlformats.org/officeDocument/2006/relationships" ref="N758" r:id="rId1221"/>
    <hyperlink xmlns:r="http://schemas.openxmlformats.org/officeDocument/2006/relationships" ref="L759" r:id="rId1222"/>
    <hyperlink xmlns:r="http://schemas.openxmlformats.org/officeDocument/2006/relationships" ref="N759" r:id="rId1223"/>
    <hyperlink xmlns:r="http://schemas.openxmlformats.org/officeDocument/2006/relationships" ref="L760" r:id="rId1224"/>
    <hyperlink xmlns:r="http://schemas.openxmlformats.org/officeDocument/2006/relationships" ref="N760" r:id="rId1225"/>
    <hyperlink xmlns:r="http://schemas.openxmlformats.org/officeDocument/2006/relationships" ref="L761" r:id="rId1226"/>
    <hyperlink xmlns:r="http://schemas.openxmlformats.org/officeDocument/2006/relationships" ref="N761" r:id="rId1227"/>
    <hyperlink xmlns:r="http://schemas.openxmlformats.org/officeDocument/2006/relationships" ref="L762" r:id="rId1228"/>
    <hyperlink xmlns:r="http://schemas.openxmlformats.org/officeDocument/2006/relationships" ref="N762" r:id="rId1229"/>
    <hyperlink xmlns:r="http://schemas.openxmlformats.org/officeDocument/2006/relationships" ref="L763" r:id="rId1230"/>
    <hyperlink xmlns:r="http://schemas.openxmlformats.org/officeDocument/2006/relationships" ref="N763" r:id="rId1231"/>
    <hyperlink xmlns:r="http://schemas.openxmlformats.org/officeDocument/2006/relationships" ref="L764" r:id="rId1232"/>
    <hyperlink xmlns:r="http://schemas.openxmlformats.org/officeDocument/2006/relationships" ref="N764" r:id="rId1233"/>
    <hyperlink xmlns:r="http://schemas.openxmlformats.org/officeDocument/2006/relationships" ref="L765" r:id="rId1234"/>
    <hyperlink xmlns:r="http://schemas.openxmlformats.org/officeDocument/2006/relationships" ref="N765" r:id="rId1235"/>
    <hyperlink xmlns:r="http://schemas.openxmlformats.org/officeDocument/2006/relationships" ref="L766" r:id="rId1236"/>
    <hyperlink xmlns:r="http://schemas.openxmlformats.org/officeDocument/2006/relationships" ref="N766" r:id="rId1237"/>
    <hyperlink xmlns:r="http://schemas.openxmlformats.org/officeDocument/2006/relationships" ref="L767" r:id="rId1238"/>
    <hyperlink xmlns:r="http://schemas.openxmlformats.org/officeDocument/2006/relationships" ref="N767" r:id="rId1239"/>
    <hyperlink xmlns:r="http://schemas.openxmlformats.org/officeDocument/2006/relationships" ref="L768" r:id="rId1240"/>
    <hyperlink xmlns:r="http://schemas.openxmlformats.org/officeDocument/2006/relationships" ref="N768" r:id="rId1241"/>
    <hyperlink xmlns:r="http://schemas.openxmlformats.org/officeDocument/2006/relationships" ref="L769" r:id="rId1242"/>
    <hyperlink xmlns:r="http://schemas.openxmlformats.org/officeDocument/2006/relationships" ref="N769" r:id="rId1243"/>
    <hyperlink xmlns:r="http://schemas.openxmlformats.org/officeDocument/2006/relationships" ref="L770" r:id="rId1244"/>
    <hyperlink xmlns:r="http://schemas.openxmlformats.org/officeDocument/2006/relationships" ref="N770" r:id="rId1245"/>
    <hyperlink xmlns:r="http://schemas.openxmlformats.org/officeDocument/2006/relationships" ref="L771" r:id="rId1246"/>
    <hyperlink xmlns:r="http://schemas.openxmlformats.org/officeDocument/2006/relationships" ref="N771" r:id="rId1247"/>
    <hyperlink xmlns:r="http://schemas.openxmlformats.org/officeDocument/2006/relationships" ref="L772" r:id="rId1248"/>
    <hyperlink xmlns:r="http://schemas.openxmlformats.org/officeDocument/2006/relationships" ref="N772" r:id="rId1249"/>
    <hyperlink xmlns:r="http://schemas.openxmlformats.org/officeDocument/2006/relationships" ref="L773" r:id="rId1250"/>
    <hyperlink xmlns:r="http://schemas.openxmlformats.org/officeDocument/2006/relationships" ref="N773" r:id="rId1251"/>
    <hyperlink xmlns:r="http://schemas.openxmlformats.org/officeDocument/2006/relationships" ref="L774" r:id="rId1252"/>
    <hyperlink xmlns:r="http://schemas.openxmlformats.org/officeDocument/2006/relationships" ref="N774" r:id="rId1253"/>
    <hyperlink xmlns:r="http://schemas.openxmlformats.org/officeDocument/2006/relationships" ref="L775" r:id="rId1254"/>
    <hyperlink xmlns:r="http://schemas.openxmlformats.org/officeDocument/2006/relationships" ref="N775" r:id="rId1255"/>
    <hyperlink xmlns:r="http://schemas.openxmlformats.org/officeDocument/2006/relationships" ref="L776" r:id="rId1256"/>
    <hyperlink xmlns:r="http://schemas.openxmlformats.org/officeDocument/2006/relationships" ref="N776" r:id="rId1257"/>
    <hyperlink xmlns:r="http://schemas.openxmlformats.org/officeDocument/2006/relationships" ref="L777" r:id="rId1258"/>
    <hyperlink xmlns:r="http://schemas.openxmlformats.org/officeDocument/2006/relationships" ref="N777" r:id="rId1259"/>
    <hyperlink xmlns:r="http://schemas.openxmlformats.org/officeDocument/2006/relationships" ref="L778" r:id="rId1260"/>
    <hyperlink xmlns:r="http://schemas.openxmlformats.org/officeDocument/2006/relationships" ref="N778" r:id="rId1261"/>
    <hyperlink xmlns:r="http://schemas.openxmlformats.org/officeDocument/2006/relationships" ref="L779" r:id="rId1262"/>
    <hyperlink xmlns:r="http://schemas.openxmlformats.org/officeDocument/2006/relationships" ref="N779" r:id="rId1263"/>
    <hyperlink xmlns:r="http://schemas.openxmlformats.org/officeDocument/2006/relationships" ref="L780" r:id="rId1264"/>
    <hyperlink xmlns:r="http://schemas.openxmlformats.org/officeDocument/2006/relationships" ref="N780" r:id="rId1265"/>
    <hyperlink xmlns:r="http://schemas.openxmlformats.org/officeDocument/2006/relationships" ref="L781" r:id="rId1266"/>
    <hyperlink xmlns:r="http://schemas.openxmlformats.org/officeDocument/2006/relationships" ref="N781" r:id="rId1267"/>
    <hyperlink xmlns:r="http://schemas.openxmlformats.org/officeDocument/2006/relationships" ref="L782" r:id="rId1268"/>
    <hyperlink xmlns:r="http://schemas.openxmlformats.org/officeDocument/2006/relationships" ref="N782" r:id="rId1269"/>
    <hyperlink xmlns:r="http://schemas.openxmlformats.org/officeDocument/2006/relationships" ref="L783" r:id="rId1270"/>
    <hyperlink xmlns:r="http://schemas.openxmlformats.org/officeDocument/2006/relationships" ref="N783" r:id="rId1271"/>
    <hyperlink xmlns:r="http://schemas.openxmlformats.org/officeDocument/2006/relationships" ref="L784" r:id="rId1272"/>
    <hyperlink xmlns:r="http://schemas.openxmlformats.org/officeDocument/2006/relationships" ref="N784" r:id="rId1273"/>
    <hyperlink xmlns:r="http://schemas.openxmlformats.org/officeDocument/2006/relationships" ref="L785" r:id="rId1274"/>
    <hyperlink xmlns:r="http://schemas.openxmlformats.org/officeDocument/2006/relationships" ref="N785" r:id="rId1275"/>
    <hyperlink xmlns:r="http://schemas.openxmlformats.org/officeDocument/2006/relationships" ref="L786" r:id="rId1276"/>
    <hyperlink xmlns:r="http://schemas.openxmlformats.org/officeDocument/2006/relationships" ref="N786" r:id="rId1277"/>
    <hyperlink xmlns:r="http://schemas.openxmlformats.org/officeDocument/2006/relationships" ref="L787" r:id="rId1278"/>
    <hyperlink xmlns:r="http://schemas.openxmlformats.org/officeDocument/2006/relationships" ref="N787" r:id="rId1279"/>
    <hyperlink xmlns:r="http://schemas.openxmlformats.org/officeDocument/2006/relationships" ref="L788" r:id="rId1280"/>
    <hyperlink xmlns:r="http://schemas.openxmlformats.org/officeDocument/2006/relationships" ref="N788" r:id="rId1281"/>
    <hyperlink xmlns:r="http://schemas.openxmlformats.org/officeDocument/2006/relationships" ref="L789" r:id="rId1282"/>
    <hyperlink xmlns:r="http://schemas.openxmlformats.org/officeDocument/2006/relationships" ref="N789" r:id="rId1283"/>
    <hyperlink xmlns:r="http://schemas.openxmlformats.org/officeDocument/2006/relationships" ref="L790" r:id="rId1284"/>
    <hyperlink xmlns:r="http://schemas.openxmlformats.org/officeDocument/2006/relationships" ref="N790" r:id="rId1285"/>
    <hyperlink xmlns:r="http://schemas.openxmlformats.org/officeDocument/2006/relationships" ref="L791" r:id="rId1286"/>
    <hyperlink xmlns:r="http://schemas.openxmlformats.org/officeDocument/2006/relationships" ref="N791" r:id="rId1287"/>
    <hyperlink xmlns:r="http://schemas.openxmlformats.org/officeDocument/2006/relationships" ref="L792" r:id="rId1288"/>
    <hyperlink xmlns:r="http://schemas.openxmlformats.org/officeDocument/2006/relationships" ref="N792" r:id="rId1289"/>
    <hyperlink xmlns:r="http://schemas.openxmlformats.org/officeDocument/2006/relationships" ref="L793" r:id="rId1290"/>
    <hyperlink xmlns:r="http://schemas.openxmlformats.org/officeDocument/2006/relationships" ref="N793" r:id="rId1291"/>
    <hyperlink xmlns:r="http://schemas.openxmlformats.org/officeDocument/2006/relationships" ref="L794" r:id="rId1292"/>
    <hyperlink xmlns:r="http://schemas.openxmlformats.org/officeDocument/2006/relationships" ref="N794" r:id="rId1293"/>
    <hyperlink xmlns:r="http://schemas.openxmlformats.org/officeDocument/2006/relationships" ref="L795" r:id="rId1294"/>
    <hyperlink xmlns:r="http://schemas.openxmlformats.org/officeDocument/2006/relationships" ref="N795" r:id="rId1295"/>
    <hyperlink xmlns:r="http://schemas.openxmlformats.org/officeDocument/2006/relationships" ref="L796" r:id="rId1296"/>
    <hyperlink xmlns:r="http://schemas.openxmlformats.org/officeDocument/2006/relationships" ref="N796" r:id="rId1297"/>
    <hyperlink xmlns:r="http://schemas.openxmlformats.org/officeDocument/2006/relationships" ref="L797" r:id="rId1298"/>
    <hyperlink xmlns:r="http://schemas.openxmlformats.org/officeDocument/2006/relationships" ref="N797" r:id="rId1299"/>
    <hyperlink xmlns:r="http://schemas.openxmlformats.org/officeDocument/2006/relationships" ref="L798" r:id="rId1300"/>
    <hyperlink xmlns:r="http://schemas.openxmlformats.org/officeDocument/2006/relationships" ref="N798" r:id="rId1301"/>
    <hyperlink xmlns:r="http://schemas.openxmlformats.org/officeDocument/2006/relationships" ref="L799" r:id="rId1302"/>
    <hyperlink xmlns:r="http://schemas.openxmlformats.org/officeDocument/2006/relationships" ref="N799" r:id="rId1303"/>
    <hyperlink xmlns:r="http://schemas.openxmlformats.org/officeDocument/2006/relationships" ref="L800" r:id="rId1304"/>
    <hyperlink xmlns:r="http://schemas.openxmlformats.org/officeDocument/2006/relationships" ref="N800" r:id="rId1305"/>
    <hyperlink xmlns:r="http://schemas.openxmlformats.org/officeDocument/2006/relationships" ref="L801" r:id="rId1306"/>
    <hyperlink xmlns:r="http://schemas.openxmlformats.org/officeDocument/2006/relationships" ref="N801" r:id="rId1307"/>
    <hyperlink xmlns:r="http://schemas.openxmlformats.org/officeDocument/2006/relationships" ref="L802" r:id="rId1308"/>
    <hyperlink xmlns:r="http://schemas.openxmlformats.org/officeDocument/2006/relationships" ref="N802" r:id="rId1309"/>
    <hyperlink xmlns:r="http://schemas.openxmlformats.org/officeDocument/2006/relationships" ref="L803" r:id="rId1310"/>
    <hyperlink xmlns:r="http://schemas.openxmlformats.org/officeDocument/2006/relationships" ref="N803" r:id="rId1311"/>
    <hyperlink xmlns:r="http://schemas.openxmlformats.org/officeDocument/2006/relationships" ref="L804" r:id="rId1312"/>
    <hyperlink xmlns:r="http://schemas.openxmlformats.org/officeDocument/2006/relationships" ref="N804" r:id="rId1313"/>
    <hyperlink xmlns:r="http://schemas.openxmlformats.org/officeDocument/2006/relationships" ref="L805" r:id="rId1314"/>
    <hyperlink xmlns:r="http://schemas.openxmlformats.org/officeDocument/2006/relationships" ref="N805" r:id="rId1315"/>
    <hyperlink xmlns:r="http://schemas.openxmlformats.org/officeDocument/2006/relationships" ref="L806" r:id="rId1316"/>
    <hyperlink xmlns:r="http://schemas.openxmlformats.org/officeDocument/2006/relationships" ref="N806" r:id="rId1317"/>
    <hyperlink xmlns:r="http://schemas.openxmlformats.org/officeDocument/2006/relationships" ref="L807" r:id="rId1318"/>
    <hyperlink xmlns:r="http://schemas.openxmlformats.org/officeDocument/2006/relationships" ref="N807" r:id="rId1319"/>
    <hyperlink xmlns:r="http://schemas.openxmlformats.org/officeDocument/2006/relationships" ref="L808" r:id="rId1320"/>
    <hyperlink xmlns:r="http://schemas.openxmlformats.org/officeDocument/2006/relationships" ref="N808" r:id="rId1321"/>
    <hyperlink xmlns:r="http://schemas.openxmlformats.org/officeDocument/2006/relationships" ref="L809" r:id="rId1322"/>
    <hyperlink xmlns:r="http://schemas.openxmlformats.org/officeDocument/2006/relationships" ref="N809" r:id="rId1323"/>
    <hyperlink xmlns:r="http://schemas.openxmlformats.org/officeDocument/2006/relationships" ref="L810" r:id="rId1324"/>
    <hyperlink xmlns:r="http://schemas.openxmlformats.org/officeDocument/2006/relationships" ref="N810" r:id="rId1325"/>
    <hyperlink xmlns:r="http://schemas.openxmlformats.org/officeDocument/2006/relationships" ref="L811" r:id="rId1326"/>
    <hyperlink xmlns:r="http://schemas.openxmlformats.org/officeDocument/2006/relationships" ref="N811" r:id="rId1327"/>
    <hyperlink xmlns:r="http://schemas.openxmlformats.org/officeDocument/2006/relationships" ref="L812" r:id="rId1328"/>
    <hyperlink xmlns:r="http://schemas.openxmlformats.org/officeDocument/2006/relationships" ref="N812" r:id="rId1329"/>
    <hyperlink xmlns:r="http://schemas.openxmlformats.org/officeDocument/2006/relationships" ref="L813" r:id="rId1330"/>
    <hyperlink xmlns:r="http://schemas.openxmlformats.org/officeDocument/2006/relationships" ref="N813" r:id="rId1331"/>
    <hyperlink xmlns:r="http://schemas.openxmlformats.org/officeDocument/2006/relationships" ref="L814" r:id="rId1332"/>
    <hyperlink xmlns:r="http://schemas.openxmlformats.org/officeDocument/2006/relationships" ref="N814" r:id="rId1333"/>
    <hyperlink xmlns:r="http://schemas.openxmlformats.org/officeDocument/2006/relationships" ref="L815" r:id="rId1334"/>
    <hyperlink xmlns:r="http://schemas.openxmlformats.org/officeDocument/2006/relationships" ref="N815" r:id="rId1335"/>
    <hyperlink xmlns:r="http://schemas.openxmlformats.org/officeDocument/2006/relationships" ref="L816" r:id="rId1336"/>
    <hyperlink xmlns:r="http://schemas.openxmlformats.org/officeDocument/2006/relationships" ref="N816" r:id="rId1337"/>
    <hyperlink xmlns:r="http://schemas.openxmlformats.org/officeDocument/2006/relationships" ref="L817" r:id="rId1338"/>
    <hyperlink xmlns:r="http://schemas.openxmlformats.org/officeDocument/2006/relationships" ref="N817" r:id="rId1339"/>
    <hyperlink xmlns:r="http://schemas.openxmlformats.org/officeDocument/2006/relationships" ref="L818" r:id="rId1340"/>
    <hyperlink xmlns:r="http://schemas.openxmlformats.org/officeDocument/2006/relationships" ref="N818" r:id="rId1341"/>
    <hyperlink xmlns:r="http://schemas.openxmlformats.org/officeDocument/2006/relationships" ref="L819" r:id="rId1342"/>
    <hyperlink xmlns:r="http://schemas.openxmlformats.org/officeDocument/2006/relationships" ref="N819" r:id="rId1343"/>
    <hyperlink xmlns:r="http://schemas.openxmlformats.org/officeDocument/2006/relationships" ref="L820" r:id="rId1344"/>
    <hyperlink xmlns:r="http://schemas.openxmlformats.org/officeDocument/2006/relationships" ref="N820" r:id="rId1345"/>
    <hyperlink xmlns:r="http://schemas.openxmlformats.org/officeDocument/2006/relationships" ref="L821" r:id="rId1346"/>
    <hyperlink xmlns:r="http://schemas.openxmlformats.org/officeDocument/2006/relationships" ref="N821" r:id="rId1347"/>
    <hyperlink xmlns:r="http://schemas.openxmlformats.org/officeDocument/2006/relationships" ref="L822" r:id="rId1348"/>
    <hyperlink xmlns:r="http://schemas.openxmlformats.org/officeDocument/2006/relationships" ref="N822" r:id="rId1349"/>
    <hyperlink xmlns:r="http://schemas.openxmlformats.org/officeDocument/2006/relationships" ref="L823" r:id="rId1350"/>
    <hyperlink xmlns:r="http://schemas.openxmlformats.org/officeDocument/2006/relationships" ref="N823" r:id="rId1351"/>
    <hyperlink xmlns:r="http://schemas.openxmlformats.org/officeDocument/2006/relationships" ref="L824" r:id="rId1352"/>
    <hyperlink xmlns:r="http://schemas.openxmlformats.org/officeDocument/2006/relationships" ref="N824" r:id="rId1353"/>
    <hyperlink xmlns:r="http://schemas.openxmlformats.org/officeDocument/2006/relationships" ref="L825" r:id="rId1354"/>
    <hyperlink xmlns:r="http://schemas.openxmlformats.org/officeDocument/2006/relationships" ref="N825" r:id="rId1355"/>
    <hyperlink xmlns:r="http://schemas.openxmlformats.org/officeDocument/2006/relationships" ref="L826" r:id="rId1356"/>
    <hyperlink xmlns:r="http://schemas.openxmlformats.org/officeDocument/2006/relationships" ref="N826" r:id="rId1357"/>
    <hyperlink xmlns:r="http://schemas.openxmlformats.org/officeDocument/2006/relationships" ref="L827" r:id="rId1358"/>
    <hyperlink xmlns:r="http://schemas.openxmlformats.org/officeDocument/2006/relationships" ref="N827" r:id="rId1359"/>
    <hyperlink xmlns:r="http://schemas.openxmlformats.org/officeDocument/2006/relationships" ref="L828" r:id="rId1360"/>
    <hyperlink xmlns:r="http://schemas.openxmlformats.org/officeDocument/2006/relationships" ref="N828" r:id="rId1361"/>
    <hyperlink xmlns:r="http://schemas.openxmlformats.org/officeDocument/2006/relationships" ref="L829" r:id="rId1362"/>
    <hyperlink xmlns:r="http://schemas.openxmlformats.org/officeDocument/2006/relationships" ref="N829" r:id="rId1363"/>
    <hyperlink xmlns:r="http://schemas.openxmlformats.org/officeDocument/2006/relationships" ref="L830" r:id="rId1364"/>
    <hyperlink xmlns:r="http://schemas.openxmlformats.org/officeDocument/2006/relationships" ref="N830" r:id="rId1365"/>
    <hyperlink xmlns:r="http://schemas.openxmlformats.org/officeDocument/2006/relationships" ref="L831" r:id="rId1366"/>
    <hyperlink xmlns:r="http://schemas.openxmlformats.org/officeDocument/2006/relationships" ref="N831" r:id="rId1367"/>
    <hyperlink xmlns:r="http://schemas.openxmlformats.org/officeDocument/2006/relationships" ref="L832" r:id="rId1368"/>
    <hyperlink xmlns:r="http://schemas.openxmlformats.org/officeDocument/2006/relationships" ref="N832" r:id="rId1369"/>
    <hyperlink xmlns:r="http://schemas.openxmlformats.org/officeDocument/2006/relationships" ref="L833" r:id="rId1370"/>
    <hyperlink xmlns:r="http://schemas.openxmlformats.org/officeDocument/2006/relationships" ref="N833" r:id="rId1371"/>
    <hyperlink xmlns:r="http://schemas.openxmlformats.org/officeDocument/2006/relationships" ref="L834" r:id="rId1372"/>
    <hyperlink xmlns:r="http://schemas.openxmlformats.org/officeDocument/2006/relationships" ref="N834" r:id="rId1373"/>
    <hyperlink xmlns:r="http://schemas.openxmlformats.org/officeDocument/2006/relationships" ref="L835" r:id="rId1374"/>
    <hyperlink xmlns:r="http://schemas.openxmlformats.org/officeDocument/2006/relationships" ref="N835" r:id="rId1375"/>
    <hyperlink xmlns:r="http://schemas.openxmlformats.org/officeDocument/2006/relationships" ref="L836" r:id="rId1376"/>
    <hyperlink xmlns:r="http://schemas.openxmlformats.org/officeDocument/2006/relationships" ref="N836" r:id="rId1377"/>
    <hyperlink xmlns:r="http://schemas.openxmlformats.org/officeDocument/2006/relationships" ref="L837" r:id="rId1378"/>
    <hyperlink xmlns:r="http://schemas.openxmlformats.org/officeDocument/2006/relationships" ref="N837" r:id="rId1379"/>
    <hyperlink xmlns:r="http://schemas.openxmlformats.org/officeDocument/2006/relationships" ref="L838" r:id="rId1380"/>
    <hyperlink xmlns:r="http://schemas.openxmlformats.org/officeDocument/2006/relationships" ref="N838" r:id="rId1381"/>
    <hyperlink xmlns:r="http://schemas.openxmlformats.org/officeDocument/2006/relationships" ref="L839" r:id="rId1382"/>
    <hyperlink xmlns:r="http://schemas.openxmlformats.org/officeDocument/2006/relationships" ref="N839" r:id="rId1383"/>
    <hyperlink xmlns:r="http://schemas.openxmlformats.org/officeDocument/2006/relationships" ref="L840" r:id="rId1384"/>
    <hyperlink xmlns:r="http://schemas.openxmlformats.org/officeDocument/2006/relationships" ref="N840" r:id="rId1385"/>
    <hyperlink xmlns:r="http://schemas.openxmlformats.org/officeDocument/2006/relationships" ref="L841" r:id="rId1386"/>
    <hyperlink xmlns:r="http://schemas.openxmlformats.org/officeDocument/2006/relationships" ref="N841" r:id="rId1387"/>
    <hyperlink xmlns:r="http://schemas.openxmlformats.org/officeDocument/2006/relationships" ref="L842" r:id="rId1388"/>
    <hyperlink xmlns:r="http://schemas.openxmlformats.org/officeDocument/2006/relationships" ref="N842" r:id="rId1389"/>
    <hyperlink xmlns:r="http://schemas.openxmlformats.org/officeDocument/2006/relationships" ref="L843" r:id="rId1390"/>
    <hyperlink xmlns:r="http://schemas.openxmlformats.org/officeDocument/2006/relationships" ref="N843" r:id="rId1391"/>
    <hyperlink xmlns:r="http://schemas.openxmlformats.org/officeDocument/2006/relationships" ref="L844" r:id="rId1392"/>
    <hyperlink xmlns:r="http://schemas.openxmlformats.org/officeDocument/2006/relationships" ref="N844" r:id="rId1393"/>
    <hyperlink xmlns:r="http://schemas.openxmlformats.org/officeDocument/2006/relationships" ref="L845" r:id="rId1394"/>
    <hyperlink xmlns:r="http://schemas.openxmlformats.org/officeDocument/2006/relationships" ref="N845" r:id="rId1395"/>
    <hyperlink xmlns:r="http://schemas.openxmlformats.org/officeDocument/2006/relationships" ref="L846" r:id="rId1396"/>
    <hyperlink xmlns:r="http://schemas.openxmlformats.org/officeDocument/2006/relationships" ref="N846" r:id="rId1397"/>
    <hyperlink xmlns:r="http://schemas.openxmlformats.org/officeDocument/2006/relationships" ref="L847" r:id="rId1398"/>
    <hyperlink xmlns:r="http://schemas.openxmlformats.org/officeDocument/2006/relationships" ref="N847" r:id="rId1399"/>
    <hyperlink xmlns:r="http://schemas.openxmlformats.org/officeDocument/2006/relationships" ref="L848" r:id="rId1400"/>
    <hyperlink xmlns:r="http://schemas.openxmlformats.org/officeDocument/2006/relationships" ref="N848" r:id="rId1401"/>
    <hyperlink xmlns:r="http://schemas.openxmlformats.org/officeDocument/2006/relationships" ref="L849" r:id="rId1402"/>
    <hyperlink xmlns:r="http://schemas.openxmlformats.org/officeDocument/2006/relationships" ref="N849" r:id="rId1403"/>
    <hyperlink xmlns:r="http://schemas.openxmlformats.org/officeDocument/2006/relationships" ref="L850" r:id="rId1404"/>
    <hyperlink xmlns:r="http://schemas.openxmlformats.org/officeDocument/2006/relationships" ref="N850" r:id="rId1405"/>
    <hyperlink xmlns:r="http://schemas.openxmlformats.org/officeDocument/2006/relationships" ref="L851" r:id="rId1406"/>
    <hyperlink xmlns:r="http://schemas.openxmlformats.org/officeDocument/2006/relationships" ref="N851" r:id="rId1407"/>
    <hyperlink xmlns:r="http://schemas.openxmlformats.org/officeDocument/2006/relationships" ref="L852" r:id="rId1408"/>
    <hyperlink xmlns:r="http://schemas.openxmlformats.org/officeDocument/2006/relationships" ref="N852" r:id="rId1409"/>
    <hyperlink xmlns:r="http://schemas.openxmlformats.org/officeDocument/2006/relationships" ref="L853" r:id="rId1410"/>
    <hyperlink xmlns:r="http://schemas.openxmlformats.org/officeDocument/2006/relationships" ref="N853" r:id="rId1411"/>
    <hyperlink xmlns:r="http://schemas.openxmlformats.org/officeDocument/2006/relationships" ref="L854" r:id="rId1412"/>
    <hyperlink xmlns:r="http://schemas.openxmlformats.org/officeDocument/2006/relationships" ref="N854" r:id="rId1413"/>
    <hyperlink xmlns:r="http://schemas.openxmlformats.org/officeDocument/2006/relationships" ref="L855" r:id="rId1414"/>
    <hyperlink xmlns:r="http://schemas.openxmlformats.org/officeDocument/2006/relationships" ref="N855" r:id="rId1415"/>
    <hyperlink xmlns:r="http://schemas.openxmlformats.org/officeDocument/2006/relationships" ref="L856" r:id="rId1416"/>
    <hyperlink xmlns:r="http://schemas.openxmlformats.org/officeDocument/2006/relationships" ref="N856" r:id="rId1417"/>
    <hyperlink xmlns:r="http://schemas.openxmlformats.org/officeDocument/2006/relationships" ref="L857" r:id="rId1418"/>
    <hyperlink xmlns:r="http://schemas.openxmlformats.org/officeDocument/2006/relationships" ref="N857" r:id="rId1419"/>
    <hyperlink xmlns:r="http://schemas.openxmlformats.org/officeDocument/2006/relationships" ref="L858" r:id="rId1420"/>
    <hyperlink xmlns:r="http://schemas.openxmlformats.org/officeDocument/2006/relationships" ref="N858" r:id="rId1421"/>
    <hyperlink xmlns:r="http://schemas.openxmlformats.org/officeDocument/2006/relationships" ref="L859" r:id="rId1422"/>
    <hyperlink xmlns:r="http://schemas.openxmlformats.org/officeDocument/2006/relationships" ref="N859" r:id="rId1423"/>
    <hyperlink xmlns:r="http://schemas.openxmlformats.org/officeDocument/2006/relationships" ref="L860" r:id="rId1424"/>
    <hyperlink xmlns:r="http://schemas.openxmlformats.org/officeDocument/2006/relationships" ref="N860" r:id="rId1425"/>
    <hyperlink xmlns:r="http://schemas.openxmlformats.org/officeDocument/2006/relationships" ref="L861" r:id="rId1426"/>
    <hyperlink xmlns:r="http://schemas.openxmlformats.org/officeDocument/2006/relationships" ref="N861" r:id="rId1427"/>
    <hyperlink xmlns:r="http://schemas.openxmlformats.org/officeDocument/2006/relationships" ref="L862" r:id="rId1428"/>
    <hyperlink xmlns:r="http://schemas.openxmlformats.org/officeDocument/2006/relationships" ref="N862" r:id="rId1429"/>
    <hyperlink xmlns:r="http://schemas.openxmlformats.org/officeDocument/2006/relationships" ref="L863" r:id="rId1430"/>
    <hyperlink xmlns:r="http://schemas.openxmlformats.org/officeDocument/2006/relationships" ref="N863" r:id="rId1431"/>
    <hyperlink xmlns:r="http://schemas.openxmlformats.org/officeDocument/2006/relationships" ref="L864" r:id="rId1432"/>
    <hyperlink xmlns:r="http://schemas.openxmlformats.org/officeDocument/2006/relationships" ref="N864" r:id="rId1433"/>
    <hyperlink xmlns:r="http://schemas.openxmlformats.org/officeDocument/2006/relationships" ref="L865" r:id="rId1434"/>
    <hyperlink xmlns:r="http://schemas.openxmlformats.org/officeDocument/2006/relationships" ref="N865" r:id="rId1435"/>
    <hyperlink xmlns:r="http://schemas.openxmlformats.org/officeDocument/2006/relationships" ref="L866" r:id="rId1436"/>
    <hyperlink xmlns:r="http://schemas.openxmlformats.org/officeDocument/2006/relationships" ref="N866" r:id="rId1437"/>
    <hyperlink xmlns:r="http://schemas.openxmlformats.org/officeDocument/2006/relationships" ref="L867" r:id="rId1438"/>
    <hyperlink xmlns:r="http://schemas.openxmlformats.org/officeDocument/2006/relationships" ref="N867" r:id="rId1439"/>
    <hyperlink xmlns:r="http://schemas.openxmlformats.org/officeDocument/2006/relationships" ref="L868" r:id="rId1440"/>
    <hyperlink xmlns:r="http://schemas.openxmlformats.org/officeDocument/2006/relationships" ref="N868" r:id="rId1441"/>
    <hyperlink xmlns:r="http://schemas.openxmlformats.org/officeDocument/2006/relationships" ref="L869" r:id="rId1442"/>
    <hyperlink xmlns:r="http://schemas.openxmlformats.org/officeDocument/2006/relationships" ref="N869" r:id="rId1443"/>
    <hyperlink xmlns:r="http://schemas.openxmlformats.org/officeDocument/2006/relationships" ref="L870" r:id="rId1444"/>
    <hyperlink xmlns:r="http://schemas.openxmlformats.org/officeDocument/2006/relationships" ref="N870" r:id="rId1445"/>
    <hyperlink xmlns:r="http://schemas.openxmlformats.org/officeDocument/2006/relationships" ref="L871" r:id="rId1446"/>
    <hyperlink xmlns:r="http://schemas.openxmlformats.org/officeDocument/2006/relationships" ref="N871" r:id="rId1447"/>
    <hyperlink xmlns:r="http://schemas.openxmlformats.org/officeDocument/2006/relationships" ref="L872" r:id="rId1448"/>
    <hyperlink xmlns:r="http://schemas.openxmlformats.org/officeDocument/2006/relationships" ref="N872" r:id="rId1449"/>
    <hyperlink xmlns:r="http://schemas.openxmlformats.org/officeDocument/2006/relationships" ref="L873" r:id="rId1450"/>
    <hyperlink xmlns:r="http://schemas.openxmlformats.org/officeDocument/2006/relationships" ref="N873" r:id="rId1451"/>
    <hyperlink xmlns:r="http://schemas.openxmlformats.org/officeDocument/2006/relationships" ref="L874" r:id="rId1452"/>
    <hyperlink xmlns:r="http://schemas.openxmlformats.org/officeDocument/2006/relationships" ref="N874" r:id="rId1453"/>
    <hyperlink xmlns:r="http://schemas.openxmlformats.org/officeDocument/2006/relationships" ref="L875" r:id="rId1454"/>
    <hyperlink xmlns:r="http://schemas.openxmlformats.org/officeDocument/2006/relationships" ref="N875" r:id="rId1455"/>
    <hyperlink xmlns:r="http://schemas.openxmlformats.org/officeDocument/2006/relationships" ref="L876" r:id="rId1456"/>
    <hyperlink xmlns:r="http://schemas.openxmlformats.org/officeDocument/2006/relationships" ref="N876" r:id="rId1457"/>
    <hyperlink xmlns:r="http://schemas.openxmlformats.org/officeDocument/2006/relationships" ref="L877" r:id="rId1458"/>
    <hyperlink xmlns:r="http://schemas.openxmlformats.org/officeDocument/2006/relationships" ref="N877" r:id="rId1459"/>
    <hyperlink xmlns:r="http://schemas.openxmlformats.org/officeDocument/2006/relationships" ref="L878" r:id="rId1460"/>
    <hyperlink xmlns:r="http://schemas.openxmlformats.org/officeDocument/2006/relationships" ref="N878" r:id="rId1461"/>
    <hyperlink xmlns:r="http://schemas.openxmlformats.org/officeDocument/2006/relationships" ref="L879" r:id="rId1462"/>
    <hyperlink xmlns:r="http://schemas.openxmlformats.org/officeDocument/2006/relationships" ref="N879" r:id="rId1463"/>
    <hyperlink xmlns:r="http://schemas.openxmlformats.org/officeDocument/2006/relationships" ref="L880" r:id="rId1464"/>
    <hyperlink xmlns:r="http://schemas.openxmlformats.org/officeDocument/2006/relationships" ref="N880" r:id="rId1465"/>
    <hyperlink xmlns:r="http://schemas.openxmlformats.org/officeDocument/2006/relationships" ref="L881" r:id="rId1466"/>
    <hyperlink xmlns:r="http://schemas.openxmlformats.org/officeDocument/2006/relationships" ref="N881" r:id="rId1467"/>
    <hyperlink xmlns:r="http://schemas.openxmlformats.org/officeDocument/2006/relationships" ref="L882" r:id="rId1468"/>
    <hyperlink xmlns:r="http://schemas.openxmlformats.org/officeDocument/2006/relationships" ref="N882" r:id="rId1469"/>
    <hyperlink xmlns:r="http://schemas.openxmlformats.org/officeDocument/2006/relationships" ref="L883" r:id="rId1470"/>
    <hyperlink xmlns:r="http://schemas.openxmlformats.org/officeDocument/2006/relationships" ref="N883" r:id="rId1471"/>
    <hyperlink xmlns:r="http://schemas.openxmlformats.org/officeDocument/2006/relationships" ref="L884" r:id="rId1472"/>
    <hyperlink xmlns:r="http://schemas.openxmlformats.org/officeDocument/2006/relationships" ref="N884" r:id="rId1473"/>
    <hyperlink xmlns:r="http://schemas.openxmlformats.org/officeDocument/2006/relationships" ref="L885" r:id="rId1474"/>
    <hyperlink xmlns:r="http://schemas.openxmlformats.org/officeDocument/2006/relationships" ref="N885" r:id="rId1475"/>
    <hyperlink xmlns:r="http://schemas.openxmlformats.org/officeDocument/2006/relationships" ref="L886" r:id="rId1476"/>
    <hyperlink xmlns:r="http://schemas.openxmlformats.org/officeDocument/2006/relationships" ref="N886" r:id="rId1477"/>
    <hyperlink xmlns:r="http://schemas.openxmlformats.org/officeDocument/2006/relationships" ref="L887" r:id="rId1478"/>
    <hyperlink xmlns:r="http://schemas.openxmlformats.org/officeDocument/2006/relationships" ref="N887" r:id="rId1479"/>
    <hyperlink xmlns:r="http://schemas.openxmlformats.org/officeDocument/2006/relationships" ref="L888" r:id="rId1480"/>
    <hyperlink xmlns:r="http://schemas.openxmlformats.org/officeDocument/2006/relationships" ref="N888" r:id="rId1481"/>
    <hyperlink xmlns:r="http://schemas.openxmlformats.org/officeDocument/2006/relationships" ref="L889" r:id="rId1482"/>
    <hyperlink xmlns:r="http://schemas.openxmlformats.org/officeDocument/2006/relationships" ref="N889" r:id="rId1483"/>
    <hyperlink xmlns:r="http://schemas.openxmlformats.org/officeDocument/2006/relationships" ref="L890" r:id="rId1484"/>
    <hyperlink xmlns:r="http://schemas.openxmlformats.org/officeDocument/2006/relationships" ref="N890" r:id="rId1485"/>
    <hyperlink xmlns:r="http://schemas.openxmlformats.org/officeDocument/2006/relationships" ref="L891" r:id="rId1486"/>
    <hyperlink xmlns:r="http://schemas.openxmlformats.org/officeDocument/2006/relationships" ref="N891" r:id="rId1487"/>
    <hyperlink xmlns:r="http://schemas.openxmlformats.org/officeDocument/2006/relationships" ref="L892" r:id="rId1488"/>
    <hyperlink xmlns:r="http://schemas.openxmlformats.org/officeDocument/2006/relationships" ref="N892" r:id="rId1489"/>
    <hyperlink xmlns:r="http://schemas.openxmlformats.org/officeDocument/2006/relationships" ref="L893" r:id="rId1490"/>
    <hyperlink xmlns:r="http://schemas.openxmlformats.org/officeDocument/2006/relationships" ref="N893" r:id="rId1491"/>
    <hyperlink xmlns:r="http://schemas.openxmlformats.org/officeDocument/2006/relationships" ref="L894" r:id="rId1492"/>
    <hyperlink xmlns:r="http://schemas.openxmlformats.org/officeDocument/2006/relationships" ref="N894" r:id="rId1493"/>
    <hyperlink xmlns:r="http://schemas.openxmlformats.org/officeDocument/2006/relationships" ref="L895" r:id="rId1494"/>
    <hyperlink xmlns:r="http://schemas.openxmlformats.org/officeDocument/2006/relationships" ref="N895" r:id="rId1495"/>
    <hyperlink xmlns:r="http://schemas.openxmlformats.org/officeDocument/2006/relationships" ref="L896" r:id="rId1496"/>
    <hyperlink xmlns:r="http://schemas.openxmlformats.org/officeDocument/2006/relationships" ref="N896" r:id="rId1497"/>
    <hyperlink xmlns:r="http://schemas.openxmlformats.org/officeDocument/2006/relationships" ref="L897" r:id="rId1498"/>
    <hyperlink xmlns:r="http://schemas.openxmlformats.org/officeDocument/2006/relationships" ref="N897" r:id="rId1499"/>
    <hyperlink xmlns:r="http://schemas.openxmlformats.org/officeDocument/2006/relationships" ref="L898" r:id="rId1500"/>
    <hyperlink xmlns:r="http://schemas.openxmlformats.org/officeDocument/2006/relationships" ref="N898" r:id="rId1501"/>
    <hyperlink xmlns:r="http://schemas.openxmlformats.org/officeDocument/2006/relationships" ref="L899" r:id="rId1502"/>
    <hyperlink xmlns:r="http://schemas.openxmlformats.org/officeDocument/2006/relationships" ref="N899" r:id="rId1503"/>
    <hyperlink xmlns:r="http://schemas.openxmlformats.org/officeDocument/2006/relationships" ref="L900" r:id="rId1504"/>
    <hyperlink xmlns:r="http://schemas.openxmlformats.org/officeDocument/2006/relationships" ref="N900" r:id="rId1505"/>
    <hyperlink xmlns:r="http://schemas.openxmlformats.org/officeDocument/2006/relationships" ref="L901" r:id="rId1506"/>
    <hyperlink xmlns:r="http://schemas.openxmlformats.org/officeDocument/2006/relationships" ref="N901" r:id="rId1507"/>
    <hyperlink xmlns:r="http://schemas.openxmlformats.org/officeDocument/2006/relationships" ref="L902" r:id="rId1508"/>
    <hyperlink xmlns:r="http://schemas.openxmlformats.org/officeDocument/2006/relationships" ref="N902" r:id="rId1509"/>
    <hyperlink xmlns:r="http://schemas.openxmlformats.org/officeDocument/2006/relationships" ref="L903" r:id="rId1510"/>
    <hyperlink xmlns:r="http://schemas.openxmlformats.org/officeDocument/2006/relationships" ref="N903" r:id="rId1511"/>
    <hyperlink xmlns:r="http://schemas.openxmlformats.org/officeDocument/2006/relationships" ref="L904" r:id="rId1512"/>
    <hyperlink xmlns:r="http://schemas.openxmlformats.org/officeDocument/2006/relationships" ref="N904" r:id="rId1513"/>
    <hyperlink xmlns:r="http://schemas.openxmlformats.org/officeDocument/2006/relationships" ref="L905" r:id="rId1514"/>
    <hyperlink xmlns:r="http://schemas.openxmlformats.org/officeDocument/2006/relationships" ref="N905" r:id="rId1515"/>
    <hyperlink xmlns:r="http://schemas.openxmlformats.org/officeDocument/2006/relationships" ref="L906" r:id="rId1516"/>
    <hyperlink xmlns:r="http://schemas.openxmlformats.org/officeDocument/2006/relationships" ref="N906" r:id="rId1517"/>
    <hyperlink xmlns:r="http://schemas.openxmlformats.org/officeDocument/2006/relationships" ref="L907" r:id="rId1518"/>
    <hyperlink xmlns:r="http://schemas.openxmlformats.org/officeDocument/2006/relationships" ref="N907" r:id="rId1519"/>
    <hyperlink xmlns:r="http://schemas.openxmlformats.org/officeDocument/2006/relationships" ref="L908" r:id="rId1520"/>
    <hyperlink xmlns:r="http://schemas.openxmlformats.org/officeDocument/2006/relationships" ref="N908" r:id="rId1521"/>
    <hyperlink xmlns:r="http://schemas.openxmlformats.org/officeDocument/2006/relationships" ref="L909" r:id="rId1522"/>
    <hyperlink xmlns:r="http://schemas.openxmlformats.org/officeDocument/2006/relationships" ref="N909" r:id="rId1523"/>
    <hyperlink xmlns:r="http://schemas.openxmlformats.org/officeDocument/2006/relationships" ref="L910" r:id="rId1524"/>
    <hyperlink xmlns:r="http://schemas.openxmlformats.org/officeDocument/2006/relationships" ref="N910" r:id="rId1525"/>
    <hyperlink xmlns:r="http://schemas.openxmlformats.org/officeDocument/2006/relationships" ref="L911" r:id="rId1526"/>
    <hyperlink xmlns:r="http://schemas.openxmlformats.org/officeDocument/2006/relationships" ref="N911" r:id="rId1527"/>
    <hyperlink xmlns:r="http://schemas.openxmlformats.org/officeDocument/2006/relationships" ref="L912" r:id="rId1528"/>
    <hyperlink xmlns:r="http://schemas.openxmlformats.org/officeDocument/2006/relationships" ref="N912" r:id="rId1529"/>
    <hyperlink xmlns:r="http://schemas.openxmlformats.org/officeDocument/2006/relationships" ref="L913" r:id="rId1530"/>
    <hyperlink xmlns:r="http://schemas.openxmlformats.org/officeDocument/2006/relationships" ref="N913" r:id="rId1531"/>
    <hyperlink xmlns:r="http://schemas.openxmlformats.org/officeDocument/2006/relationships" ref="L914" r:id="rId1532"/>
    <hyperlink xmlns:r="http://schemas.openxmlformats.org/officeDocument/2006/relationships" ref="N914" r:id="rId1533"/>
    <hyperlink xmlns:r="http://schemas.openxmlformats.org/officeDocument/2006/relationships" ref="L915" r:id="rId1534"/>
    <hyperlink xmlns:r="http://schemas.openxmlformats.org/officeDocument/2006/relationships" ref="N915" r:id="rId1535"/>
    <hyperlink xmlns:r="http://schemas.openxmlformats.org/officeDocument/2006/relationships" ref="L916" r:id="rId1536"/>
    <hyperlink xmlns:r="http://schemas.openxmlformats.org/officeDocument/2006/relationships" ref="N916" r:id="rId1537"/>
    <hyperlink xmlns:r="http://schemas.openxmlformats.org/officeDocument/2006/relationships" ref="L917" r:id="rId1538"/>
    <hyperlink xmlns:r="http://schemas.openxmlformats.org/officeDocument/2006/relationships" ref="N917" r:id="rId1539"/>
    <hyperlink xmlns:r="http://schemas.openxmlformats.org/officeDocument/2006/relationships" ref="L918" r:id="rId1540"/>
    <hyperlink xmlns:r="http://schemas.openxmlformats.org/officeDocument/2006/relationships" ref="N918" r:id="rId1541"/>
    <hyperlink xmlns:r="http://schemas.openxmlformats.org/officeDocument/2006/relationships" ref="L919" r:id="rId1542"/>
    <hyperlink xmlns:r="http://schemas.openxmlformats.org/officeDocument/2006/relationships" ref="N919" r:id="rId1543"/>
    <hyperlink xmlns:r="http://schemas.openxmlformats.org/officeDocument/2006/relationships" ref="L920" r:id="rId1544"/>
    <hyperlink xmlns:r="http://schemas.openxmlformats.org/officeDocument/2006/relationships" ref="N920" r:id="rId1545"/>
    <hyperlink xmlns:r="http://schemas.openxmlformats.org/officeDocument/2006/relationships" ref="L921" r:id="rId1546"/>
    <hyperlink xmlns:r="http://schemas.openxmlformats.org/officeDocument/2006/relationships" ref="N921" r:id="rId1547"/>
    <hyperlink xmlns:r="http://schemas.openxmlformats.org/officeDocument/2006/relationships" ref="L922" r:id="rId1548"/>
    <hyperlink xmlns:r="http://schemas.openxmlformats.org/officeDocument/2006/relationships" ref="N922" r:id="rId1549"/>
    <hyperlink xmlns:r="http://schemas.openxmlformats.org/officeDocument/2006/relationships" ref="L923" r:id="rId1550"/>
    <hyperlink xmlns:r="http://schemas.openxmlformats.org/officeDocument/2006/relationships" ref="N923" r:id="rId1551"/>
    <hyperlink xmlns:r="http://schemas.openxmlformats.org/officeDocument/2006/relationships" ref="L924" r:id="rId1552"/>
    <hyperlink xmlns:r="http://schemas.openxmlformats.org/officeDocument/2006/relationships" ref="N924" r:id="rId1553"/>
    <hyperlink xmlns:r="http://schemas.openxmlformats.org/officeDocument/2006/relationships" ref="L925" r:id="rId1554"/>
    <hyperlink xmlns:r="http://schemas.openxmlformats.org/officeDocument/2006/relationships" ref="N925" r:id="rId1555"/>
    <hyperlink xmlns:r="http://schemas.openxmlformats.org/officeDocument/2006/relationships" ref="L926" r:id="rId1556"/>
    <hyperlink xmlns:r="http://schemas.openxmlformats.org/officeDocument/2006/relationships" ref="N926" r:id="rId1557"/>
    <hyperlink xmlns:r="http://schemas.openxmlformats.org/officeDocument/2006/relationships" ref="L927" r:id="rId1558"/>
    <hyperlink xmlns:r="http://schemas.openxmlformats.org/officeDocument/2006/relationships" ref="N927" r:id="rId1559"/>
    <hyperlink xmlns:r="http://schemas.openxmlformats.org/officeDocument/2006/relationships" ref="L928" r:id="rId1560"/>
    <hyperlink xmlns:r="http://schemas.openxmlformats.org/officeDocument/2006/relationships" ref="N928" r:id="rId1561"/>
    <hyperlink xmlns:r="http://schemas.openxmlformats.org/officeDocument/2006/relationships" ref="L929" r:id="rId1562"/>
    <hyperlink xmlns:r="http://schemas.openxmlformats.org/officeDocument/2006/relationships" ref="N929" r:id="rId1563"/>
    <hyperlink xmlns:r="http://schemas.openxmlformats.org/officeDocument/2006/relationships" ref="L930" r:id="rId1564"/>
    <hyperlink xmlns:r="http://schemas.openxmlformats.org/officeDocument/2006/relationships" ref="N930" r:id="rId1565"/>
    <hyperlink xmlns:r="http://schemas.openxmlformats.org/officeDocument/2006/relationships" ref="L931" r:id="rId1566"/>
    <hyperlink xmlns:r="http://schemas.openxmlformats.org/officeDocument/2006/relationships" ref="N931" r:id="rId1567"/>
    <hyperlink xmlns:r="http://schemas.openxmlformats.org/officeDocument/2006/relationships" ref="L932" r:id="rId1568"/>
    <hyperlink xmlns:r="http://schemas.openxmlformats.org/officeDocument/2006/relationships" ref="N932" r:id="rId1569"/>
    <hyperlink xmlns:r="http://schemas.openxmlformats.org/officeDocument/2006/relationships" ref="L933" r:id="rId1570"/>
    <hyperlink xmlns:r="http://schemas.openxmlformats.org/officeDocument/2006/relationships" ref="N933" r:id="rId1571"/>
    <hyperlink xmlns:r="http://schemas.openxmlformats.org/officeDocument/2006/relationships" ref="L934" r:id="rId1572"/>
    <hyperlink xmlns:r="http://schemas.openxmlformats.org/officeDocument/2006/relationships" ref="N934" r:id="rId1573"/>
    <hyperlink xmlns:r="http://schemas.openxmlformats.org/officeDocument/2006/relationships" ref="L935" r:id="rId1574"/>
    <hyperlink xmlns:r="http://schemas.openxmlformats.org/officeDocument/2006/relationships" ref="N935" r:id="rId1575"/>
    <hyperlink xmlns:r="http://schemas.openxmlformats.org/officeDocument/2006/relationships" ref="L936" r:id="rId1576"/>
    <hyperlink xmlns:r="http://schemas.openxmlformats.org/officeDocument/2006/relationships" ref="N936" r:id="rId1577"/>
    <hyperlink xmlns:r="http://schemas.openxmlformats.org/officeDocument/2006/relationships" ref="L937" r:id="rId1578"/>
    <hyperlink xmlns:r="http://schemas.openxmlformats.org/officeDocument/2006/relationships" ref="N937" r:id="rId1579"/>
    <hyperlink xmlns:r="http://schemas.openxmlformats.org/officeDocument/2006/relationships" ref="L938" r:id="rId1580"/>
    <hyperlink xmlns:r="http://schemas.openxmlformats.org/officeDocument/2006/relationships" ref="N938" r:id="rId1581"/>
    <hyperlink xmlns:r="http://schemas.openxmlformats.org/officeDocument/2006/relationships" ref="L939" r:id="rId1582"/>
    <hyperlink xmlns:r="http://schemas.openxmlformats.org/officeDocument/2006/relationships" ref="N939" r:id="rId1583"/>
    <hyperlink xmlns:r="http://schemas.openxmlformats.org/officeDocument/2006/relationships" ref="L940" r:id="rId1584"/>
    <hyperlink xmlns:r="http://schemas.openxmlformats.org/officeDocument/2006/relationships" ref="N940" r:id="rId1585"/>
    <hyperlink xmlns:r="http://schemas.openxmlformats.org/officeDocument/2006/relationships" ref="L941" r:id="rId1586"/>
    <hyperlink xmlns:r="http://schemas.openxmlformats.org/officeDocument/2006/relationships" ref="N941" r:id="rId1587"/>
    <hyperlink xmlns:r="http://schemas.openxmlformats.org/officeDocument/2006/relationships" ref="L942" r:id="rId1588"/>
    <hyperlink xmlns:r="http://schemas.openxmlformats.org/officeDocument/2006/relationships" ref="N942" r:id="rId1589"/>
    <hyperlink xmlns:r="http://schemas.openxmlformats.org/officeDocument/2006/relationships" ref="L943" r:id="rId1590"/>
    <hyperlink xmlns:r="http://schemas.openxmlformats.org/officeDocument/2006/relationships" ref="N943" r:id="rId1591"/>
    <hyperlink xmlns:r="http://schemas.openxmlformats.org/officeDocument/2006/relationships" ref="L944" r:id="rId1592"/>
    <hyperlink xmlns:r="http://schemas.openxmlformats.org/officeDocument/2006/relationships" ref="N944" r:id="rId1593"/>
    <hyperlink xmlns:r="http://schemas.openxmlformats.org/officeDocument/2006/relationships" ref="L945" r:id="rId1594"/>
    <hyperlink xmlns:r="http://schemas.openxmlformats.org/officeDocument/2006/relationships" ref="N945" r:id="rId1595"/>
    <hyperlink xmlns:r="http://schemas.openxmlformats.org/officeDocument/2006/relationships" ref="L946" r:id="rId1596"/>
    <hyperlink xmlns:r="http://schemas.openxmlformats.org/officeDocument/2006/relationships" ref="N946" r:id="rId1597"/>
    <hyperlink xmlns:r="http://schemas.openxmlformats.org/officeDocument/2006/relationships" ref="L947" r:id="rId1598"/>
    <hyperlink xmlns:r="http://schemas.openxmlformats.org/officeDocument/2006/relationships" ref="N947" r:id="rId1599"/>
    <hyperlink xmlns:r="http://schemas.openxmlformats.org/officeDocument/2006/relationships" ref="L948" r:id="rId1600"/>
    <hyperlink xmlns:r="http://schemas.openxmlformats.org/officeDocument/2006/relationships" ref="N948" r:id="rId1601"/>
    <hyperlink xmlns:r="http://schemas.openxmlformats.org/officeDocument/2006/relationships" ref="L949" r:id="rId1602"/>
    <hyperlink xmlns:r="http://schemas.openxmlformats.org/officeDocument/2006/relationships" ref="N949" r:id="rId1603"/>
    <hyperlink xmlns:r="http://schemas.openxmlformats.org/officeDocument/2006/relationships" ref="L950" r:id="rId1604"/>
    <hyperlink xmlns:r="http://schemas.openxmlformats.org/officeDocument/2006/relationships" ref="N950" r:id="rId1605"/>
    <hyperlink xmlns:r="http://schemas.openxmlformats.org/officeDocument/2006/relationships" ref="L951" r:id="rId1606"/>
    <hyperlink xmlns:r="http://schemas.openxmlformats.org/officeDocument/2006/relationships" ref="N951" r:id="rId1607"/>
    <hyperlink xmlns:r="http://schemas.openxmlformats.org/officeDocument/2006/relationships" ref="L952" r:id="rId1608"/>
    <hyperlink xmlns:r="http://schemas.openxmlformats.org/officeDocument/2006/relationships" ref="N952" r:id="rId1609"/>
    <hyperlink xmlns:r="http://schemas.openxmlformats.org/officeDocument/2006/relationships" ref="L953" r:id="rId1610"/>
    <hyperlink xmlns:r="http://schemas.openxmlformats.org/officeDocument/2006/relationships" ref="N953" r:id="rId1611"/>
    <hyperlink xmlns:r="http://schemas.openxmlformats.org/officeDocument/2006/relationships" ref="L954" r:id="rId1612"/>
    <hyperlink xmlns:r="http://schemas.openxmlformats.org/officeDocument/2006/relationships" ref="N954" r:id="rId1613"/>
    <hyperlink xmlns:r="http://schemas.openxmlformats.org/officeDocument/2006/relationships" ref="L955" r:id="rId1614"/>
    <hyperlink xmlns:r="http://schemas.openxmlformats.org/officeDocument/2006/relationships" ref="N955" r:id="rId1615"/>
    <hyperlink xmlns:r="http://schemas.openxmlformats.org/officeDocument/2006/relationships" ref="L956" r:id="rId1616"/>
    <hyperlink xmlns:r="http://schemas.openxmlformats.org/officeDocument/2006/relationships" ref="N956" r:id="rId1617"/>
    <hyperlink xmlns:r="http://schemas.openxmlformats.org/officeDocument/2006/relationships" ref="L957" r:id="rId1618"/>
    <hyperlink xmlns:r="http://schemas.openxmlformats.org/officeDocument/2006/relationships" ref="N957" r:id="rId1619"/>
    <hyperlink xmlns:r="http://schemas.openxmlformats.org/officeDocument/2006/relationships" ref="L958" r:id="rId1620"/>
    <hyperlink xmlns:r="http://schemas.openxmlformats.org/officeDocument/2006/relationships" ref="N958" r:id="rId1621"/>
    <hyperlink xmlns:r="http://schemas.openxmlformats.org/officeDocument/2006/relationships" ref="L959" r:id="rId1622"/>
    <hyperlink xmlns:r="http://schemas.openxmlformats.org/officeDocument/2006/relationships" ref="N959" r:id="rId1623"/>
    <hyperlink xmlns:r="http://schemas.openxmlformats.org/officeDocument/2006/relationships" ref="L960" r:id="rId1624"/>
    <hyperlink xmlns:r="http://schemas.openxmlformats.org/officeDocument/2006/relationships" ref="N960" r:id="rId1625"/>
    <hyperlink xmlns:r="http://schemas.openxmlformats.org/officeDocument/2006/relationships" ref="L961" r:id="rId1626"/>
    <hyperlink xmlns:r="http://schemas.openxmlformats.org/officeDocument/2006/relationships" ref="N961" r:id="rId1627"/>
    <hyperlink xmlns:r="http://schemas.openxmlformats.org/officeDocument/2006/relationships" ref="L962" r:id="rId1628"/>
    <hyperlink xmlns:r="http://schemas.openxmlformats.org/officeDocument/2006/relationships" ref="N962" r:id="rId1629"/>
    <hyperlink xmlns:r="http://schemas.openxmlformats.org/officeDocument/2006/relationships" ref="L963" r:id="rId1630"/>
    <hyperlink xmlns:r="http://schemas.openxmlformats.org/officeDocument/2006/relationships" ref="N963" r:id="rId1631"/>
    <hyperlink xmlns:r="http://schemas.openxmlformats.org/officeDocument/2006/relationships" ref="L964" r:id="rId1632"/>
    <hyperlink xmlns:r="http://schemas.openxmlformats.org/officeDocument/2006/relationships" ref="N964" r:id="rId1633"/>
    <hyperlink xmlns:r="http://schemas.openxmlformats.org/officeDocument/2006/relationships" ref="L965" r:id="rId1634"/>
    <hyperlink xmlns:r="http://schemas.openxmlformats.org/officeDocument/2006/relationships" ref="N965" r:id="rId1635"/>
    <hyperlink xmlns:r="http://schemas.openxmlformats.org/officeDocument/2006/relationships" ref="L966" r:id="rId1636"/>
    <hyperlink xmlns:r="http://schemas.openxmlformats.org/officeDocument/2006/relationships" ref="N966" r:id="rId1637"/>
    <hyperlink xmlns:r="http://schemas.openxmlformats.org/officeDocument/2006/relationships" ref="L967" r:id="rId1638"/>
    <hyperlink xmlns:r="http://schemas.openxmlformats.org/officeDocument/2006/relationships" ref="N967" r:id="rId1639"/>
    <hyperlink xmlns:r="http://schemas.openxmlformats.org/officeDocument/2006/relationships" ref="L968" r:id="rId1640"/>
    <hyperlink xmlns:r="http://schemas.openxmlformats.org/officeDocument/2006/relationships" ref="N968" r:id="rId1641"/>
    <hyperlink xmlns:r="http://schemas.openxmlformats.org/officeDocument/2006/relationships" ref="L969" r:id="rId1642"/>
    <hyperlink xmlns:r="http://schemas.openxmlformats.org/officeDocument/2006/relationships" ref="N969" r:id="rId1643"/>
    <hyperlink xmlns:r="http://schemas.openxmlformats.org/officeDocument/2006/relationships" ref="L970" r:id="rId1644"/>
    <hyperlink xmlns:r="http://schemas.openxmlformats.org/officeDocument/2006/relationships" ref="N970" r:id="rId1645"/>
    <hyperlink xmlns:r="http://schemas.openxmlformats.org/officeDocument/2006/relationships" ref="L971" r:id="rId1646"/>
    <hyperlink xmlns:r="http://schemas.openxmlformats.org/officeDocument/2006/relationships" ref="N971" r:id="rId1647"/>
    <hyperlink xmlns:r="http://schemas.openxmlformats.org/officeDocument/2006/relationships" ref="L972" r:id="rId1648"/>
    <hyperlink xmlns:r="http://schemas.openxmlformats.org/officeDocument/2006/relationships" ref="N972" r:id="rId1649"/>
    <hyperlink xmlns:r="http://schemas.openxmlformats.org/officeDocument/2006/relationships" ref="L973" r:id="rId1650"/>
    <hyperlink xmlns:r="http://schemas.openxmlformats.org/officeDocument/2006/relationships" ref="N973" r:id="rId1651"/>
    <hyperlink xmlns:r="http://schemas.openxmlformats.org/officeDocument/2006/relationships" ref="L974" r:id="rId1652"/>
    <hyperlink xmlns:r="http://schemas.openxmlformats.org/officeDocument/2006/relationships" ref="N974" r:id="rId1653"/>
    <hyperlink xmlns:r="http://schemas.openxmlformats.org/officeDocument/2006/relationships" ref="L975" r:id="rId1654"/>
    <hyperlink xmlns:r="http://schemas.openxmlformats.org/officeDocument/2006/relationships" ref="N975" r:id="rId1655"/>
    <hyperlink xmlns:r="http://schemas.openxmlformats.org/officeDocument/2006/relationships" ref="L976" r:id="rId1656"/>
    <hyperlink xmlns:r="http://schemas.openxmlformats.org/officeDocument/2006/relationships" ref="N976" r:id="rId1657"/>
    <hyperlink xmlns:r="http://schemas.openxmlformats.org/officeDocument/2006/relationships" ref="L977" r:id="rId1658"/>
    <hyperlink xmlns:r="http://schemas.openxmlformats.org/officeDocument/2006/relationships" ref="N977" r:id="rId1659"/>
    <hyperlink xmlns:r="http://schemas.openxmlformats.org/officeDocument/2006/relationships" ref="L978" r:id="rId1660"/>
    <hyperlink xmlns:r="http://schemas.openxmlformats.org/officeDocument/2006/relationships" ref="N978" r:id="rId1661"/>
    <hyperlink xmlns:r="http://schemas.openxmlformats.org/officeDocument/2006/relationships" ref="L979" r:id="rId1662"/>
    <hyperlink xmlns:r="http://schemas.openxmlformats.org/officeDocument/2006/relationships" ref="N979" r:id="rId1663"/>
    <hyperlink xmlns:r="http://schemas.openxmlformats.org/officeDocument/2006/relationships" ref="L980" r:id="rId1664"/>
    <hyperlink xmlns:r="http://schemas.openxmlformats.org/officeDocument/2006/relationships" ref="N980" r:id="rId1665"/>
    <hyperlink xmlns:r="http://schemas.openxmlformats.org/officeDocument/2006/relationships" ref="L981" r:id="rId1666"/>
    <hyperlink xmlns:r="http://schemas.openxmlformats.org/officeDocument/2006/relationships" ref="N981" r:id="rId1667"/>
    <hyperlink xmlns:r="http://schemas.openxmlformats.org/officeDocument/2006/relationships" ref="L982" r:id="rId1668"/>
    <hyperlink xmlns:r="http://schemas.openxmlformats.org/officeDocument/2006/relationships" ref="N982" r:id="rId1669"/>
    <hyperlink xmlns:r="http://schemas.openxmlformats.org/officeDocument/2006/relationships" ref="L983" r:id="rId1670"/>
    <hyperlink xmlns:r="http://schemas.openxmlformats.org/officeDocument/2006/relationships" ref="N983" r:id="rId1671"/>
    <hyperlink xmlns:r="http://schemas.openxmlformats.org/officeDocument/2006/relationships" ref="L984" r:id="rId1672"/>
    <hyperlink xmlns:r="http://schemas.openxmlformats.org/officeDocument/2006/relationships" ref="N984" r:id="rId1673"/>
    <hyperlink xmlns:r="http://schemas.openxmlformats.org/officeDocument/2006/relationships" ref="L985" r:id="rId1674"/>
    <hyperlink xmlns:r="http://schemas.openxmlformats.org/officeDocument/2006/relationships" ref="N985" r:id="rId1675"/>
    <hyperlink xmlns:r="http://schemas.openxmlformats.org/officeDocument/2006/relationships" ref="L986" r:id="rId1676"/>
    <hyperlink xmlns:r="http://schemas.openxmlformats.org/officeDocument/2006/relationships" ref="N986" r:id="rId1677"/>
    <hyperlink xmlns:r="http://schemas.openxmlformats.org/officeDocument/2006/relationships" ref="L987" r:id="rId1678"/>
    <hyperlink xmlns:r="http://schemas.openxmlformats.org/officeDocument/2006/relationships" ref="N987" r:id="rId1679"/>
    <hyperlink xmlns:r="http://schemas.openxmlformats.org/officeDocument/2006/relationships" ref="L988" r:id="rId1680"/>
    <hyperlink xmlns:r="http://schemas.openxmlformats.org/officeDocument/2006/relationships" ref="N988" r:id="rId1681"/>
    <hyperlink xmlns:r="http://schemas.openxmlformats.org/officeDocument/2006/relationships" ref="L989" r:id="rId1682"/>
    <hyperlink xmlns:r="http://schemas.openxmlformats.org/officeDocument/2006/relationships" ref="N989" r:id="rId1683"/>
    <hyperlink xmlns:r="http://schemas.openxmlformats.org/officeDocument/2006/relationships" ref="L990" r:id="rId1684"/>
    <hyperlink xmlns:r="http://schemas.openxmlformats.org/officeDocument/2006/relationships" ref="N990" r:id="rId1685"/>
    <hyperlink xmlns:r="http://schemas.openxmlformats.org/officeDocument/2006/relationships" ref="L991" r:id="rId1686"/>
    <hyperlink xmlns:r="http://schemas.openxmlformats.org/officeDocument/2006/relationships" ref="N991" r:id="rId1687"/>
    <hyperlink xmlns:r="http://schemas.openxmlformats.org/officeDocument/2006/relationships" ref="L992" r:id="rId1688"/>
    <hyperlink xmlns:r="http://schemas.openxmlformats.org/officeDocument/2006/relationships" ref="N992" r:id="rId1689"/>
    <hyperlink xmlns:r="http://schemas.openxmlformats.org/officeDocument/2006/relationships" ref="L993" r:id="rId1690"/>
    <hyperlink xmlns:r="http://schemas.openxmlformats.org/officeDocument/2006/relationships" ref="N993" r:id="rId1691"/>
    <hyperlink xmlns:r="http://schemas.openxmlformats.org/officeDocument/2006/relationships" ref="L994" r:id="rId1692"/>
    <hyperlink xmlns:r="http://schemas.openxmlformats.org/officeDocument/2006/relationships" ref="N994" r:id="rId1693"/>
    <hyperlink xmlns:r="http://schemas.openxmlformats.org/officeDocument/2006/relationships" ref="L995" r:id="rId1694"/>
    <hyperlink xmlns:r="http://schemas.openxmlformats.org/officeDocument/2006/relationships" ref="N995" r:id="rId1695"/>
    <hyperlink xmlns:r="http://schemas.openxmlformats.org/officeDocument/2006/relationships" ref="L996" r:id="rId1696"/>
    <hyperlink xmlns:r="http://schemas.openxmlformats.org/officeDocument/2006/relationships" ref="N996" r:id="rId1697"/>
    <hyperlink xmlns:r="http://schemas.openxmlformats.org/officeDocument/2006/relationships" ref="L997" r:id="rId1698"/>
    <hyperlink xmlns:r="http://schemas.openxmlformats.org/officeDocument/2006/relationships" ref="N997" r:id="rId1699"/>
    <hyperlink xmlns:r="http://schemas.openxmlformats.org/officeDocument/2006/relationships" ref="L998" r:id="rId1700"/>
    <hyperlink xmlns:r="http://schemas.openxmlformats.org/officeDocument/2006/relationships" ref="N998" r:id="rId1701"/>
    <hyperlink xmlns:r="http://schemas.openxmlformats.org/officeDocument/2006/relationships" ref="L999" r:id="rId1702"/>
    <hyperlink xmlns:r="http://schemas.openxmlformats.org/officeDocument/2006/relationships" ref="N999" r:id="rId1703"/>
    <hyperlink xmlns:r="http://schemas.openxmlformats.org/officeDocument/2006/relationships" ref="L1000" r:id="rId1704"/>
    <hyperlink xmlns:r="http://schemas.openxmlformats.org/officeDocument/2006/relationships" ref="N1000" r:id="rId1705"/>
    <hyperlink xmlns:r="http://schemas.openxmlformats.org/officeDocument/2006/relationships" ref="L1001" r:id="rId1706"/>
    <hyperlink xmlns:r="http://schemas.openxmlformats.org/officeDocument/2006/relationships" ref="N1001" r:id="rId1707"/>
    <hyperlink xmlns:r="http://schemas.openxmlformats.org/officeDocument/2006/relationships" ref="L1002" r:id="rId1708"/>
    <hyperlink xmlns:r="http://schemas.openxmlformats.org/officeDocument/2006/relationships" ref="N1002" r:id="rId1709"/>
    <hyperlink xmlns:r="http://schemas.openxmlformats.org/officeDocument/2006/relationships" ref="L1003" r:id="rId1710"/>
    <hyperlink xmlns:r="http://schemas.openxmlformats.org/officeDocument/2006/relationships" ref="N1003" r:id="rId1711"/>
    <hyperlink xmlns:r="http://schemas.openxmlformats.org/officeDocument/2006/relationships" ref="L1004" r:id="rId1712"/>
    <hyperlink xmlns:r="http://schemas.openxmlformats.org/officeDocument/2006/relationships" ref="N1004" r:id="rId1713"/>
    <hyperlink xmlns:r="http://schemas.openxmlformats.org/officeDocument/2006/relationships" ref="L1005" r:id="rId1714"/>
    <hyperlink xmlns:r="http://schemas.openxmlformats.org/officeDocument/2006/relationships" ref="N1005" r:id="rId1715"/>
    <hyperlink xmlns:r="http://schemas.openxmlformats.org/officeDocument/2006/relationships" ref="L1006" r:id="rId1716"/>
    <hyperlink xmlns:r="http://schemas.openxmlformats.org/officeDocument/2006/relationships" ref="N1006" r:id="rId1717"/>
    <hyperlink xmlns:r="http://schemas.openxmlformats.org/officeDocument/2006/relationships" ref="L1007" r:id="rId1718"/>
    <hyperlink xmlns:r="http://schemas.openxmlformats.org/officeDocument/2006/relationships" ref="N1007" r:id="rId1719"/>
    <hyperlink xmlns:r="http://schemas.openxmlformats.org/officeDocument/2006/relationships" ref="L1008" r:id="rId1720"/>
    <hyperlink xmlns:r="http://schemas.openxmlformats.org/officeDocument/2006/relationships" ref="N1008" r:id="rId1721"/>
    <hyperlink xmlns:r="http://schemas.openxmlformats.org/officeDocument/2006/relationships" ref="L1009" r:id="rId1722"/>
    <hyperlink xmlns:r="http://schemas.openxmlformats.org/officeDocument/2006/relationships" ref="N1009" r:id="rId1723"/>
    <hyperlink xmlns:r="http://schemas.openxmlformats.org/officeDocument/2006/relationships" ref="L1010" r:id="rId1724"/>
    <hyperlink xmlns:r="http://schemas.openxmlformats.org/officeDocument/2006/relationships" ref="N1010" r:id="rId1725"/>
    <hyperlink xmlns:r="http://schemas.openxmlformats.org/officeDocument/2006/relationships" ref="L1011" r:id="rId1726"/>
    <hyperlink xmlns:r="http://schemas.openxmlformats.org/officeDocument/2006/relationships" ref="N1011" r:id="rId1727"/>
    <hyperlink xmlns:r="http://schemas.openxmlformats.org/officeDocument/2006/relationships" ref="L1012" r:id="rId1728"/>
    <hyperlink xmlns:r="http://schemas.openxmlformats.org/officeDocument/2006/relationships" ref="N1012" r:id="rId1729"/>
    <hyperlink xmlns:r="http://schemas.openxmlformats.org/officeDocument/2006/relationships" ref="L1013" r:id="rId1730"/>
    <hyperlink xmlns:r="http://schemas.openxmlformats.org/officeDocument/2006/relationships" ref="N1013" r:id="rId1731"/>
    <hyperlink xmlns:r="http://schemas.openxmlformats.org/officeDocument/2006/relationships" ref="L1014" r:id="rId1732"/>
    <hyperlink xmlns:r="http://schemas.openxmlformats.org/officeDocument/2006/relationships" ref="N1014" r:id="rId1733"/>
    <hyperlink xmlns:r="http://schemas.openxmlformats.org/officeDocument/2006/relationships" ref="L1015" r:id="rId1734"/>
    <hyperlink xmlns:r="http://schemas.openxmlformats.org/officeDocument/2006/relationships" ref="N1015" r:id="rId1735"/>
    <hyperlink xmlns:r="http://schemas.openxmlformats.org/officeDocument/2006/relationships" ref="L1016" r:id="rId1736"/>
    <hyperlink xmlns:r="http://schemas.openxmlformats.org/officeDocument/2006/relationships" ref="N1016" r:id="rId1737"/>
    <hyperlink xmlns:r="http://schemas.openxmlformats.org/officeDocument/2006/relationships" ref="L1017" r:id="rId1738"/>
    <hyperlink xmlns:r="http://schemas.openxmlformats.org/officeDocument/2006/relationships" ref="N1017" r:id="rId1739"/>
    <hyperlink xmlns:r="http://schemas.openxmlformats.org/officeDocument/2006/relationships" ref="L1018" r:id="rId1740"/>
    <hyperlink xmlns:r="http://schemas.openxmlformats.org/officeDocument/2006/relationships" ref="N1018" r:id="rId1741"/>
    <hyperlink xmlns:r="http://schemas.openxmlformats.org/officeDocument/2006/relationships" ref="L1019" r:id="rId1742"/>
    <hyperlink xmlns:r="http://schemas.openxmlformats.org/officeDocument/2006/relationships" ref="N1019" r:id="rId1743"/>
    <hyperlink xmlns:r="http://schemas.openxmlformats.org/officeDocument/2006/relationships" ref="L1020" r:id="rId1744"/>
    <hyperlink xmlns:r="http://schemas.openxmlformats.org/officeDocument/2006/relationships" ref="N1020" r:id="rId1745"/>
    <hyperlink xmlns:r="http://schemas.openxmlformats.org/officeDocument/2006/relationships" ref="L1021" r:id="rId1746"/>
    <hyperlink xmlns:r="http://schemas.openxmlformats.org/officeDocument/2006/relationships" ref="N1021" r:id="rId1747"/>
    <hyperlink xmlns:r="http://schemas.openxmlformats.org/officeDocument/2006/relationships" ref="L1022" r:id="rId1748"/>
    <hyperlink xmlns:r="http://schemas.openxmlformats.org/officeDocument/2006/relationships" ref="N1022" r:id="rId1749"/>
    <hyperlink xmlns:r="http://schemas.openxmlformats.org/officeDocument/2006/relationships" ref="L1023" r:id="rId1750"/>
    <hyperlink xmlns:r="http://schemas.openxmlformats.org/officeDocument/2006/relationships" ref="N1023" r:id="rId1751"/>
    <hyperlink xmlns:r="http://schemas.openxmlformats.org/officeDocument/2006/relationships" ref="L1024" r:id="rId1752"/>
    <hyperlink xmlns:r="http://schemas.openxmlformats.org/officeDocument/2006/relationships" ref="N1024" r:id="rId1753"/>
    <hyperlink xmlns:r="http://schemas.openxmlformats.org/officeDocument/2006/relationships" ref="L1025" r:id="rId1754"/>
    <hyperlink xmlns:r="http://schemas.openxmlformats.org/officeDocument/2006/relationships" ref="N1025" r:id="rId1755"/>
    <hyperlink xmlns:r="http://schemas.openxmlformats.org/officeDocument/2006/relationships" ref="L1026" r:id="rId1756"/>
    <hyperlink xmlns:r="http://schemas.openxmlformats.org/officeDocument/2006/relationships" ref="N1026" r:id="rId1757"/>
    <hyperlink xmlns:r="http://schemas.openxmlformats.org/officeDocument/2006/relationships" ref="L1027" r:id="rId1758"/>
    <hyperlink xmlns:r="http://schemas.openxmlformats.org/officeDocument/2006/relationships" ref="N1027" r:id="rId1759"/>
    <hyperlink xmlns:r="http://schemas.openxmlformats.org/officeDocument/2006/relationships" ref="L1028" r:id="rId1760"/>
    <hyperlink xmlns:r="http://schemas.openxmlformats.org/officeDocument/2006/relationships" ref="N1028" r:id="rId1761"/>
    <hyperlink xmlns:r="http://schemas.openxmlformats.org/officeDocument/2006/relationships" ref="L1029" r:id="rId1762"/>
    <hyperlink xmlns:r="http://schemas.openxmlformats.org/officeDocument/2006/relationships" ref="N1029" r:id="rId1763"/>
    <hyperlink xmlns:r="http://schemas.openxmlformats.org/officeDocument/2006/relationships" ref="L1030" r:id="rId1764"/>
    <hyperlink xmlns:r="http://schemas.openxmlformats.org/officeDocument/2006/relationships" ref="N1030" r:id="rId1765"/>
    <hyperlink xmlns:r="http://schemas.openxmlformats.org/officeDocument/2006/relationships" ref="L1031" r:id="rId1766"/>
    <hyperlink xmlns:r="http://schemas.openxmlformats.org/officeDocument/2006/relationships" ref="N1031" r:id="rId1767"/>
    <hyperlink xmlns:r="http://schemas.openxmlformats.org/officeDocument/2006/relationships" ref="L1032" r:id="rId1768"/>
    <hyperlink xmlns:r="http://schemas.openxmlformats.org/officeDocument/2006/relationships" ref="N1032" r:id="rId1769"/>
    <hyperlink xmlns:r="http://schemas.openxmlformats.org/officeDocument/2006/relationships" ref="L1033" r:id="rId1770"/>
    <hyperlink xmlns:r="http://schemas.openxmlformats.org/officeDocument/2006/relationships" ref="N1033" r:id="rId1771"/>
    <hyperlink xmlns:r="http://schemas.openxmlformats.org/officeDocument/2006/relationships" ref="L1034" r:id="rId1772"/>
    <hyperlink xmlns:r="http://schemas.openxmlformats.org/officeDocument/2006/relationships" ref="N1034" r:id="rId1773"/>
    <hyperlink xmlns:r="http://schemas.openxmlformats.org/officeDocument/2006/relationships" ref="L1035" r:id="rId1774"/>
    <hyperlink xmlns:r="http://schemas.openxmlformats.org/officeDocument/2006/relationships" ref="N1035" r:id="rId1775"/>
    <hyperlink xmlns:r="http://schemas.openxmlformats.org/officeDocument/2006/relationships" ref="L1036" r:id="rId1776"/>
    <hyperlink xmlns:r="http://schemas.openxmlformats.org/officeDocument/2006/relationships" ref="N1036" r:id="rId1777"/>
    <hyperlink xmlns:r="http://schemas.openxmlformats.org/officeDocument/2006/relationships" ref="L1037" r:id="rId1778"/>
    <hyperlink xmlns:r="http://schemas.openxmlformats.org/officeDocument/2006/relationships" ref="N1037" r:id="rId1779"/>
    <hyperlink xmlns:r="http://schemas.openxmlformats.org/officeDocument/2006/relationships" ref="L1038" r:id="rId1780"/>
    <hyperlink xmlns:r="http://schemas.openxmlformats.org/officeDocument/2006/relationships" ref="N1038" r:id="rId1781"/>
    <hyperlink xmlns:r="http://schemas.openxmlformats.org/officeDocument/2006/relationships" ref="L1039" r:id="rId1782"/>
    <hyperlink xmlns:r="http://schemas.openxmlformats.org/officeDocument/2006/relationships" ref="N1039" r:id="rId1783"/>
    <hyperlink xmlns:r="http://schemas.openxmlformats.org/officeDocument/2006/relationships" ref="L1040" r:id="rId1784"/>
    <hyperlink xmlns:r="http://schemas.openxmlformats.org/officeDocument/2006/relationships" ref="N1040" r:id="rId1785"/>
    <hyperlink xmlns:r="http://schemas.openxmlformats.org/officeDocument/2006/relationships" ref="L1041" r:id="rId1786"/>
    <hyperlink xmlns:r="http://schemas.openxmlformats.org/officeDocument/2006/relationships" ref="N1041" r:id="rId1787"/>
    <hyperlink xmlns:r="http://schemas.openxmlformats.org/officeDocument/2006/relationships" ref="L1042" r:id="rId1788"/>
    <hyperlink xmlns:r="http://schemas.openxmlformats.org/officeDocument/2006/relationships" ref="N1042" r:id="rId1789"/>
    <hyperlink xmlns:r="http://schemas.openxmlformats.org/officeDocument/2006/relationships" ref="L1043" r:id="rId1790"/>
    <hyperlink xmlns:r="http://schemas.openxmlformats.org/officeDocument/2006/relationships" ref="N1043" r:id="rId1791"/>
    <hyperlink xmlns:r="http://schemas.openxmlformats.org/officeDocument/2006/relationships" ref="L1044" r:id="rId1792"/>
    <hyperlink xmlns:r="http://schemas.openxmlformats.org/officeDocument/2006/relationships" ref="N1044" r:id="rId1793"/>
    <hyperlink xmlns:r="http://schemas.openxmlformats.org/officeDocument/2006/relationships" ref="L1045" r:id="rId1794"/>
    <hyperlink xmlns:r="http://schemas.openxmlformats.org/officeDocument/2006/relationships" ref="N1045" r:id="rId1795"/>
    <hyperlink xmlns:r="http://schemas.openxmlformats.org/officeDocument/2006/relationships" ref="L1046" r:id="rId1796"/>
    <hyperlink xmlns:r="http://schemas.openxmlformats.org/officeDocument/2006/relationships" ref="N1046" r:id="rId1797"/>
    <hyperlink xmlns:r="http://schemas.openxmlformats.org/officeDocument/2006/relationships" ref="L1047" r:id="rId1798"/>
    <hyperlink xmlns:r="http://schemas.openxmlformats.org/officeDocument/2006/relationships" ref="N1047" r:id="rId1799"/>
    <hyperlink xmlns:r="http://schemas.openxmlformats.org/officeDocument/2006/relationships" ref="L1048" r:id="rId1800"/>
    <hyperlink xmlns:r="http://schemas.openxmlformats.org/officeDocument/2006/relationships" ref="N1048" r:id="rId1801"/>
    <hyperlink xmlns:r="http://schemas.openxmlformats.org/officeDocument/2006/relationships" ref="L1049" r:id="rId1802"/>
    <hyperlink xmlns:r="http://schemas.openxmlformats.org/officeDocument/2006/relationships" ref="N1049" r:id="rId1803"/>
    <hyperlink xmlns:r="http://schemas.openxmlformats.org/officeDocument/2006/relationships" ref="L1050" r:id="rId1804"/>
    <hyperlink xmlns:r="http://schemas.openxmlformats.org/officeDocument/2006/relationships" ref="N1050" r:id="rId1805"/>
    <hyperlink xmlns:r="http://schemas.openxmlformats.org/officeDocument/2006/relationships" ref="L1051" r:id="rId1806"/>
    <hyperlink xmlns:r="http://schemas.openxmlformats.org/officeDocument/2006/relationships" ref="N1051" r:id="rId1807"/>
    <hyperlink xmlns:r="http://schemas.openxmlformats.org/officeDocument/2006/relationships" ref="L1052" r:id="rId1808"/>
    <hyperlink xmlns:r="http://schemas.openxmlformats.org/officeDocument/2006/relationships" ref="N1052" r:id="rId1809"/>
    <hyperlink xmlns:r="http://schemas.openxmlformats.org/officeDocument/2006/relationships" ref="L1053" r:id="rId1810"/>
    <hyperlink xmlns:r="http://schemas.openxmlformats.org/officeDocument/2006/relationships" ref="N1053" r:id="rId1811"/>
    <hyperlink xmlns:r="http://schemas.openxmlformats.org/officeDocument/2006/relationships" ref="L1054" r:id="rId1812"/>
    <hyperlink xmlns:r="http://schemas.openxmlformats.org/officeDocument/2006/relationships" ref="N1054" r:id="rId1813"/>
    <hyperlink xmlns:r="http://schemas.openxmlformats.org/officeDocument/2006/relationships" ref="L1055" r:id="rId1814"/>
    <hyperlink xmlns:r="http://schemas.openxmlformats.org/officeDocument/2006/relationships" ref="N1055" r:id="rId1815"/>
    <hyperlink xmlns:r="http://schemas.openxmlformats.org/officeDocument/2006/relationships" ref="L1056" r:id="rId1816"/>
    <hyperlink xmlns:r="http://schemas.openxmlformats.org/officeDocument/2006/relationships" ref="N1056" r:id="rId1817"/>
    <hyperlink xmlns:r="http://schemas.openxmlformats.org/officeDocument/2006/relationships" ref="L1057" r:id="rId1818"/>
    <hyperlink xmlns:r="http://schemas.openxmlformats.org/officeDocument/2006/relationships" ref="N1057" r:id="rId1819"/>
    <hyperlink xmlns:r="http://schemas.openxmlformats.org/officeDocument/2006/relationships" ref="L1058" r:id="rId1820"/>
    <hyperlink xmlns:r="http://schemas.openxmlformats.org/officeDocument/2006/relationships" ref="N1058" r:id="rId1821"/>
    <hyperlink xmlns:r="http://schemas.openxmlformats.org/officeDocument/2006/relationships" ref="L1059" r:id="rId1822"/>
    <hyperlink xmlns:r="http://schemas.openxmlformats.org/officeDocument/2006/relationships" ref="N1059" r:id="rId1823"/>
    <hyperlink xmlns:r="http://schemas.openxmlformats.org/officeDocument/2006/relationships" ref="L1060" r:id="rId1824"/>
    <hyperlink xmlns:r="http://schemas.openxmlformats.org/officeDocument/2006/relationships" ref="N1060" r:id="rId1825"/>
    <hyperlink xmlns:r="http://schemas.openxmlformats.org/officeDocument/2006/relationships" ref="L1061" r:id="rId1826"/>
    <hyperlink xmlns:r="http://schemas.openxmlformats.org/officeDocument/2006/relationships" ref="N1061" r:id="rId1827"/>
    <hyperlink xmlns:r="http://schemas.openxmlformats.org/officeDocument/2006/relationships" ref="L1062" r:id="rId1828"/>
    <hyperlink xmlns:r="http://schemas.openxmlformats.org/officeDocument/2006/relationships" ref="N1062" r:id="rId1829"/>
    <hyperlink xmlns:r="http://schemas.openxmlformats.org/officeDocument/2006/relationships" ref="L1063" r:id="rId1830"/>
    <hyperlink xmlns:r="http://schemas.openxmlformats.org/officeDocument/2006/relationships" ref="N1063" r:id="rId1831"/>
    <hyperlink xmlns:r="http://schemas.openxmlformats.org/officeDocument/2006/relationships" ref="L1064" r:id="rId1832"/>
    <hyperlink xmlns:r="http://schemas.openxmlformats.org/officeDocument/2006/relationships" ref="N1064" r:id="rId1833"/>
    <hyperlink xmlns:r="http://schemas.openxmlformats.org/officeDocument/2006/relationships" ref="L1065" r:id="rId1834"/>
    <hyperlink xmlns:r="http://schemas.openxmlformats.org/officeDocument/2006/relationships" ref="N1065" r:id="rId1835"/>
    <hyperlink xmlns:r="http://schemas.openxmlformats.org/officeDocument/2006/relationships" ref="L1066" r:id="rId1836"/>
    <hyperlink xmlns:r="http://schemas.openxmlformats.org/officeDocument/2006/relationships" ref="N1066" r:id="rId1837"/>
    <hyperlink xmlns:r="http://schemas.openxmlformats.org/officeDocument/2006/relationships" ref="L1067" r:id="rId1838"/>
    <hyperlink xmlns:r="http://schemas.openxmlformats.org/officeDocument/2006/relationships" ref="N1067" r:id="rId1839"/>
    <hyperlink xmlns:r="http://schemas.openxmlformats.org/officeDocument/2006/relationships" ref="L1068" r:id="rId1840"/>
    <hyperlink xmlns:r="http://schemas.openxmlformats.org/officeDocument/2006/relationships" ref="N1068" r:id="rId1841"/>
    <hyperlink xmlns:r="http://schemas.openxmlformats.org/officeDocument/2006/relationships" ref="L1069" r:id="rId1842"/>
    <hyperlink xmlns:r="http://schemas.openxmlformats.org/officeDocument/2006/relationships" ref="N1069" r:id="rId1843"/>
    <hyperlink xmlns:r="http://schemas.openxmlformats.org/officeDocument/2006/relationships" ref="L1070" r:id="rId1844"/>
    <hyperlink xmlns:r="http://schemas.openxmlformats.org/officeDocument/2006/relationships" ref="N1070" r:id="rId1845"/>
    <hyperlink xmlns:r="http://schemas.openxmlformats.org/officeDocument/2006/relationships" ref="L1071" r:id="rId1846"/>
    <hyperlink xmlns:r="http://schemas.openxmlformats.org/officeDocument/2006/relationships" ref="N1071" r:id="rId1847"/>
    <hyperlink xmlns:r="http://schemas.openxmlformats.org/officeDocument/2006/relationships" ref="L1072" r:id="rId1848"/>
    <hyperlink xmlns:r="http://schemas.openxmlformats.org/officeDocument/2006/relationships" ref="N1072" r:id="rId1849"/>
    <hyperlink xmlns:r="http://schemas.openxmlformats.org/officeDocument/2006/relationships" ref="L1073" r:id="rId1850"/>
    <hyperlink xmlns:r="http://schemas.openxmlformats.org/officeDocument/2006/relationships" ref="N1073" r:id="rId1851"/>
    <hyperlink xmlns:r="http://schemas.openxmlformats.org/officeDocument/2006/relationships" ref="L1074" r:id="rId1852"/>
    <hyperlink xmlns:r="http://schemas.openxmlformats.org/officeDocument/2006/relationships" ref="N1074" r:id="rId1853"/>
    <hyperlink xmlns:r="http://schemas.openxmlformats.org/officeDocument/2006/relationships" ref="L1075" r:id="rId1854"/>
    <hyperlink xmlns:r="http://schemas.openxmlformats.org/officeDocument/2006/relationships" ref="N1075" r:id="rId1855"/>
    <hyperlink xmlns:r="http://schemas.openxmlformats.org/officeDocument/2006/relationships" ref="L1076" r:id="rId1856"/>
    <hyperlink xmlns:r="http://schemas.openxmlformats.org/officeDocument/2006/relationships" ref="N1076" r:id="rId1857"/>
    <hyperlink xmlns:r="http://schemas.openxmlformats.org/officeDocument/2006/relationships" ref="L1077" r:id="rId1858"/>
    <hyperlink xmlns:r="http://schemas.openxmlformats.org/officeDocument/2006/relationships" ref="N1077" r:id="rId1859"/>
    <hyperlink xmlns:r="http://schemas.openxmlformats.org/officeDocument/2006/relationships" ref="L1078" r:id="rId1860"/>
    <hyperlink xmlns:r="http://schemas.openxmlformats.org/officeDocument/2006/relationships" ref="N1078" r:id="rId1861"/>
    <hyperlink xmlns:r="http://schemas.openxmlformats.org/officeDocument/2006/relationships" ref="L1079" r:id="rId1862"/>
    <hyperlink xmlns:r="http://schemas.openxmlformats.org/officeDocument/2006/relationships" ref="N1079" r:id="rId1863"/>
    <hyperlink xmlns:r="http://schemas.openxmlformats.org/officeDocument/2006/relationships" ref="L1080" r:id="rId1864"/>
    <hyperlink xmlns:r="http://schemas.openxmlformats.org/officeDocument/2006/relationships" ref="N1080" r:id="rId1865"/>
    <hyperlink xmlns:r="http://schemas.openxmlformats.org/officeDocument/2006/relationships" ref="L1081" r:id="rId1866"/>
    <hyperlink xmlns:r="http://schemas.openxmlformats.org/officeDocument/2006/relationships" ref="N1081" r:id="rId1867"/>
    <hyperlink xmlns:r="http://schemas.openxmlformats.org/officeDocument/2006/relationships" ref="L1082" r:id="rId1868"/>
    <hyperlink xmlns:r="http://schemas.openxmlformats.org/officeDocument/2006/relationships" ref="N1082" r:id="rId1869"/>
    <hyperlink xmlns:r="http://schemas.openxmlformats.org/officeDocument/2006/relationships" ref="L1083" r:id="rId1870"/>
    <hyperlink xmlns:r="http://schemas.openxmlformats.org/officeDocument/2006/relationships" ref="N1083" r:id="rId1871"/>
    <hyperlink xmlns:r="http://schemas.openxmlformats.org/officeDocument/2006/relationships" ref="L1084" r:id="rId1872"/>
    <hyperlink xmlns:r="http://schemas.openxmlformats.org/officeDocument/2006/relationships" ref="N1084" r:id="rId1873"/>
    <hyperlink xmlns:r="http://schemas.openxmlformats.org/officeDocument/2006/relationships" ref="L1085" r:id="rId1874"/>
    <hyperlink xmlns:r="http://schemas.openxmlformats.org/officeDocument/2006/relationships" ref="N1085" r:id="rId1875"/>
    <hyperlink xmlns:r="http://schemas.openxmlformats.org/officeDocument/2006/relationships" ref="L1086" r:id="rId1876"/>
    <hyperlink xmlns:r="http://schemas.openxmlformats.org/officeDocument/2006/relationships" ref="N1086" r:id="rId1877"/>
    <hyperlink xmlns:r="http://schemas.openxmlformats.org/officeDocument/2006/relationships" ref="L1087" r:id="rId1878"/>
    <hyperlink xmlns:r="http://schemas.openxmlformats.org/officeDocument/2006/relationships" ref="N1087" r:id="rId1879"/>
    <hyperlink xmlns:r="http://schemas.openxmlformats.org/officeDocument/2006/relationships" ref="L1088" r:id="rId1880"/>
    <hyperlink xmlns:r="http://schemas.openxmlformats.org/officeDocument/2006/relationships" ref="N1088" r:id="rId1881"/>
    <hyperlink xmlns:r="http://schemas.openxmlformats.org/officeDocument/2006/relationships" ref="L1089" r:id="rId1882"/>
    <hyperlink xmlns:r="http://schemas.openxmlformats.org/officeDocument/2006/relationships" ref="N1089" r:id="rId1883"/>
    <hyperlink xmlns:r="http://schemas.openxmlformats.org/officeDocument/2006/relationships" ref="L1090" r:id="rId1884"/>
    <hyperlink xmlns:r="http://schemas.openxmlformats.org/officeDocument/2006/relationships" ref="N1090" r:id="rId1885"/>
    <hyperlink xmlns:r="http://schemas.openxmlformats.org/officeDocument/2006/relationships" ref="L1091" r:id="rId1886"/>
    <hyperlink xmlns:r="http://schemas.openxmlformats.org/officeDocument/2006/relationships" ref="N1091" r:id="rId1887"/>
    <hyperlink xmlns:r="http://schemas.openxmlformats.org/officeDocument/2006/relationships" ref="L1092" r:id="rId1888"/>
    <hyperlink xmlns:r="http://schemas.openxmlformats.org/officeDocument/2006/relationships" ref="N1092" r:id="rId1889"/>
    <hyperlink xmlns:r="http://schemas.openxmlformats.org/officeDocument/2006/relationships" ref="L1093" r:id="rId1890"/>
    <hyperlink xmlns:r="http://schemas.openxmlformats.org/officeDocument/2006/relationships" ref="N1093" r:id="rId1891"/>
    <hyperlink xmlns:r="http://schemas.openxmlformats.org/officeDocument/2006/relationships" ref="L1094" r:id="rId1892"/>
    <hyperlink xmlns:r="http://schemas.openxmlformats.org/officeDocument/2006/relationships" ref="N1094" r:id="rId1893"/>
    <hyperlink xmlns:r="http://schemas.openxmlformats.org/officeDocument/2006/relationships" ref="L1095" r:id="rId1894"/>
    <hyperlink xmlns:r="http://schemas.openxmlformats.org/officeDocument/2006/relationships" ref="N1095" r:id="rId1895"/>
    <hyperlink xmlns:r="http://schemas.openxmlformats.org/officeDocument/2006/relationships" ref="L1096" r:id="rId1896"/>
    <hyperlink xmlns:r="http://schemas.openxmlformats.org/officeDocument/2006/relationships" ref="N1096" r:id="rId1897"/>
    <hyperlink xmlns:r="http://schemas.openxmlformats.org/officeDocument/2006/relationships" ref="L1097" r:id="rId1898"/>
    <hyperlink xmlns:r="http://schemas.openxmlformats.org/officeDocument/2006/relationships" ref="N1097" r:id="rId1899"/>
    <hyperlink xmlns:r="http://schemas.openxmlformats.org/officeDocument/2006/relationships" ref="L1098" r:id="rId1900"/>
    <hyperlink xmlns:r="http://schemas.openxmlformats.org/officeDocument/2006/relationships" ref="N1098" r:id="rId1901"/>
    <hyperlink xmlns:r="http://schemas.openxmlformats.org/officeDocument/2006/relationships" ref="L1099" r:id="rId1902"/>
    <hyperlink xmlns:r="http://schemas.openxmlformats.org/officeDocument/2006/relationships" ref="N1099" r:id="rId1903"/>
    <hyperlink xmlns:r="http://schemas.openxmlformats.org/officeDocument/2006/relationships" ref="L1100" r:id="rId1904"/>
    <hyperlink xmlns:r="http://schemas.openxmlformats.org/officeDocument/2006/relationships" ref="N1100" r:id="rId1905"/>
    <hyperlink xmlns:r="http://schemas.openxmlformats.org/officeDocument/2006/relationships" ref="L1101" r:id="rId1906"/>
    <hyperlink xmlns:r="http://schemas.openxmlformats.org/officeDocument/2006/relationships" ref="N1101" r:id="rId1907"/>
    <hyperlink xmlns:r="http://schemas.openxmlformats.org/officeDocument/2006/relationships" ref="L1102" r:id="rId1908"/>
    <hyperlink xmlns:r="http://schemas.openxmlformats.org/officeDocument/2006/relationships" ref="N1102" r:id="rId1909"/>
    <hyperlink xmlns:r="http://schemas.openxmlformats.org/officeDocument/2006/relationships" ref="L1103" r:id="rId1910"/>
    <hyperlink xmlns:r="http://schemas.openxmlformats.org/officeDocument/2006/relationships" ref="N1103" r:id="rId1911"/>
    <hyperlink xmlns:r="http://schemas.openxmlformats.org/officeDocument/2006/relationships" ref="L1104" r:id="rId1912"/>
    <hyperlink xmlns:r="http://schemas.openxmlformats.org/officeDocument/2006/relationships" ref="N1104" r:id="rId1913"/>
    <hyperlink xmlns:r="http://schemas.openxmlformats.org/officeDocument/2006/relationships" ref="L1105" r:id="rId1914"/>
    <hyperlink xmlns:r="http://schemas.openxmlformats.org/officeDocument/2006/relationships" ref="N1105" r:id="rId1915"/>
    <hyperlink xmlns:r="http://schemas.openxmlformats.org/officeDocument/2006/relationships" ref="L1106" r:id="rId1916"/>
    <hyperlink xmlns:r="http://schemas.openxmlformats.org/officeDocument/2006/relationships" ref="N1106" r:id="rId1917"/>
    <hyperlink xmlns:r="http://schemas.openxmlformats.org/officeDocument/2006/relationships" ref="L1107" r:id="rId1918"/>
    <hyperlink xmlns:r="http://schemas.openxmlformats.org/officeDocument/2006/relationships" ref="N1107" r:id="rId1919"/>
    <hyperlink xmlns:r="http://schemas.openxmlformats.org/officeDocument/2006/relationships" ref="L1108" r:id="rId1920"/>
    <hyperlink xmlns:r="http://schemas.openxmlformats.org/officeDocument/2006/relationships" ref="N1108" r:id="rId1921"/>
    <hyperlink xmlns:r="http://schemas.openxmlformats.org/officeDocument/2006/relationships" ref="L1109" r:id="rId1922"/>
    <hyperlink xmlns:r="http://schemas.openxmlformats.org/officeDocument/2006/relationships" ref="N1109" r:id="rId1923"/>
    <hyperlink xmlns:r="http://schemas.openxmlformats.org/officeDocument/2006/relationships" ref="L1110" r:id="rId1924"/>
    <hyperlink xmlns:r="http://schemas.openxmlformats.org/officeDocument/2006/relationships" ref="N1110" r:id="rId1925"/>
    <hyperlink xmlns:r="http://schemas.openxmlformats.org/officeDocument/2006/relationships" ref="L1111" r:id="rId1926"/>
    <hyperlink xmlns:r="http://schemas.openxmlformats.org/officeDocument/2006/relationships" ref="N1111" r:id="rId1927"/>
    <hyperlink xmlns:r="http://schemas.openxmlformats.org/officeDocument/2006/relationships" ref="L1112" r:id="rId1928"/>
    <hyperlink xmlns:r="http://schemas.openxmlformats.org/officeDocument/2006/relationships" ref="N1112" r:id="rId1929"/>
    <hyperlink xmlns:r="http://schemas.openxmlformats.org/officeDocument/2006/relationships" ref="L1113" r:id="rId1930"/>
    <hyperlink xmlns:r="http://schemas.openxmlformats.org/officeDocument/2006/relationships" ref="N1113" r:id="rId1931"/>
    <hyperlink xmlns:r="http://schemas.openxmlformats.org/officeDocument/2006/relationships" ref="L1114" r:id="rId1932"/>
    <hyperlink xmlns:r="http://schemas.openxmlformats.org/officeDocument/2006/relationships" ref="N1114" r:id="rId1933"/>
    <hyperlink xmlns:r="http://schemas.openxmlformats.org/officeDocument/2006/relationships" ref="L1115" r:id="rId1934"/>
    <hyperlink xmlns:r="http://schemas.openxmlformats.org/officeDocument/2006/relationships" ref="N1115" r:id="rId1935"/>
    <hyperlink xmlns:r="http://schemas.openxmlformats.org/officeDocument/2006/relationships" ref="L1116" r:id="rId1936"/>
    <hyperlink xmlns:r="http://schemas.openxmlformats.org/officeDocument/2006/relationships" ref="N1116" r:id="rId1937"/>
    <hyperlink xmlns:r="http://schemas.openxmlformats.org/officeDocument/2006/relationships" ref="L1117" r:id="rId1938"/>
    <hyperlink xmlns:r="http://schemas.openxmlformats.org/officeDocument/2006/relationships" ref="N1117" r:id="rId1939"/>
    <hyperlink xmlns:r="http://schemas.openxmlformats.org/officeDocument/2006/relationships" ref="L1118" r:id="rId1940"/>
    <hyperlink xmlns:r="http://schemas.openxmlformats.org/officeDocument/2006/relationships" ref="N1118" r:id="rId1941"/>
    <hyperlink xmlns:r="http://schemas.openxmlformats.org/officeDocument/2006/relationships" ref="L1119" r:id="rId1942"/>
    <hyperlink xmlns:r="http://schemas.openxmlformats.org/officeDocument/2006/relationships" ref="N1119" r:id="rId1943"/>
    <hyperlink xmlns:r="http://schemas.openxmlformats.org/officeDocument/2006/relationships" ref="L1120" r:id="rId1944"/>
    <hyperlink xmlns:r="http://schemas.openxmlformats.org/officeDocument/2006/relationships" ref="N1120" r:id="rId1945"/>
    <hyperlink xmlns:r="http://schemas.openxmlformats.org/officeDocument/2006/relationships" ref="L1121" r:id="rId1946"/>
    <hyperlink xmlns:r="http://schemas.openxmlformats.org/officeDocument/2006/relationships" ref="N1121" r:id="rId1947"/>
    <hyperlink xmlns:r="http://schemas.openxmlformats.org/officeDocument/2006/relationships" ref="L1122" r:id="rId1948"/>
    <hyperlink xmlns:r="http://schemas.openxmlformats.org/officeDocument/2006/relationships" ref="N1122" r:id="rId1949"/>
    <hyperlink xmlns:r="http://schemas.openxmlformats.org/officeDocument/2006/relationships" ref="L1123" r:id="rId1950"/>
    <hyperlink xmlns:r="http://schemas.openxmlformats.org/officeDocument/2006/relationships" ref="N1123" r:id="rId1951"/>
    <hyperlink xmlns:r="http://schemas.openxmlformats.org/officeDocument/2006/relationships" ref="L1124" r:id="rId1952"/>
    <hyperlink xmlns:r="http://schemas.openxmlformats.org/officeDocument/2006/relationships" ref="N1124" r:id="rId1953"/>
    <hyperlink xmlns:r="http://schemas.openxmlformats.org/officeDocument/2006/relationships" ref="L1125" r:id="rId1954"/>
    <hyperlink xmlns:r="http://schemas.openxmlformats.org/officeDocument/2006/relationships" ref="N1125" r:id="rId1955"/>
    <hyperlink xmlns:r="http://schemas.openxmlformats.org/officeDocument/2006/relationships" ref="L1126" r:id="rId1956"/>
    <hyperlink xmlns:r="http://schemas.openxmlformats.org/officeDocument/2006/relationships" ref="N1126" r:id="rId1957"/>
    <hyperlink xmlns:r="http://schemas.openxmlformats.org/officeDocument/2006/relationships" ref="L1127" r:id="rId1958"/>
    <hyperlink xmlns:r="http://schemas.openxmlformats.org/officeDocument/2006/relationships" ref="N1127" r:id="rId1959"/>
    <hyperlink xmlns:r="http://schemas.openxmlformats.org/officeDocument/2006/relationships" ref="L1128" r:id="rId1960"/>
    <hyperlink xmlns:r="http://schemas.openxmlformats.org/officeDocument/2006/relationships" ref="N1128" r:id="rId1961"/>
    <hyperlink xmlns:r="http://schemas.openxmlformats.org/officeDocument/2006/relationships" ref="L1129" r:id="rId1962"/>
    <hyperlink xmlns:r="http://schemas.openxmlformats.org/officeDocument/2006/relationships" ref="N1129" r:id="rId1963"/>
    <hyperlink xmlns:r="http://schemas.openxmlformats.org/officeDocument/2006/relationships" ref="L1130" r:id="rId1964"/>
    <hyperlink xmlns:r="http://schemas.openxmlformats.org/officeDocument/2006/relationships" ref="N1130" r:id="rId1965"/>
    <hyperlink xmlns:r="http://schemas.openxmlformats.org/officeDocument/2006/relationships" ref="L1131" r:id="rId1966"/>
    <hyperlink xmlns:r="http://schemas.openxmlformats.org/officeDocument/2006/relationships" ref="N1131" r:id="rId1967"/>
    <hyperlink xmlns:r="http://schemas.openxmlformats.org/officeDocument/2006/relationships" ref="L1132" r:id="rId1968"/>
    <hyperlink xmlns:r="http://schemas.openxmlformats.org/officeDocument/2006/relationships" ref="N1132" r:id="rId1969"/>
    <hyperlink xmlns:r="http://schemas.openxmlformats.org/officeDocument/2006/relationships" ref="L1133" r:id="rId1970"/>
    <hyperlink xmlns:r="http://schemas.openxmlformats.org/officeDocument/2006/relationships" ref="N1133" r:id="rId1971"/>
    <hyperlink xmlns:r="http://schemas.openxmlformats.org/officeDocument/2006/relationships" ref="L1134" r:id="rId1972"/>
    <hyperlink xmlns:r="http://schemas.openxmlformats.org/officeDocument/2006/relationships" ref="N1134" r:id="rId1973"/>
    <hyperlink xmlns:r="http://schemas.openxmlformats.org/officeDocument/2006/relationships" ref="L1135" r:id="rId1974"/>
    <hyperlink xmlns:r="http://schemas.openxmlformats.org/officeDocument/2006/relationships" ref="N1135" r:id="rId1975"/>
    <hyperlink xmlns:r="http://schemas.openxmlformats.org/officeDocument/2006/relationships" ref="L1136" r:id="rId1976"/>
    <hyperlink xmlns:r="http://schemas.openxmlformats.org/officeDocument/2006/relationships" ref="N1136" r:id="rId1977"/>
    <hyperlink xmlns:r="http://schemas.openxmlformats.org/officeDocument/2006/relationships" ref="L1137" r:id="rId1978"/>
    <hyperlink xmlns:r="http://schemas.openxmlformats.org/officeDocument/2006/relationships" ref="N1137" r:id="rId1979"/>
    <hyperlink xmlns:r="http://schemas.openxmlformats.org/officeDocument/2006/relationships" ref="L1138" r:id="rId1980"/>
    <hyperlink xmlns:r="http://schemas.openxmlformats.org/officeDocument/2006/relationships" ref="N1138" r:id="rId1981"/>
    <hyperlink xmlns:r="http://schemas.openxmlformats.org/officeDocument/2006/relationships" ref="L1139" r:id="rId1982"/>
    <hyperlink xmlns:r="http://schemas.openxmlformats.org/officeDocument/2006/relationships" ref="N1139" r:id="rId1983"/>
    <hyperlink xmlns:r="http://schemas.openxmlformats.org/officeDocument/2006/relationships" ref="L1140" r:id="rId1984"/>
    <hyperlink xmlns:r="http://schemas.openxmlformats.org/officeDocument/2006/relationships" ref="N1140" r:id="rId1985"/>
    <hyperlink xmlns:r="http://schemas.openxmlformats.org/officeDocument/2006/relationships" ref="L1141" r:id="rId1986"/>
    <hyperlink xmlns:r="http://schemas.openxmlformats.org/officeDocument/2006/relationships" ref="N1141" r:id="rId1987"/>
    <hyperlink xmlns:r="http://schemas.openxmlformats.org/officeDocument/2006/relationships" ref="L1142" r:id="rId1988"/>
    <hyperlink xmlns:r="http://schemas.openxmlformats.org/officeDocument/2006/relationships" ref="N1142" r:id="rId1989"/>
    <hyperlink xmlns:r="http://schemas.openxmlformats.org/officeDocument/2006/relationships" ref="L1143" r:id="rId1990"/>
    <hyperlink xmlns:r="http://schemas.openxmlformats.org/officeDocument/2006/relationships" ref="N1143" r:id="rId1991"/>
    <hyperlink xmlns:r="http://schemas.openxmlformats.org/officeDocument/2006/relationships" ref="L1144" r:id="rId1992"/>
    <hyperlink xmlns:r="http://schemas.openxmlformats.org/officeDocument/2006/relationships" ref="N1144" r:id="rId1993"/>
    <hyperlink xmlns:r="http://schemas.openxmlformats.org/officeDocument/2006/relationships" ref="L1145" r:id="rId1994"/>
    <hyperlink xmlns:r="http://schemas.openxmlformats.org/officeDocument/2006/relationships" ref="N1145" r:id="rId1995"/>
    <hyperlink xmlns:r="http://schemas.openxmlformats.org/officeDocument/2006/relationships" ref="L1146" r:id="rId1996"/>
    <hyperlink xmlns:r="http://schemas.openxmlformats.org/officeDocument/2006/relationships" ref="N1146" r:id="rId1997"/>
    <hyperlink xmlns:r="http://schemas.openxmlformats.org/officeDocument/2006/relationships" ref="L1147" r:id="rId1998"/>
    <hyperlink xmlns:r="http://schemas.openxmlformats.org/officeDocument/2006/relationships" ref="N1147" r:id="rId1999"/>
    <hyperlink xmlns:r="http://schemas.openxmlformats.org/officeDocument/2006/relationships" ref="L1148" r:id="rId2000"/>
    <hyperlink xmlns:r="http://schemas.openxmlformats.org/officeDocument/2006/relationships" ref="N1148" r:id="rId2001"/>
    <hyperlink xmlns:r="http://schemas.openxmlformats.org/officeDocument/2006/relationships" ref="L1149" r:id="rId2002"/>
    <hyperlink xmlns:r="http://schemas.openxmlformats.org/officeDocument/2006/relationships" ref="N1149" r:id="rId2003"/>
    <hyperlink xmlns:r="http://schemas.openxmlformats.org/officeDocument/2006/relationships" ref="L1150" r:id="rId2004"/>
    <hyperlink xmlns:r="http://schemas.openxmlformats.org/officeDocument/2006/relationships" ref="N1150" r:id="rId2005"/>
    <hyperlink xmlns:r="http://schemas.openxmlformats.org/officeDocument/2006/relationships" ref="L1151" r:id="rId2006"/>
    <hyperlink xmlns:r="http://schemas.openxmlformats.org/officeDocument/2006/relationships" ref="N1151" r:id="rId2007"/>
    <hyperlink xmlns:r="http://schemas.openxmlformats.org/officeDocument/2006/relationships" ref="L1152" r:id="rId2008"/>
    <hyperlink xmlns:r="http://schemas.openxmlformats.org/officeDocument/2006/relationships" ref="N1152" r:id="rId2009"/>
    <hyperlink xmlns:r="http://schemas.openxmlformats.org/officeDocument/2006/relationships" ref="L1153" r:id="rId2010"/>
    <hyperlink xmlns:r="http://schemas.openxmlformats.org/officeDocument/2006/relationships" ref="N1153" r:id="rId2011"/>
    <hyperlink xmlns:r="http://schemas.openxmlformats.org/officeDocument/2006/relationships" ref="L1154" r:id="rId2012"/>
    <hyperlink xmlns:r="http://schemas.openxmlformats.org/officeDocument/2006/relationships" ref="N1154" r:id="rId2013"/>
    <hyperlink xmlns:r="http://schemas.openxmlformats.org/officeDocument/2006/relationships" ref="L1155" r:id="rId2014"/>
    <hyperlink xmlns:r="http://schemas.openxmlformats.org/officeDocument/2006/relationships" ref="N1155" r:id="rId2015"/>
    <hyperlink xmlns:r="http://schemas.openxmlformats.org/officeDocument/2006/relationships" ref="L1156" r:id="rId2016"/>
    <hyperlink xmlns:r="http://schemas.openxmlformats.org/officeDocument/2006/relationships" ref="N1156" r:id="rId2017"/>
    <hyperlink xmlns:r="http://schemas.openxmlformats.org/officeDocument/2006/relationships" ref="L1157" r:id="rId2018"/>
    <hyperlink xmlns:r="http://schemas.openxmlformats.org/officeDocument/2006/relationships" ref="N1157" r:id="rId2019"/>
    <hyperlink xmlns:r="http://schemas.openxmlformats.org/officeDocument/2006/relationships" ref="L1158" r:id="rId2020"/>
    <hyperlink xmlns:r="http://schemas.openxmlformats.org/officeDocument/2006/relationships" ref="N1158" r:id="rId2021"/>
    <hyperlink xmlns:r="http://schemas.openxmlformats.org/officeDocument/2006/relationships" ref="L1159" r:id="rId2022"/>
    <hyperlink xmlns:r="http://schemas.openxmlformats.org/officeDocument/2006/relationships" ref="N1159" r:id="rId2023"/>
    <hyperlink xmlns:r="http://schemas.openxmlformats.org/officeDocument/2006/relationships" ref="L1160" r:id="rId2024"/>
    <hyperlink xmlns:r="http://schemas.openxmlformats.org/officeDocument/2006/relationships" ref="N1160" r:id="rId2025"/>
    <hyperlink xmlns:r="http://schemas.openxmlformats.org/officeDocument/2006/relationships" ref="L1161" r:id="rId2026"/>
    <hyperlink xmlns:r="http://schemas.openxmlformats.org/officeDocument/2006/relationships" ref="N1161" r:id="rId2027"/>
    <hyperlink xmlns:r="http://schemas.openxmlformats.org/officeDocument/2006/relationships" ref="L1162" r:id="rId2028"/>
    <hyperlink xmlns:r="http://schemas.openxmlformats.org/officeDocument/2006/relationships" ref="N1162" r:id="rId2029"/>
    <hyperlink xmlns:r="http://schemas.openxmlformats.org/officeDocument/2006/relationships" ref="L1163" r:id="rId2030"/>
    <hyperlink xmlns:r="http://schemas.openxmlformats.org/officeDocument/2006/relationships" ref="N1163" r:id="rId2031"/>
    <hyperlink xmlns:r="http://schemas.openxmlformats.org/officeDocument/2006/relationships" ref="L1164" r:id="rId2032"/>
    <hyperlink xmlns:r="http://schemas.openxmlformats.org/officeDocument/2006/relationships" ref="N1164" r:id="rId2033"/>
    <hyperlink xmlns:r="http://schemas.openxmlformats.org/officeDocument/2006/relationships" ref="L1165" r:id="rId2034"/>
    <hyperlink xmlns:r="http://schemas.openxmlformats.org/officeDocument/2006/relationships" ref="N1165" r:id="rId2035"/>
    <hyperlink xmlns:r="http://schemas.openxmlformats.org/officeDocument/2006/relationships" ref="L1166" r:id="rId2036"/>
    <hyperlink xmlns:r="http://schemas.openxmlformats.org/officeDocument/2006/relationships" ref="N1166" r:id="rId2037"/>
    <hyperlink xmlns:r="http://schemas.openxmlformats.org/officeDocument/2006/relationships" ref="L1167" r:id="rId2038"/>
    <hyperlink xmlns:r="http://schemas.openxmlformats.org/officeDocument/2006/relationships" ref="N1167" r:id="rId2039"/>
    <hyperlink xmlns:r="http://schemas.openxmlformats.org/officeDocument/2006/relationships" ref="L1168" r:id="rId2040"/>
    <hyperlink xmlns:r="http://schemas.openxmlformats.org/officeDocument/2006/relationships" ref="N1168" r:id="rId2041"/>
    <hyperlink xmlns:r="http://schemas.openxmlformats.org/officeDocument/2006/relationships" ref="L1169" r:id="rId2042"/>
    <hyperlink xmlns:r="http://schemas.openxmlformats.org/officeDocument/2006/relationships" ref="N1169" r:id="rId2043"/>
    <hyperlink xmlns:r="http://schemas.openxmlformats.org/officeDocument/2006/relationships" ref="L1170" r:id="rId2044"/>
    <hyperlink xmlns:r="http://schemas.openxmlformats.org/officeDocument/2006/relationships" ref="N1170" r:id="rId2045"/>
    <hyperlink xmlns:r="http://schemas.openxmlformats.org/officeDocument/2006/relationships" ref="L1171" r:id="rId2046"/>
    <hyperlink xmlns:r="http://schemas.openxmlformats.org/officeDocument/2006/relationships" ref="N1171" r:id="rId2047"/>
    <hyperlink xmlns:r="http://schemas.openxmlformats.org/officeDocument/2006/relationships" ref="L1172" r:id="rId2048"/>
    <hyperlink xmlns:r="http://schemas.openxmlformats.org/officeDocument/2006/relationships" ref="N1172" r:id="rId2049"/>
    <hyperlink xmlns:r="http://schemas.openxmlformats.org/officeDocument/2006/relationships" ref="L1173" r:id="rId2050"/>
    <hyperlink xmlns:r="http://schemas.openxmlformats.org/officeDocument/2006/relationships" ref="N1173" r:id="rId2051"/>
    <hyperlink xmlns:r="http://schemas.openxmlformats.org/officeDocument/2006/relationships" ref="L1174" r:id="rId2052"/>
    <hyperlink xmlns:r="http://schemas.openxmlformats.org/officeDocument/2006/relationships" ref="N1174" r:id="rId2053"/>
    <hyperlink xmlns:r="http://schemas.openxmlformats.org/officeDocument/2006/relationships" ref="L1175" r:id="rId2054"/>
    <hyperlink xmlns:r="http://schemas.openxmlformats.org/officeDocument/2006/relationships" ref="N1175" r:id="rId2055"/>
    <hyperlink xmlns:r="http://schemas.openxmlformats.org/officeDocument/2006/relationships" ref="L1176" r:id="rId2056"/>
    <hyperlink xmlns:r="http://schemas.openxmlformats.org/officeDocument/2006/relationships" ref="N1176" r:id="rId2057"/>
    <hyperlink xmlns:r="http://schemas.openxmlformats.org/officeDocument/2006/relationships" ref="L1177" r:id="rId2058"/>
    <hyperlink xmlns:r="http://schemas.openxmlformats.org/officeDocument/2006/relationships" ref="N1177" r:id="rId2059"/>
    <hyperlink xmlns:r="http://schemas.openxmlformats.org/officeDocument/2006/relationships" ref="L1178" r:id="rId2060"/>
    <hyperlink xmlns:r="http://schemas.openxmlformats.org/officeDocument/2006/relationships" ref="N1178" r:id="rId2061"/>
    <hyperlink xmlns:r="http://schemas.openxmlformats.org/officeDocument/2006/relationships" ref="L1179" r:id="rId2062"/>
    <hyperlink xmlns:r="http://schemas.openxmlformats.org/officeDocument/2006/relationships" ref="N1179" r:id="rId2063"/>
    <hyperlink xmlns:r="http://schemas.openxmlformats.org/officeDocument/2006/relationships" ref="L1180" r:id="rId2064"/>
    <hyperlink xmlns:r="http://schemas.openxmlformats.org/officeDocument/2006/relationships" ref="N1180" r:id="rId2065"/>
    <hyperlink xmlns:r="http://schemas.openxmlformats.org/officeDocument/2006/relationships" ref="L1181" r:id="rId2066"/>
    <hyperlink xmlns:r="http://schemas.openxmlformats.org/officeDocument/2006/relationships" ref="N1181" r:id="rId2067"/>
    <hyperlink xmlns:r="http://schemas.openxmlformats.org/officeDocument/2006/relationships" ref="L1182" r:id="rId2068"/>
    <hyperlink xmlns:r="http://schemas.openxmlformats.org/officeDocument/2006/relationships" ref="N1182" r:id="rId2069"/>
    <hyperlink xmlns:r="http://schemas.openxmlformats.org/officeDocument/2006/relationships" ref="L1183" r:id="rId2070"/>
    <hyperlink xmlns:r="http://schemas.openxmlformats.org/officeDocument/2006/relationships" ref="N1183" r:id="rId2071"/>
    <hyperlink xmlns:r="http://schemas.openxmlformats.org/officeDocument/2006/relationships" ref="L1184" r:id="rId2072"/>
    <hyperlink xmlns:r="http://schemas.openxmlformats.org/officeDocument/2006/relationships" ref="N1184" r:id="rId2073"/>
    <hyperlink xmlns:r="http://schemas.openxmlformats.org/officeDocument/2006/relationships" ref="L1185" r:id="rId2074"/>
    <hyperlink xmlns:r="http://schemas.openxmlformats.org/officeDocument/2006/relationships" ref="N1185" r:id="rId2075"/>
    <hyperlink xmlns:r="http://schemas.openxmlformats.org/officeDocument/2006/relationships" ref="L1186" r:id="rId2076"/>
    <hyperlink xmlns:r="http://schemas.openxmlformats.org/officeDocument/2006/relationships" ref="N1186" r:id="rId2077"/>
    <hyperlink xmlns:r="http://schemas.openxmlformats.org/officeDocument/2006/relationships" ref="L1187" r:id="rId2078"/>
    <hyperlink xmlns:r="http://schemas.openxmlformats.org/officeDocument/2006/relationships" ref="N1187" r:id="rId2079"/>
    <hyperlink xmlns:r="http://schemas.openxmlformats.org/officeDocument/2006/relationships" ref="L1188" r:id="rId2080"/>
    <hyperlink xmlns:r="http://schemas.openxmlformats.org/officeDocument/2006/relationships" ref="N1188" r:id="rId2081"/>
    <hyperlink xmlns:r="http://schemas.openxmlformats.org/officeDocument/2006/relationships" ref="L1189" r:id="rId2082"/>
    <hyperlink xmlns:r="http://schemas.openxmlformats.org/officeDocument/2006/relationships" ref="N1189" r:id="rId2083"/>
    <hyperlink xmlns:r="http://schemas.openxmlformats.org/officeDocument/2006/relationships" ref="L1190" r:id="rId2084"/>
    <hyperlink xmlns:r="http://schemas.openxmlformats.org/officeDocument/2006/relationships" ref="N1190" r:id="rId2085"/>
    <hyperlink xmlns:r="http://schemas.openxmlformats.org/officeDocument/2006/relationships" ref="L1191" r:id="rId2086"/>
    <hyperlink xmlns:r="http://schemas.openxmlformats.org/officeDocument/2006/relationships" ref="N1191" r:id="rId2087"/>
    <hyperlink xmlns:r="http://schemas.openxmlformats.org/officeDocument/2006/relationships" ref="L1192" r:id="rId2088"/>
    <hyperlink xmlns:r="http://schemas.openxmlformats.org/officeDocument/2006/relationships" ref="N1192" r:id="rId2089"/>
    <hyperlink xmlns:r="http://schemas.openxmlformats.org/officeDocument/2006/relationships" ref="L1193" r:id="rId2090"/>
    <hyperlink xmlns:r="http://schemas.openxmlformats.org/officeDocument/2006/relationships" ref="N1193" r:id="rId2091"/>
    <hyperlink xmlns:r="http://schemas.openxmlformats.org/officeDocument/2006/relationships" ref="L1194" r:id="rId2092"/>
    <hyperlink xmlns:r="http://schemas.openxmlformats.org/officeDocument/2006/relationships" ref="N1194" r:id="rId2093"/>
    <hyperlink xmlns:r="http://schemas.openxmlformats.org/officeDocument/2006/relationships" ref="L1195" r:id="rId2094"/>
    <hyperlink xmlns:r="http://schemas.openxmlformats.org/officeDocument/2006/relationships" ref="N1195" r:id="rId2095"/>
    <hyperlink xmlns:r="http://schemas.openxmlformats.org/officeDocument/2006/relationships" ref="L1196" r:id="rId2096"/>
    <hyperlink xmlns:r="http://schemas.openxmlformats.org/officeDocument/2006/relationships" ref="N1196" r:id="rId2097"/>
    <hyperlink xmlns:r="http://schemas.openxmlformats.org/officeDocument/2006/relationships" ref="L1197" r:id="rId2098"/>
    <hyperlink xmlns:r="http://schemas.openxmlformats.org/officeDocument/2006/relationships" ref="N1197" r:id="rId2099"/>
    <hyperlink xmlns:r="http://schemas.openxmlformats.org/officeDocument/2006/relationships" ref="L1198" r:id="rId2100"/>
    <hyperlink xmlns:r="http://schemas.openxmlformats.org/officeDocument/2006/relationships" ref="N1198" r:id="rId2101"/>
    <hyperlink xmlns:r="http://schemas.openxmlformats.org/officeDocument/2006/relationships" ref="L1199" r:id="rId2102"/>
    <hyperlink xmlns:r="http://schemas.openxmlformats.org/officeDocument/2006/relationships" ref="N1199" r:id="rId2103"/>
    <hyperlink xmlns:r="http://schemas.openxmlformats.org/officeDocument/2006/relationships" ref="L1200" r:id="rId2104"/>
    <hyperlink xmlns:r="http://schemas.openxmlformats.org/officeDocument/2006/relationships" ref="N1200" r:id="rId2105"/>
    <hyperlink xmlns:r="http://schemas.openxmlformats.org/officeDocument/2006/relationships" ref="L1201" r:id="rId2106"/>
    <hyperlink xmlns:r="http://schemas.openxmlformats.org/officeDocument/2006/relationships" ref="N1201" r:id="rId2107"/>
    <hyperlink xmlns:r="http://schemas.openxmlformats.org/officeDocument/2006/relationships" ref="L1202" r:id="rId2108"/>
    <hyperlink xmlns:r="http://schemas.openxmlformats.org/officeDocument/2006/relationships" ref="N1202" r:id="rId2109"/>
    <hyperlink xmlns:r="http://schemas.openxmlformats.org/officeDocument/2006/relationships" ref="L1203" r:id="rId2110"/>
    <hyperlink xmlns:r="http://schemas.openxmlformats.org/officeDocument/2006/relationships" ref="N1203" r:id="rId2111"/>
    <hyperlink xmlns:r="http://schemas.openxmlformats.org/officeDocument/2006/relationships" ref="L1204" r:id="rId2112"/>
    <hyperlink xmlns:r="http://schemas.openxmlformats.org/officeDocument/2006/relationships" ref="N1204" r:id="rId2113"/>
    <hyperlink xmlns:r="http://schemas.openxmlformats.org/officeDocument/2006/relationships" ref="L1205" r:id="rId2114"/>
    <hyperlink xmlns:r="http://schemas.openxmlformats.org/officeDocument/2006/relationships" ref="N1205" r:id="rId2115"/>
    <hyperlink xmlns:r="http://schemas.openxmlformats.org/officeDocument/2006/relationships" ref="L1206" r:id="rId2116"/>
    <hyperlink xmlns:r="http://schemas.openxmlformats.org/officeDocument/2006/relationships" ref="N1206" r:id="rId2117"/>
    <hyperlink xmlns:r="http://schemas.openxmlformats.org/officeDocument/2006/relationships" ref="L1207" r:id="rId2118"/>
    <hyperlink xmlns:r="http://schemas.openxmlformats.org/officeDocument/2006/relationships" ref="N1207" r:id="rId2119"/>
    <hyperlink xmlns:r="http://schemas.openxmlformats.org/officeDocument/2006/relationships" ref="L1208" r:id="rId2120"/>
    <hyperlink xmlns:r="http://schemas.openxmlformats.org/officeDocument/2006/relationships" ref="N1208" r:id="rId2121"/>
    <hyperlink xmlns:r="http://schemas.openxmlformats.org/officeDocument/2006/relationships" ref="L1209" r:id="rId2122"/>
    <hyperlink xmlns:r="http://schemas.openxmlformats.org/officeDocument/2006/relationships" ref="N1209" r:id="rId2123"/>
    <hyperlink xmlns:r="http://schemas.openxmlformats.org/officeDocument/2006/relationships" ref="L1210" r:id="rId2124"/>
    <hyperlink xmlns:r="http://schemas.openxmlformats.org/officeDocument/2006/relationships" ref="N1210" r:id="rId2125"/>
    <hyperlink xmlns:r="http://schemas.openxmlformats.org/officeDocument/2006/relationships" ref="L1211" r:id="rId2126"/>
    <hyperlink xmlns:r="http://schemas.openxmlformats.org/officeDocument/2006/relationships" ref="N1211" r:id="rId2127"/>
    <hyperlink xmlns:r="http://schemas.openxmlformats.org/officeDocument/2006/relationships" ref="L1212" r:id="rId2128"/>
    <hyperlink xmlns:r="http://schemas.openxmlformats.org/officeDocument/2006/relationships" ref="N1212" r:id="rId2129"/>
    <hyperlink xmlns:r="http://schemas.openxmlformats.org/officeDocument/2006/relationships" ref="L1213" r:id="rId2130"/>
    <hyperlink xmlns:r="http://schemas.openxmlformats.org/officeDocument/2006/relationships" ref="N1213" r:id="rId2131"/>
    <hyperlink xmlns:r="http://schemas.openxmlformats.org/officeDocument/2006/relationships" ref="L1214" r:id="rId2132"/>
    <hyperlink xmlns:r="http://schemas.openxmlformats.org/officeDocument/2006/relationships" ref="N1214" r:id="rId2133"/>
    <hyperlink xmlns:r="http://schemas.openxmlformats.org/officeDocument/2006/relationships" ref="L1215" r:id="rId2134"/>
    <hyperlink xmlns:r="http://schemas.openxmlformats.org/officeDocument/2006/relationships" ref="N1215" r:id="rId2135"/>
    <hyperlink xmlns:r="http://schemas.openxmlformats.org/officeDocument/2006/relationships" ref="L1216" r:id="rId2136"/>
    <hyperlink xmlns:r="http://schemas.openxmlformats.org/officeDocument/2006/relationships" ref="N1216" r:id="rId2137"/>
    <hyperlink xmlns:r="http://schemas.openxmlformats.org/officeDocument/2006/relationships" ref="L1217" r:id="rId2138"/>
    <hyperlink xmlns:r="http://schemas.openxmlformats.org/officeDocument/2006/relationships" ref="N1217" r:id="rId2139"/>
    <hyperlink xmlns:r="http://schemas.openxmlformats.org/officeDocument/2006/relationships" ref="L1218" r:id="rId2140"/>
    <hyperlink xmlns:r="http://schemas.openxmlformats.org/officeDocument/2006/relationships" ref="N1218" r:id="rId2141"/>
    <hyperlink xmlns:r="http://schemas.openxmlformats.org/officeDocument/2006/relationships" ref="L1219" r:id="rId2142"/>
    <hyperlink xmlns:r="http://schemas.openxmlformats.org/officeDocument/2006/relationships" ref="N1219" r:id="rId2143"/>
    <hyperlink xmlns:r="http://schemas.openxmlformats.org/officeDocument/2006/relationships" ref="L1220" r:id="rId2144"/>
    <hyperlink xmlns:r="http://schemas.openxmlformats.org/officeDocument/2006/relationships" ref="N1220" r:id="rId2145"/>
    <hyperlink xmlns:r="http://schemas.openxmlformats.org/officeDocument/2006/relationships" ref="L1221" r:id="rId2146"/>
    <hyperlink xmlns:r="http://schemas.openxmlformats.org/officeDocument/2006/relationships" ref="N1221" r:id="rId2147"/>
    <hyperlink xmlns:r="http://schemas.openxmlformats.org/officeDocument/2006/relationships" ref="L1222" r:id="rId2148"/>
    <hyperlink xmlns:r="http://schemas.openxmlformats.org/officeDocument/2006/relationships" ref="N1222" r:id="rId2149"/>
    <hyperlink xmlns:r="http://schemas.openxmlformats.org/officeDocument/2006/relationships" ref="L1223" r:id="rId2150"/>
    <hyperlink xmlns:r="http://schemas.openxmlformats.org/officeDocument/2006/relationships" ref="N1223" r:id="rId2151"/>
    <hyperlink xmlns:r="http://schemas.openxmlformats.org/officeDocument/2006/relationships" ref="L1224" r:id="rId2152"/>
    <hyperlink xmlns:r="http://schemas.openxmlformats.org/officeDocument/2006/relationships" ref="N1224" r:id="rId2153"/>
    <hyperlink xmlns:r="http://schemas.openxmlformats.org/officeDocument/2006/relationships" ref="L1225" r:id="rId2154"/>
    <hyperlink xmlns:r="http://schemas.openxmlformats.org/officeDocument/2006/relationships" ref="N1225" r:id="rId2155"/>
    <hyperlink xmlns:r="http://schemas.openxmlformats.org/officeDocument/2006/relationships" ref="L1226" r:id="rId2156"/>
    <hyperlink xmlns:r="http://schemas.openxmlformats.org/officeDocument/2006/relationships" ref="N1226" r:id="rId2157"/>
    <hyperlink xmlns:r="http://schemas.openxmlformats.org/officeDocument/2006/relationships" ref="L1227" r:id="rId2158"/>
    <hyperlink xmlns:r="http://schemas.openxmlformats.org/officeDocument/2006/relationships" ref="N1227" r:id="rId2159"/>
    <hyperlink xmlns:r="http://schemas.openxmlformats.org/officeDocument/2006/relationships" ref="L1228" r:id="rId2160"/>
    <hyperlink xmlns:r="http://schemas.openxmlformats.org/officeDocument/2006/relationships" ref="N1228" r:id="rId2161"/>
    <hyperlink xmlns:r="http://schemas.openxmlformats.org/officeDocument/2006/relationships" ref="L1229" r:id="rId2162"/>
    <hyperlink xmlns:r="http://schemas.openxmlformats.org/officeDocument/2006/relationships" ref="N1229" r:id="rId2163"/>
    <hyperlink xmlns:r="http://schemas.openxmlformats.org/officeDocument/2006/relationships" ref="L1230" r:id="rId2164"/>
    <hyperlink xmlns:r="http://schemas.openxmlformats.org/officeDocument/2006/relationships" ref="N1230" r:id="rId2165"/>
    <hyperlink xmlns:r="http://schemas.openxmlformats.org/officeDocument/2006/relationships" ref="L1231" r:id="rId2166"/>
    <hyperlink xmlns:r="http://schemas.openxmlformats.org/officeDocument/2006/relationships" ref="N1231" r:id="rId2167"/>
    <hyperlink xmlns:r="http://schemas.openxmlformats.org/officeDocument/2006/relationships" ref="L1232" r:id="rId2168"/>
    <hyperlink xmlns:r="http://schemas.openxmlformats.org/officeDocument/2006/relationships" ref="N1232" r:id="rId2169"/>
    <hyperlink xmlns:r="http://schemas.openxmlformats.org/officeDocument/2006/relationships" ref="L1233" r:id="rId2170"/>
    <hyperlink xmlns:r="http://schemas.openxmlformats.org/officeDocument/2006/relationships" ref="N1233" r:id="rId2171"/>
    <hyperlink xmlns:r="http://schemas.openxmlformats.org/officeDocument/2006/relationships" ref="L1234" r:id="rId2172"/>
    <hyperlink xmlns:r="http://schemas.openxmlformats.org/officeDocument/2006/relationships" ref="N1234" r:id="rId2173"/>
    <hyperlink xmlns:r="http://schemas.openxmlformats.org/officeDocument/2006/relationships" ref="L1235" r:id="rId2174"/>
    <hyperlink xmlns:r="http://schemas.openxmlformats.org/officeDocument/2006/relationships" ref="N1235" r:id="rId2175"/>
    <hyperlink xmlns:r="http://schemas.openxmlformats.org/officeDocument/2006/relationships" ref="L1236" r:id="rId2176"/>
    <hyperlink xmlns:r="http://schemas.openxmlformats.org/officeDocument/2006/relationships" ref="N1236" r:id="rId2177"/>
    <hyperlink xmlns:r="http://schemas.openxmlformats.org/officeDocument/2006/relationships" ref="L1237" r:id="rId2178"/>
    <hyperlink xmlns:r="http://schemas.openxmlformats.org/officeDocument/2006/relationships" ref="N1237" r:id="rId2179"/>
    <hyperlink xmlns:r="http://schemas.openxmlformats.org/officeDocument/2006/relationships" ref="L1238" r:id="rId2180"/>
    <hyperlink xmlns:r="http://schemas.openxmlformats.org/officeDocument/2006/relationships" ref="N1238" r:id="rId2181"/>
    <hyperlink xmlns:r="http://schemas.openxmlformats.org/officeDocument/2006/relationships" ref="L1239" r:id="rId2182"/>
    <hyperlink xmlns:r="http://schemas.openxmlformats.org/officeDocument/2006/relationships" ref="N1239" r:id="rId2183"/>
    <hyperlink xmlns:r="http://schemas.openxmlformats.org/officeDocument/2006/relationships" ref="L1240" r:id="rId2184"/>
    <hyperlink xmlns:r="http://schemas.openxmlformats.org/officeDocument/2006/relationships" ref="N1240" r:id="rId2185"/>
    <hyperlink xmlns:r="http://schemas.openxmlformats.org/officeDocument/2006/relationships" ref="L1241" r:id="rId2186"/>
    <hyperlink xmlns:r="http://schemas.openxmlformats.org/officeDocument/2006/relationships" ref="N1241" r:id="rId2187"/>
    <hyperlink xmlns:r="http://schemas.openxmlformats.org/officeDocument/2006/relationships" ref="L1242" r:id="rId2188"/>
    <hyperlink xmlns:r="http://schemas.openxmlformats.org/officeDocument/2006/relationships" ref="N1242" r:id="rId2189"/>
    <hyperlink xmlns:r="http://schemas.openxmlformats.org/officeDocument/2006/relationships" ref="L1243" r:id="rId2190"/>
    <hyperlink xmlns:r="http://schemas.openxmlformats.org/officeDocument/2006/relationships" ref="N1243" r:id="rId2191"/>
    <hyperlink xmlns:r="http://schemas.openxmlformats.org/officeDocument/2006/relationships" ref="L1244" r:id="rId2192"/>
    <hyperlink xmlns:r="http://schemas.openxmlformats.org/officeDocument/2006/relationships" ref="N1244" r:id="rId2193"/>
    <hyperlink xmlns:r="http://schemas.openxmlformats.org/officeDocument/2006/relationships" ref="L1245" r:id="rId2194"/>
    <hyperlink xmlns:r="http://schemas.openxmlformats.org/officeDocument/2006/relationships" ref="N1245" r:id="rId2195"/>
    <hyperlink xmlns:r="http://schemas.openxmlformats.org/officeDocument/2006/relationships" ref="L1246" r:id="rId2196"/>
    <hyperlink xmlns:r="http://schemas.openxmlformats.org/officeDocument/2006/relationships" ref="N1246" r:id="rId2197"/>
    <hyperlink xmlns:r="http://schemas.openxmlformats.org/officeDocument/2006/relationships" ref="L1247" r:id="rId2198"/>
    <hyperlink xmlns:r="http://schemas.openxmlformats.org/officeDocument/2006/relationships" ref="N1247" r:id="rId2199"/>
    <hyperlink xmlns:r="http://schemas.openxmlformats.org/officeDocument/2006/relationships" ref="L1248" r:id="rId2200"/>
    <hyperlink xmlns:r="http://schemas.openxmlformats.org/officeDocument/2006/relationships" ref="N1248" r:id="rId2201"/>
    <hyperlink xmlns:r="http://schemas.openxmlformats.org/officeDocument/2006/relationships" ref="L1249" r:id="rId2202"/>
    <hyperlink xmlns:r="http://schemas.openxmlformats.org/officeDocument/2006/relationships" ref="N1249" r:id="rId2203"/>
    <hyperlink xmlns:r="http://schemas.openxmlformats.org/officeDocument/2006/relationships" ref="L1250" r:id="rId2204"/>
    <hyperlink xmlns:r="http://schemas.openxmlformats.org/officeDocument/2006/relationships" ref="N1250" r:id="rId2205"/>
    <hyperlink xmlns:r="http://schemas.openxmlformats.org/officeDocument/2006/relationships" ref="L1251" r:id="rId2206"/>
    <hyperlink xmlns:r="http://schemas.openxmlformats.org/officeDocument/2006/relationships" ref="N1251" r:id="rId2207"/>
    <hyperlink xmlns:r="http://schemas.openxmlformats.org/officeDocument/2006/relationships" ref="L1252" r:id="rId2208"/>
    <hyperlink xmlns:r="http://schemas.openxmlformats.org/officeDocument/2006/relationships" ref="N1252" r:id="rId2209"/>
    <hyperlink xmlns:r="http://schemas.openxmlformats.org/officeDocument/2006/relationships" ref="L1253" r:id="rId2210"/>
    <hyperlink xmlns:r="http://schemas.openxmlformats.org/officeDocument/2006/relationships" ref="N1253" r:id="rId2211"/>
    <hyperlink xmlns:r="http://schemas.openxmlformats.org/officeDocument/2006/relationships" ref="L1254" r:id="rId2212"/>
    <hyperlink xmlns:r="http://schemas.openxmlformats.org/officeDocument/2006/relationships" ref="N1254" r:id="rId2213"/>
    <hyperlink xmlns:r="http://schemas.openxmlformats.org/officeDocument/2006/relationships" ref="L1255" r:id="rId2214"/>
    <hyperlink xmlns:r="http://schemas.openxmlformats.org/officeDocument/2006/relationships" ref="N1255" r:id="rId2215"/>
    <hyperlink xmlns:r="http://schemas.openxmlformats.org/officeDocument/2006/relationships" ref="L1256" r:id="rId2216"/>
    <hyperlink xmlns:r="http://schemas.openxmlformats.org/officeDocument/2006/relationships" ref="N1256" r:id="rId2217"/>
    <hyperlink xmlns:r="http://schemas.openxmlformats.org/officeDocument/2006/relationships" ref="L1257" r:id="rId2218"/>
    <hyperlink xmlns:r="http://schemas.openxmlformats.org/officeDocument/2006/relationships" ref="N1257" r:id="rId2219"/>
    <hyperlink xmlns:r="http://schemas.openxmlformats.org/officeDocument/2006/relationships" ref="L1258" r:id="rId2220"/>
    <hyperlink xmlns:r="http://schemas.openxmlformats.org/officeDocument/2006/relationships" ref="N1258" r:id="rId2221"/>
    <hyperlink xmlns:r="http://schemas.openxmlformats.org/officeDocument/2006/relationships" ref="L1259" r:id="rId2222"/>
    <hyperlink xmlns:r="http://schemas.openxmlformats.org/officeDocument/2006/relationships" ref="N1259" r:id="rId2223"/>
    <hyperlink xmlns:r="http://schemas.openxmlformats.org/officeDocument/2006/relationships" ref="L1260" r:id="rId2224"/>
    <hyperlink xmlns:r="http://schemas.openxmlformats.org/officeDocument/2006/relationships" ref="N1260" r:id="rId2225"/>
    <hyperlink xmlns:r="http://schemas.openxmlformats.org/officeDocument/2006/relationships" ref="L1261" r:id="rId2226"/>
    <hyperlink xmlns:r="http://schemas.openxmlformats.org/officeDocument/2006/relationships" ref="N1261" r:id="rId2227"/>
    <hyperlink xmlns:r="http://schemas.openxmlformats.org/officeDocument/2006/relationships" ref="L1262" r:id="rId2228"/>
    <hyperlink xmlns:r="http://schemas.openxmlformats.org/officeDocument/2006/relationships" ref="N1262" r:id="rId2229"/>
    <hyperlink xmlns:r="http://schemas.openxmlformats.org/officeDocument/2006/relationships" ref="L1263" r:id="rId2230"/>
    <hyperlink xmlns:r="http://schemas.openxmlformats.org/officeDocument/2006/relationships" ref="N1263" r:id="rId2231"/>
    <hyperlink xmlns:r="http://schemas.openxmlformats.org/officeDocument/2006/relationships" ref="L1264" r:id="rId2232"/>
    <hyperlink xmlns:r="http://schemas.openxmlformats.org/officeDocument/2006/relationships" ref="N1264" r:id="rId2233"/>
    <hyperlink xmlns:r="http://schemas.openxmlformats.org/officeDocument/2006/relationships" ref="L1265" r:id="rId2234"/>
    <hyperlink xmlns:r="http://schemas.openxmlformats.org/officeDocument/2006/relationships" ref="N1265" r:id="rId2235"/>
    <hyperlink xmlns:r="http://schemas.openxmlformats.org/officeDocument/2006/relationships" ref="L1266" r:id="rId2236"/>
    <hyperlink xmlns:r="http://schemas.openxmlformats.org/officeDocument/2006/relationships" ref="N1266" r:id="rId2237"/>
    <hyperlink xmlns:r="http://schemas.openxmlformats.org/officeDocument/2006/relationships" ref="L1267" r:id="rId2238"/>
    <hyperlink xmlns:r="http://schemas.openxmlformats.org/officeDocument/2006/relationships" ref="N1267" r:id="rId2239"/>
    <hyperlink xmlns:r="http://schemas.openxmlformats.org/officeDocument/2006/relationships" ref="L1268" r:id="rId2240"/>
    <hyperlink xmlns:r="http://schemas.openxmlformats.org/officeDocument/2006/relationships" ref="N1268" r:id="rId2241"/>
    <hyperlink xmlns:r="http://schemas.openxmlformats.org/officeDocument/2006/relationships" ref="L1269" r:id="rId2242"/>
    <hyperlink xmlns:r="http://schemas.openxmlformats.org/officeDocument/2006/relationships" ref="N1269" r:id="rId2243"/>
    <hyperlink xmlns:r="http://schemas.openxmlformats.org/officeDocument/2006/relationships" ref="L1270" r:id="rId2244"/>
    <hyperlink xmlns:r="http://schemas.openxmlformats.org/officeDocument/2006/relationships" ref="N1270" r:id="rId2245"/>
    <hyperlink xmlns:r="http://schemas.openxmlformats.org/officeDocument/2006/relationships" ref="L1271" r:id="rId2246"/>
    <hyperlink xmlns:r="http://schemas.openxmlformats.org/officeDocument/2006/relationships" ref="N1271" r:id="rId2247"/>
    <hyperlink xmlns:r="http://schemas.openxmlformats.org/officeDocument/2006/relationships" ref="L1272" r:id="rId2248"/>
    <hyperlink xmlns:r="http://schemas.openxmlformats.org/officeDocument/2006/relationships" ref="N1272" r:id="rId2249"/>
    <hyperlink xmlns:r="http://schemas.openxmlformats.org/officeDocument/2006/relationships" ref="L1273" r:id="rId2250"/>
    <hyperlink xmlns:r="http://schemas.openxmlformats.org/officeDocument/2006/relationships" ref="N1273" r:id="rId2251"/>
    <hyperlink xmlns:r="http://schemas.openxmlformats.org/officeDocument/2006/relationships" ref="L1274" r:id="rId2252"/>
    <hyperlink xmlns:r="http://schemas.openxmlformats.org/officeDocument/2006/relationships" ref="N1274" r:id="rId2253"/>
    <hyperlink xmlns:r="http://schemas.openxmlformats.org/officeDocument/2006/relationships" ref="L1275" r:id="rId2254"/>
    <hyperlink xmlns:r="http://schemas.openxmlformats.org/officeDocument/2006/relationships" ref="N1275" r:id="rId2255"/>
    <hyperlink xmlns:r="http://schemas.openxmlformats.org/officeDocument/2006/relationships" ref="L1276" r:id="rId2256"/>
    <hyperlink xmlns:r="http://schemas.openxmlformats.org/officeDocument/2006/relationships" ref="N1276" r:id="rId2257"/>
    <hyperlink xmlns:r="http://schemas.openxmlformats.org/officeDocument/2006/relationships" ref="L1277" r:id="rId2258"/>
    <hyperlink xmlns:r="http://schemas.openxmlformats.org/officeDocument/2006/relationships" ref="N1277" r:id="rId2259"/>
    <hyperlink xmlns:r="http://schemas.openxmlformats.org/officeDocument/2006/relationships" ref="L1278" r:id="rId2260"/>
    <hyperlink xmlns:r="http://schemas.openxmlformats.org/officeDocument/2006/relationships" ref="N1278" r:id="rId2261"/>
    <hyperlink xmlns:r="http://schemas.openxmlformats.org/officeDocument/2006/relationships" ref="L1279" r:id="rId2262"/>
    <hyperlink xmlns:r="http://schemas.openxmlformats.org/officeDocument/2006/relationships" ref="N1279" r:id="rId2263"/>
    <hyperlink xmlns:r="http://schemas.openxmlformats.org/officeDocument/2006/relationships" ref="L1280" r:id="rId2264"/>
    <hyperlink xmlns:r="http://schemas.openxmlformats.org/officeDocument/2006/relationships" ref="N1280" r:id="rId2265"/>
    <hyperlink xmlns:r="http://schemas.openxmlformats.org/officeDocument/2006/relationships" ref="L1281" r:id="rId2266"/>
    <hyperlink xmlns:r="http://schemas.openxmlformats.org/officeDocument/2006/relationships" ref="N1281" r:id="rId2267"/>
    <hyperlink xmlns:r="http://schemas.openxmlformats.org/officeDocument/2006/relationships" ref="L1282" r:id="rId2268"/>
    <hyperlink xmlns:r="http://schemas.openxmlformats.org/officeDocument/2006/relationships" ref="N1282" r:id="rId2269"/>
    <hyperlink xmlns:r="http://schemas.openxmlformats.org/officeDocument/2006/relationships" ref="L1283" r:id="rId2270"/>
    <hyperlink xmlns:r="http://schemas.openxmlformats.org/officeDocument/2006/relationships" ref="N1283" r:id="rId2271"/>
    <hyperlink xmlns:r="http://schemas.openxmlformats.org/officeDocument/2006/relationships" ref="L1284" r:id="rId2272"/>
    <hyperlink xmlns:r="http://schemas.openxmlformats.org/officeDocument/2006/relationships" ref="N1284" r:id="rId2273"/>
    <hyperlink xmlns:r="http://schemas.openxmlformats.org/officeDocument/2006/relationships" ref="L1285" r:id="rId2274"/>
    <hyperlink xmlns:r="http://schemas.openxmlformats.org/officeDocument/2006/relationships" ref="N1285" r:id="rId2275"/>
    <hyperlink xmlns:r="http://schemas.openxmlformats.org/officeDocument/2006/relationships" ref="L1286" r:id="rId2276"/>
    <hyperlink xmlns:r="http://schemas.openxmlformats.org/officeDocument/2006/relationships" ref="N1286" r:id="rId2277"/>
    <hyperlink xmlns:r="http://schemas.openxmlformats.org/officeDocument/2006/relationships" ref="L1287" r:id="rId2278"/>
    <hyperlink xmlns:r="http://schemas.openxmlformats.org/officeDocument/2006/relationships" ref="N1287" r:id="rId2279"/>
    <hyperlink xmlns:r="http://schemas.openxmlformats.org/officeDocument/2006/relationships" ref="L1288" r:id="rId2280"/>
    <hyperlink xmlns:r="http://schemas.openxmlformats.org/officeDocument/2006/relationships" ref="N1288" r:id="rId2281"/>
    <hyperlink xmlns:r="http://schemas.openxmlformats.org/officeDocument/2006/relationships" ref="L1289" r:id="rId2282"/>
    <hyperlink xmlns:r="http://schemas.openxmlformats.org/officeDocument/2006/relationships" ref="N1289" r:id="rId2283"/>
    <hyperlink xmlns:r="http://schemas.openxmlformats.org/officeDocument/2006/relationships" ref="L1290" r:id="rId2284"/>
    <hyperlink xmlns:r="http://schemas.openxmlformats.org/officeDocument/2006/relationships" ref="N1290" r:id="rId2285"/>
    <hyperlink xmlns:r="http://schemas.openxmlformats.org/officeDocument/2006/relationships" ref="L1291" r:id="rId2286"/>
    <hyperlink xmlns:r="http://schemas.openxmlformats.org/officeDocument/2006/relationships" ref="N1291" r:id="rId2287"/>
    <hyperlink xmlns:r="http://schemas.openxmlformats.org/officeDocument/2006/relationships" ref="L1292" r:id="rId2288"/>
    <hyperlink xmlns:r="http://schemas.openxmlformats.org/officeDocument/2006/relationships" ref="N1292" r:id="rId2289"/>
    <hyperlink xmlns:r="http://schemas.openxmlformats.org/officeDocument/2006/relationships" ref="L1293" r:id="rId2290"/>
    <hyperlink xmlns:r="http://schemas.openxmlformats.org/officeDocument/2006/relationships" ref="N1293" r:id="rId2291"/>
    <hyperlink xmlns:r="http://schemas.openxmlformats.org/officeDocument/2006/relationships" ref="L1294" r:id="rId2292"/>
    <hyperlink xmlns:r="http://schemas.openxmlformats.org/officeDocument/2006/relationships" ref="N1294" r:id="rId2293"/>
    <hyperlink xmlns:r="http://schemas.openxmlformats.org/officeDocument/2006/relationships" ref="L1295" r:id="rId2294"/>
    <hyperlink xmlns:r="http://schemas.openxmlformats.org/officeDocument/2006/relationships" ref="N1295" r:id="rId2295"/>
    <hyperlink xmlns:r="http://schemas.openxmlformats.org/officeDocument/2006/relationships" ref="L1296" r:id="rId2296"/>
    <hyperlink xmlns:r="http://schemas.openxmlformats.org/officeDocument/2006/relationships" ref="N1296" r:id="rId2297"/>
    <hyperlink xmlns:r="http://schemas.openxmlformats.org/officeDocument/2006/relationships" ref="L1297" r:id="rId2298"/>
    <hyperlink xmlns:r="http://schemas.openxmlformats.org/officeDocument/2006/relationships" ref="N1297" r:id="rId2299"/>
    <hyperlink xmlns:r="http://schemas.openxmlformats.org/officeDocument/2006/relationships" ref="L1298" r:id="rId2300"/>
    <hyperlink xmlns:r="http://schemas.openxmlformats.org/officeDocument/2006/relationships" ref="N1298" r:id="rId2301"/>
    <hyperlink xmlns:r="http://schemas.openxmlformats.org/officeDocument/2006/relationships" ref="L1299" r:id="rId2302"/>
    <hyperlink xmlns:r="http://schemas.openxmlformats.org/officeDocument/2006/relationships" ref="N1299" r:id="rId2303"/>
    <hyperlink xmlns:r="http://schemas.openxmlformats.org/officeDocument/2006/relationships" ref="L1300" r:id="rId2304"/>
    <hyperlink xmlns:r="http://schemas.openxmlformats.org/officeDocument/2006/relationships" ref="N1300" r:id="rId2305"/>
    <hyperlink xmlns:r="http://schemas.openxmlformats.org/officeDocument/2006/relationships" ref="L1301" r:id="rId2306"/>
    <hyperlink xmlns:r="http://schemas.openxmlformats.org/officeDocument/2006/relationships" ref="N1301" r:id="rId2307"/>
    <hyperlink xmlns:r="http://schemas.openxmlformats.org/officeDocument/2006/relationships" ref="L1302" r:id="rId2308"/>
    <hyperlink xmlns:r="http://schemas.openxmlformats.org/officeDocument/2006/relationships" ref="N1302" r:id="rId2309"/>
    <hyperlink xmlns:r="http://schemas.openxmlformats.org/officeDocument/2006/relationships" ref="L1303" r:id="rId2310"/>
    <hyperlink xmlns:r="http://schemas.openxmlformats.org/officeDocument/2006/relationships" ref="N1303" r:id="rId2311"/>
    <hyperlink xmlns:r="http://schemas.openxmlformats.org/officeDocument/2006/relationships" ref="L1304" r:id="rId2312"/>
    <hyperlink xmlns:r="http://schemas.openxmlformats.org/officeDocument/2006/relationships" ref="N1304" r:id="rId2313"/>
    <hyperlink xmlns:r="http://schemas.openxmlformats.org/officeDocument/2006/relationships" ref="L1305" r:id="rId2314"/>
    <hyperlink xmlns:r="http://schemas.openxmlformats.org/officeDocument/2006/relationships" ref="N1305" r:id="rId2315"/>
    <hyperlink xmlns:r="http://schemas.openxmlformats.org/officeDocument/2006/relationships" ref="L1306" r:id="rId2316"/>
    <hyperlink xmlns:r="http://schemas.openxmlformats.org/officeDocument/2006/relationships" ref="N1306" r:id="rId2317"/>
    <hyperlink xmlns:r="http://schemas.openxmlformats.org/officeDocument/2006/relationships" ref="L1307" r:id="rId2318"/>
    <hyperlink xmlns:r="http://schemas.openxmlformats.org/officeDocument/2006/relationships" ref="N1307" r:id="rId2319"/>
    <hyperlink xmlns:r="http://schemas.openxmlformats.org/officeDocument/2006/relationships" ref="L1308" r:id="rId2320"/>
    <hyperlink xmlns:r="http://schemas.openxmlformats.org/officeDocument/2006/relationships" ref="N1308" r:id="rId2321"/>
    <hyperlink xmlns:r="http://schemas.openxmlformats.org/officeDocument/2006/relationships" ref="L1309" r:id="rId2322"/>
    <hyperlink xmlns:r="http://schemas.openxmlformats.org/officeDocument/2006/relationships" ref="N1309" r:id="rId2323"/>
    <hyperlink xmlns:r="http://schemas.openxmlformats.org/officeDocument/2006/relationships" ref="L1310" r:id="rId2324"/>
    <hyperlink xmlns:r="http://schemas.openxmlformats.org/officeDocument/2006/relationships" ref="N1310" r:id="rId2325"/>
    <hyperlink xmlns:r="http://schemas.openxmlformats.org/officeDocument/2006/relationships" ref="L1311" r:id="rId2326"/>
    <hyperlink xmlns:r="http://schemas.openxmlformats.org/officeDocument/2006/relationships" ref="N1311" r:id="rId2327"/>
    <hyperlink xmlns:r="http://schemas.openxmlformats.org/officeDocument/2006/relationships" ref="L1312" r:id="rId2328"/>
    <hyperlink xmlns:r="http://schemas.openxmlformats.org/officeDocument/2006/relationships" ref="N1312" r:id="rId2329"/>
    <hyperlink xmlns:r="http://schemas.openxmlformats.org/officeDocument/2006/relationships" ref="L1313" r:id="rId2330"/>
    <hyperlink xmlns:r="http://schemas.openxmlformats.org/officeDocument/2006/relationships" ref="N1313" r:id="rId2331"/>
    <hyperlink xmlns:r="http://schemas.openxmlformats.org/officeDocument/2006/relationships" ref="L1314" r:id="rId2332"/>
    <hyperlink xmlns:r="http://schemas.openxmlformats.org/officeDocument/2006/relationships" ref="N1314" r:id="rId2333"/>
    <hyperlink xmlns:r="http://schemas.openxmlformats.org/officeDocument/2006/relationships" ref="L1315" r:id="rId2334"/>
    <hyperlink xmlns:r="http://schemas.openxmlformats.org/officeDocument/2006/relationships" ref="N1315" r:id="rId2335"/>
    <hyperlink xmlns:r="http://schemas.openxmlformats.org/officeDocument/2006/relationships" ref="L1316" r:id="rId2336"/>
    <hyperlink xmlns:r="http://schemas.openxmlformats.org/officeDocument/2006/relationships" ref="N1316" r:id="rId2337"/>
    <hyperlink xmlns:r="http://schemas.openxmlformats.org/officeDocument/2006/relationships" ref="L1317" r:id="rId2338"/>
    <hyperlink xmlns:r="http://schemas.openxmlformats.org/officeDocument/2006/relationships" ref="N1317" r:id="rId2339"/>
    <hyperlink xmlns:r="http://schemas.openxmlformats.org/officeDocument/2006/relationships" ref="L1318" r:id="rId2340"/>
    <hyperlink xmlns:r="http://schemas.openxmlformats.org/officeDocument/2006/relationships" ref="N1318" r:id="rId2341"/>
    <hyperlink xmlns:r="http://schemas.openxmlformats.org/officeDocument/2006/relationships" ref="L1319" r:id="rId2342"/>
    <hyperlink xmlns:r="http://schemas.openxmlformats.org/officeDocument/2006/relationships" ref="N1319" r:id="rId2343"/>
    <hyperlink xmlns:r="http://schemas.openxmlformats.org/officeDocument/2006/relationships" ref="L1320" r:id="rId2344"/>
    <hyperlink xmlns:r="http://schemas.openxmlformats.org/officeDocument/2006/relationships" ref="N1320" r:id="rId2345"/>
    <hyperlink xmlns:r="http://schemas.openxmlformats.org/officeDocument/2006/relationships" ref="L1321" r:id="rId2346"/>
    <hyperlink xmlns:r="http://schemas.openxmlformats.org/officeDocument/2006/relationships" ref="N1321" r:id="rId2347"/>
    <hyperlink xmlns:r="http://schemas.openxmlformats.org/officeDocument/2006/relationships" ref="L1322" r:id="rId2348"/>
    <hyperlink xmlns:r="http://schemas.openxmlformats.org/officeDocument/2006/relationships" ref="N1322" r:id="rId2349"/>
    <hyperlink xmlns:r="http://schemas.openxmlformats.org/officeDocument/2006/relationships" ref="L1323" r:id="rId2350"/>
    <hyperlink xmlns:r="http://schemas.openxmlformats.org/officeDocument/2006/relationships" ref="N1323" r:id="rId2351"/>
    <hyperlink xmlns:r="http://schemas.openxmlformats.org/officeDocument/2006/relationships" ref="L1324" r:id="rId2352"/>
    <hyperlink xmlns:r="http://schemas.openxmlformats.org/officeDocument/2006/relationships" ref="N1324" r:id="rId2353"/>
    <hyperlink xmlns:r="http://schemas.openxmlformats.org/officeDocument/2006/relationships" ref="L1325" r:id="rId2354"/>
    <hyperlink xmlns:r="http://schemas.openxmlformats.org/officeDocument/2006/relationships" ref="N1325" r:id="rId2355"/>
    <hyperlink xmlns:r="http://schemas.openxmlformats.org/officeDocument/2006/relationships" ref="L1326" r:id="rId2356"/>
    <hyperlink xmlns:r="http://schemas.openxmlformats.org/officeDocument/2006/relationships" ref="N1326" r:id="rId2357"/>
    <hyperlink xmlns:r="http://schemas.openxmlformats.org/officeDocument/2006/relationships" ref="L1327" r:id="rId2358"/>
    <hyperlink xmlns:r="http://schemas.openxmlformats.org/officeDocument/2006/relationships" ref="N1327" r:id="rId2359"/>
    <hyperlink xmlns:r="http://schemas.openxmlformats.org/officeDocument/2006/relationships" ref="L1328" r:id="rId2360"/>
    <hyperlink xmlns:r="http://schemas.openxmlformats.org/officeDocument/2006/relationships" ref="N1328" r:id="rId2361"/>
    <hyperlink xmlns:r="http://schemas.openxmlformats.org/officeDocument/2006/relationships" ref="L1329" r:id="rId2362"/>
    <hyperlink xmlns:r="http://schemas.openxmlformats.org/officeDocument/2006/relationships" ref="N1329" r:id="rId2363"/>
    <hyperlink xmlns:r="http://schemas.openxmlformats.org/officeDocument/2006/relationships" ref="L1330" r:id="rId2364"/>
    <hyperlink xmlns:r="http://schemas.openxmlformats.org/officeDocument/2006/relationships" ref="N1330" r:id="rId2365"/>
    <hyperlink xmlns:r="http://schemas.openxmlformats.org/officeDocument/2006/relationships" ref="L1331" r:id="rId2366"/>
    <hyperlink xmlns:r="http://schemas.openxmlformats.org/officeDocument/2006/relationships" ref="N1331" r:id="rId2367"/>
    <hyperlink xmlns:r="http://schemas.openxmlformats.org/officeDocument/2006/relationships" ref="L1332" r:id="rId2368"/>
    <hyperlink xmlns:r="http://schemas.openxmlformats.org/officeDocument/2006/relationships" ref="N1332" r:id="rId2369"/>
    <hyperlink xmlns:r="http://schemas.openxmlformats.org/officeDocument/2006/relationships" ref="L1333" r:id="rId2370"/>
    <hyperlink xmlns:r="http://schemas.openxmlformats.org/officeDocument/2006/relationships" ref="N1333" r:id="rId2371"/>
    <hyperlink xmlns:r="http://schemas.openxmlformats.org/officeDocument/2006/relationships" ref="L1334" r:id="rId2372"/>
    <hyperlink xmlns:r="http://schemas.openxmlformats.org/officeDocument/2006/relationships" ref="N1334" r:id="rId2373"/>
    <hyperlink xmlns:r="http://schemas.openxmlformats.org/officeDocument/2006/relationships" ref="L1335" r:id="rId2374"/>
    <hyperlink xmlns:r="http://schemas.openxmlformats.org/officeDocument/2006/relationships" ref="N1335" r:id="rId2375"/>
    <hyperlink xmlns:r="http://schemas.openxmlformats.org/officeDocument/2006/relationships" ref="L1336" r:id="rId2376"/>
    <hyperlink xmlns:r="http://schemas.openxmlformats.org/officeDocument/2006/relationships" ref="N1336" r:id="rId2377"/>
    <hyperlink xmlns:r="http://schemas.openxmlformats.org/officeDocument/2006/relationships" ref="L1337" r:id="rId2378"/>
    <hyperlink xmlns:r="http://schemas.openxmlformats.org/officeDocument/2006/relationships" ref="N1337" r:id="rId2379"/>
    <hyperlink xmlns:r="http://schemas.openxmlformats.org/officeDocument/2006/relationships" ref="L1338" r:id="rId2380"/>
    <hyperlink xmlns:r="http://schemas.openxmlformats.org/officeDocument/2006/relationships" ref="N1338" r:id="rId2381"/>
    <hyperlink xmlns:r="http://schemas.openxmlformats.org/officeDocument/2006/relationships" ref="L1339" r:id="rId2382"/>
    <hyperlink xmlns:r="http://schemas.openxmlformats.org/officeDocument/2006/relationships" ref="N1339" r:id="rId2383"/>
    <hyperlink xmlns:r="http://schemas.openxmlformats.org/officeDocument/2006/relationships" ref="L1340" r:id="rId2384"/>
    <hyperlink xmlns:r="http://schemas.openxmlformats.org/officeDocument/2006/relationships" ref="N1340" r:id="rId2385"/>
    <hyperlink xmlns:r="http://schemas.openxmlformats.org/officeDocument/2006/relationships" ref="L1341" r:id="rId2386"/>
    <hyperlink xmlns:r="http://schemas.openxmlformats.org/officeDocument/2006/relationships" ref="N1341" r:id="rId2387"/>
    <hyperlink xmlns:r="http://schemas.openxmlformats.org/officeDocument/2006/relationships" ref="L1342" r:id="rId2388"/>
    <hyperlink xmlns:r="http://schemas.openxmlformats.org/officeDocument/2006/relationships" ref="N1342" r:id="rId2389"/>
    <hyperlink xmlns:r="http://schemas.openxmlformats.org/officeDocument/2006/relationships" ref="L1343" r:id="rId2390"/>
    <hyperlink xmlns:r="http://schemas.openxmlformats.org/officeDocument/2006/relationships" ref="N1343" r:id="rId2391"/>
    <hyperlink xmlns:r="http://schemas.openxmlformats.org/officeDocument/2006/relationships" ref="L1344" r:id="rId2392"/>
    <hyperlink xmlns:r="http://schemas.openxmlformats.org/officeDocument/2006/relationships" ref="N1344" r:id="rId2393"/>
    <hyperlink xmlns:r="http://schemas.openxmlformats.org/officeDocument/2006/relationships" ref="L1345" r:id="rId2394"/>
    <hyperlink xmlns:r="http://schemas.openxmlformats.org/officeDocument/2006/relationships" ref="N1345" r:id="rId2395"/>
    <hyperlink xmlns:r="http://schemas.openxmlformats.org/officeDocument/2006/relationships" ref="L1346" r:id="rId2396"/>
    <hyperlink xmlns:r="http://schemas.openxmlformats.org/officeDocument/2006/relationships" ref="N1346" r:id="rId2397"/>
    <hyperlink xmlns:r="http://schemas.openxmlformats.org/officeDocument/2006/relationships" ref="L1347" r:id="rId2398"/>
    <hyperlink xmlns:r="http://schemas.openxmlformats.org/officeDocument/2006/relationships" ref="N1347" r:id="rId2399"/>
    <hyperlink xmlns:r="http://schemas.openxmlformats.org/officeDocument/2006/relationships" ref="L1348" r:id="rId2400"/>
    <hyperlink xmlns:r="http://schemas.openxmlformats.org/officeDocument/2006/relationships" ref="N1348" r:id="rId2401"/>
    <hyperlink xmlns:r="http://schemas.openxmlformats.org/officeDocument/2006/relationships" ref="L1349" r:id="rId2402"/>
    <hyperlink xmlns:r="http://schemas.openxmlformats.org/officeDocument/2006/relationships" ref="N1349" r:id="rId2403"/>
    <hyperlink xmlns:r="http://schemas.openxmlformats.org/officeDocument/2006/relationships" ref="L1350" r:id="rId2404"/>
    <hyperlink xmlns:r="http://schemas.openxmlformats.org/officeDocument/2006/relationships" ref="N1350" r:id="rId2405"/>
    <hyperlink xmlns:r="http://schemas.openxmlformats.org/officeDocument/2006/relationships" ref="L1351" r:id="rId2406"/>
    <hyperlink xmlns:r="http://schemas.openxmlformats.org/officeDocument/2006/relationships" ref="N1351" r:id="rId2407"/>
    <hyperlink xmlns:r="http://schemas.openxmlformats.org/officeDocument/2006/relationships" ref="L1352" r:id="rId2408"/>
    <hyperlink xmlns:r="http://schemas.openxmlformats.org/officeDocument/2006/relationships" ref="N1352" r:id="rId2409"/>
    <hyperlink xmlns:r="http://schemas.openxmlformats.org/officeDocument/2006/relationships" ref="L1353" r:id="rId2410"/>
    <hyperlink xmlns:r="http://schemas.openxmlformats.org/officeDocument/2006/relationships" ref="N1353" r:id="rId2411"/>
    <hyperlink xmlns:r="http://schemas.openxmlformats.org/officeDocument/2006/relationships" ref="L1354" r:id="rId2412"/>
    <hyperlink xmlns:r="http://schemas.openxmlformats.org/officeDocument/2006/relationships" ref="N1354" r:id="rId2413"/>
    <hyperlink xmlns:r="http://schemas.openxmlformats.org/officeDocument/2006/relationships" ref="L1355" r:id="rId2414"/>
    <hyperlink xmlns:r="http://schemas.openxmlformats.org/officeDocument/2006/relationships" ref="N1355" r:id="rId2415"/>
    <hyperlink xmlns:r="http://schemas.openxmlformats.org/officeDocument/2006/relationships" ref="L1356" r:id="rId2416"/>
    <hyperlink xmlns:r="http://schemas.openxmlformats.org/officeDocument/2006/relationships" ref="N1356" r:id="rId2417"/>
    <hyperlink xmlns:r="http://schemas.openxmlformats.org/officeDocument/2006/relationships" ref="L1357" r:id="rId2418"/>
    <hyperlink xmlns:r="http://schemas.openxmlformats.org/officeDocument/2006/relationships" ref="N1357" r:id="rId2419"/>
    <hyperlink xmlns:r="http://schemas.openxmlformats.org/officeDocument/2006/relationships" ref="L1358" r:id="rId2420"/>
    <hyperlink xmlns:r="http://schemas.openxmlformats.org/officeDocument/2006/relationships" ref="N1358" r:id="rId2421"/>
    <hyperlink xmlns:r="http://schemas.openxmlformats.org/officeDocument/2006/relationships" ref="L1359" r:id="rId2422"/>
    <hyperlink xmlns:r="http://schemas.openxmlformats.org/officeDocument/2006/relationships" ref="N1359" r:id="rId2423"/>
    <hyperlink xmlns:r="http://schemas.openxmlformats.org/officeDocument/2006/relationships" ref="L1360" r:id="rId2424"/>
    <hyperlink xmlns:r="http://schemas.openxmlformats.org/officeDocument/2006/relationships" ref="N1360" r:id="rId2425"/>
    <hyperlink xmlns:r="http://schemas.openxmlformats.org/officeDocument/2006/relationships" ref="L1361" r:id="rId2426"/>
    <hyperlink xmlns:r="http://schemas.openxmlformats.org/officeDocument/2006/relationships" ref="N1361" r:id="rId2427"/>
    <hyperlink xmlns:r="http://schemas.openxmlformats.org/officeDocument/2006/relationships" ref="L1362" r:id="rId2428"/>
    <hyperlink xmlns:r="http://schemas.openxmlformats.org/officeDocument/2006/relationships" ref="N1362" r:id="rId2429"/>
    <hyperlink xmlns:r="http://schemas.openxmlformats.org/officeDocument/2006/relationships" ref="L1363" r:id="rId2430"/>
    <hyperlink xmlns:r="http://schemas.openxmlformats.org/officeDocument/2006/relationships" ref="N1363" r:id="rId2431"/>
    <hyperlink xmlns:r="http://schemas.openxmlformats.org/officeDocument/2006/relationships" ref="L1364" r:id="rId2432"/>
    <hyperlink xmlns:r="http://schemas.openxmlformats.org/officeDocument/2006/relationships" ref="N1364" r:id="rId2433"/>
    <hyperlink xmlns:r="http://schemas.openxmlformats.org/officeDocument/2006/relationships" ref="L1365" r:id="rId2434"/>
    <hyperlink xmlns:r="http://schemas.openxmlformats.org/officeDocument/2006/relationships" ref="N1365" r:id="rId2435"/>
    <hyperlink xmlns:r="http://schemas.openxmlformats.org/officeDocument/2006/relationships" ref="L1366" r:id="rId2436"/>
    <hyperlink xmlns:r="http://schemas.openxmlformats.org/officeDocument/2006/relationships" ref="N1366" r:id="rId2437"/>
    <hyperlink xmlns:r="http://schemas.openxmlformats.org/officeDocument/2006/relationships" ref="L1367" r:id="rId2438"/>
    <hyperlink xmlns:r="http://schemas.openxmlformats.org/officeDocument/2006/relationships" ref="N1367" r:id="rId2439"/>
    <hyperlink xmlns:r="http://schemas.openxmlformats.org/officeDocument/2006/relationships" ref="L1368" r:id="rId2440"/>
    <hyperlink xmlns:r="http://schemas.openxmlformats.org/officeDocument/2006/relationships" ref="N1368" r:id="rId2441"/>
    <hyperlink xmlns:r="http://schemas.openxmlformats.org/officeDocument/2006/relationships" ref="L1369" r:id="rId2442"/>
    <hyperlink xmlns:r="http://schemas.openxmlformats.org/officeDocument/2006/relationships" ref="N1369" r:id="rId2443"/>
    <hyperlink xmlns:r="http://schemas.openxmlformats.org/officeDocument/2006/relationships" ref="L1370" r:id="rId2444"/>
    <hyperlink xmlns:r="http://schemas.openxmlformats.org/officeDocument/2006/relationships" ref="N1370" r:id="rId2445"/>
    <hyperlink xmlns:r="http://schemas.openxmlformats.org/officeDocument/2006/relationships" ref="L1371" r:id="rId2446"/>
    <hyperlink xmlns:r="http://schemas.openxmlformats.org/officeDocument/2006/relationships" ref="N1371" r:id="rId2447"/>
    <hyperlink xmlns:r="http://schemas.openxmlformats.org/officeDocument/2006/relationships" ref="L1372" r:id="rId2448"/>
    <hyperlink xmlns:r="http://schemas.openxmlformats.org/officeDocument/2006/relationships" ref="N1372" r:id="rId2449"/>
    <hyperlink xmlns:r="http://schemas.openxmlformats.org/officeDocument/2006/relationships" ref="L1373" r:id="rId2450"/>
    <hyperlink xmlns:r="http://schemas.openxmlformats.org/officeDocument/2006/relationships" ref="N1373" r:id="rId2451"/>
    <hyperlink xmlns:r="http://schemas.openxmlformats.org/officeDocument/2006/relationships" ref="L1374" r:id="rId2452"/>
    <hyperlink xmlns:r="http://schemas.openxmlformats.org/officeDocument/2006/relationships" ref="N1374" r:id="rId2453"/>
    <hyperlink xmlns:r="http://schemas.openxmlformats.org/officeDocument/2006/relationships" ref="L1375" r:id="rId2454"/>
    <hyperlink xmlns:r="http://schemas.openxmlformats.org/officeDocument/2006/relationships" ref="N1375" r:id="rId2455"/>
    <hyperlink xmlns:r="http://schemas.openxmlformats.org/officeDocument/2006/relationships" ref="L1376" r:id="rId2456"/>
    <hyperlink xmlns:r="http://schemas.openxmlformats.org/officeDocument/2006/relationships" ref="N1376" r:id="rId2457"/>
    <hyperlink xmlns:r="http://schemas.openxmlformats.org/officeDocument/2006/relationships" ref="L1377" r:id="rId2458"/>
    <hyperlink xmlns:r="http://schemas.openxmlformats.org/officeDocument/2006/relationships" ref="N1377" r:id="rId2459"/>
    <hyperlink xmlns:r="http://schemas.openxmlformats.org/officeDocument/2006/relationships" ref="L1378" r:id="rId2460"/>
    <hyperlink xmlns:r="http://schemas.openxmlformats.org/officeDocument/2006/relationships" ref="N1378" r:id="rId2461"/>
    <hyperlink xmlns:r="http://schemas.openxmlformats.org/officeDocument/2006/relationships" ref="L1379" r:id="rId2462"/>
    <hyperlink xmlns:r="http://schemas.openxmlformats.org/officeDocument/2006/relationships" ref="N1379" r:id="rId2463"/>
    <hyperlink xmlns:r="http://schemas.openxmlformats.org/officeDocument/2006/relationships" ref="L1380" r:id="rId2464"/>
    <hyperlink xmlns:r="http://schemas.openxmlformats.org/officeDocument/2006/relationships" ref="N1380" r:id="rId2465"/>
    <hyperlink xmlns:r="http://schemas.openxmlformats.org/officeDocument/2006/relationships" ref="L1381" r:id="rId2466"/>
    <hyperlink xmlns:r="http://schemas.openxmlformats.org/officeDocument/2006/relationships" ref="N1381" r:id="rId2467"/>
    <hyperlink xmlns:r="http://schemas.openxmlformats.org/officeDocument/2006/relationships" ref="L1382" r:id="rId2468"/>
    <hyperlink xmlns:r="http://schemas.openxmlformats.org/officeDocument/2006/relationships" ref="N1382" r:id="rId2469"/>
    <hyperlink xmlns:r="http://schemas.openxmlformats.org/officeDocument/2006/relationships" ref="L1383" r:id="rId2470"/>
    <hyperlink xmlns:r="http://schemas.openxmlformats.org/officeDocument/2006/relationships" ref="N1383" r:id="rId2471"/>
    <hyperlink xmlns:r="http://schemas.openxmlformats.org/officeDocument/2006/relationships" ref="L1384" r:id="rId2472"/>
    <hyperlink xmlns:r="http://schemas.openxmlformats.org/officeDocument/2006/relationships" ref="N1384" r:id="rId2473"/>
    <hyperlink xmlns:r="http://schemas.openxmlformats.org/officeDocument/2006/relationships" ref="L1385" r:id="rId2474"/>
    <hyperlink xmlns:r="http://schemas.openxmlformats.org/officeDocument/2006/relationships" ref="N1385" r:id="rId2475"/>
    <hyperlink xmlns:r="http://schemas.openxmlformats.org/officeDocument/2006/relationships" ref="L1386" r:id="rId2476"/>
    <hyperlink xmlns:r="http://schemas.openxmlformats.org/officeDocument/2006/relationships" ref="N1386" r:id="rId2477"/>
    <hyperlink xmlns:r="http://schemas.openxmlformats.org/officeDocument/2006/relationships" ref="L1387" r:id="rId2478"/>
    <hyperlink xmlns:r="http://schemas.openxmlformats.org/officeDocument/2006/relationships" ref="N1387" r:id="rId2479"/>
    <hyperlink xmlns:r="http://schemas.openxmlformats.org/officeDocument/2006/relationships" ref="L1388" r:id="rId2480"/>
    <hyperlink xmlns:r="http://schemas.openxmlformats.org/officeDocument/2006/relationships" ref="N1388" r:id="rId2481"/>
    <hyperlink xmlns:r="http://schemas.openxmlformats.org/officeDocument/2006/relationships" ref="L1389" r:id="rId2482"/>
    <hyperlink xmlns:r="http://schemas.openxmlformats.org/officeDocument/2006/relationships" ref="N1389" r:id="rId2483"/>
    <hyperlink xmlns:r="http://schemas.openxmlformats.org/officeDocument/2006/relationships" ref="L1390" r:id="rId2484"/>
    <hyperlink xmlns:r="http://schemas.openxmlformats.org/officeDocument/2006/relationships" ref="N1390" r:id="rId2485"/>
    <hyperlink xmlns:r="http://schemas.openxmlformats.org/officeDocument/2006/relationships" ref="L1391" r:id="rId2486"/>
    <hyperlink xmlns:r="http://schemas.openxmlformats.org/officeDocument/2006/relationships" ref="N1391" r:id="rId2487"/>
    <hyperlink xmlns:r="http://schemas.openxmlformats.org/officeDocument/2006/relationships" ref="L1392" r:id="rId2488"/>
    <hyperlink xmlns:r="http://schemas.openxmlformats.org/officeDocument/2006/relationships" ref="N1392" r:id="rId2489"/>
    <hyperlink xmlns:r="http://schemas.openxmlformats.org/officeDocument/2006/relationships" ref="L1393" r:id="rId2490"/>
    <hyperlink xmlns:r="http://schemas.openxmlformats.org/officeDocument/2006/relationships" ref="N1393" r:id="rId2491"/>
    <hyperlink xmlns:r="http://schemas.openxmlformats.org/officeDocument/2006/relationships" ref="L1394" r:id="rId2492"/>
    <hyperlink xmlns:r="http://schemas.openxmlformats.org/officeDocument/2006/relationships" ref="N1394" r:id="rId2493"/>
    <hyperlink xmlns:r="http://schemas.openxmlformats.org/officeDocument/2006/relationships" ref="L1395" r:id="rId2494"/>
    <hyperlink xmlns:r="http://schemas.openxmlformats.org/officeDocument/2006/relationships" ref="N1395" r:id="rId2495"/>
    <hyperlink xmlns:r="http://schemas.openxmlformats.org/officeDocument/2006/relationships" ref="L1396" r:id="rId2496"/>
    <hyperlink xmlns:r="http://schemas.openxmlformats.org/officeDocument/2006/relationships" ref="N1396" r:id="rId2497"/>
    <hyperlink xmlns:r="http://schemas.openxmlformats.org/officeDocument/2006/relationships" ref="L1397" r:id="rId2498"/>
    <hyperlink xmlns:r="http://schemas.openxmlformats.org/officeDocument/2006/relationships" ref="N1397" r:id="rId2499"/>
    <hyperlink xmlns:r="http://schemas.openxmlformats.org/officeDocument/2006/relationships" ref="L1398" r:id="rId2500"/>
    <hyperlink xmlns:r="http://schemas.openxmlformats.org/officeDocument/2006/relationships" ref="N1398" r:id="rId2501"/>
    <hyperlink xmlns:r="http://schemas.openxmlformats.org/officeDocument/2006/relationships" ref="L1399" r:id="rId2502"/>
    <hyperlink xmlns:r="http://schemas.openxmlformats.org/officeDocument/2006/relationships" ref="N1399" r:id="rId2503"/>
    <hyperlink xmlns:r="http://schemas.openxmlformats.org/officeDocument/2006/relationships" ref="L1400" r:id="rId2504"/>
    <hyperlink xmlns:r="http://schemas.openxmlformats.org/officeDocument/2006/relationships" ref="N1400" r:id="rId2505"/>
    <hyperlink xmlns:r="http://schemas.openxmlformats.org/officeDocument/2006/relationships" ref="L1401" r:id="rId2506"/>
    <hyperlink xmlns:r="http://schemas.openxmlformats.org/officeDocument/2006/relationships" ref="N1401" r:id="rId2507"/>
    <hyperlink xmlns:r="http://schemas.openxmlformats.org/officeDocument/2006/relationships" ref="L1402" r:id="rId2508"/>
    <hyperlink xmlns:r="http://schemas.openxmlformats.org/officeDocument/2006/relationships" ref="N1402" r:id="rId2509"/>
    <hyperlink xmlns:r="http://schemas.openxmlformats.org/officeDocument/2006/relationships" ref="L1403" r:id="rId2510"/>
    <hyperlink xmlns:r="http://schemas.openxmlformats.org/officeDocument/2006/relationships" ref="N1403" r:id="rId2511"/>
    <hyperlink xmlns:r="http://schemas.openxmlformats.org/officeDocument/2006/relationships" ref="L1404" r:id="rId2512"/>
    <hyperlink xmlns:r="http://schemas.openxmlformats.org/officeDocument/2006/relationships" ref="N1404" r:id="rId2513"/>
    <hyperlink xmlns:r="http://schemas.openxmlformats.org/officeDocument/2006/relationships" ref="L1405" r:id="rId2514"/>
    <hyperlink xmlns:r="http://schemas.openxmlformats.org/officeDocument/2006/relationships" ref="N1405" r:id="rId2515"/>
    <hyperlink xmlns:r="http://schemas.openxmlformats.org/officeDocument/2006/relationships" ref="L1406" r:id="rId2516"/>
    <hyperlink xmlns:r="http://schemas.openxmlformats.org/officeDocument/2006/relationships" ref="N1406" r:id="rId2517"/>
    <hyperlink xmlns:r="http://schemas.openxmlformats.org/officeDocument/2006/relationships" ref="L1407" r:id="rId2518"/>
    <hyperlink xmlns:r="http://schemas.openxmlformats.org/officeDocument/2006/relationships" ref="N1407" r:id="rId2519"/>
    <hyperlink xmlns:r="http://schemas.openxmlformats.org/officeDocument/2006/relationships" ref="L1408" r:id="rId2520"/>
    <hyperlink xmlns:r="http://schemas.openxmlformats.org/officeDocument/2006/relationships" ref="N1408" r:id="rId2521"/>
    <hyperlink xmlns:r="http://schemas.openxmlformats.org/officeDocument/2006/relationships" ref="L1409" r:id="rId2522"/>
    <hyperlink xmlns:r="http://schemas.openxmlformats.org/officeDocument/2006/relationships" ref="N1409" r:id="rId2523"/>
    <hyperlink xmlns:r="http://schemas.openxmlformats.org/officeDocument/2006/relationships" ref="L1410" r:id="rId2524"/>
    <hyperlink xmlns:r="http://schemas.openxmlformats.org/officeDocument/2006/relationships" ref="N1410" r:id="rId2525"/>
    <hyperlink xmlns:r="http://schemas.openxmlformats.org/officeDocument/2006/relationships" ref="L1411" r:id="rId2526"/>
    <hyperlink xmlns:r="http://schemas.openxmlformats.org/officeDocument/2006/relationships" ref="N1411" r:id="rId2527"/>
    <hyperlink xmlns:r="http://schemas.openxmlformats.org/officeDocument/2006/relationships" ref="L1412" r:id="rId2528"/>
    <hyperlink xmlns:r="http://schemas.openxmlformats.org/officeDocument/2006/relationships" ref="N1412" r:id="rId2529"/>
    <hyperlink xmlns:r="http://schemas.openxmlformats.org/officeDocument/2006/relationships" ref="L1413" r:id="rId2530"/>
    <hyperlink xmlns:r="http://schemas.openxmlformats.org/officeDocument/2006/relationships" ref="N1413" r:id="rId2531"/>
    <hyperlink xmlns:r="http://schemas.openxmlformats.org/officeDocument/2006/relationships" ref="L1414" r:id="rId2532"/>
    <hyperlink xmlns:r="http://schemas.openxmlformats.org/officeDocument/2006/relationships" ref="N1414" r:id="rId2533"/>
    <hyperlink xmlns:r="http://schemas.openxmlformats.org/officeDocument/2006/relationships" ref="L1415" r:id="rId2534"/>
    <hyperlink xmlns:r="http://schemas.openxmlformats.org/officeDocument/2006/relationships" ref="N1415" r:id="rId2535"/>
    <hyperlink xmlns:r="http://schemas.openxmlformats.org/officeDocument/2006/relationships" ref="L1416" r:id="rId2536"/>
    <hyperlink xmlns:r="http://schemas.openxmlformats.org/officeDocument/2006/relationships" ref="N1416" r:id="rId2537"/>
    <hyperlink xmlns:r="http://schemas.openxmlformats.org/officeDocument/2006/relationships" ref="L1417" r:id="rId2538"/>
    <hyperlink xmlns:r="http://schemas.openxmlformats.org/officeDocument/2006/relationships" ref="N1417" r:id="rId2539"/>
    <hyperlink xmlns:r="http://schemas.openxmlformats.org/officeDocument/2006/relationships" ref="L1418" r:id="rId2540"/>
    <hyperlink xmlns:r="http://schemas.openxmlformats.org/officeDocument/2006/relationships" ref="N1418" r:id="rId2541"/>
    <hyperlink xmlns:r="http://schemas.openxmlformats.org/officeDocument/2006/relationships" ref="L1419" r:id="rId2542"/>
    <hyperlink xmlns:r="http://schemas.openxmlformats.org/officeDocument/2006/relationships" ref="N1419" r:id="rId2543"/>
    <hyperlink xmlns:r="http://schemas.openxmlformats.org/officeDocument/2006/relationships" ref="L1420" r:id="rId2544"/>
    <hyperlink xmlns:r="http://schemas.openxmlformats.org/officeDocument/2006/relationships" ref="N1420" r:id="rId2545"/>
    <hyperlink xmlns:r="http://schemas.openxmlformats.org/officeDocument/2006/relationships" ref="L1421" r:id="rId2546"/>
    <hyperlink xmlns:r="http://schemas.openxmlformats.org/officeDocument/2006/relationships" ref="N1421" r:id="rId2547"/>
    <hyperlink xmlns:r="http://schemas.openxmlformats.org/officeDocument/2006/relationships" ref="L1422" r:id="rId2548"/>
    <hyperlink xmlns:r="http://schemas.openxmlformats.org/officeDocument/2006/relationships" ref="N1422" r:id="rId2549"/>
    <hyperlink xmlns:r="http://schemas.openxmlformats.org/officeDocument/2006/relationships" ref="L1423" r:id="rId2550"/>
    <hyperlink xmlns:r="http://schemas.openxmlformats.org/officeDocument/2006/relationships" ref="N1423" r:id="rId2551"/>
    <hyperlink xmlns:r="http://schemas.openxmlformats.org/officeDocument/2006/relationships" ref="L1424" r:id="rId2552"/>
    <hyperlink xmlns:r="http://schemas.openxmlformats.org/officeDocument/2006/relationships" ref="N1424" r:id="rId2553"/>
    <hyperlink xmlns:r="http://schemas.openxmlformats.org/officeDocument/2006/relationships" ref="L1425" r:id="rId2554"/>
    <hyperlink xmlns:r="http://schemas.openxmlformats.org/officeDocument/2006/relationships" ref="N1425" r:id="rId2555"/>
    <hyperlink xmlns:r="http://schemas.openxmlformats.org/officeDocument/2006/relationships" ref="L1426" r:id="rId2556"/>
    <hyperlink xmlns:r="http://schemas.openxmlformats.org/officeDocument/2006/relationships" ref="N1426" r:id="rId2557"/>
    <hyperlink xmlns:r="http://schemas.openxmlformats.org/officeDocument/2006/relationships" ref="L1427" r:id="rId2558"/>
    <hyperlink xmlns:r="http://schemas.openxmlformats.org/officeDocument/2006/relationships" ref="N1427" r:id="rId2559"/>
    <hyperlink xmlns:r="http://schemas.openxmlformats.org/officeDocument/2006/relationships" ref="L1428" r:id="rId2560"/>
    <hyperlink xmlns:r="http://schemas.openxmlformats.org/officeDocument/2006/relationships" ref="N1428" r:id="rId2561"/>
    <hyperlink xmlns:r="http://schemas.openxmlformats.org/officeDocument/2006/relationships" ref="L1429" r:id="rId2562"/>
    <hyperlink xmlns:r="http://schemas.openxmlformats.org/officeDocument/2006/relationships" ref="N1429" r:id="rId2563"/>
    <hyperlink xmlns:r="http://schemas.openxmlformats.org/officeDocument/2006/relationships" ref="L1430" r:id="rId2564"/>
    <hyperlink xmlns:r="http://schemas.openxmlformats.org/officeDocument/2006/relationships" ref="N1430" r:id="rId2565"/>
    <hyperlink xmlns:r="http://schemas.openxmlformats.org/officeDocument/2006/relationships" ref="L1431" r:id="rId2566"/>
    <hyperlink xmlns:r="http://schemas.openxmlformats.org/officeDocument/2006/relationships" ref="N1431" r:id="rId2567"/>
    <hyperlink xmlns:r="http://schemas.openxmlformats.org/officeDocument/2006/relationships" ref="L1432" r:id="rId2568"/>
    <hyperlink xmlns:r="http://schemas.openxmlformats.org/officeDocument/2006/relationships" ref="N1432" r:id="rId2569"/>
    <hyperlink xmlns:r="http://schemas.openxmlformats.org/officeDocument/2006/relationships" ref="L1433" r:id="rId2570"/>
    <hyperlink xmlns:r="http://schemas.openxmlformats.org/officeDocument/2006/relationships" ref="N1433" r:id="rId2571"/>
    <hyperlink xmlns:r="http://schemas.openxmlformats.org/officeDocument/2006/relationships" ref="L1434" r:id="rId2572"/>
    <hyperlink xmlns:r="http://schemas.openxmlformats.org/officeDocument/2006/relationships" ref="N1434" r:id="rId2573"/>
    <hyperlink xmlns:r="http://schemas.openxmlformats.org/officeDocument/2006/relationships" ref="L1435" r:id="rId2574"/>
    <hyperlink xmlns:r="http://schemas.openxmlformats.org/officeDocument/2006/relationships" ref="N1435" r:id="rId2575"/>
    <hyperlink xmlns:r="http://schemas.openxmlformats.org/officeDocument/2006/relationships" ref="L1436" r:id="rId2576"/>
    <hyperlink xmlns:r="http://schemas.openxmlformats.org/officeDocument/2006/relationships" ref="N1436" r:id="rId2577"/>
    <hyperlink xmlns:r="http://schemas.openxmlformats.org/officeDocument/2006/relationships" ref="L1437" r:id="rId2578"/>
    <hyperlink xmlns:r="http://schemas.openxmlformats.org/officeDocument/2006/relationships" ref="N1437" r:id="rId2579"/>
    <hyperlink xmlns:r="http://schemas.openxmlformats.org/officeDocument/2006/relationships" ref="L1438" r:id="rId2580"/>
    <hyperlink xmlns:r="http://schemas.openxmlformats.org/officeDocument/2006/relationships" ref="N1438" r:id="rId2581"/>
    <hyperlink xmlns:r="http://schemas.openxmlformats.org/officeDocument/2006/relationships" ref="L1439" r:id="rId2582"/>
    <hyperlink xmlns:r="http://schemas.openxmlformats.org/officeDocument/2006/relationships" ref="L1440" r:id="rId2583"/>
    <hyperlink xmlns:r="http://schemas.openxmlformats.org/officeDocument/2006/relationships" ref="L1441" r:id="rId2584"/>
    <hyperlink xmlns:r="http://schemas.openxmlformats.org/officeDocument/2006/relationships" ref="L1442" r:id="rId2585"/>
    <hyperlink xmlns:r="http://schemas.openxmlformats.org/officeDocument/2006/relationships" ref="L1443" r:id="rId2586"/>
    <hyperlink xmlns:r="http://schemas.openxmlformats.org/officeDocument/2006/relationships" ref="L1444" r:id="rId2587"/>
    <hyperlink xmlns:r="http://schemas.openxmlformats.org/officeDocument/2006/relationships" ref="L1445" r:id="rId2588"/>
    <hyperlink xmlns:r="http://schemas.openxmlformats.org/officeDocument/2006/relationships" ref="L1446" r:id="rId2589"/>
    <hyperlink xmlns:r="http://schemas.openxmlformats.org/officeDocument/2006/relationships" ref="L1447" r:id="rId2590"/>
    <hyperlink xmlns:r="http://schemas.openxmlformats.org/officeDocument/2006/relationships" ref="L1448" r:id="rId2591"/>
    <hyperlink xmlns:r="http://schemas.openxmlformats.org/officeDocument/2006/relationships" ref="L1449" r:id="rId2592"/>
    <hyperlink xmlns:r="http://schemas.openxmlformats.org/officeDocument/2006/relationships" ref="L1450" r:id="rId2593"/>
    <hyperlink xmlns:r="http://schemas.openxmlformats.org/officeDocument/2006/relationships" ref="L1451" r:id="rId2594"/>
    <hyperlink xmlns:r="http://schemas.openxmlformats.org/officeDocument/2006/relationships" ref="L1452" r:id="rId2595"/>
    <hyperlink xmlns:r="http://schemas.openxmlformats.org/officeDocument/2006/relationships" ref="L1453" r:id="rId2596"/>
    <hyperlink xmlns:r="http://schemas.openxmlformats.org/officeDocument/2006/relationships" ref="L1454" r:id="rId2597"/>
    <hyperlink xmlns:r="http://schemas.openxmlformats.org/officeDocument/2006/relationships" ref="L1455" r:id="rId2598"/>
    <hyperlink xmlns:r="http://schemas.openxmlformats.org/officeDocument/2006/relationships" ref="L1456" r:id="rId2599"/>
    <hyperlink xmlns:r="http://schemas.openxmlformats.org/officeDocument/2006/relationships" ref="L1457" r:id="rId2600"/>
    <hyperlink xmlns:r="http://schemas.openxmlformats.org/officeDocument/2006/relationships" ref="L1458" r:id="rId2601"/>
    <hyperlink xmlns:r="http://schemas.openxmlformats.org/officeDocument/2006/relationships" ref="L1459" r:id="rId2602"/>
    <hyperlink xmlns:r="http://schemas.openxmlformats.org/officeDocument/2006/relationships" ref="L1460" r:id="rId2603"/>
    <hyperlink xmlns:r="http://schemas.openxmlformats.org/officeDocument/2006/relationships" ref="L1461" r:id="rId2604"/>
    <hyperlink xmlns:r="http://schemas.openxmlformats.org/officeDocument/2006/relationships" ref="L1462" r:id="rId2605"/>
    <hyperlink xmlns:r="http://schemas.openxmlformats.org/officeDocument/2006/relationships" ref="L1463" r:id="rId2606"/>
    <hyperlink xmlns:r="http://schemas.openxmlformats.org/officeDocument/2006/relationships" ref="L1464" r:id="rId2607"/>
    <hyperlink xmlns:r="http://schemas.openxmlformats.org/officeDocument/2006/relationships" ref="L1465" r:id="rId2608"/>
    <hyperlink xmlns:r="http://schemas.openxmlformats.org/officeDocument/2006/relationships" ref="L1466" r:id="rId2609"/>
    <hyperlink xmlns:r="http://schemas.openxmlformats.org/officeDocument/2006/relationships" ref="L1467" r:id="rId2610"/>
    <hyperlink xmlns:r="http://schemas.openxmlformats.org/officeDocument/2006/relationships" ref="L1468" r:id="rId2611"/>
    <hyperlink xmlns:r="http://schemas.openxmlformats.org/officeDocument/2006/relationships" ref="L1469" r:id="rId2612"/>
    <hyperlink xmlns:r="http://schemas.openxmlformats.org/officeDocument/2006/relationships" ref="L1470" r:id="rId2613"/>
    <hyperlink xmlns:r="http://schemas.openxmlformats.org/officeDocument/2006/relationships" ref="L1471" r:id="rId2614"/>
    <hyperlink xmlns:r="http://schemas.openxmlformats.org/officeDocument/2006/relationships" ref="L1472" r:id="rId2615"/>
    <hyperlink xmlns:r="http://schemas.openxmlformats.org/officeDocument/2006/relationships" ref="L1473" r:id="rId2616"/>
    <hyperlink xmlns:r="http://schemas.openxmlformats.org/officeDocument/2006/relationships" ref="L1474" r:id="rId2617"/>
    <hyperlink xmlns:r="http://schemas.openxmlformats.org/officeDocument/2006/relationships" ref="L1475" r:id="rId2618"/>
    <hyperlink xmlns:r="http://schemas.openxmlformats.org/officeDocument/2006/relationships" ref="L1476" r:id="rId2619"/>
    <hyperlink xmlns:r="http://schemas.openxmlformats.org/officeDocument/2006/relationships" ref="L1477" r:id="rId2620"/>
    <hyperlink xmlns:r="http://schemas.openxmlformats.org/officeDocument/2006/relationships" ref="L1478" r:id="rId2621"/>
    <hyperlink xmlns:r="http://schemas.openxmlformats.org/officeDocument/2006/relationships" ref="L1479" r:id="rId2622"/>
    <hyperlink xmlns:r="http://schemas.openxmlformats.org/officeDocument/2006/relationships" ref="L1480" r:id="rId2623"/>
    <hyperlink xmlns:r="http://schemas.openxmlformats.org/officeDocument/2006/relationships" ref="L1481" r:id="rId2624"/>
    <hyperlink xmlns:r="http://schemas.openxmlformats.org/officeDocument/2006/relationships" ref="L1482" r:id="rId2625"/>
    <hyperlink xmlns:r="http://schemas.openxmlformats.org/officeDocument/2006/relationships" ref="L1483" r:id="rId2626"/>
    <hyperlink xmlns:r="http://schemas.openxmlformats.org/officeDocument/2006/relationships" ref="L1484" r:id="rId2627"/>
    <hyperlink xmlns:r="http://schemas.openxmlformats.org/officeDocument/2006/relationships" ref="L1485" r:id="rId2628"/>
    <hyperlink xmlns:r="http://schemas.openxmlformats.org/officeDocument/2006/relationships" ref="L1486" r:id="rId2629"/>
    <hyperlink xmlns:r="http://schemas.openxmlformats.org/officeDocument/2006/relationships" ref="L1487" r:id="rId2630"/>
    <hyperlink xmlns:r="http://schemas.openxmlformats.org/officeDocument/2006/relationships" ref="L1488" r:id="rId2631"/>
    <hyperlink xmlns:r="http://schemas.openxmlformats.org/officeDocument/2006/relationships" ref="L1489" r:id="rId2632"/>
    <hyperlink xmlns:r="http://schemas.openxmlformats.org/officeDocument/2006/relationships" ref="L1490" r:id="rId2633"/>
    <hyperlink xmlns:r="http://schemas.openxmlformats.org/officeDocument/2006/relationships" ref="L1491" r:id="rId2634"/>
    <hyperlink xmlns:r="http://schemas.openxmlformats.org/officeDocument/2006/relationships" ref="L1492" r:id="rId2635"/>
    <hyperlink xmlns:r="http://schemas.openxmlformats.org/officeDocument/2006/relationships" ref="L1493" r:id="rId2636"/>
    <hyperlink xmlns:r="http://schemas.openxmlformats.org/officeDocument/2006/relationships" ref="L1494" r:id="rId2637"/>
    <hyperlink xmlns:r="http://schemas.openxmlformats.org/officeDocument/2006/relationships" ref="L1495" r:id="rId2638"/>
    <hyperlink xmlns:r="http://schemas.openxmlformats.org/officeDocument/2006/relationships" ref="L1496" r:id="rId2639"/>
    <hyperlink xmlns:r="http://schemas.openxmlformats.org/officeDocument/2006/relationships" ref="L1497" r:id="rId2640"/>
    <hyperlink xmlns:r="http://schemas.openxmlformats.org/officeDocument/2006/relationships" ref="L1498" r:id="rId2641"/>
    <hyperlink xmlns:r="http://schemas.openxmlformats.org/officeDocument/2006/relationships" ref="L1499" r:id="rId2642"/>
    <hyperlink xmlns:r="http://schemas.openxmlformats.org/officeDocument/2006/relationships" ref="L1500" r:id="rId2643"/>
    <hyperlink xmlns:r="http://schemas.openxmlformats.org/officeDocument/2006/relationships" ref="L1501" r:id="rId2644"/>
    <hyperlink xmlns:r="http://schemas.openxmlformats.org/officeDocument/2006/relationships" ref="L1502" r:id="rId2645"/>
    <hyperlink xmlns:r="http://schemas.openxmlformats.org/officeDocument/2006/relationships" ref="L1503" r:id="rId2646"/>
    <hyperlink xmlns:r="http://schemas.openxmlformats.org/officeDocument/2006/relationships" ref="L1504" r:id="rId2647"/>
    <hyperlink xmlns:r="http://schemas.openxmlformats.org/officeDocument/2006/relationships" ref="L1505" r:id="rId2648"/>
    <hyperlink xmlns:r="http://schemas.openxmlformats.org/officeDocument/2006/relationships" ref="L1506" r:id="rId2649"/>
    <hyperlink xmlns:r="http://schemas.openxmlformats.org/officeDocument/2006/relationships" ref="L1507" r:id="rId2650"/>
    <hyperlink xmlns:r="http://schemas.openxmlformats.org/officeDocument/2006/relationships" ref="L1508" r:id="rId2651"/>
    <hyperlink xmlns:r="http://schemas.openxmlformats.org/officeDocument/2006/relationships" ref="L1509" r:id="rId2652"/>
    <hyperlink xmlns:r="http://schemas.openxmlformats.org/officeDocument/2006/relationships" ref="L1510" r:id="rId2653"/>
    <hyperlink xmlns:r="http://schemas.openxmlformats.org/officeDocument/2006/relationships" ref="L1511" r:id="rId2654"/>
    <hyperlink xmlns:r="http://schemas.openxmlformats.org/officeDocument/2006/relationships" ref="L1512" r:id="rId2655"/>
    <hyperlink xmlns:r="http://schemas.openxmlformats.org/officeDocument/2006/relationships" ref="L1513" r:id="rId2656"/>
    <hyperlink xmlns:r="http://schemas.openxmlformats.org/officeDocument/2006/relationships" ref="L1514" r:id="rId2657"/>
    <hyperlink xmlns:r="http://schemas.openxmlformats.org/officeDocument/2006/relationships" ref="L1515" r:id="rId2658"/>
    <hyperlink xmlns:r="http://schemas.openxmlformats.org/officeDocument/2006/relationships" ref="L1516" r:id="rId2659"/>
    <hyperlink xmlns:r="http://schemas.openxmlformats.org/officeDocument/2006/relationships" ref="L1517" r:id="rId2660"/>
    <hyperlink xmlns:r="http://schemas.openxmlformats.org/officeDocument/2006/relationships" ref="L1518" r:id="rId2661"/>
    <hyperlink xmlns:r="http://schemas.openxmlformats.org/officeDocument/2006/relationships" ref="L1519" r:id="rId2662"/>
    <hyperlink xmlns:r="http://schemas.openxmlformats.org/officeDocument/2006/relationships" ref="L1520" r:id="rId2663"/>
    <hyperlink xmlns:r="http://schemas.openxmlformats.org/officeDocument/2006/relationships" ref="L1521" r:id="rId2664"/>
    <hyperlink xmlns:r="http://schemas.openxmlformats.org/officeDocument/2006/relationships" ref="L1522" r:id="rId2665"/>
    <hyperlink xmlns:r="http://schemas.openxmlformats.org/officeDocument/2006/relationships" ref="L1523" r:id="rId2666"/>
    <hyperlink xmlns:r="http://schemas.openxmlformats.org/officeDocument/2006/relationships" ref="L1524" r:id="rId2667"/>
    <hyperlink xmlns:r="http://schemas.openxmlformats.org/officeDocument/2006/relationships" ref="L1525" r:id="rId2668"/>
    <hyperlink xmlns:r="http://schemas.openxmlformats.org/officeDocument/2006/relationships" ref="L1526" r:id="rId2669"/>
    <hyperlink xmlns:r="http://schemas.openxmlformats.org/officeDocument/2006/relationships" ref="L1527" r:id="rId2670"/>
    <hyperlink xmlns:r="http://schemas.openxmlformats.org/officeDocument/2006/relationships" ref="L1528" r:id="rId2671"/>
    <hyperlink xmlns:r="http://schemas.openxmlformats.org/officeDocument/2006/relationships" ref="L1529" r:id="rId2672"/>
    <hyperlink xmlns:r="http://schemas.openxmlformats.org/officeDocument/2006/relationships" ref="L1530" r:id="rId2673"/>
    <hyperlink xmlns:r="http://schemas.openxmlformats.org/officeDocument/2006/relationships" ref="L1531" r:id="rId2674"/>
    <hyperlink xmlns:r="http://schemas.openxmlformats.org/officeDocument/2006/relationships" ref="L1532" r:id="rId2675"/>
    <hyperlink xmlns:r="http://schemas.openxmlformats.org/officeDocument/2006/relationships" ref="L1533" r:id="rId2676"/>
    <hyperlink xmlns:r="http://schemas.openxmlformats.org/officeDocument/2006/relationships" ref="L1534" r:id="rId2677"/>
    <hyperlink xmlns:r="http://schemas.openxmlformats.org/officeDocument/2006/relationships" ref="L1535" r:id="rId2678"/>
    <hyperlink xmlns:r="http://schemas.openxmlformats.org/officeDocument/2006/relationships" ref="L1536" r:id="rId2679"/>
    <hyperlink xmlns:r="http://schemas.openxmlformats.org/officeDocument/2006/relationships" ref="L1537" r:id="rId2680"/>
    <hyperlink xmlns:r="http://schemas.openxmlformats.org/officeDocument/2006/relationships" ref="L1538" r:id="rId2681"/>
    <hyperlink xmlns:r="http://schemas.openxmlformats.org/officeDocument/2006/relationships" ref="L1539" r:id="rId2682"/>
    <hyperlink xmlns:r="http://schemas.openxmlformats.org/officeDocument/2006/relationships" ref="L1540" r:id="rId2683"/>
    <hyperlink xmlns:r="http://schemas.openxmlformats.org/officeDocument/2006/relationships" ref="L1541" r:id="rId2684"/>
    <hyperlink xmlns:r="http://schemas.openxmlformats.org/officeDocument/2006/relationships" ref="L1542" r:id="rId2685"/>
    <hyperlink xmlns:r="http://schemas.openxmlformats.org/officeDocument/2006/relationships" ref="L1543" r:id="rId2686"/>
    <hyperlink xmlns:r="http://schemas.openxmlformats.org/officeDocument/2006/relationships" ref="L1544" r:id="rId2687"/>
    <hyperlink xmlns:r="http://schemas.openxmlformats.org/officeDocument/2006/relationships" ref="L1545" r:id="rId2688"/>
    <hyperlink xmlns:r="http://schemas.openxmlformats.org/officeDocument/2006/relationships" ref="L1546" r:id="rId2689"/>
    <hyperlink xmlns:r="http://schemas.openxmlformats.org/officeDocument/2006/relationships" ref="L1547" r:id="rId2690"/>
    <hyperlink xmlns:r="http://schemas.openxmlformats.org/officeDocument/2006/relationships" ref="L1548" r:id="rId2691"/>
    <hyperlink xmlns:r="http://schemas.openxmlformats.org/officeDocument/2006/relationships" ref="L1549" r:id="rId2692"/>
    <hyperlink xmlns:r="http://schemas.openxmlformats.org/officeDocument/2006/relationships" ref="L1550" r:id="rId2693"/>
    <hyperlink xmlns:r="http://schemas.openxmlformats.org/officeDocument/2006/relationships" ref="L1551" r:id="rId2694"/>
    <hyperlink xmlns:r="http://schemas.openxmlformats.org/officeDocument/2006/relationships" ref="L1552" r:id="rId2695"/>
    <hyperlink xmlns:r="http://schemas.openxmlformats.org/officeDocument/2006/relationships" ref="L1553" r:id="rId2696"/>
    <hyperlink xmlns:r="http://schemas.openxmlformats.org/officeDocument/2006/relationships" ref="L1554" r:id="rId2697"/>
    <hyperlink xmlns:r="http://schemas.openxmlformats.org/officeDocument/2006/relationships" ref="L1555" r:id="rId2698"/>
    <hyperlink xmlns:r="http://schemas.openxmlformats.org/officeDocument/2006/relationships" ref="L1556" r:id="rId2699"/>
    <hyperlink xmlns:r="http://schemas.openxmlformats.org/officeDocument/2006/relationships" ref="L1557" r:id="rId2700"/>
    <hyperlink xmlns:r="http://schemas.openxmlformats.org/officeDocument/2006/relationships" ref="L1558" r:id="rId2701"/>
    <hyperlink xmlns:r="http://schemas.openxmlformats.org/officeDocument/2006/relationships" ref="L1559" r:id="rId2702"/>
    <hyperlink xmlns:r="http://schemas.openxmlformats.org/officeDocument/2006/relationships" ref="L1560" r:id="rId2703"/>
    <hyperlink xmlns:r="http://schemas.openxmlformats.org/officeDocument/2006/relationships" ref="L1561" r:id="rId2704"/>
    <hyperlink xmlns:r="http://schemas.openxmlformats.org/officeDocument/2006/relationships" ref="L1562" r:id="rId2705"/>
    <hyperlink xmlns:r="http://schemas.openxmlformats.org/officeDocument/2006/relationships" ref="L1563" r:id="rId2706"/>
    <hyperlink xmlns:r="http://schemas.openxmlformats.org/officeDocument/2006/relationships" ref="L1564" r:id="rId2707"/>
    <hyperlink xmlns:r="http://schemas.openxmlformats.org/officeDocument/2006/relationships" ref="L1565" r:id="rId2708"/>
    <hyperlink xmlns:r="http://schemas.openxmlformats.org/officeDocument/2006/relationships" ref="L1566" r:id="rId2709"/>
    <hyperlink xmlns:r="http://schemas.openxmlformats.org/officeDocument/2006/relationships" ref="L1567" r:id="rId2710"/>
    <hyperlink xmlns:r="http://schemas.openxmlformats.org/officeDocument/2006/relationships" ref="L1568" r:id="rId2711"/>
    <hyperlink xmlns:r="http://schemas.openxmlformats.org/officeDocument/2006/relationships" ref="L1569" r:id="rId2712"/>
    <hyperlink xmlns:r="http://schemas.openxmlformats.org/officeDocument/2006/relationships" ref="L1570" r:id="rId2713"/>
    <hyperlink xmlns:r="http://schemas.openxmlformats.org/officeDocument/2006/relationships" ref="L1571" r:id="rId2714"/>
    <hyperlink xmlns:r="http://schemas.openxmlformats.org/officeDocument/2006/relationships" ref="L1572" r:id="rId2715"/>
    <hyperlink xmlns:r="http://schemas.openxmlformats.org/officeDocument/2006/relationships" ref="L1573" r:id="rId2716"/>
    <hyperlink xmlns:r="http://schemas.openxmlformats.org/officeDocument/2006/relationships" ref="L1574" r:id="rId2717"/>
    <hyperlink xmlns:r="http://schemas.openxmlformats.org/officeDocument/2006/relationships" ref="L1575" r:id="rId2718"/>
    <hyperlink xmlns:r="http://schemas.openxmlformats.org/officeDocument/2006/relationships" ref="L1576" r:id="rId2719"/>
    <hyperlink xmlns:r="http://schemas.openxmlformats.org/officeDocument/2006/relationships" ref="L1577" r:id="rId2720"/>
    <hyperlink xmlns:r="http://schemas.openxmlformats.org/officeDocument/2006/relationships" ref="L1578" r:id="rId2721"/>
    <hyperlink xmlns:r="http://schemas.openxmlformats.org/officeDocument/2006/relationships" ref="L1579" r:id="rId2722"/>
    <hyperlink xmlns:r="http://schemas.openxmlformats.org/officeDocument/2006/relationships" ref="L1580" r:id="rId2723"/>
    <hyperlink xmlns:r="http://schemas.openxmlformats.org/officeDocument/2006/relationships" ref="L1581" r:id="rId2724"/>
    <hyperlink xmlns:r="http://schemas.openxmlformats.org/officeDocument/2006/relationships" ref="L1582" r:id="rId2725"/>
    <hyperlink xmlns:r="http://schemas.openxmlformats.org/officeDocument/2006/relationships" ref="L1583" r:id="rId2726"/>
    <hyperlink xmlns:r="http://schemas.openxmlformats.org/officeDocument/2006/relationships" ref="L1584" r:id="rId2727"/>
    <hyperlink xmlns:r="http://schemas.openxmlformats.org/officeDocument/2006/relationships" ref="L1585" r:id="rId2728"/>
    <hyperlink xmlns:r="http://schemas.openxmlformats.org/officeDocument/2006/relationships" ref="L1586" r:id="rId2729"/>
    <hyperlink xmlns:r="http://schemas.openxmlformats.org/officeDocument/2006/relationships" ref="L1587" r:id="rId2730"/>
    <hyperlink xmlns:r="http://schemas.openxmlformats.org/officeDocument/2006/relationships" ref="L1588" r:id="rId2731"/>
    <hyperlink xmlns:r="http://schemas.openxmlformats.org/officeDocument/2006/relationships" ref="L1589" r:id="rId2732"/>
    <hyperlink xmlns:r="http://schemas.openxmlformats.org/officeDocument/2006/relationships" ref="L1590" r:id="rId2733"/>
    <hyperlink xmlns:r="http://schemas.openxmlformats.org/officeDocument/2006/relationships" ref="L1591" r:id="rId2734"/>
    <hyperlink xmlns:r="http://schemas.openxmlformats.org/officeDocument/2006/relationships" ref="L1592" r:id="rId2735"/>
    <hyperlink xmlns:r="http://schemas.openxmlformats.org/officeDocument/2006/relationships" ref="L1593" r:id="rId2736"/>
    <hyperlink xmlns:r="http://schemas.openxmlformats.org/officeDocument/2006/relationships" ref="L1594" r:id="rId2737"/>
    <hyperlink xmlns:r="http://schemas.openxmlformats.org/officeDocument/2006/relationships" ref="L1595" r:id="rId2738"/>
    <hyperlink xmlns:r="http://schemas.openxmlformats.org/officeDocument/2006/relationships" ref="L1596" r:id="rId2739"/>
    <hyperlink xmlns:r="http://schemas.openxmlformats.org/officeDocument/2006/relationships" ref="L1597" r:id="rId2740"/>
    <hyperlink xmlns:r="http://schemas.openxmlformats.org/officeDocument/2006/relationships" ref="L1598" r:id="rId2741"/>
    <hyperlink xmlns:r="http://schemas.openxmlformats.org/officeDocument/2006/relationships" ref="L1599" r:id="rId2742"/>
    <hyperlink xmlns:r="http://schemas.openxmlformats.org/officeDocument/2006/relationships" ref="L1600" r:id="rId2743"/>
    <hyperlink xmlns:r="http://schemas.openxmlformats.org/officeDocument/2006/relationships" ref="L1601" r:id="rId2744"/>
    <hyperlink xmlns:r="http://schemas.openxmlformats.org/officeDocument/2006/relationships" ref="L1602" r:id="rId2745"/>
    <hyperlink xmlns:r="http://schemas.openxmlformats.org/officeDocument/2006/relationships" ref="L1603" r:id="rId2746"/>
    <hyperlink xmlns:r="http://schemas.openxmlformats.org/officeDocument/2006/relationships" ref="L1604" r:id="rId2747"/>
    <hyperlink xmlns:r="http://schemas.openxmlformats.org/officeDocument/2006/relationships" ref="L1605" r:id="rId2748"/>
    <hyperlink xmlns:r="http://schemas.openxmlformats.org/officeDocument/2006/relationships" ref="L1606" r:id="rId2749"/>
    <hyperlink xmlns:r="http://schemas.openxmlformats.org/officeDocument/2006/relationships" ref="L1607" r:id="rId2750"/>
    <hyperlink xmlns:r="http://schemas.openxmlformats.org/officeDocument/2006/relationships" ref="L1608" r:id="rId2751"/>
    <hyperlink xmlns:r="http://schemas.openxmlformats.org/officeDocument/2006/relationships" ref="L1609" r:id="rId2752"/>
    <hyperlink xmlns:r="http://schemas.openxmlformats.org/officeDocument/2006/relationships" ref="L1610" r:id="rId2753"/>
    <hyperlink xmlns:r="http://schemas.openxmlformats.org/officeDocument/2006/relationships" ref="L1611" r:id="rId2754"/>
    <hyperlink xmlns:r="http://schemas.openxmlformats.org/officeDocument/2006/relationships" ref="L1612" r:id="rId2755"/>
    <hyperlink xmlns:r="http://schemas.openxmlformats.org/officeDocument/2006/relationships" ref="L1613" r:id="rId2756"/>
    <hyperlink xmlns:r="http://schemas.openxmlformats.org/officeDocument/2006/relationships" ref="L1614" r:id="rId2757"/>
    <hyperlink xmlns:r="http://schemas.openxmlformats.org/officeDocument/2006/relationships" ref="L1615" r:id="rId2758"/>
    <hyperlink xmlns:r="http://schemas.openxmlformats.org/officeDocument/2006/relationships" ref="L1616" r:id="rId2759"/>
    <hyperlink xmlns:r="http://schemas.openxmlformats.org/officeDocument/2006/relationships" ref="L1617" r:id="rId2760"/>
    <hyperlink xmlns:r="http://schemas.openxmlformats.org/officeDocument/2006/relationships" ref="L1618" r:id="rId2761"/>
    <hyperlink xmlns:r="http://schemas.openxmlformats.org/officeDocument/2006/relationships" ref="L1619" r:id="rId2762"/>
    <hyperlink xmlns:r="http://schemas.openxmlformats.org/officeDocument/2006/relationships" ref="L1620" r:id="rId2763"/>
    <hyperlink xmlns:r="http://schemas.openxmlformats.org/officeDocument/2006/relationships" ref="L1621" r:id="rId2764"/>
    <hyperlink xmlns:r="http://schemas.openxmlformats.org/officeDocument/2006/relationships" ref="L1622" r:id="rId2765"/>
    <hyperlink xmlns:r="http://schemas.openxmlformats.org/officeDocument/2006/relationships" ref="L1623" r:id="rId2766"/>
    <hyperlink xmlns:r="http://schemas.openxmlformats.org/officeDocument/2006/relationships" ref="L1624" r:id="rId2767"/>
    <hyperlink xmlns:r="http://schemas.openxmlformats.org/officeDocument/2006/relationships" ref="L1625" r:id="rId2768"/>
    <hyperlink xmlns:r="http://schemas.openxmlformats.org/officeDocument/2006/relationships" ref="L1626" r:id="rId2769"/>
    <hyperlink xmlns:r="http://schemas.openxmlformats.org/officeDocument/2006/relationships" ref="N1626" r:id="rId2770"/>
    <hyperlink xmlns:r="http://schemas.openxmlformats.org/officeDocument/2006/relationships" ref="L1627" r:id="rId2771"/>
    <hyperlink xmlns:r="http://schemas.openxmlformats.org/officeDocument/2006/relationships" ref="N1627" r:id="rId2772"/>
    <hyperlink xmlns:r="http://schemas.openxmlformats.org/officeDocument/2006/relationships" ref="L1628" r:id="rId2773"/>
    <hyperlink xmlns:r="http://schemas.openxmlformats.org/officeDocument/2006/relationships" ref="N1628" r:id="rId2774"/>
    <hyperlink xmlns:r="http://schemas.openxmlformats.org/officeDocument/2006/relationships" ref="L1629" r:id="rId2775"/>
    <hyperlink xmlns:r="http://schemas.openxmlformats.org/officeDocument/2006/relationships" ref="N1629" r:id="rId2776"/>
    <hyperlink xmlns:r="http://schemas.openxmlformats.org/officeDocument/2006/relationships" ref="L1630" r:id="rId2777"/>
    <hyperlink xmlns:r="http://schemas.openxmlformats.org/officeDocument/2006/relationships" ref="N1630" r:id="rId2778"/>
    <hyperlink xmlns:r="http://schemas.openxmlformats.org/officeDocument/2006/relationships" ref="L1631" r:id="rId2779"/>
    <hyperlink xmlns:r="http://schemas.openxmlformats.org/officeDocument/2006/relationships" ref="N1631" r:id="rId2780"/>
    <hyperlink xmlns:r="http://schemas.openxmlformats.org/officeDocument/2006/relationships" ref="L1632" r:id="rId2781"/>
    <hyperlink xmlns:r="http://schemas.openxmlformats.org/officeDocument/2006/relationships" ref="N1632" r:id="rId2782"/>
    <hyperlink xmlns:r="http://schemas.openxmlformats.org/officeDocument/2006/relationships" ref="L1633" r:id="rId2783"/>
    <hyperlink xmlns:r="http://schemas.openxmlformats.org/officeDocument/2006/relationships" ref="N1633" r:id="rId2784"/>
    <hyperlink xmlns:r="http://schemas.openxmlformats.org/officeDocument/2006/relationships" ref="L1634" r:id="rId2785"/>
    <hyperlink xmlns:r="http://schemas.openxmlformats.org/officeDocument/2006/relationships" ref="N1634" r:id="rId2786"/>
    <hyperlink xmlns:r="http://schemas.openxmlformats.org/officeDocument/2006/relationships" ref="L1635" r:id="rId2787"/>
    <hyperlink xmlns:r="http://schemas.openxmlformats.org/officeDocument/2006/relationships" ref="N1635" r:id="rId2788"/>
    <hyperlink xmlns:r="http://schemas.openxmlformats.org/officeDocument/2006/relationships" ref="L1636" r:id="rId2789"/>
    <hyperlink xmlns:r="http://schemas.openxmlformats.org/officeDocument/2006/relationships" ref="N1636" r:id="rId2790"/>
    <hyperlink xmlns:r="http://schemas.openxmlformats.org/officeDocument/2006/relationships" ref="L1637" r:id="rId2791"/>
    <hyperlink xmlns:r="http://schemas.openxmlformats.org/officeDocument/2006/relationships" ref="N1637" r:id="rId2792"/>
    <hyperlink xmlns:r="http://schemas.openxmlformats.org/officeDocument/2006/relationships" ref="L1638" r:id="rId2793"/>
    <hyperlink xmlns:r="http://schemas.openxmlformats.org/officeDocument/2006/relationships" ref="N1638" r:id="rId2794"/>
    <hyperlink xmlns:r="http://schemas.openxmlformats.org/officeDocument/2006/relationships" ref="L1639" r:id="rId2795"/>
    <hyperlink xmlns:r="http://schemas.openxmlformats.org/officeDocument/2006/relationships" ref="N1639" r:id="rId2796"/>
    <hyperlink xmlns:r="http://schemas.openxmlformats.org/officeDocument/2006/relationships" ref="L1640" r:id="rId2797"/>
    <hyperlink xmlns:r="http://schemas.openxmlformats.org/officeDocument/2006/relationships" ref="N1640" r:id="rId2798"/>
    <hyperlink xmlns:r="http://schemas.openxmlformats.org/officeDocument/2006/relationships" ref="L1641" r:id="rId2799"/>
    <hyperlink xmlns:r="http://schemas.openxmlformats.org/officeDocument/2006/relationships" ref="N1641" r:id="rId2800"/>
    <hyperlink xmlns:r="http://schemas.openxmlformats.org/officeDocument/2006/relationships" ref="L1642" r:id="rId2801"/>
    <hyperlink xmlns:r="http://schemas.openxmlformats.org/officeDocument/2006/relationships" ref="N1642" r:id="rId2802"/>
    <hyperlink xmlns:r="http://schemas.openxmlformats.org/officeDocument/2006/relationships" ref="L1643" r:id="rId2803"/>
    <hyperlink xmlns:r="http://schemas.openxmlformats.org/officeDocument/2006/relationships" ref="N1643" r:id="rId2804"/>
    <hyperlink xmlns:r="http://schemas.openxmlformats.org/officeDocument/2006/relationships" ref="L1644" r:id="rId2805"/>
    <hyperlink xmlns:r="http://schemas.openxmlformats.org/officeDocument/2006/relationships" ref="N1644" r:id="rId2806"/>
    <hyperlink xmlns:r="http://schemas.openxmlformats.org/officeDocument/2006/relationships" ref="L1645" r:id="rId2807"/>
    <hyperlink xmlns:r="http://schemas.openxmlformats.org/officeDocument/2006/relationships" ref="N1645" r:id="rId2808"/>
    <hyperlink xmlns:r="http://schemas.openxmlformats.org/officeDocument/2006/relationships" ref="L1646" r:id="rId2809"/>
    <hyperlink xmlns:r="http://schemas.openxmlformats.org/officeDocument/2006/relationships" ref="N1646" r:id="rId2810"/>
    <hyperlink xmlns:r="http://schemas.openxmlformats.org/officeDocument/2006/relationships" ref="L1647" r:id="rId2811"/>
    <hyperlink xmlns:r="http://schemas.openxmlformats.org/officeDocument/2006/relationships" ref="N1647" r:id="rId2812"/>
    <hyperlink xmlns:r="http://schemas.openxmlformats.org/officeDocument/2006/relationships" ref="L1648" r:id="rId2813"/>
    <hyperlink xmlns:r="http://schemas.openxmlformats.org/officeDocument/2006/relationships" ref="N1648" r:id="rId2814"/>
    <hyperlink xmlns:r="http://schemas.openxmlformats.org/officeDocument/2006/relationships" ref="L1649" r:id="rId2815"/>
    <hyperlink xmlns:r="http://schemas.openxmlformats.org/officeDocument/2006/relationships" ref="N1649" r:id="rId2816"/>
    <hyperlink xmlns:r="http://schemas.openxmlformats.org/officeDocument/2006/relationships" ref="L1650" r:id="rId2817"/>
    <hyperlink xmlns:r="http://schemas.openxmlformats.org/officeDocument/2006/relationships" ref="N1650" r:id="rId2818"/>
    <hyperlink xmlns:r="http://schemas.openxmlformats.org/officeDocument/2006/relationships" ref="L1651" r:id="rId2819"/>
    <hyperlink xmlns:r="http://schemas.openxmlformats.org/officeDocument/2006/relationships" ref="N1651" r:id="rId2820"/>
    <hyperlink xmlns:r="http://schemas.openxmlformats.org/officeDocument/2006/relationships" ref="L1652" r:id="rId2821"/>
    <hyperlink xmlns:r="http://schemas.openxmlformats.org/officeDocument/2006/relationships" ref="N1652" r:id="rId2822"/>
    <hyperlink xmlns:r="http://schemas.openxmlformats.org/officeDocument/2006/relationships" ref="L1653" r:id="rId2823"/>
    <hyperlink xmlns:r="http://schemas.openxmlformats.org/officeDocument/2006/relationships" ref="N1653" r:id="rId2824"/>
    <hyperlink xmlns:r="http://schemas.openxmlformats.org/officeDocument/2006/relationships" ref="L1654" r:id="rId2825"/>
    <hyperlink xmlns:r="http://schemas.openxmlformats.org/officeDocument/2006/relationships" ref="N1654" r:id="rId2826"/>
    <hyperlink xmlns:r="http://schemas.openxmlformats.org/officeDocument/2006/relationships" ref="L1655" r:id="rId2827"/>
    <hyperlink xmlns:r="http://schemas.openxmlformats.org/officeDocument/2006/relationships" ref="N1655" r:id="rId2828"/>
    <hyperlink xmlns:r="http://schemas.openxmlformats.org/officeDocument/2006/relationships" ref="L1656" r:id="rId2829"/>
    <hyperlink xmlns:r="http://schemas.openxmlformats.org/officeDocument/2006/relationships" ref="N1656" r:id="rId2830"/>
    <hyperlink xmlns:r="http://schemas.openxmlformats.org/officeDocument/2006/relationships" ref="L1657" r:id="rId2831"/>
    <hyperlink xmlns:r="http://schemas.openxmlformats.org/officeDocument/2006/relationships" ref="N1657" r:id="rId2832"/>
    <hyperlink xmlns:r="http://schemas.openxmlformats.org/officeDocument/2006/relationships" ref="L1658" r:id="rId2833"/>
    <hyperlink xmlns:r="http://schemas.openxmlformats.org/officeDocument/2006/relationships" ref="N1658" r:id="rId2834"/>
    <hyperlink xmlns:r="http://schemas.openxmlformats.org/officeDocument/2006/relationships" ref="L1659" r:id="rId2835"/>
    <hyperlink xmlns:r="http://schemas.openxmlformats.org/officeDocument/2006/relationships" ref="N1659" r:id="rId2836"/>
    <hyperlink xmlns:r="http://schemas.openxmlformats.org/officeDocument/2006/relationships" ref="L1660" r:id="rId2837"/>
    <hyperlink xmlns:r="http://schemas.openxmlformats.org/officeDocument/2006/relationships" ref="N1660" r:id="rId2838"/>
    <hyperlink xmlns:r="http://schemas.openxmlformats.org/officeDocument/2006/relationships" ref="L1661" r:id="rId2839"/>
    <hyperlink xmlns:r="http://schemas.openxmlformats.org/officeDocument/2006/relationships" ref="N1661" r:id="rId2840"/>
    <hyperlink xmlns:r="http://schemas.openxmlformats.org/officeDocument/2006/relationships" ref="L1662" r:id="rId2841"/>
    <hyperlink xmlns:r="http://schemas.openxmlformats.org/officeDocument/2006/relationships" ref="N1662" r:id="rId2842"/>
    <hyperlink xmlns:r="http://schemas.openxmlformats.org/officeDocument/2006/relationships" ref="L1663" r:id="rId2843"/>
    <hyperlink xmlns:r="http://schemas.openxmlformats.org/officeDocument/2006/relationships" ref="N1663" r:id="rId2844"/>
    <hyperlink xmlns:r="http://schemas.openxmlformats.org/officeDocument/2006/relationships" ref="L1664" r:id="rId2845"/>
    <hyperlink xmlns:r="http://schemas.openxmlformats.org/officeDocument/2006/relationships" ref="N1664" r:id="rId2846"/>
    <hyperlink xmlns:r="http://schemas.openxmlformats.org/officeDocument/2006/relationships" ref="L1665" r:id="rId2847"/>
    <hyperlink xmlns:r="http://schemas.openxmlformats.org/officeDocument/2006/relationships" ref="N1665" r:id="rId2848"/>
    <hyperlink xmlns:r="http://schemas.openxmlformats.org/officeDocument/2006/relationships" ref="L1666" r:id="rId2849"/>
    <hyperlink xmlns:r="http://schemas.openxmlformats.org/officeDocument/2006/relationships" ref="N1666" r:id="rId2850"/>
    <hyperlink xmlns:r="http://schemas.openxmlformats.org/officeDocument/2006/relationships" ref="L1667" r:id="rId2851"/>
    <hyperlink xmlns:r="http://schemas.openxmlformats.org/officeDocument/2006/relationships" ref="N1667" r:id="rId2852"/>
    <hyperlink xmlns:r="http://schemas.openxmlformats.org/officeDocument/2006/relationships" ref="L1668" r:id="rId2853"/>
    <hyperlink xmlns:r="http://schemas.openxmlformats.org/officeDocument/2006/relationships" ref="N1668" r:id="rId2854"/>
    <hyperlink xmlns:r="http://schemas.openxmlformats.org/officeDocument/2006/relationships" ref="L1669" r:id="rId2855"/>
    <hyperlink xmlns:r="http://schemas.openxmlformats.org/officeDocument/2006/relationships" ref="N1669" r:id="rId2856"/>
    <hyperlink xmlns:r="http://schemas.openxmlformats.org/officeDocument/2006/relationships" ref="L1670" r:id="rId2857"/>
    <hyperlink xmlns:r="http://schemas.openxmlformats.org/officeDocument/2006/relationships" ref="N1670" r:id="rId2858"/>
    <hyperlink xmlns:r="http://schemas.openxmlformats.org/officeDocument/2006/relationships" ref="L1671" r:id="rId2859"/>
    <hyperlink xmlns:r="http://schemas.openxmlformats.org/officeDocument/2006/relationships" ref="N1671" r:id="rId2860"/>
    <hyperlink xmlns:r="http://schemas.openxmlformats.org/officeDocument/2006/relationships" ref="L1672" r:id="rId2861"/>
    <hyperlink xmlns:r="http://schemas.openxmlformats.org/officeDocument/2006/relationships" ref="N1672" r:id="rId2862"/>
    <hyperlink xmlns:r="http://schemas.openxmlformats.org/officeDocument/2006/relationships" ref="L1673" r:id="rId2863"/>
    <hyperlink xmlns:r="http://schemas.openxmlformats.org/officeDocument/2006/relationships" ref="N1673" r:id="rId2864"/>
    <hyperlink xmlns:r="http://schemas.openxmlformats.org/officeDocument/2006/relationships" ref="L1674" r:id="rId2865"/>
    <hyperlink xmlns:r="http://schemas.openxmlformats.org/officeDocument/2006/relationships" ref="N1674" r:id="rId2866"/>
    <hyperlink xmlns:r="http://schemas.openxmlformats.org/officeDocument/2006/relationships" ref="L1675" r:id="rId2867"/>
    <hyperlink xmlns:r="http://schemas.openxmlformats.org/officeDocument/2006/relationships" ref="N1675" r:id="rId2868"/>
    <hyperlink xmlns:r="http://schemas.openxmlformats.org/officeDocument/2006/relationships" ref="L1676" r:id="rId2869"/>
    <hyperlink xmlns:r="http://schemas.openxmlformats.org/officeDocument/2006/relationships" ref="N1676" r:id="rId2870"/>
    <hyperlink xmlns:r="http://schemas.openxmlformats.org/officeDocument/2006/relationships" ref="L1677" r:id="rId2871"/>
    <hyperlink xmlns:r="http://schemas.openxmlformats.org/officeDocument/2006/relationships" ref="N1677" r:id="rId2872"/>
    <hyperlink xmlns:r="http://schemas.openxmlformats.org/officeDocument/2006/relationships" ref="L1678" r:id="rId2873"/>
    <hyperlink xmlns:r="http://schemas.openxmlformats.org/officeDocument/2006/relationships" ref="N1678" r:id="rId2874"/>
    <hyperlink xmlns:r="http://schemas.openxmlformats.org/officeDocument/2006/relationships" ref="L1679" r:id="rId2875"/>
    <hyperlink xmlns:r="http://schemas.openxmlformats.org/officeDocument/2006/relationships" ref="N1679" r:id="rId2876"/>
    <hyperlink xmlns:r="http://schemas.openxmlformats.org/officeDocument/2006/relationships" ref="L1680" r:id="rId2877"/>
    <hyperlink xmlns:r="http://schemas.openxmlformats.org/officeDocument/2006/relationships" ref="N1680" r:id="rId2878"/>
    <hyperlink xmlns:r="http://schemas.openxmlformats.org/officeDocument/2006/relationships" ref="L1681" r:id="rId2879"/>
    <hyperlink xmlns:r="http://schemas.openxmlformats.org/officeDocument/2006/relationships" ref="N1681" r:id="rId2880"/>
    <hyperlink xmlns:r="http://schemas.openxmlformats.org/officeDocument/2006/relationships" ref="L1682" r:id="rId2881"/>
    <hyperlink xmlns:r="http://schemas.openxmlformats.org/officeDocument/2006/relationships" ref="N1682" r:id="rId2882"/>
    <hyperlink xmlns:r="http://schemas.openxmlformats.org/officeDocument/2006/relationships" ref="L1683" r:id="rId2883"/>
    <hyperlink xmlns:r="http://schemas.openxmlformats.org/officeDocument/2006/relationships" ref="N1683" r:id="rId2884"/>
    <hyperlink xmlns:r="http://schemas.openxmlformats.org/officeDocument/2006/relationships" ref="L1684" r:id="rId2885"/>
    <hyperlink xmlns:r="http://schemas.openxmlformats.org/officeDocument/2006/relationships" ref="N1684" r:id="rId2886"/>
    <hyperlink xmlns:r="http://schemas.openxmlformats.org/officeDocument/2006/relationships" ref="L1685" r:id="rId2887"/>
    <hyperlink xmlns:r="http://schemas.openxmlformats.org/officeDocument/2006/relationships" ref="N1685" r:id="rId2888"/>
    <hyperlink xmlns:r="http://schemas.openxmlformats.org/officeDocument/2006/relationships" ref="L1686" r:id="rId2889"/>
    <hyperlink xmlns:r="http://schemas.openxmlformats.org/officeDocument/2006/relationships" ref="N1686" r:id="rId2890"/>
    <hyperlink xmlns:r="http://schemas.openxmlformats.org/officeDocument/2006/relationships" ref="L1687" r:id="rId2891"/>
    <hyperlink xmlns:r="http://schemas.openxmlformats.org/officeDocument/2006/relationships" ref="N1687" r:id="rId2892"/>
    <hyperlink xmlns:r="http://schemas.openxmlformats.org/officeDocument/2006/relationships" ref="L1688" r:id="rId2893"/>
    <hyperlink xmlns:r="http://schemas.openxmlformats.org/officeDocument/2006/relationships" ref="N1688" r:id="rId2894"/>
    <hyperlink xmlns:r="http://schemas.openxmlformats.org/officeDocument/2006/relationships" ref="L1689" r:id="rId2895"/>
    <hyperlink xmlns:r="http://schemas.openxmlformats.org/officeDocument/2006/relationships" ref="N1689" r:id="rId2896"/>
    <hyperlink xmlns:r="http://schemas.openxmlformats.org/officeDocument/2006/relationships" ref="L1690" r:id="rId2897"/>
    <hyperlink xmlns:r="http://schemas.openxmlformats.org/officeDocument/2006/relationships" ref="N1690" r:id="rId2898"/>
    <hyperlink xmlns:r="http://schemas.openxmlformats.org/officeDocument/2006/relationships" ref="L1691" r:id="rId2899"/>
    <hyperlink xmlns:r="http://schemas.openxmlformats.org/officeDocument/2006/relationships" ref="N1691" r:id="rId2900"/>
    <hyperlink xmlns:r="http://schemas.openxmlformats.org/officeDocument/2006/relationships" ref="L1692" r:id="rId2901"/>
    <hyperlink xmlns:r="http://schemas.openxmlformats.org/officeDocument/2006/relationships" ref="N1692" r:id="rId2902"/>
    <hyperlink xmlns:r="http://schemas.openxmlformats.org/officeDocument/2006/relationships" ref="L1693" r:id="rId2903"/>
    <hyperlink xmlns:r="http://schemas.openxmlformats.org/officeDocument/2006/relationships" ref="N1693" r:id="rId2904"/>
    <hyperlink xmlns:r="http://schemas.openxmlformats.org/officeDocument/2006/relationships" ref="L1694" r:id="rId2905"/>
    <hyperlink xmlns:r="http://schemas.openxmlformats.org/officeDocument/2006/relationships" ref="N1694" r:id="rId2906"/>
    <hyperlink xmlns:r="http://schemas.openxmlformats.org/officeDocument/2006/relationships" ref="L1695" r:id="rId2907"/>
    <hyperlink xmlns:r="http://schemas.openxmlformats.org/officeDocument/2006/relationships" ref="N1695" r:id="rId2908"/>
    <hyperlink xmlns:r="http://schemas.openxmlformats.org/officeDocument/2006/relationships" ref="L1696" r:id="rId2909"/>
    <hyperlink xmlns:r="http://schemas.openxmlformats.org/officeDocument/2006/relationships" ref="N1696" r:id="rId2910"/>
    <hyperlink xmlns:r="http://schemas.openxmlformats.org/officeDocument/2006/relationships" ref="L1697" r:id="rId2911"/>
    <hyperlink xmlns:r="http://schemas.openxmlformats.org/officeDocument/2006/relationships" ref="N1697" r:id="rId2912"/>
    <hyperlink xmlns:r="http://schemas.openxmlformats.org/officeDocument/2006/relationships" ref="L1698" r:id="rId2913"/>
    <hyperlink xmlns:r="http://schemas.openxmlformats.org/officeDocument/2006/relationships" ref="N1698" r:id="rId2914"/>
    <hyperlink xmlns:r="http://schemas.openxmlformats.org/officeDocument/2006/relationships" ref="L1699" r:id="rId2915"/>
    <hyperlink xmlns:r="http://schemas.openxmlformats.org/officeDocument/2006/relationships" ref="N1699" r:id="rId2916"/>
    <hyperlink xmlns:r="http://schemas.openxmlformats.org/officeDocument/2006/relationships" ref="L1700" r:id="rId2917"/>
    <hyperlink xmlns:r="http://schemas.openxmlformats.org/officeDocument/2006/relationships" ref="N1700" r:id="rId2918"/>
    <hyperlink xmlns:r="http://schemas.openxmlformats.org/officeDocument/2006/relationships" ref="L1701" r:id="rId2919"/>
    <hyperlink xmlns:r="http://schemas.openxmlformats.org/officeDocument/2006/relationships" ref="N1701" r:id="rId2920"/>
    <hyperlink xmlns:r="http://schemas.openxmlformats.org/officeDocument/2006/relationships" ref="L1702" r:id="rId2921"/>
    <hyperlink xmlns:r="http://schemas.openxmlformats.org/officeDocument/2006/relationships" ref="N1702" r:id="rId2922"/>
    <hyperlink xmlns:r="http://schemas.openxmlformats.org/officeDocument/2006/relationships" ref="L1703" r:id="rId2923"/>
    <hyperlink xmlns:r="http://schemas.openxmlformats.org/officeDocument/2006/relationships" ref="N1703" r:id="rId2924"/>
    <hyperlink xmlns:r="http://schemas.openxmlformats.org/officeDocument/2006/relationships" ref="L1704" r:id="rId2925"/>
    <hyperlink xmlns:r="http://schemas.openxmlformats.org/officeDocument/2006/relationships" ref="N1704" r:id="rId2926"/>
    <hyperlink xmlns:r="http://schemas.openxmlformats.org/officeDocument/2006/relationships" ref="L1705" r:id="rId2927"/>
    <hyperlink xmlns:r="http://schemas.openxmlformats.org/officeDocument/2006/relationships" ref="N1705" r:id="rId2928"/>
    <hyperlink xmlns:r="http://schemas.openxmlformats.org/officeDocument/2006/relationships" ref="L1706" r:id="rId2929"/>
    <hyperlink xmlns:r="http://schemas.openxmlformats.org/officeDocument/2006/relationships" ref="N1706" r:id="rId2930"/>
    <hyperlink xmlns:r="http://schemas.openxmlformats.org/officeDocument/2006/relationships" ref="L1707" r:id="rId2931"/>
    <hyperlink xmlns:r="http://schemas.openxmlformats.org/officeDocument/2006/relationships" ref="N1707" r:id="rId2932"/>
    <hyperlink xmlns:r="http://schemas.openxmlformats.org/officeDocument/2006/relationships" ref="L1708" r:id="rId2933"/>
    <hyperlink xmlns:r="http://schemas.openxmlformats.org/officeDocument/2006/relationships" ref="N1708" r:id="rId2934"/>
    <hyperlink xmlns:r="http://schemas.openxmlformats.org/officeDocument/2006/relationships" ref="L1709" r:id="rId2935"/>
    <hyperlink xmlns:r="http://schemas.openxmlformats.org/officeDocument/2006/relationships" ref="N1709" r:id="rId2936"/>
    <hyperlink xmlns:r="http://schemas.openxmlformats.org/officeDocument/2006/relationships" ref="L1710" r:id="rId2937"/>
    <hyperlink xmlns:r="http://schemas.openxmlformats.org/officeDocument/2006/relationships" ref="N1710" r:id="rId2938"/>
    <hyperlink xmlns:r="http://schemas.openxmlformats.org/officeDocument/2006/relationships" ref="L1711" r:id="rId2939"/>
    <hyperlink xmlns:r="http://schemas.openxmlformats.org/officeDocument/2006/relationships" ref="N1711" r:id="rId2940"/>
    <hyperlink xmlns:r="http://schemas.openxmlformats.org/officeDocument/2006/relationships" ref="L1712" r:id="rId2941"/>
    <hyperlink xmlns:r="http://schemas.openxmlformats.org/officeDocument/2006/relationships" ref="N1712" r:id="rId2942"/>
    <hyperlink xmlns:r="http://schemas.openxmlformats.org/officeDocument/2006/relationships" ref="L1713" r:id="rId2943"/>
    <hyperlink xmlns:r="http://schemas.openxmlformats.org/officeDocument/2006/relationships" ref="N1713" r:id="rId2944"/>
    <hyperlink xmlns:r="http://schemas.openxmlformats.org/officeDocument/2006/relationships" ref="L1714" r:id="rId2945"/>
    <hyperlink xmlns:r="http://schemas.openxmlformats.org/officeDocument/2006/relationships" ref="N1714" r:id="rId2946"/>
    <hyperlink xmlns:r="http://schemas.openxmlformats.org/officeDocument/2006/relationships" ref="L1715" r:id="rId2947"/>
    <hyperlink xmlns:r="http://schemas.openxmlformats.org/officeDocument/2006/relationships" ref="N1715" r:id="rId2948"/>
    <hyperlink xmlns:r="http://schemas.openxmlformats.org/officeDocument/2006/relationships" ref="L1716" r:id="rId2949"/>
    <hyperlink xmlns:r="http://schemas.openxmlformats.org/officeDocument/2006/relationships" ref="N1716" r:id="rId2950"/>
    <hyperlink xmlns:r="http://schemas.openxmlformats.org/officeDocument/2006/relationships" ref="L1717" r:id="rId2951"/>
    <hyperlink xmlns:r="http://schemas.openxmlformats.org/officeDocument/2006/relationships" ref="N1717" r:id="rId2952"/>
    <hyperlink xmlns:r="http://schemas.openxmlformats.org/officeDocument/2006/relationships" ref="L1718" r:id="rId2953"/>
    <hyperlink xmlns:r="http://schemas.openxmlformats.org/officeDocument/2006/relationships" ref="N1718" r:id="rId2954"/>
    <hyperlink xmlns:r="http://schemas.openxmlformats.org/officeDocument/2006/relationships" ref="L1719" r:id="rId2955"/>
    <hyperlink xmlns:r="http://schemas.openxmlformats.org/officeDocument/2006/relationships" ref="N1719" r:id="rId2956"/>
    <hyperlink xmlns:r="http://schemas.openxmlformats.org/officeDocument/2006/relationships" ref="L1720" r:id="rId2957"/>
    <hyperlink xmlns:r="http://schemas.openxmlformats.org/officeDocument/2006/relationships" ref="N1720" r:id="rId2958"/>
    <hyperlink xmlns:r="http://schemas.openxmlformats.org/officeDocument/2006/relationships" ref="L1721" r:id="rId2959"/>
    <hyperlink xmlns:r="http://schemas.openxmlformats.org/officeDocument/2006/relationships" ref="N1721" r:id="rId2960"/>
    <hyperlink xmlns:r="http://schemas.openxmlformats.org/officeDocument/2006/relationships" ref="L1722" r:id="rId2961"/>
    <hyperlink xmlns:r="http://schemas.openxmlformats.org/officeDocument/2006/relationships" ref="N1722" r:id="rId2962"/>
    <hyperlink xmlns:r="http://schemas.openxmlformats.org/officeDocument/2006/relationships" ref="L1723" r:id="rId2963"/>
    <hyperlink xmlns:r="http://schemas.openxmlformats.org/officeDocument/2006/relationships" ref="N1723" r:id="rId2964"/>
    <hyperlink xmlns:r="http://schemas.openxmlformats.org/officeDocument/2006/relationships" ref="L1724" r:id="rId2965"/>
    <hyperlink xmlns:r="http://schemas.openxmlformats.org/officeDocument/2006/relationships" ref="N1724" r:id="rId2966"/>
    <hyperlink xmlns:r="http://schemas.openxmlformats.org/officeDocument/2006/relationships" ref="L1725" r:id="rId2967"/>
    <hyperlink xmlns:r="http://schemas.openxmlformats.org/officeDocument/2006/relationships" ref="N1725" r:id="rId2968"/>
    <hyperlink xmlns:r="http://schemas.openxmlformats.org/officeDocument/2006/relationships" ref="L1726" r:id="rId2969"/>
    <hyperlink xmlns:r="http://schemas.openxmlformats.org/officeDocument/2006/relationships" ref="N1726" r:id="rId2970"/>
    <hyperlink xmlns:r="http://schemas.openxmlformats.org/officeDocument/2006/relationships" ref="L1727" r:id="rId2971"/>
    <hyperlink xmlns:r="http://schemas.openxmlformats.org/officeDocument/2006/relationships" ref="N1727" r:id="rId2972"/>
    <hyperlink xmlns:r="http://schemas.openxmlformats.org/officeDocument/2006/relationships" ref="L1728" r:id="rId2973"/>
    <hyperlink xmlns:r="http://schemas.openxmlformats.org/officeDocument/2006/relationships" ref="N1728" r:id="rId2974"/>
    <hyperlink xmlns:r="http://schemas.openxmlformats.org/officeDocument/2006/relationships" ref="L1729" r:id="rId2975"/>
    <hyperlink xmlns:r="http://schemas.openxmlformats.org/officeDocument/2006/relationships" ref="N1729" r:id="rId2976"/>
    <hyperlink xmlns:r="http://schemas.openxmlformats.org/officeDocument/2006/relationships" ref="L1730" r:id="rId2977"/>
    <hyperlink xmlns:r="http://schemas.openxmlformats.org/officeDocument/2006/relationships" ref="N1730" r:id="rId2978"/>
    <hyperlink xmlns:r="http://schemas.openxmlformats.org/officeDocument/2006/relationships" ref="L1731" r:id="rId2979"/>
    <hyperlink xmlns:r="http://schemas.openxmlformats.org/officeDocument/2006/relationships" ref="N1731" r:id="rId2980"/>
    <hyperlink xmlns:r="http://schemas.openxmlformats.org/officeDocument/2006/relationships" ref="L1732" r:id="rId2981"/>
    <hyperlink xmlns:r="http://schemas.openxmlformats.org/officeDocument/2006/relationships" ref="N1732" r:id="rId2982"/>
    <hyperlink xmlns:r="http://schemas.openxmlformats.org/officeDocument/2006/relationships" ref="L1733" r:id="rId2983"/>
    <hyperlink xmlns:r="http://schemas.openxmlformats.org/officeDocument/2006/relationships" ref="N1733" r:id="rId2984"/>
    <hyperlink xmlns:r="http://schemas.openxmlformats.org/officeDocument/2006/relationships" ref="L1734" r:id="rId2985"/>
    <hyperlink xmlns:r="http://schemas.openxmlformats.org/officeDocument/2006/relationships" ref="N1734" r:id="rId2986"/>
    <hyperlink xmlns:r="http://schemas.openxmlformats.org/officeDocument/2006/relationships" ref="L1735" r:id="rId2987"/>
    <hyperlink xmlns:r="http://schemas.openxmlformats.org/officeDocument/2006/relationships" ref="N1735" r:id="rId2988"/>
    <hyperlink xmlns:r="http://schemas.openxmlformats.org/officeDocument/2006/relationships" ref="L1736" r:id="rId2989"/>
    <hyperlink xmlns:r="http://schemas.openxmlformats.org/officeDocument/2006/relationships" ref="N1736" r:id="rId2990"/>
    <hyperlink xmlns:r="http://schemas.openxmlformats.org/officeDocument/2006/relationships" ref="L1737" r:id="rId2991"/>
    <hyperlink xmlns:r="http://schemas.openxmlformats.org/officeDocument/2006/relationships" ref="N1737" r:id="rId2992"/>
    <hyperlink xmlns:r="http://schemas.openxmlformats.org/officeDocument/2006/relationships" ref="L1738" r:id="rId2993"/>
    <hyperlink xmlns:r="http://schemas.openxmlformats.org/officeDocument/2006/relationships" ref="N1738" r:id="rId2994"/>
    <hyperlink xmlns:r="http://schemas.openxmlformats.org/officeDocument/2006/relationships" ref="L1739" r:id="rId2995"/>
    <hyperlink xmlns:r="http://schemas.openxmlformats.org/officeDocument/2006/relationships" ref="N1739" r:id="rId2996"/>
    <hyperlink xmlns:r="http://schemas.openxmlformats.org/officeDocument/2006/relationships" ref="L1740" r:id="rId2997"/>
    <hyperlink xmlns:r="http://schemas.openxmlformats.org/officeDocument/2006/relationships" ref="N1740" r:id="rId2998"/>
    <hyperlink xmlns:r="http://schemas.openxmlformats.org/officeDocument/2006/relationships" ref="L1741" r:id="rId2999"/>
    <hyperlink xmlns:r="http://schemas.openxmlformats.org/officeDocument/2006/relationships" ref="N1741" r:id="rId3000"/>
    <hyperlink xmlns:r="http://schemas.openxmlformats.org/officeDocument/2006/relationships" ref="L1742" r:id="rId3001"/>
    <hyperlink xmlns:r="http://schemas.openxmlformats.org/officeDocument/2006/relationships" ref="N1742" r:id="rId3002"/>
    <hyperlink xmlns:r="http://schemas.openxmlformats.org/officeDocument/2006/relationships" ref="L1743" r:id="rId3003"/>
    <hyperlink xmlns:r="http://schemas.openxmlformats.org/officeDocument/2006/relationships" ref="N1743" r:id="rId3004"/>
    <hyperlink xmlns:r="http://schemas.openxmlformats.org/officeDocument/2006/relationships" ref="L1744" r:id="rId3005"/>
    <hyperlink xmlns:r="http://schemas.openxmlformats.org/officeDocument/2006/relationships" ref="N1744" r:id="rId3006"/>
    <hyperlink xmlns:r="http://schemas.openxmlformats.org/officeDocument/2006/relationships" ref="L1745" r:id="rId3007"/>
    <hyperlink xmlns:r="http://schemas.openxmlformats.org/officeDocument/2006/relationships" ref="N1745" r:id="rId3008"/>
    <hyperlink xmlns:r="http://schemas.openxmlformats.org/officeDocument/2006/relationships" ref="L1746" r:id="rId3009"/>
    <hyperlink xmlns:r="http://schemas.openxmlformats.org/officeDocument/2006/relationships" ref="N1746" r:id="rId3010"/>
    <hyperlink xmlns:r="http://schemas.openxmlformats.org/officeDocument/2006/relationships" ref="L1747" r:id="rId3011"/>
    <hyperlink xmlns:r="http://schemas.openxmlformats.org/officeDocument/2006/relationships" ref="N1747" r:id="rId3012"/>
    <hyperlink xmlns:r="http://schemas.openxmlformats.org/officeDocument/2006/relationships" ref="L1748" r:id="rId3013"/>
    <hyperlink xmlns:r="http://schemas.openxmlformats.org/officeDocument/2006/relationships" ref="N1748" r:id="rId3014"/>
    <hyperlink xmlns:r="http://schemas.openxmlformats.org/officeDocument/2006/relationships" ref="L1749" r:id="rId3015"/>
    <hyperlink xmlns:r="http://schemas.openxmlformats.org/officeDocument/2006/relationships" ref="N1749" r:id="rId3016"/>
    <hyperlink xmlns:r="http://schemas.openxmlformats.org/officeDocument/2006/relationships" ref="L1750" r:id="rId3017"/>
    <hyperlink xmlns:r="http://schemas.openxmlformats.org/officeDocument/2006/relationships" ref="N1750" r:id="rId3018"/>
    <hyperlink xmlns:r="http://schemas.openxmlformats.org/officeDocument/2006/relationships" ref="L1751" r:id="rId3019"/>
    <hyperlink xmlns:r="http://schemas.openxmlformats.org/officeDocument/2006/relationships" ref="N1751" r:id="rId3020"/>
    <hyperlink xmlns:r="http://schemas.openxmlformats.org/officeDocument/2006/relationships" ref="L1752" r:id="rId3021"/>
    <hyperlink xmlns:r="http://schemas.openxmlformats.org/officeDocument/2006/relationships" ref="N1752" r:id="rId3022"/>
    <hyperlink xmlns:r="http://schemas.openxmlformats.org/officeDocument/2006/relationships" ref="L1753" r:id="rId3023"/>
    <hyperlink xmlns:r="http://schemas.openxmlformats.org/officeDocument/2006/relationships" ref="N1753" r:id="rId3024"/>
    <hyperlink xmlns:r="http://schemas.openxmlformats.org/officeDocument/2006/relationships" ref="L1754" r:id="rId3025"/>
    <hyperlink xmlns:r="http://schemas.openxmlformats.org/officeDocument/2006/relationships" ref="N1754" r:id="rId3026"/>
    <hyperlink xmlns:r="http://schemas.openxmlformats.org/officeDocument/2006/relationships" ref="L1755" r:id="rId3027"/>
    <hyperlink xmlns:r="http://schemas.openxmlformats.org/officeDocument/2006/relationships" ref="N1755" r:id="rId3028"/>
    <hyperlink xmlns:r="http://schemas.openxmlformats.org/officeDocument/2006/relationships" ref="L1756" r:id="rId3029"/>
    <hyperlink xmlns:r="http://schemas.openxmlformats.org/officeDocument/2006/relationships" ref="N1756" r:id="rId3030"/>
    <hyperlink xmlns:r="http://schemas.openxmlformats.org/officeDocument/2006/relationships" ref="L1757" r:id="rId3031"/>
    <hyperlink xmlns:r="http://schemas.openxmlformats.org/officeDocument/2006/relationships" ref="N1757" r:id="rId3032"/>
    <hyperlink xmlns:r="http://schemas.openxmlformats.org/officeDocument/2006/relationships" ref="L1758" r:id="rId3033"/>
    <hyperlink xmlns:r="http://schemas.openxmlformats.org/officeDocument/2006/relationships" ref="N1758" r:id="rId3034"/>
    <hyperlink xmlns:r="http://schemas.openxmlformats.org/officeDocument/2006/relationships" ref="L1759" r:id="rId3035"/>
    <hyperlink xmlns:r="http://schemas.openxmlformats.org/officeDocument/2006/relationships" ref="N1759" r:id="rId3036"/>
    <hyperlink xmlns:r="http://schemas.openxmlformats.org/officeDocument/2006/relationships" ref="L1760" r:id="rId3037"/>
    <hyperlink xmlns:r="http://schemas.openxmlformats.org/officeDocument/2006/relationships" ref="N1760" r:id="rId3038"/>
    <hyperlink xmlns:r="http://schemas.openxmlformats.org/officeDocument/2006/relationships" ref="L1761" r:id="rId3039"/>
    <hyperlink xmlns:r="http://schemas.openxmlformats.org/officeDocument/2006/relationships" ref="N1761" r:id="rId3040"/>
    <hyperlink xmlns:r="http://schemas.openxmlformats.org/officeDocument/2006/relationships" ref="L1762" r:id="rId3041"/>
    <hyperlink xmlns:r="http://schemas.openxmlformats.org/officeDocument/2006/relationships" ref="N1762" r:id="rId3042"/>
    <hyperlink xmlns:r="http://schemas.openxmlformats.org/officeDocument/2006/relationships" ref="L1763" r:id="rId3043"/>
    <hyperlink xmlns:r="http://schemas.openxmlformats.org/officeDocument/2006/relationships" ref="N1763" r:id="rId3044"/>
    <hyperlink xmlns:r="http://schemas.openxmlformats.org/officeDocument/2006/relationships" ref="L1764" r:id="rId3045"/>
    <hyperlink xmlns:r="http://schemas.openxmlformats.org/officeDocument/2006/relationships" ref="N1764" r:id="rId3046"/>
    <hyperlink xmlns:r="http://schemas.openxmlformats.org/officeDocument/2006/relationships" ref="L1765" r:id="rId3047"/>
    <hyperlink xmlns:r="http://schemas.openxmlformats.org/officeDocument/2006/relationships" ref="N1765" r:id="rId3048"/>
    <hyperlink xmlns:r="http://schemas.openxmlformats.org/officeDocument/2006/relationships" ref="L1766" r:id="rId3049"/>
    <hyperlink xmlns:r="http://schemas.openxmlformats.org/officeDocument/2006/relationships" ref="N1766" r:id="rId3050"/>
    <hyperlink xmlns:r="http://schemas.openxmlformats.org/officeDocument/2006/relationships" ref="L1767" r:id="rId3051"/>
    <hyperlink xmlns:r="http://schemas.openxmlformats.org/officeDocument/2006/relationships" ref="N1767" r:id="rId3052"/>
    <hyperlink xmlns:r="http://schemas.openxmlformats.org/officeDocument/2006/relationships" ref="L1768" r:id="rId3053"/>
    <hyperlink xmlns:r="http://schemas.openxmlformats.org/officeDocument/2006/relationships" ref="N1768" r:id="rId3054"/>
    <hyperlink xmlns:r="http://schemas.openxmlformats.org/officeDocument/2006/relationships" ref="L1769" r:id="rId3055"/>
    <hyperlink xmlns:r="http://schemas.openxmlformats.org/officeDocument/2006/relationships" ref="N1769" r:id="rId3056"/>
    <hyperlink xmlns:r="http://schemas.openxmlformats.org/officeDocument/2006/relationships" ref="L1770" r:id="rId3057"/>
    <hyperlink xmlns:r="http://schemas.openxmlformats.org/officeDocument/2006/relationships" ref="N1770" r:id="rId3058"/>
    <hyperlink xmlns:r="http://schemas.openxmlformats.org/officeDocument/2006/relationships" ref="L1771" r:id="rId3059"/>
    <hyperlink xmlns:r="http://schemas.openxmlformats.org/officeDocument/2006/relationships" ref="N1771" r:id="rId3060"/>
    <hyperlink xmlns:r="http://schemas.openxmlformats.org/officeDocument/2006/relationships" ref="L1772" r:id="rId3061"/>
    <hyperlink xmlns:r="http://schemas.openxmlformats.org/officeDocument/2006/relationships" ref="N1772" r:id="rId3062"/>
    <hyperlink xmlns:r="http://schemas.openxmlformats.org/officeDocument/2006/relationships" ref="L1773" r:id="rId3063"/>
    <hyperlink xmlns:r="http://schemas.openxmlformats.org/officeDocument/2006/relationships" ref="N1773" r:id="rId3064"/>
    <hyperlink xmlns:r="http://schemas.openxmlformats.org/officeDocument/2006/relationships" ref="L1774" r:id="rId3065"/>
    <hyperlink xmlns:r="http://schemas.openxmlformats.org/officeDocument/2006/relationships" ref="N1774" r:id="rId3066"/>
    <hyperlink xmlns:r="http://schemas.openxmlformats.org/officeDocument/2006/relationships" ref="L1775" r:id="rId3067"/>
    <hyperlink xmlns:r="http://schemas.openxmlformats.org/officeDocument/2006/relationships" ref="N1775" r:id="rId3068"/>
    <hyperlink xmlns:r="http://schemas.openxmlformats.org/officeDocument/2006/relationships" ref="L1776" r:id="rId3069"/>
    <hyperlink xmlns:r="http://schemas.openxmlformats.org/officeDocument/2006/relationships" ref="N1776" r:id="rId3070"/>
    <hyperlink xmlns:r="http://schemas.openxmlformats.org/officeDocument/2006/relationships" ref="L1777" r:id="rId3071"/>
    <hyperlink xmlns:r="http://schemas.openxmlformats.org/officeDocument/2006/relationships" ref="N1777" r:id="rId3072"/>
    <hyperlink xmlns:r="http://schemas.openxmlformats.org/officeDocument/2006/relationships" ref="L1778" r:id="rId3073"/>
    <hyperlink xmlns:r="http://schemas.openxmlformats.org/officeDocument/2006/relationships" ref="N1778" r:id="rId3074"/>
    <hyperlink xmlns:r="http://schemas.openxmlformats.org/officeDocument/2006/relationships" ref="L1779" r:id="rId3075"/>
    <hyperlink xmlns:r="http://schemas.openxmlformats.org/officeDocument/2006/relationships" ref="N1779" r:id="rId3076"/>
    <hyperlink xmlns:r="http://schemas.openxmlformats.org/officeDocument/2006/relationships" ref="L1780" r:id="rId3077"/>
    <hyperlink xmlns:r="http://schemas.openxmlformats.org/officeDocument/2006/relationships" ref="N1780" r:id="rId3078"/>
    <hyperlink xmlns:r="http://schemas.openxmlformats.org/officeDocument/2006/relationships" ref="L1781" r:id="rId3079"/>
    <hyperlink xmlns:r="http://schemas.openxmlformats.org/officeDocument/2006/relationships" ref="N1781" r:id="rId3080"/>
    <hyperlink xmlns:r="http://schemas.openxmlformats.org/officeDocument/2006/relationships" ref="L1782" r:id="rId3081"/>
    <hyperlink xmlns:r="http://schemas.openxmlformats.org/officeDocument/2006/relationships" ref="N1782" r:id="rId3082"/>
    <hyperlink xmlns:r="http://schemas.openxmlformats.org/officeDocument/2006/relationships" ref="L1783" r:id="rId3083"/>
    <hyperlink xmlns:r="http://schemas.openxmlformats.org/officeDocument/2006/relationships" ref="N1783" r:id="rId3084"/>
    <hyperlink xmlns:r="http://schemas.openxmlformats.org/officeDocument/2006/relationships" ref="L1784" r:id="rId3085"/>
    <hyperlink xmlns:r="http://schemas.openxmlformats.org/officeDocument/2006/relationships" ref="N1784" r:id="rId3086"/>
    <hyperlink xmlns:r="http://schemas.openxmlformats.org/officeDocument/2006/relationships" ref="L1785" r:id="rId3087"/>
    <hyperlink xmlns:r="http://schemas.openxmlformats.org/officeDocument/2006/relationships" ref="N1785" r:id="rId3088"/>
    <hyperlink xmlns:r="http://schemas.openxmlformats.org/officeDocument/2006/relationships" ref="L1786" r:id="rId3089"/>
    <hyperlink xmlns:r="http://schemas.openxmlformats.org/officeDocument/2006/relationships" ref="N1786" r:id="rId3090"/>
    <hyperlink xmlns:r="http://schemas.openxmlformats.org/officeDocument/2006/relationships" ref="L1787" r:id="rId3091"/>
    <hyperlink xmlns:r="http://schemas.openxmlformats.org/officeDocument/2006/relationships" ref="N1787" r:id="rId3092"/>
    <hyperlink xmlns:r="http://schemas.openxmlformats.org/officeDocument/2006/relationships" ref="L1788" r:id="rId3093"/>
    <hyperlink xmlns:r="http://schemas.openxmlformats.org/officeDocument/2006/relationships" ref="N1788" r:id="rId3094"/>
    <hyperlink xmlns:r="http://schemas.openxmlformats.org/officeDocument/2006/relationships" ref="L1789" r:id="rId3095"/>
    <hyperlink xmlns:r="http://schemas.openxmlformats.org/officeDocument/2006/relationships" ref="N1789" r:id="rId3096"/>
    <hyperlink xmlns:r="http://schemas.openxmlformats.org/officeDocument/2006/relationships" ref="L1790" r:id="rId3097"/>
    <hyperlink xmlns:r="http://schemas.openxmlformats.org/officeDocument/2006/relationships" ref="N1790" r:id="rId3098"/>
    <hyperlink xmlns:r="http://schemas.openxmlformats.org/officeDocument/2006/relationships" ref="L1791" r:id="rId3099"/>
    <hyperlink xmlns:r="http://schemas.openxmlformats.org/officeDocument/2006/relationships" ref="N1791" r:id="rId3100"/>
    <hyperlink xmlns:r="http://schemas.openxmlformats.org/officeDocument/2006/relationships" ref="L1792" r:id="rId3101"/>
    <hyperlink xmlns:r="http://schemas.openxmlformats.org/officeDocument/2006/relationships" ref="N1792" r:id="rId3102"/>
    <hyperlink xmlns:r="http://schemas.openxmlformats.org/officeDocument/2006/relationships" ref="L1793" r:id="rId3103"/>
    <hyperlink xmlns:r="http://schemas.openxmlformats.org/officeDocument/2006/relationships" ref="N1793" r:id="rId3104"/>
    <hyperlink xmlns:r="http://schemas.openxmlformats.org/officeDocument/2006/relationships" ref="L1794" r:id="rId3105"/>
    <hyperlink xmlns:r="http://schemas.openxmlformats.org/officeDocument/2006/relationships" ref="N1794" r:id="rId3106"/>
    <hyperlink xmlns:r="http://schemas.openxmlformats.org/officeDocument/2006/relationships" ref="L1795" r:id="rId3107"/>
    <hyperlink xmlns:r="http://schemas.openxmlformats.org/officeDocument/2006/relationships" ref="N1795" r:id="rId3108"/>
    <hyperlink xmlns:r="http://schemas.openxmlformats.org/officeDocument/2006/relationships" ref="L1796" r:id="rId3109"/>
    <hyperlink xmlns:r="http://schemas.openxmlformats.org/officeDocument/2006/relationships" ref="N1796" r:id="rId3110"/>
    <hyperlink xmlns:r="http://schemas.openxmlformats.org/officeDocument/2006/relationships" ref="L1797" r:id="rId3111"/>
    <hyperlink xmlns:r="http://schemas.openxmlformats.org/officeDocument/2006/relationships" ref="N1797" r:id="rId3112"/>
    <hyperlink xmlns:r="http://schemas.openxmlformats.org/officeDocument/2006/relationships" ref="L1798" r:id="rId3113"/>
    <hyperlink xmlns:r="http://schemas.openxmlformats.org/officeDocument/2006/relationships" ref="N1798" r:id="rId3114"/>
    <hyperlink xmlns:r="http://schemas.openxmlformats.org/officeDocument/2006/relationships" ref="L1799" r:id="rId3115"/>
    <hyperlink xmlns:r="http://schemas.openxmlformats.org/officeDocument/2006/relationships" ref="N1799" r:id="rId3116"/>
    <hyperlink xmlns:r="http://schemas.openxmlformats.org/officeDocument/2006/relationships" ref="L1800" r:id="rId3117"/>
    <hyperlink xmlns:r="http://schemas.openxmlformats.org/officeDocument/2006/relationships" ref="N1800" r:id="rId3118"/>
    <hyperlink xmlns:r="http://schemas.openxmlformats.org/officeDocument/2006/relationships" ref="L1801" r:id="rId3119"/>
    <hyperlink xmlns:r="http://schemas.openxmlformats.org/officeDocument/2006/relationships" ref="N1801" r:id="rId3120"/>
    <hyperlink xmlns:r="http://schemas.openxmlformats.org/officeDocument/2006/relationships" ref="L1802" r:id="rId3121"/>
    <hyperlink xmlns:r="http://schemas.openxmlformats.org/officeDocument/2006/relationships" ref="N1802" r:id="rId3122"/>
    <hyperlink xmlns:r="http://schemas.openxmlformats.org/officeDocument/2006/relationships" ref="L1803" r:id="rId3123"/>
    <hyperlink xmlns:r="http://schemas.openxmlformats.org/officeDocument/2006/relationships" ref="N1803" r:id="rId3124"/>
    <hyperlink xmlns:r="http://schemas.openxmlformats.org/officeDocument/2006/relationships" ref="L1804" r:id="rId3125"/>
    <hyperlink xmlns:r="http://schemas.openxmlformats.org/officeDocument/2006/relationships" ref="N1804" r:id="rId3126"/>
    <hyperlink xmlns:r="http://schemas.openxmlformats.org/officeDocument/2006/relationships" ref="L1805" r:id="rId3127"/>
    <hyperlink xmlns:r="http://schemas.openxmlformats.org/officeDocument/2006/relationships" ref="N1805" r:id="rId3128"/>
    <hyperlink xmlns:r="http://schemas.openxmlformats.org/officeDocument/2006/relationships" ref="L1806" r:id="rId3129"/>
    <hyperlink xmlns:r="http://schemas.openxmlformats.org/officeDocument/2006/relationships" ref="N1806" r:id="rId3130"/>
    <hyperlink xmlns:r="http://schemas.openxmlformats.org/officeDocument/2006/relationships" ref="L1807" r:id="rId3131"/>
    <hyperlink xmlns:r="http://schemas.openxmlformats.org/officeDocument/2006/relationships" ref="N1807" r:id="rId3132"/>
    <hyperlink xmlns:r="http://schemas.openxmlformats.org/officeDocument/2006/relationships" ref="L1808" r:id="rId3133"/>
    <hyperlink xmlns:r="http://schemas.openxmlformats.org/officeDocument/2006/relationships" ref="N1808" r:id="rId3134"/>
    <hyperlink xmlns:r="http://schemas.openxmlformats.org/officeDocument/2006/relationships" ref="L1809" r:id="rId3135"/>
    <hyperlink xmlns:r="http://schemas.openxmlformats.org/officeDocument/2006/relationships" ref="N1809" r:id="rId3136"/>
    <hyperlink xmlns:r="http://schemas.openxmlformats.org/officeDocument/2006/relationships" ref="L1810" r:id="rId3137"/>
    <hyperlink xmlns:r="http://schemas.openxmlformats.org/officeDocument/2006/relationships" ref="N1810" r:id="rId3138"/>
    <hyperlink xmlns:r="http://schemas.openxmlformats.org/officeDocument/2006/relationships" ref="L1811" r:id="rId3139"/>
    <hyperlink xmlns:r="http://schemas.openxmlformats.org/officeDocument/2006/relationships" ref="N1811" r:id="rId3140"/>
    <hyperlink xmlns:r="http://schemas.openxmlformats.org/officeDocument/2006/relationships" ref="L1812" r:id="rId3141"/>
    <hyperlink xmlns:r="http://schemas.openxmlformats.org/officeDocument/2006/relationships" ref="N1812" r:id="rId3142"/>
    <hyperlink xmlns:r="http://schemas.openxmlformats.org/officeDocument/2006/relationships" ref="L1813" r:id="rId3143"/>
    <hyperlink xmlns:r="http://schemas.openxmlformats.org/officeDocument/2006/relationships" ref="N1813" r:id="rId3144"/>
    <hyperlink xmlns:r="http://schemas.openxmlformats.org/officeDocument/2006/relationships" ref="L1814" r:id="rId3145"/>
    <hyperlink xmlns:r="http://schemas.openxmlformats.org/officeDocument/2006/relationships" ref="N1814" r:id="rId3146"/>
    <hyperlink xmlns:r="http://schemas.openxmlformats.org/officeDocument/2006/relationships" ref="L1815" r:id="rId3147"/>
    <hyperlink xmlns:r="http://schemas.openxmlformats.org/officeDocument/2006/relationships" ref="N1815" r:id="rId3148"/>
    <hyperlink xmlns:r="http://schemas.openxmlformats.org/officeDocument/2006/relationships" ref="L1816" r:id="rId3149"/>
    <hyperlink xmlns:r="http://schemas.openxmlformats.org/officeDocument/2006/relationships" ref="N1816" r:id="rId3150"/>
    <hyperlink xmlns:r="http://schemas.openxmlformats.org/officeDocument/2006/relationships" ref="L1817" r:id="rId3151"/>
    <hyperlink xmlns:r="http://schemas.openxmlformats.org/officeDocument/2006/relationships" ref="N1817" r:id="rId3152"/>
    <hyperlink xmlns:r="http://schemas.openxmlformats.org/officeDocument/2006/relationships" ref="L1818" r:id="rId3153"/>
    <hyperlink xmlns:r="http://schemas.openxmlformats.org/officeDocument/2006/relationships" ref="N1818" r:id="rId3154"/>
    <hyperlink xmlns:r="http://schemas.openxmlformats.org/officeDocument/2006/relationships" ref="L1819" r:id="rId3155"/>
    <hyperlink xmlns:r="http://schemas.openxmlformats.org/officeDocument/2006/relationships" ref="N1819" r:id="rId3156"/>
    <hyperlink xmlns:r="http://schemas.openxmlformats.org/officeDocument/2006/relationships" ref="L1820" r:id="rId3157"/>
    <hyperlink xmlns:r="http://schemas.openxmlformats.org/officeDocument/2006/relationships" ref="N1820" r:id="rId3158"/>
    <hyperlink xmlns:r="http://schemas.openxmlformats.org/officeDocument/2006/relationships" ref="L1821" r:id="rId3159"/>
    <hyperlink xmlns:r="http://schemas.openxmlformats.org/officeDocument/2006/relationships" ref="N1821" r:id="rId3160"/>
    <hyperlink xmlns:r="http://schemas.openxmlformats.org/officeDocument/2006/relationships" ref="L1822" r:id="rId3161"/>
    <hyperlink xmlns:r="http://schemas.openxmlformats.org/officeDocument/2006/relationships" ref="N1822" r:id="rId3162"/>
    <hyperlink xmlns:r="http://schemas.openxmlformats.org/officeDocument/2006/relationships" ref="L1823" r:id="rId3163"/>
    <hyperlink xmlns:r="http://schemas.openxmlformats.org/officeDocument/2006/relationships" ref="N1823" r:id="rId3164"/>
    <hyperlink xmlns:r="http://schemas.openxmlformats.org/officeDocument/2006/relationships" ref="L1824" r:id="rId3165"/>
    <hyperlink xmlns:r="http://schemas.openxmlformats.org/officeDocument/2006/relationships" ref="N1824" r:id="rId3166"/>
    <hyperlink xmlns:r="http://schemas.openxmlformats.org/officeDocument/2006/relationships" ref="L1825" r:id="rId3167"/>
    <hyperlink xmlns:r="http://schemas.openxmlformats.org/officeDocument/2006/relationships" ref="N1825" r:id="rId3168"/>
    <hyperlink xmlns:r="http://schemas.openxmlformats.org/officeDocument/2006/relationships" ref="L1826" r:id="rId3169"/>
    <hyperlink xmlns:r="http://schemas.openxmlformats.org/officeDocument/2006/relationships" ref="N1826" r:id="rId3170"/>
    <hyperlink xmlns:r="http://schemas.openxmlformats.org/officeDocument/2006/relationships" ref="L1827" r:id="rId3171"/>
    <hyperlink xmlns:r="http://schemas.openxmlformats.org/officeDocument/2006/relationships" ref="N1827" r:id="rId3172"/>
    <hyperlink xmlns:r="http://schemas.openxmlformats.org/officeDocument/2006/relationships" ref="L1828" r:id="rId3173"/>
    <hyperlink xmlns:r="http://schemas.openxmlformats.org/officeDocument/2006/relationships" ref="N1828" r:id="rId3174"/>
    <hyperlink xmlns:r="http://schemas.openxmlformats.org/officeDocument/2006/relationships" ref="L1829" r:id="rId3175"/>
    <hyperlink xmlns:r="http://schemas.openxmlformats.org/officeDocument/2006/relationships" ref="N1829" r:id="rId3176"/>
    <hyperlink xmlns:r="http://schemas.openxmlformats.org/officeDocument/2006/relationships" ref="L1830" r:id="rId3177"/>
    <hyperlink xmlns:r="http://schemas.openxmlformats.org/officeDocument/2006/relationships" ref="N1830" r:id="rId3178"/>
    <hyperlink xmlns:r="http://schemas.openxmlformats.org/officeDocument/2006/relationships" ref="L1831" r:id="rId3179"/>
    <hyperlink xmlns:r="http://schemas.openxmlformats.org/officeDocument/2006/relationships" ref="N1831" r:id="rId3180"/>
    <hyperlink xmlns:r="http://schemas.openxmlformats.org/officeDocument/2006/relationships" ref="L1832" r:id="rId3181"/>
    <hyperlink xmlns:r="http://schemas.openxmlformats.org/officeDocument/2006/relationships" ref="N1832" r:id="rId3182"/>
    <hyperlink xmlns:r="http://schemas.openxmlformats.org/officeDocument/2006/relationships" ref="L1833" r:id="rId3183"/>
    <hyperlink xmlns:r="http://schemas.openxmlformats.org/officeDocument/2006/relationships" ref="N1833" r:id="rId3184"/>
    <hyperlink xmlns:r="http://schemas.openxmlformats.org/officeDocument/2006/relationships" ref="L1834" r:id="rId3185"/>
    <hyperlink xmlns:r="http://schemas.openxmlformats.org/officeDocument/2006/relationships" ref="N1834" r:id="rId3186"/>
    <hyperlink xmlns:r="http://schemas.openxmlformats.org/officeDocument/2006/relationships" ref="L1835" r:id="rId3187"/>
    <hyperlink xmlns:r="http://schemas.openxmlformats.org/officeDocument/2006/relationships" ref="N1835" r:id="rId3188"/>
    <hyperlink xmlns:r="http://schemas.openxmlformats.org/officeDocument/2006/relationships" ref="L1836" r:id="rId3189"/>
    <hyperlink xmlns:r="http://schemas.openxmlformats.org/officeDocument/2006/relationships" ref="N1836" r:id="rId3190"/>
    <hyperlink xmlns:r="http://schemas.openxmlformats.org/officeDocument/2006/relationships" ref="L1837" r:id="rId3191"/>
    <hyperlink xmlns:r="http://schemas.openxmlformats.org/officeDocument/2006/relationships" ref="N1837" r:id="rId3192"/>
    <hyperlink xmlns:r="http://schemas.openxmlformats.org/officeDocument/2006/relationships" ref="L1838" r:id="rId3193"/>
    <hyperlink xmlns:r="http://schemas.openxmlformats.org/officeDocument/2006/relationships" ref="N1838" r:id="rId3194"/>
    <hyperlink xmlns:r="http://schemas.openxmlformats.org/officeDocument/2006/relationships" ref="L1839" r:id="rId3195"/>
    <hyperlink xmlns:r="http://schemas.openxmlformats.org/officeDocument/2006/relationships" ref="N1839" r:id="rId3196"/>
    <hyperlink xmlns:r="http://schemas.openxmlformats.org/officeDocument/2006/relationships" ref="L1840" r:id="rId3197"/>
    <hyperlink xmlns:r="http://schemas.openxmlformats.org/officeDocument/2006/relationships" ref="N1840" r:id="rId3198"/>
    <hyperlink xmlns:r="http://schemas.openxmlformats.org/officeDocument/2006/relationships" ref="L1841" r:id="rId3199"/>
    <hyperlink xmlns:r="http://schemas.openxmlformats.org/officeDocument/2006/relationships" ref="N1841" r:id="rId3200"/>
    <hyperlink xmlns:r="http://schemas.openxmlformats.org/officeDocument/2006/relationships" ref="L1842" r:id="rId3201"/>
    <hyperlink xmlns:r="http://schemas.openxmlformats.org/officeDocument/2006/relationships" ref="N1842" r:id="rId3202"/>
    <hyperlink xmlns:r="http://schemas.openxmlformats.org/officeDocument/2006/relationships" ref="L1843" r:id="rId3203"/>
    <hyperlink xmlns:r="http://schemas.openxmlformats.org/officeDocument/2006/relationships" ref="N1843" r:id="rId3204"/>
    <hyperlink xmlns:r="http://schemas.openxmlformats.org/officeDocument/2006/relationships" ref="L1844" r:id="rId3205"/>
    <hyperlink xmlns:r="http://schemas.openxmlformats.org/officeDocument/2006/relationships" ref="N1844" r:id="rId3206"/>
    <hyperlink xmlns:r="http://schemas.openxmlformats.org/officeDocument/2006/relationships" ref="L1845" r:id="rId3207"/>
    <hyperlink xmlns:r="http://schemas.openxmlformats.org/officeDocument/2006/relationships" ref="N1845" r:id="rId3208"/>
    <hyperlink xmlns:r="http://schemas.openxmlformats.org/officeDocument/2006/relationships" ref="L1846" r:id="rId3209"/>
    <hyperlink xmlns:r="http://schemas.openxmlformats.org/officeDocument/2006/relationships" ref="N1846" r:id="rId3210"/>
    <hyperlink xmlns:r="http://schemas.openxmlformats.org/officeDocument/2006/relationships" ref="L1847" r:id="rId3211"/>
    <hyperlink xmlns:r="http://schemas.openxmlformats.org/officeDocument/2006/relationships" ref="N1847" r:id="rId3212"/>
    <hyperlink xmlns:r="http://schemas.openxmlformats.org/officeDocument/2006/relationships" ref="L1848" r:id="rId3213"/>
    <hyperlink xmlns:r="http://schemas.openxmlformats.org/officeDocument/2006/relationships" ref="N1848" r:id="rId3214"/>
    <hyperlink xmlns:r="http://schemas.openxmlformats.org/officeDocument/2006/relationships" ref="L1849" r:id="rId3215"/>
    <hyperlink xmlns:r="http://schemas.openxmlformats.org/officeDocument/2006/relationships" ref="N1849" r:id="rId3216"/>
    <hyperlink xmlns:r="http://schemas.openxmlformats.org/officeDocument/2006/relationships" ref="L1850" r:id="rId3217"/>
    <hyperlink xmlns:r="http://schemas.openxmlformats.org/officeDocument/2006/relationships" ref="N1850" r:id="rId3218"/>
    <hyperlink xmlns:r="http://schemas.openxmlformats.org/officeDocument/2006/relationships" ref="L1851" r:id="rId3219"/>
    <hyperlink xmlns:r="http://schemas.openxmlformats.org/officeDocument/2006/relationships" ref="N1851" r:id="rId3220"/>
    <hyperlink xmlns:r="http://schemas.openxmlformats.org/officeDocument/2006/relationships" ref="L1852" r:id="rId3221"/>
    <hyperlink xmlns:r="http://schemas.openxmlformats.org/officeDocument/2006/relationships" ref="N1852" r:id="rId3222"/>
    <hyperlink xmlns:r="http://schemas.openxmlformats.org/officeDocument/2006/relationships" ref="L1853" r:id="rId3223"/>
    <hyperlink xmlns:r="http://schemas.openxmlformats.org/officeDocument/2006/relationships" ref="N1853" r:id="rId3224"/>
    <hyperlink xmlns:r="http://schemas.openxmlformats.org/officeDocument/2006/relationships" ref="L1854" r:id="rId3225"/>
    <hyperlink xmlns:r="http://schemas.openxmlformats.org/officeDocument/2006/relationships" ref="N1854" r:id="rId3226"/>
    <hyperlink xmlns:r="http://schemas.openxmlformats.org/officeDocument/2006/relationships" ref="L1855" r:id="rId3227"/>
    <hyperlink xmlns:r="http://schemas.openxmlformats.org/officeDocument/2006/relationships" ref="N1855" r:id="rId3228"/>
    <hyperlink xmlns:r="http://schemas.openxmlformats.org/officeDocument/2006/relationships" ref="L1856" r:id="rId3229"/>
    <hyperlink xmlns:r="http://schemas.openxmlformats.org/officeDocument/2006/relationships" ref="N1856" r:id="rId3230"/>
    <hyperlink xmlns:r="http://schemas.openxmlformats.org/officeDocument/2006/relationships" ref="L1857" r:id="rId3231"/>
    <hyperlink xmlns:r="http://schemas.openxmlformats.org/officeDocument/2006/relationships" ref="N1857" r:id="rId3232"/>
    <hyperlink xmlns:r="http://schemas.openxmlformats.org/officeDocument/2006/relationships" ref="L1858" r:id="rId3233"/>
    <hyperlink xmlns:r="http://schemas.openxmlformats.org/officeDocument/2006/relationships" ref="N1858" r:id="rId3234"/>
    <hyperlink xmlns:r="http://schemas.openxmlformats.org/officeDocument/2006/relationships" ref="L1859" r:id="rId3235"/>
    <hyperlink xmlns:r="http://schemas.openxmlformats.org/officeDocument/2006/relationships" ref="N1859" r:id="rId3236"/>
    <hyperlink xmlns:r="http://schemas.openxmlformats.org/officeDocument/2006/relationships" ref="L1860" r:id="rId3237"/>
    <hyperlink xmlns:r="http://schemas.openxmlformats.org/officeDocument/2006/relationships" ref="N1860" r:id="rId3238"/>
    <hyperlink xmlns:r="http://schemas.openxmlformats.org/officeDocument/2006/relationships" ref="L1861" r:id="rId3239"/>
    <hyperlink xmlns:r="http://schemas.openxmlformats.org/officeDocument/2006/relationships" ref="N1861" r:id="rId3240"/>
    <hyperlink xmlns:r="http://schemas.openxmlformats.org/officeDocument/2006/relationships" ref="L1862" r:id="rId3241"/>
    <hyperlink xmlns:r="http://schemas.openxmlformats.org/officeDocument/2006/relationships" ref="N1862" r:id="rId3242"/>
    <hyperlink xmlns:r="http://schemas.openxmlformats.org/officeDocument/2006/relationships" ref="L1863" r:id="rId3243"/>
    <hyperlink xmlns:r="http://schemas.openxmlformats.org/officeDocument/2006/relationships" ref="N1863" r:id="rId3244"/>
    <hyperlink xmlns:r="http://schemas.openxmlformats.org/officeDocument/2006/relationships" ref="L1864" r:id="rId3245"/>
    <hyperlink xmlns:r="http://schemas.openxmlformats.org/officeDocument/2006/relationships" ref="N1864" r:id="rId3246"/>
    <hyperlink xmlns:r="http://schemas.openxmlformats.org/officeDocument/2006/relationships" ref="L1865" r:id="rId3247"/>
    <hyperlink xmlns:r="http://schemas.openxmlformats.org/officeDocument/2006/relationships" ref="N1865" r:id="rId3248"/>
    <hyperlink xmlns:r="http://schemas.openxmlformats.org/officeDocument/2006/relationships" ref="L1866" r:id="rId3249"/>
    <hyperlink xmlns:r="http://schemas.openxmlformats.org/officeDocument/2006/relationships" ref="N1866" r:id="rId3250"/>
    <hyperlink xmlns:r="http://schemas.openxmlformats.org/officeDocument/2006/relationships" ref="L1867" r:id="rId3251"/>
    <hyperlink xmlns:r="http://schemas.openxmlformats.org/officeDocument/2006/relationships" ref="N1867" r:id="rId3252"/>
    <hyperlink xmlns:r="http://schemas.openxmlformats.org/officeDocument/2006/relationships" ref="L1868" r:id="rId3253"/>
    <hyperlink xmlns:r="http://schemas.openxmlformats.org/officeDocument/2006/relationships" ref="N1868" r:id="rId3254"/>
    <hyperlink xmlns:r="http://schemas.openxmlformats.org/officeDocument/2006/relationships" ref="L1869" r:id="rId3255"/>
    <hyperlink xmlns:r="http://schemas.openxmlformats.org/officeDocument/2006/relationships" ref="N1869" r:id="rId3256"/>
    <hyperlink xmlns:r="http://schemas.openxmlformats.org/officeDocument/2006/relationships" ref="L1870" r:id="rId3257"/>
    <hyperlink xmlns:r="http://schemas.openxmlformats.org/officeDocument/2006/relationships" ref="N1870" r:id="rId3258"/>
    <hyperlink xmlns:r="http://schemas.openxmlformats.org/officeDocument/2006/relationships" ref="L1871" r:id="rId3259"/>
    <hyperlink xmlns:r="http://schemas.openxmlformats.org/officeDocument/2006/relationships" ref="N1871" r:id="rId3260"/>
    <hyperlink xmlns:r="http://schemas.openxmlformats.org/officeDocument/2006/relationships" ref="L1872" r:id="rId3261"/>
    <hyperlink xmlns:r="http://schemas.openxmlformats.org/officeDocument/2006/relationships" ref="N1872" r:id="rId3262"/>
    <hyperlink xmlns:r="http://schemas.openxmlformats.org/officeDocument/2006/relationships" ref="L1873" r:id="rId3263"/>
    <hyperlink xmlns:r="http://schemas.openxmlformats.org/officeDocument/2006/relationships" ref="N1873" r:id="rId3264"/>
    <hyperlink xmlns:r="http://schemas.openxmlformats.org/officeDocument/2006/relationships" ref="L1874" r:id="rId3265"/>
    <hyperlink xmlns:r="http://schemas.openxmlformats.org/officeDocument/2006/relationships" ref="N1874" r:id="rId3266"/>
    <hyperlink xmlns:r="http://schemas.openxmlformats.org/officeDocument/2006/relationships" ref="L1875" r:id="rId3267"/>
    <hyperlink xmlns:r="http://schemas.openxmlformats.org/officeDocument/2006/relationships" ref="N1875" r:id="rId3268"/>
    <hyperlink xmlns:r="http://schemas.openxmlformats.org/officeDocument/2006/relationships" ref="L1876" r:id="rId3269"/>
    <hyperlink xmlns:r="http://schemas.openxmlformats.org/officeDocument/2006/relationships" ref="N1876" r:id="rId3270"/>
    <hyperlink xmlns:r="http://schemas.openxmlformats.org/officeDocument/2006/relationships" ref="L1877" r:id="rId3271"/>
    <hyperlink xmlns:r="http://schemas.openxmlformats.org/officeDocument/2006/relationships" ref="N1877" r:id="rId3272"/>
    <hyperlink xmlns:r="http://schemas.openxmlformats.org/officeDocument/2006/relationships" ref="L1878" r:id="rId3273"/>
    <hyperlink xmlns:r="http://schemas.openxmlformats.org/officeDocument/2006/relationships" ref="N1878" r:id="rId3274"/>
    <hyperlink xmlns:r="http://schemas.openxmlformats.org/officeDocument/2006/relationships" ref="L1879" r:id="rId3275"/>
    <hyperlink xmlns:r="http://schemas.openxmlformats.org/officeDocument/2006/relationships" ref="N1879" r:id="rId3276"/>
    <hyperlink xmlns:r="http://schemas.openxmlformats.org/officeDocument/2006/relationships" ref="L1880" r:id="rId3277"/>
    <hyperlink xmlns:r="http://schemas.openxmlformats.org/officeDocument/2006/relationships" ref="N1880" r:id="rId3278"/>
    <hyperlink xmlns:r="http://schemas.openxmlformats.org/officeDocument/2006/relationships" ref="L1881" r:id="rId3279"/>
    <hyperlink xmlns:r="http://schemas.openxmlformats.org/officeDocument/2006/relationships" ref="N1881" r:id="rId3280"/>
    <hyperlink xmlns:r="http://schemas.openxmlformats.org/officeDocument/2006/relationships" ref="L1882" r:id="rId3281"/>
    <hyperlink xmlns:r="http://schemas.openxmlformats.org/officeDocument/2006/relationships" ref="N1882" r:id="rId3282"/>
    <hyperlink xmlns:r="http://schemas.openxmlformats.org/officeDocument/2006/relationships" ref="L1883" r:id="rId3283"/>
    <hyperlink xmlns:r="http://schemas.openxmlformats.org/officeDocument/2006/relationships" ref="N1883" r:id="rId3284"/>
    <hyperlink xmlns:r="http://schemas.openxmlformats.org/officeDocument/2006/relationships" ref="L1884" r:id="rId3285"/>
    <hyperlink xmlns:r="http://schemas.openxmlformats.org/officeDocument/2006/relationships" ref="N1884" r:id="rId3286"/>
    <hyperlink xmlns:r="http://schemas.openxmlformats.org/officeDocument/2006/relationships" ref="L1885" r:id="rId3287"/>
    <hyperlink xmlns:r="http://schemas.openxmlformats.org/officeDocument/2006/relationships" ref="N1885" r:id="rId3288"/>
    <hyperlink xmlns:r="http://schemas.openxmlformats.org/officeDocument/2006/relationships" ref="L1886" r:id="rId3289"/>
    <hyperlink xmlns:r="http://schemas.openxmlformats.org/officeDocument/2006/relationships" ref="N1886" r:id="rId3290"/>
    <hyperlink xmlns:r="http://schemas.openxmlformats.org/officeDocument/2006/relationships" ref="L1887" r:id="rId3291"/>
    <hyperlink xmlns:r="http://schemas.openxmlformats.org/officeDocument/2006/relationships" ref="N1887" r:id="rId3292"/>
    <hyperlink xmlns:r="http://schemas.openxmlformats.org/officeDocument/2006/relationships" ref="L1888" r:id="rId3293"/>
    <hyperlink xmlns:r="http://schemas.openxmlformats.org/officeDocument/2006/relationships" ref="N1888" r:id="rId3294"/>
    <hyperlink xmlns:r="http://schemas.openxmlformats.org/officeDocument/2006/relationships" ref="L1889" r:id="rId3295"/>
    <hyperlink xmlns:r="http://schemas.openxmlformats.org/officeDocument/2006/relationships" ref="N1889" r:id="rId3296"/>
    <hyperlink xmlns:r="http://schemas.openxmlformats.org/officeDocument/2006/relationships" ref="L1890" r:id="rId3297"/>
    <hyperlink xmlns:r="http://schemas.openxmlformats.org/officeDocument/2006/relationships" ref="N1890" r:id="rId3298"/>
    <hyperlink xmlns:r="http://schemas.openxmlformats.org/officeDocument/2006/relationships" ref="L1891" r:id="rId3299"/>
    <hyperlink xmlns:r="http://schemas.openxmlformats.org/officeDocument/2006/relationships" ref="N1891" r:id="rId3300"/>
    <hyperlink xmlns:r="http://schemas.openxmlformats.org/officeDocument/2006/relationships" ref="L1892" r:id="rId3301"/>
    <hyperlink xmlns:r="http://schemas.openxmlformats.org/officeDocument/2006/relationships" ref="N1892" r:id="rId3302"/>
    <hyperlink xmlns:r="http://schemas.openxmlformats.org/officeDocument/2006/relationships" ref="L1893" r:id="rId3303"/>
    <hyperlink xmlns:r="http://schemas.openxmlformats.org/officeDocument/2006/relationships" ref="N1893" r:id="rId3304"/>
    <hyperlink xmlns:r="http://schemas.openxmlformats.org/officeDocument/2006/relationships" ref="L1894" r:id="rId3305"/>
    <hyperlink xmlns:r="http://schemas.openxmlformats.org/officeDocument/2006/relationships" ref="N1894" r:id="rId3306"/>
    <hyperlink xmlns:r="http://schemas.openxmlformats.org/officeDocument/2006/relationships" ref="L1895" r:id="rId3307"/>
    <hyperlink xmlns:r="http://schemas.openxmlformats.org/officeDocument/2006/relationships" ref="N1895" r:id="rId3308"/>
    <hyperlink xmlns:r="http://schemas.openxmlformats.org/officeDocument/2006/relationships" ref="L1896" r:id="rId3309"/>
    <hyperlink xmlns:r="http://schemas.openxmlformats.org/officeDocument/2006/relationships" ref="N1896" r:id="rId3310"/>
    <hyperlink xmlns:r="http://schemas.openxmlformats.org/officeDocument/2006/relationships" ref="L1897" r:id="rId3311"/>
    <hyperlink xmlns:r="http://schemas.openxmlformats.org/officeDocument/2006/relationships" ref="N1897" r:id="rId3312"/>
    <hyperlink xmlns:r="http://schemas.openxmlformats.org/officeDocument/2006/relationships" ref="L1898" r:id="rId3313"/>
    <hyperlink xmlns:r="http://schemas.openxmlformats.org/officeDocument/2006/relationships" ref="N1898" r:id="rId3314"/>
    <hyperlink xmlns:r="http://schemas.openxmlformats.org/officeDocument/2006/relationships" ref="L1899" r:id="rId3315"/>
    <hyperlink xmlns:r="http://schemas.openxmlformats.org/officeDocument/2006/relationships" ref="N1899" r:id="rId3316"/>
    <hyperlink xmlns:r="http://schemas.openxmlformats.org/officeDocument/2006/relationships" ref="L1900" r:id="rId3317"/>
    <hyperlink xmlns:r="http://schemas.openxmlformats.org/officeDocument/2006/relationships" ref="N1900" r:id="rId3318"/>
    <hyperlink xmlns:r="http://schemas.openxmlformats.org/officeDocument/2006/relationships" ref="L1901" r:id="rId3319"/>
    <hyperlink xmlns:r="http://schemas.openxmlformats.org/officeDocument/2006/relationships" ref="N1901" r:id="rId3320"/>
    <hyperlink xmlns:r="http://schemas.openxmlformats.org/officeDocument/2006/relationships" ref="L1902" r:id="rId3321"/>
    <hyperlink xmlns:r="http://schemas.openxmlformats.org/officeDocument/2006/relationships" ref="N1902" r:id="rId3322"/>
    <hyperlink xmlns:r="http://schemas.openxmlformats.org/officeDocument/2006/relationships" ref="L1903" r:id="rId3323"/>
    <hyperlink xmlns:r="http://schemas.openxmlformats.org/officeDocument/2006/relationships" ref="N1903" r:id="rId3324"/>
    <hyperlink xmlns:r="http://schemas.openxmlformats.org/officeDocument/2006/relationships" ref="L1904" r:id="rId3325"/>
    <hyperlink xmlns:r="http://schemas.openxmlformats.org/officeDocument/2006/relationships" ref="N1904" r:id="rId3326"/>
    <hyperlink xmlns:r="http://schemas.openxmlformats.org/officeDocument/2006/relationships" ref="L1905" r:id="rId3327"/>
    <hyperlink xmlns:r="http://schemas.openxmlformats.org/officeDocument/2006/relationships" ref="N1905" r:id="rId3328"/>
    <hyperlink xmlns:r="http://schemas.openxmlformats.org/officeDocument/2006/relationships" ref="L1906" r:id="rId3329"/>
    <hyperlink xmlns:r="http://schemas.openxmlformats.org/officeDocument/2006/relationships" ref="N1906" r:id="rId3330"/>
    <hyperlink xmlns:r="http://schemas.openxmlformats.org/officeDocument/2006/relationships" ref="L1907" r:id="rId3331"/>
    <hyperlink xmlns:r="http://schemas.openxmlformats.org/officeDocument/2006/relationships" ref="N1907" r:id="rId3332"/>
    <hyperlink xmlns:r="http://schemas.openxmlformats.org/officeDocument/2006/relationships" ref="L1908" r:id="rId3333"/>
    <hyperlink xmlns:r="http://schemas.openxmlformats.org/officeDocument/2006/relationships" ref="N1908" r:id="rId3334"/>
    <hyperlink xmlns:r="http://schemas.openxmlformats.org/officeDocument/2006/relationships" ref="L1909" r:id="rId3335"/>
    <hyperlink xmlns:r="http://schemas.openxmlformats.org/officeDocument/2006/relationships" ref="N1909" r:id="rId3336"/>
    <hyperlink xmlns:r="http://schemas.openxmlformats.org/officeDocument/2006/relationships" ref="L1910" r:id="rId3337"/>
    <hyperlink xmlns:r="http://schemas.openxmlformats.org/officeDocument/2006/relationships" ref="N1910" r:id="rId3338"/>
    <hyperlink xmlns:r="http://schemas.openxmlformats.org/officeDocument/2006/relationships" ref="L1911" r:id="rId3339"/>
    <hyperlink xmlns:r="http://schemas.openxmlformats.org/officeDocument/2006/relationships" ref="N1911" r:id="rId3340"/>
    <hyperlink xmlns:r="http://schemas.openxmlformats.org/officeDocument/2006/relationships" ref="L1912" r:id="rId3341"/>
    <hyperlink xmlns:r="http://schemas.openxmlformats.org/officeDocument/2006/relationships" ref="N1912" r:id="rId3342"/>
    <hyperlink xmlns:r="http://schemas.openxmlformats.org/officeDocument/2006/relationships" ref="L1913" r:id="rId3343"/>
    <hyperlink xmlns:r="http://schemas.openxmlformats.org/officeDocument/2006/relationships" ref="N1913" r:id="rId3344"/>
    <hyperlink xmlns:r="http://schemas.openxmlformats.org/officeDocument/2006/relationships" ref="L1914" r:id="rId3345"/>
    <hyperlink xmlns:r="http://schemas.openxmlformats.org/officeDocument/2006/relationships" ref="N1914" r:id="rId3346"/>
    <hyperlink xmlns:r="http://schemas.openxmlformats.org/officeDocument/2006/relationships" ref="L1915" r:id="rId3347"/>
    <hyperlink xmlns:r="http://schemas.openxmlformats.org/officeDocument/2006/relationships" ref="N1915" r:id="rId3348"/>
    <hyperlink xmlns:r="http://schemas.openxmlformats.org/officeDocument/2006/relationships" ref="L1916" r:id="rId3349"/>
    <hyperlink xmlns:r="http://schemas.openxmlformats.org/officeDocument/2006/relationships" ref="N1916" r:id="rId3350"/>
    <hyperlink xmlns:r="http://schemas.openxmlformats.org/officeDocument/2006/relationships" ref="L1917" r:id="rId3351"/>
    <hyperlink xmlns:r="http://schemas.openxmlformats.org/officeDocument/2006/relationships" ref="N1917" r:id="rId3352"/>
    <hyperlink xmlns:r="http://schemas.openxmlformats.org/officeDocument/2006/relationships" ref="L1918" r:id="rId3353"/>
    <hyperlink xmlns:r="http://schemas.openxmlformats.org/officeDocument/2006/relationships" ref="N1918" r:id="rId3354"/>
    <hyperlink xmlns:r="http://schemas.openxmlformats.org/officeDocument/2006/relationships" ref="L1919" r:id="rId3355"/>
    <hyperlink xmlns:r="http://schemas.openxmlformats.org/officeDocument/2006/relationships" ref="N1919" r:id="rId3356"/>
    <hyperlink xmlns:r="http://schemas.openxmlformats.org/officeDocument/2006/relationships" ref="L1920" r:id="rId3357"/>
    <hyperlink xmlns:r="http://schemas.openxmlformats.org/officeDocument/2006/relationships" ref="N1920" r:id="rId3358"/>
    <hyperlink xmlns:r="http://schemas.openxmlformats.org/officeDocument/2006/relationships" ref="L1921" r:id="rId3359"/>
    <hyperlink xmlns:r="http://schemas.openxmlformats.org/officeDocument/2006/relationships" ref="N1921" r:id="rId3360"/>
    <hyperlink xmlns:r="http://schemas.openxmlformats.org/officeDocument/2006/relationships" ref="L1922" r:id="rId3361"/>
    <hyperlink xmlns:r="http://schemas.openxmlformats.org/officeDocument/2006/relationships" ref="N1922" r:id="rId3362"/>
    <hyperlink xmlns:r="http://schemas.openxmlformats.org/officeDocument/2006/relationships" ref="L1923" r:id="rId3363"/>
    <hyperlink xmlns:r="http://schemas.openxmlformats.org/officeDocument/2006/relationships" ref="N1923" r:id="rId3364"/>
    <hyperlink xmlns:r="http://schemas.openxmlformats.org/officeDocument/2006/relationships" ref="L1924" r:id="rId3365"/>
    <hyperlink xmlns:r="http://schemas.openxmlformats.org/officeDocument/2006/relationships" ref="N1924" r:id="rId3366"/>
    <hyperlink xmlns:r="http://schemas.openxmlformats.org/officeDocument/2006/relationships" ref="L1925" r:id="rId3367"/>
    <hyperlink xmlns:r="http://schemas.openxmlformats.org/officeDocument/2006/relationships" ref="N1925" r:id="rId3368"/>
    <hyperlink xmlns:r="http://schemas.openxmlformats.org/officeDocument/2006/relationships" ref="L1926" r:id="rId3369"/>
    <hyperlink xmlns:r="http://schemas.openxmlformats.org/officeDocument/2006/relationships" ref="N1926" r:id="rId3370"/>
    <hyperlink xmlns:r="http://schemas.openxmlformats.org/officeDocument/2006/relationships" ref="L1927" r:id="rId3371"/>
    <hyperlink xmlns:r="http://schemas.openxmlformats.org/officeDocument/2006/relationships" ref="N1927" r:id="rId3372"/>
    <hyperlink xmlns:r="http://schemas.openxmlformats.org/officeDocument/2006/relationships" ref="L1928" r:id="rId3373"/>
    <hyperlink xmlns:r="http://schemas.openxmlformats.org/officeDocument/2006/relationships" ref="N1928" r:id="rId3374"/>
    <hyperlink xmlns:r="http://schemas.openxmlformats.org/officeDocument/2006/relationships" ref="L1929" r:id="rId3375"/>
    <hyperlink xmlns:r="http://schemas.openxmlformats.org/officeDocument/2006/relationships" ref="N1929" r:id="rId3376"/>
    <hyperlink xmlns:r="http://schemas.openxmlformats.org/officeDocument/2006/relationships" ref="L1930" r:id="rId3377"/>
    <hyperlink xmlns:r="http://schemas.openxmlformats.org/officeDocument/2006/relationships" ref="N1930" r:id="rId3378"/>
    <hyperlink xmlns:r="http://schemas.openxmlformats.org/officeDocument/2006/relationships" ref="L1931" r:id="rId3379"/>
    <hyperlink xmlns:r="http://schemas.openxmlformats.org/officeDocument/2006/relationships" ref="N1931" r:id="rId3380"/>
    <hyperlink xmlns:r="http://schemas.openxmlformats.org/officeDocument/2006/relationships" ref="L1932" r:id="rId3381"/>
    <hyperlink xmlns:r="http://schemas.openxmlformats.org/officeDocument/2006/relationships" ref="N1932" r:id="rId3382"/>
    <hyperlink xmlns:r="http://schemas.openxmlformats.org/officeDocument/2006/relationships" ref="L1933" r:id="rId3383"/>
    <hyperlink xmlns:r="http://schemas.openxmlformats.org/officeDocument/2006/relationships" ref="N1933" r:id="rId3384"/>
    <hyperlink xmlns:r="http://schemas.openxmlformats.org/officeDocument/2006/relationships" ref="L1934" r:id="rId3385"/>
    <hyperlink xmlns:r="http://schemas.openxmlformats.org/officeDocument/2006/relationships" ref="N1934" r:id="rId3386"/>
    <hyperlink xmlns:r="http://schemas.openxmlformats.org/officeDocument/2006/relationships" ref="L1935" r:id="rId3387"/>
    <hyperlink xmlns:r="http://schemas.openxmlformats.org/officeDocument/2006/relationships" ref="N1935" r:id="rId3388"/>
    <hyperlink xmlns:r="http://schemas.openxmlformats.org/officeDocument/2006/relationships" ref="L1936" r:id="rId3389"/>
    <hyperlink xmlns:r="http://schemas.openxmlformats.org/officeDocument/2006/relationships" ref="N1936" r:id="rId3390"/>
    <hyperlink xmlns:r="http://schemas.openxmlformats.org/officeDocument/2006/relationships" ref="L1937" r:id="rId3391"/>
    <hyperlink xmlns:r="http://schemas.openxmlformats.org/officeDocument/2006/relationships" ref="N1937" r:id="rId3392"/>
    <hyperlink xmlns:r="http://schemas.openxmlformats.org/officeDocument/2006/relationships" ref="L1938" r:id="rId3393"/>
    <hyperlink xmlns:r="http://schemas.openxmlformats.org/officeDocument/2006/relationships" ref="N1938" r:id="rId3394"/>
    <hyperlink xmlns:r="http://schemas.openxmlformats.org/officeDocument/2006/relationships" ref="L1939" r:id="rId3395"/>
    <hyperlink xmlns:r="http://schemas.openxmlformats.org/officeDocument/2006/relationships" ref="N1939" r:id="rId3396"/>
    <hyperlink xmlns:r="http://schemas.openxmlformats.org/officeDocument/2006/relationships" ref="L1940" r:id="rId3397"/>
    <hyperlink xmlns:r="http://schemas.openxmlformats.org/officeDocument/2006/relationships" ref="N1940" r:id="rId3398"/>
    <hyperlink xmlns:r="http://schemas.openxmlformats.org/officeDocument/2006/relationships" ref="L1941" r:id="rId3399"/>
    <hyperlink xmlns:r="http://schemas.openxmlformats.org/officeDocument/2006/relationships" ref="N1941" r:id="rId3400"/>
    <hyperlink xmlns:r="http://schemas.openxmlformats.org/officeDocument/2006/relationships" ref="L1942" r:id="rId3401"/>
    <hyperlink xmlns:r="http://schemas.openxmlformats.org/officeDocument/2006/relationships" ref="N1942" r:id="rId3402"/>
    <hyperlink xmlns:r="http://schemas.openxmlformats.org/officeDocument/2006/relationships" ref="L1943" r:id="rId3403"/>
    <hyperlink xmlns:r="http://schemas.openxmlformats.org/officeDocument/2006/relationships" ref="N1943" r:id="rId3404"/>
    <hyperlink xmlns:r="http://schemas.openxmlformats.org/officeDocument/2006/relationships" ref="L1944" r:id="rId3405"/>
    <hyperlink xmlns:r="http://schemas.openxmlformats.org/officeDocument/2006/relationships" ref="N1944" r:id="rId3406"/>
    <hyperlink xmlns:r="http://schemas.openxmlformats.org/officeDocument/2006/relationships" ref="L1945" r:id="rId3407"/>
    <hyperlink xmlns:r="http://schemas.openxmlformats.org/officeDocument/2006/relationships" ref="N1945" r:id="rId3408"/>
    <hyperlink xmlns:r="http://schemas.openxmlformats.org/officeDocument/2006/relationships" ref="L1946" r:id="rId3409"/>
    <hyperlink xmlns:r="http://schemas.openxmlformats.org/officeDocument/2006/relationships" ref="N1946" r:id="rId3410"/>
    <hyperlink xmlns:r="http://schemas.openxmlformats.org/officeDocument/2006/relationships" ref="L1947" r:id="rId3411"/>
    <hyperlink xmlns:r="http://schemas.openxmlformats.org/officeDocument/2006/relationships" ref="N1947" r:id="rId3412"/>
    <hyperlink xmlns:r="http://schemas.openxmlformats.org/officeDocument/2006/relationships" ref="L1948" r:id="rId3413"/>
    <hyperlink xmlns:r="http://schemas.openxmlformats.org/officeDocument/2006/relationships" ref="N1948" r:id="rId3414"/>
    <hyperlink xmlns:r="http://schemas.openxmlformats.org/officeDocument/2006/relationships" ref="L1949" r:id="rId3415"/>
    <hyperlink xmlns:r="http://schemas.openxmlformats.org/officeDocument/2006/relationships" ref="N1949" r:id="rId3416"/>
    <hyperlink xmlns:r="http://schemas.openxmlformats.org/officeDocument/2006/relationships" ref="L1950" r:id="rId3417"/>
    <hyperlink xmlns:r="http://schemas.openxmlformats.org/officeDocument/2006/relationships" ref="N1950" r:id="rId3418"/>
    <hyperlink xmlns:r="http://schemas.openxmlformats.org/officeDocument/2006/relationships" ref="L1951" r:id="rId3419"/>
    <hyperlink xmlns:r="http://schemas.openxmlformats.org/officeDocument/2006/relationships" ref="N1951" r:id="rId3420"/>
    <hyperlink xmlns:r="http://schemas.openxmlformats.org/officeDocument/2006/relationships" ref="L1952" r:id="rId3421"/>
    <hyperlink xmlns:r="http://schemas.openxmlformats.org/officeDocument/2006/relationships" ref="N1952" r:id="rId3422"/>
    <hyperlink xmlns:r="http://schemas.openxmlformats.org/officeDocument/2006/relationships" ref="L1953" r:id="rId3423"/>
    <hyperlink xmlns:r="http://schemas.openxmlformats.org/officeDocument/2006/relationships" ref="N1953" r:id="rId3424"/>
    <hyperlink xmlns:r="http://schemas.openxmlformats.org/officeDocument/2006/relationships" ref="L1954" r:id="rId3425"/>
    <hyperlink xmlns:r="http://schemas.openxmlformats.org/officeDocument/2006/relationships" ref="N1954" r:id="rId3426"/>
    <hyperlink xmlns:r="http://schemas.openxmlformats.org/officeDocument/2006/relationships" ref="L1955" r:id="rId3427"/>
    <hyperlink xmlns:r="http://schemas.openxmlformats.org/officeDocument/2006/relationships" ref="N1955" r:id="rId3428"/>
    <hyperlink xmlns:r="http://schemas.openxmlformats.org/officeDocument/2006/relationships" ref="L1956" r:id="rId3429"/>
    <hyperlink xmlns:r="http://schemas.openxmlformats.org/officeDocument/2006/relationships" ref="N1956" r:id="rId3430"/>
    <hyperlink xmlns:r="http://schemas.openxmlformats.org/officeDocument/2006/relationships" ref="L1957" r:id="rId3431"/>
    <hyperlink xmlns:r="http://schemas.openxmlformats.org/officeDocument/2006/relationships" ref="N1957" r:id="rId3432"/>
    <hyperlink xmlns:r="http://schemas.openxmlformats.org/officeDocument/2006/relationships" ref="L1958" r:id="rId3433"/>
    <hyperlink xmlns:r="http://schemas.openxmlformats.org/officeDocument/2006/relationships" ref="N1958" r:id="rId3434"/>
    <hyperlink xmlns:r="http://schemas.openxmlformats.org/officeDocument/2006/relationships" ref="L1959" r:id="rId3435"/>
    <hyperlink xmlns:r="http://schemas.openxmlformats.org/officeDocument/2006/relationships" ref="N1959" r:id="rId3436"/>
    <hyperlink xmlns:r="http://schemas.openxmlformats.org/officeDocument/2006/relationships" ref="L1960" r:id="rId3437"/>
    <hyperlink xmlns:r="http://schemas.openxmlformats.org/officeDocument/2006/relationships" ref="N1960" r:id="rId3438"/>
    <hyperlink xmlns:r="http://schemas.openxmlformats.org/officeDocument/2006/relationships" ref="L1961" r:id="rId3439"/>
    <hyperlink xmlns:r="http://schemas.openxmlformats.org/officeDocument/2006/relationships" ref="N1961" r:id="rId3440"/>
    <hyperlink xmlns:r="http://schemas.openxmlformats.org/officeDocument/2006/relationships" ref="L1962" r:id="rId3441"/>
    <hyperlink xmlns:r="http://schemas.openxmlformats.org/officeDocument/2006/relationships" ref="N1962" r:id="rId3442"/>
    <hyperlink xmlns:r="http://schemas.openxmlformats.org/officeDocument/2006/relationships" ref="L1963" r:id="rId3443"/>
    <hyperlink xmlns:r="http://schemas.openxmlformats.org/officeDocument/2006/relationships" ref="N1963" r:id="rId3444"/>
    <hyperlink xmlns:r="http://schemas.openxmlformats.org/officeDocument/2006/relationships" ref="L1964" r:id="rId3445"/>
    <hyperlink xmlns:r="http://schemas.openxmlformats.org/officeDocument/2006/relationships" ref="N1964" r:id="rId3446"/>
    <hyperlink xmlns:r="http://schemas.openxmlformats.org/officeDocument/2006/relationships" ref="L1965" r:id="rId3447"/>
    <hyperlink xmlns:r="http://schemas.openxmlformats.org/officeDocument/2006/relationships" ref="N1965" r:id="rId3448"/>
    <hyperlink xmlns:r="http://schemas.openxmlformats.org/officeDocument/2006/relationships" ref="L1966" r:id="rId3449"/>
    <hyperlink xmlns:r="http://schemas.openxmlformats.org/officeDocument/2006/relationships" ref="N1966" r:id="rId3450"/>
    <hyperlink xmlns:r="http://schemas.openxmlformats.org/officeDocument/2006/relationships" ref="L1967" r:id="rId3451"/>
    <hyperlink xmlns:r="http://schemas.openxmlformats.org/officeDocument/2006/relationships" ref="N1967" r:id="rId3452"/>
    <hyperlink xmlns:r="http://schemas.openxmlformats.org/officeDocument/2006/relationships" ref="L1968" r:id="rId3453"/>
    <hyperlink xmlns:r="http://schemas.openxmlformats.org/officeDocument/2006/relationships" ref="N1968" r:id="rId3454"/>
    <hyperlink xmlns:r="http://schemas.openxmlformats.org/officeDocument/2006/relationships" ref="L1969" r:id="rId3455"/>
    <hyperlink xmlns:r="http://schemas.openxmlformats.org/officeDocument/2006/relationships" ref="N1969" r:id="rId3456"/>
    <hyperlink xmlns:r="http://schemas.openxmlformats.org/officeDocument/2006/relationships" ref="L1970" r:id="rId3457"/>
    <hyperlink xmlns:r="http://schemas.openxmlformats.org/officeDocument/2006/relationships" ref="N1970" r:id="rId3458"/>
    <hyperlink xmlns:r="http://schemas.openxmlformats.org/officeDocument/2006/relationships" ref="L1971" r:id="rId3459"/>
    <hyperlink xmlns:r="http://schemas.openxmlformats.org/officeDocument/2006/relationships" ref="N1971" r:id="rId3460"/>
    <hyperlink xmlns:r="http://schemas.openxmlformats.org/officeDocument/2006/relationships" ref="L1972" r:id="rId3461"/>
    <hyperlink xmlns:r="http://schemas.openxmlformats.org/officeDocument/2006/relationships" ref="N1972" r:id="rId3462"/>
    <hyperlink xmlns:r="http://schemas.openxmlformats.org/officeDocument/2006/relationships" ref="L1973" r:id="rId3463"/>
    <hyperlink xmlns:r="http://schemas.openxmlformats.org/officeDocument/2006/relationships" ref="N1973" r:id="rId3464"/>
    <hyperlink xmlns:r="http://schemas.openxmlformats.org/officeDocument/2006/relationships" ref="L1974" r:id="rId3465"/>
    <hyperlink xmlns:r="http://schemas.openxmlformats.org/officeDocument/2006/relationships" ref="N1974" r:id="rId3466"/>
    <hyperlink xmlns:r="http://schemas.openxmlformats.org/officeDocument/2006/relationships" ref="L1975" r:id="rId3467"/>
    <hyperlink xmlns:r="http://schemas.openxmlformats.org/officeDocument/2006/relationships" ref="N1975" r:id="rId3468"/>
    <hyperlink xmlns:r="http://schemas.openxmlformats.org/officeDocument/2006/relationships" ref="L1976" r:id="rId3469"/>
    <hyperlink xmlns:r="http://schemas.openxmlformats.org/officeDocument/2006/relationships" ref="N1976" r:id="rId3470"/>
    <hyperlink xmlns:r="http://schemas.openxmlformats.org/officeDocument/2006/relationships" ref="L1977" r:id="rId3471"/>
    <hyperlink xmlns:r="http://schemas.openxmlformats.org/officeDocument/2006/relationships" ref="N1977" r:id="rId3472"/>
    <hyperlink xmlns:r="http://schemas.openxmlformats.org/officeDocument/2006/relationships" ref="L1978" r:id="rId3473"/>
    <hyperlink xmlns:r="http://schemas.openxmlformats.org/officeDocument/2006/relationships" ref="N1978" r:id="rId3474"/>
    <hyperlink xmlns:r="http://schemas.openxmlformats.org/officeDocument/2006/relationships" ref="L1979" r:id="rId3475"/>
    <hyperlink xmlns:r="http://schemas.openxmlformats.org/officeDocument/2006/relationships" ref="N1979" r:id="rId3476"/>
    <hyperlink xmlns:r="http://schemas.openxmlformats.org/officeDocument/2006/relationships" ref="L1980" r:id="rId3477"/>
    <hyperlink xmlns:r="http://schemas.openxmlformats.org/officeDocument/2006/relationships" ref="N1980" r:id="rId3478"/>
    <hyperlink xmlns:r="http://schemas.openxmlformats.org/officeDocument/2006/relationships" ref="L1981" r:id="rId3479"/>
    <hyperlink xmlns:r="http://schemas.openxmlformats.org/officeDocument/2006/relationships" ref="N1981" r:id="rId3480"/>
    <hyperlink xmlns:r="http://schemas.openxmlformats.org/officeDocument/2006/relationships" ref="L1982" r:id="rId3481"/>
    <hyperlink xmlns:r="http://schemas.openxmlformats.org/officeDocument/2006/relationships" ref="N1982" r:id="rId3482"/>
    <hyperlink xmlns:r="http://schemas.openxmlformats.org/officeDocument/2006/relationships" ref="L1983" r:id="rId3483"/>
    <hyperlink xmlns:r="http://schemas.openxmlformats.org/officeDocument/2006/relationships" ref="N1983" r:id="rId3484"/>
    <hyperlink xmlns:r="http://schemas.openxmlformats.org/officeDocument/2006/relationships" ref="L1984" r:id="rId3485"/>
    <hyperlink xmlns:r="http://schemas.openxmlformats.org/officeDocument/2006/relationships" ref="N1984" r:id="rId3486"/>
    <hyperlink xmlns:r="http://schemas.openxmlformats.org/officeDocument/2006/relationships" ref="L1985" r:id="rId3487"/>
    <hyperlink xmlns:r="http://schemas.openxmlformats.org/officeDocument/2006/relationships" ref="N1985" r:id="rId3488"/>
    <hyperlink xmlns:r="http://schemas.openxmlformats.org/officeDocument/2006/relationships" ref="L1986" r:id="rId3489"/>
    <hyperlink xmlns:r="http://schemas.openxmlformats.org/officeDocument/2006/relationships" ref="N1986" r:id="rId3490"/>
    <hyperlink xmlns:r="http://schemas.openxmlformats.org/officeDocument/2006/relationships" ref="L1987" r:id="rId3491"/>
    <hyperlink xmlns:r="http://schemas.openxmlformats.org/officeDocument/2006/relationships" ref="N1987" r:id="rId3492"/>
    <hyperlink xmlns:r="http://schemas.openxmlformats.org/officeDocument/2006/relationships" ref="L1988" r:id="rId3493"/>
    <hyperlink xmlns:r="http://schemas.openxmlformats.org/officeDocument/2006/relationships" ref="N1988" r:id="rId3494"/>
    <hyperlink xmlns:r="http://schemas.openxmlformats.org/officeDocument/2006/relationships" ref="L1989" r:id="rId3495"/>
    <hyperlink xmlns:r="http://schemas.openxmlformats.org/officeDocument/2006/relationships" ref="N1989" r:id="rId3496"/>
    <hyperlink xmlns:r="http://schemas.openxmlformats.org/officeDocument/2006/relationships" ref="L1990" r:id="rId3497"/>
    <hyperlink xmlns:r="http://schemas.openxmlformats.org/officeDocument/2006/relationships" ref="N1990" r:id="rId3498"/>
    <hyperlink xmlns:r="http://schemas.openxmlformats.org/officeDocument/2006/relationships" ref="L1991" r:id="rId3499"/>
    <hyperlink xmlns:r="http://schemas.openxmlformats.org/officeDocument/2006/relationships" ref="N1991" r:id="rId3500"/>
    <hyperlink xmlns:r="http://schemas.openxmlformats.org/officeDocument/2006/relationships" ref="L1992" r:id="rId3501"/>
    <hyperlink xmlns:r="http://schemas.openxmlformats.org/officeDocument/2006/relationships" ref="N1992" r:id="rId3502"/>
    <hyperlink xmlns:r="http://schemas.openxmlformats.org/officeDocument/2006/relationships" ref="L1993" r:id="rId3503"/>
    <hyperlink xmlns:r="http://schemas.openxmlformats.org/officeDocument/2006/relationships" ref="N1993" r:id="rId3504"/>
    <hyperlink xmlns:r="http://schemas.openxmlformats.org/officeDocument/2006/relationships" ref="L1994" r:id="rId3505"/>
    <hyperlink xmlns:r="http://schemas.openxmlformats.org/officeDocument/2006/relationships" ref="N1994" r:id="rId3506"/>
    <hyperlink xmlns:r="http://schemas.openxmlformats.org/officeDocument/2006/relationships" ref="L1995" r:id="rId3507"/>
    <hyperlink xmlns:r="http://schemas.openxmlformats.org/officeDocument/2006/relationships" ref="N1995" r:id="rId3508"/>
    <hyperlink xmlns:r="http://schemas.openxmlformats.org/officeDocument/2006/relationships" ref="L1996" r:id="rId3509"/>
    <hyperlink xmlns:r="http://schemas.openxmlformats.org/officeDocument/2006/relationships" ref="N1996" r:id="rId3510"/>
    <hyperlink xmlns:r="http://schemas.openxmlformats.org/officeDocument/2006/relationships" ref="L1997" r:id="rId3511"/>
    <hyperlink xmlns:r="http://schemas.openxmlformats.org/officeDocument/2006/relationships" ref="N1997" r:id="rId3512"/>
    <hyperlink xmlns:r="http://schemas.openxmlformats.org/officeDocument/2006/relationships" ref="L1998" r:id="rId3513"/>
    <hyperlink xmlns:r="http://schemas.openxmlformats.org/officeDocument/2006/relationships" ref="N1998" r:id="rId3514"/>
    <hyperlink xmlns:r="http://schemas.openxmlformats.org/officeDocument/2006/relationships" ref="L1999" r:id="rId3515"/>
    <hyperlink xmlns:r="http://schemas.openxmlformats.org/officeDocument/2006/relationships" ref="N1999" r:id="rId3516"/>
    <hyperlink xmlns:r="http://schemas.openxmlformats.org/officeDocument/2006/relationships" ref="L2000" r:id="rId3517"/>
    <hyperlink xmlns:r="http://schemas.openxmlformats.org/officeDocument/2006/relationships" ref="N2000" r:id="rId3518"/>
    <hyperlink xmlns:r="http://schemas.openxmlformats.org/officeDocument/2006/relationships" ref="L2001" r:id="rId3519"/>
    <hyperlink xmlns:r="http://schemas.openxmlformats.org/officeDocument/2006/relationships" ref="N2001" r:id="rId3520"/>
    <hyperlink xmlns:r="http://schemas.openxmlformats.org/officeDocument/2006/relationships" ref="L2002" r:id="rId3521"/>
    <hyperlink xmlns:r="http://schemas.openxmlformats.org/officeDocument/2006/relationships" ref="N2002" r:id="rId3522"/>
    <hyperlink xmlns:r="http://schemas.openxmlformats.org/officeDocument/2006/relationships" ref="L2003" r:id="rId3523"/>
    <hyperlink xmlns:r="http://schemas.openxmlformats.org/officeDocument/2006/relationships" ref="N2003" r:id="rId3524"/>
    <hyperlink xmlns:r="http://schemas.openxmlformats.org/officeDocument/2006/relationships" ref="L2004" r:id="rId3525"/>
    <hyperlink xmlns:r="http://schemas.openxmlformats.org/officeDocument/2006/relationships" ref="N2004" r:id="rId3526"/>
    <hyperlink xmlns:r="http://schemas.openxmlformats.org/officeDocument/2006/relationships" ref="L2005" r:id="rId3527"/>
    <hyperlink xmlns:r="http://schemas.openxmlformats.org/officeDocument/2006/relationships" ref="N2005" r:id="rId3528"/>
    <hyperlink xmlns:r="http://schemas.openxmlformats.org/officeDocument/2006/relationships" ref="L2006" r:id="rId3529"/>
    <hyperlink xmlns:r="http://schemas.openxmlformats.org/officeDocument/2006/relationships" ref="N2006" r:id="rId3530"/>
    <hyperlink xmlns:r="http://schemas.openxmlformats.org/officeDocument/2006/relationships" ref="L2007" r:id="rId3531"/>
    <hyperlink xmlns:r="http://schemas.openxmlformats.org/officeDocument/2006/relationships" ref="N2007" r:id="rId3532"/>
    <hyperlink xmlns:r="http://schemas.openxmlformats.org/officeDocument/2006/relationships" ref="L2008" r:id="rId3533"/>
    <hyperlink xmlns:r="http://schemas.openxmlformats.org/officeDocument/2006/relationships" ref="N2008" r:id="rId3534"/>
    <hyperlink xmlns:r="http://schemas.openxmlformats.org/officeDocument/2006/relationships" ref="L2009" r:id="rId3535"/>
    <hyperlink xmlns:r="http://schemas.openxmlformats.org/officeDocument/2006/relationships" ref="N2009" r:id="rId3536"/>
    <hyperlink xmlns:r="http://schemas.openxmlformats.org/officeDocument/2006/relationships" ref="L2010" r:id="rId3537"/>
    <hyperlink xmlns:r="http://schemas.openxmlformats.org/officeDocument/2006/relationships" ref="N2010" r:id="rId3538"/>
    <hyperlink xmlns:r="http://schemas.openxmlformats.org/officeDocument/2006/relationships" ref="L2011" r:id="rId3539"/>
    <hyperlink xmlns:r="http://schemas.openxmlformats.org/officeDocument/2006/relationships" ref="N2011" r:id="rId3540"/>
    <hyperlink xmlns:r="http://schemas.openxmlformats.org/officeDocument/2006/relationships" ref="L2012" r:id="rId3541"/>
    <hyperlink xmlns:r="http://schemas.openxmlformats.org/officeDocument/2006/relationships" ref="N2012" r:id="rId3542"/>
    <hyperlink xmlns:r="http://schemas.openxmlformats.org/officeDocument/2006/relationships" ref="L2013" r:id="rId3543"/>
    <hyperlink xmlns:r="http://schemas.openxmlformats.org/officeDocument/2006/relationships" ref="N2013" r:id="rId3544"/>
    <hyperlink xmlns:r="http://schemas.openxmlformats.org/officeDocument/2006/relationships" ref="L2014" r:id="rId3545"/>
    <hyperlink xmlns:r="http://schemas.openxmlformats.org/officeDocument/2006/relationships" ref="N2014" r:id="rId3546"/>
    <hyperlink xmlns:r="http://schemas.openxmlformats.org/officeDocument/2006/relationships" ref="L2015" r:id="rId3547"/>
    <hyperlink xmlns:r="http://schemas.openxmlformats.org/officeDocument/2006/relationships" ref="N2015" r:id="rId3548"/>
    <hyperlink xmlns:r="http://schemas.openxmlformats.org/officeDocument/2006/relationships" ref="L2016" r:id="rId3549"/>
    <hyperlink xmlns:r="http://schemas.openxmlformats.org/officeDocument/2006/relationships" ref="N2016" r:id="rId3550"/>
    <hyperlink xmlns:r="http://schemas.openxmlformats.org/officeDocument/2006/relationships" ref="L2017" r:id="rId3551"/>
    <hyperlink xmlns:r="http://schemas.openxmlformats.org/officeDocument/2006/relationships" ref="N2017" r:id="rId3552"/>
    <hyperlink xmlns:r="http://schemas.openxmlformats.org/officeDocument/2006/relationships" ref="L2018" r:id="rId3553"/>
    <hyperlink xmlns:r="http://schemas.openxmlformats.org/officeDocument/2006/relationships" ref="N2018" r:id="rId3554"/>
    <hyperlink xmlns:r="http://schemas.openxmlformats.org/officeDocument/2006/relationships" ref="L2019" r:id="rId3555"/>
    <hyperlink xmlns:r="http://schemas.openxmlformats.org/officeDocument/2006/relationships" ref="N2019" r:id="rId3556"/>
    <hyperlink xmlns:r="http://schemas.openxmlformats.org/officeDocument/2006/relationships" ref="L2020" r:id="rId3557"/>
    <hyperlink xmlns:r="http://schemas.openxmlformats.org/officeDocument/2006/relationships" ref="N2020" r:id="rId3558"/>
    <hyperlink xmlns:r="http://schemas.openxmlformats.org/officeDocument/2006/relationships" ref="L2021" r:id="rId3559"/>
    <hyperlink xmlns:r="http://schemas.openxmlformats.org/officeDocument/2006/relationships" ref="N2021" r:id="rId3560"/>
    <hyperlink xmlns:r="http://schemas.openxmlformats.org/officeDocument/2006/relationships" ref="L2022" r:id="rId3561"/>
    <hyperlink xmlns:r="http://schemas.openxmlformats.org/officeDocument/2006/relationships" ref="N2022" r:id="rId3562"/>
    <hyperlink xmlns:r="http://schemas.openxmlformats.org/officeDocument/2006/relationships" ref="L2023" r:id="rId3563"/>
    <hyperlink xmlns:r="http://schemas.openxmlformats.org/officeDocument/2006/relationships" ref="N2023" r:id="rId3564"/>
    <hyperlink xmlns:r="http://schemas.openxmlformats.org/officeDocument/2006/relationships" ref="L2024" r:id="rId3565"/>
    <hyperlink xmlns:r="http://schemas.openxmlformats.org/officeDocument/2006/relationships" ref="N2024" r:id="rId3566"/>
    <hyperlink xmlns:r="http://schemas.openxmlformats.org/officeDocument/2006/relationships" ref="L2025" r:id="rId3567"/>
    <hyperlink xmlns:r="http://schemas.openxmlformats.org/officeDocument/2006/relationships" ref="N2025" r:id="rId3568"/>
    <hyperlink xmlns:r="http://schemas.openxmlformats.org/officeDocument/2006/relationships" ref="L2026" r:id="rId3569"/>
    <hyperlink xmlns:r="http://schemas.openxmlformats.org/officeDocument/2006/relationships" ref="N2026" r:id="rId3570"/>
    <hyperlink xmlns:r="http://schemas.openxmlformats.org/officeDocument/2006/relationships" ref="L2027" r:id="rId3571"/>
    <hyperlink xmlns:r="http://schemas.openxmlformats.org/officeDocument/2006/relationships" ref="N2027" r:id="rId3572"/>
    <hyperlink xmlns:r="http://schemas.openxmlformats.org/officeDocument/2006/relationships" ref="L2028" r:id="rId3573"/>
    <hyperlink xmlns:r="http://schemas.openxmlformats.org/officeDocument/2006/relationships" ref="N2028" r:id="rId3574"/>
    <hyperlink xmlns:r="http://schemas.openxmlformats.org/officeDocument/2006/relationships" ref="L2029" r:id="rId3575"/>
    <hyperlink xmlns:r="http://schemas.openxmlformats.org/officeDocument/2006/relationships" ref="N2029" r:id="rId3576"/>
    <hyperlink xmlns:r="http://schemas.openxmlformats.org/officeDocument/2006/relationships" ref="L2030" r:id="rId3577"/>
    <hyperlink xmlns:r="http://schemas.openxmlformats.org/officeDocument/2006/relationships" ref="N2030" r:id="rId3578"/>
    <hyperlink xmlns:r="http://schemas.openxmlformats.org/officeDocument/2006/relationships" ref="L2031" r:id="rId3579"/>
    <hyperlink xmlns:r="http://schemas.openxmlformats.org/officeDocument/2006/relationships" ref="N2031" r:id="rId3580"/>
    <hyperlink xmlns:r="http://schemas.openxmlformats.org/officeDocument/2006/relationships" ref="L2032" r:id="rId3581"/>
    <hyperlink xmlns:r="http://schemas.openxmlformats.org/officeDocument/2006/relationships" ref="N2032" r:id="rId3582"/>
    <hyperlink xmlns:r="http://schemas.openxmlformats.org/officeDocument/2006/relationships" ref="L2033" r:id="rId3583"/>
    <hyperlink xmlns:r="http://schemas.openxmlformats.org/officeDocument/2006/relationships" ref="N2033" r:id="rId3584"/>
    <hyperlink xmlns:r="http://schemas.openxmlformats.org/officeDocument/2006/relationships" ref="L2034" r:id="rId3585"/>
    <hyperlink xmlns:r="http://schemas.openxmlformats.org/officeDocument/2006/relationships" ref="N2034" r:id="rId3586"/>
    <hyperlink xmlns:r="http://schemas.openxmlformats.org/officeDocument/2006/relationships" ref="L2035" r:id="rId3587"/>
    <hyperlink xmlns:r="http://schemas.openxmlformats.org/officeDocument/2006/relationships" ref="N2035" r:id="rId3588"/>
    <hyperlink xmlns:r="http://schemas.openxmlformats.org/officeDocument/2006/relationships" ref="L2036" r:id="rId3589"/>
    <hyperlink xmlns:r="http://schemas.openxmlformats.org/officeDocument/2006/relationships" ref="N2036" r:id="rId3590"/>
    <hyperlink xmlns:r="http://schemas.openxmlformats.org/officeDocument/2006/relationships" ref="L2037" r:id="rId3591"/>
    <hyperlink xmlns:r="http://schemas.openxmlformats.org/officeDocument/2006/relationships" ref="N2037" r:id="rId3592"/>
    <hyperlink xmlns:r="http://schemas.openxmlformats.org/officeDocument/2006/relationships" ref="L2038" r:id="rId3593"/>
    <hyperlink xmlns:r="http://schemas.openxmlformats.org/officeDocument/2006/relationships" ref="N2038" r:id="rId3594"/>
    <hyperlink xmlns:r="http://schemas.openxmlformats.org/officeDocument/2006/relationships" ref="L2039" r:id="rId3595"/>
    <hyperlink xmlns:r="http://schemas.openxmlformats.org/officeDocument/2006/relationships" ref="N2039" r:id="rId3596"/>
    <hyperlink xmlns:r="http://schemas.openxmlformats.org/officeDocument/2006/relationships" ref="L2040" r:id="rId3597"/>
    <hyperlink xmlns:r="http://schemas.openxmlformats.org/officeDocument/2006/relationships" ref="N2040" r:id="rId3598"/>
    <hyperlink xmlns:r="http://schemas.openxmlformats.org/officeDocument/2006/relationships" ref="L2041" r:id="rId3599"/>
    <hyperlink xmlns:r="http://schemas.openxmlformats.org/officeDocument/2006/relationships" ref="N2041" r:id="rId3600"/>
    <hyperlink xmlns:r="http://schemas.openxmlformats.org/officeDocument/2006/relationships" ref="L2042" r:id="rId3601"/>
    <hyperlink xmlns:r="http://schemas.openxmlformats.org/officeDocument/2006/relationships" ref="N2042" r:id="rId3602"/>
    <hyperlink xmlns:r="http://schemas.openxmlformats.org/officeDocument/2006/relationships" ref="L2043" r:id="rId3603"/>
    <hyperlink xmlns:r="http://schemas.openxmlformats.org/officeDocument/2006/relationships" ref="N2043" r:id="rId3604"/>
    <hyperlink xmlns:r="http://schemas.openxmlformats.org/officeDocument/2006/relationships" ref="L2044" r:id="rId3605"/>
    <hyperlink xmlns:r="http://schemas.openxmlformats.org/officeDocument/2006/relationships" ref="N2044" r:id="rId3606"/>
    <hyperlink xmlns:r="http://schemas.openxmlformats.org/officeDocument/2006/relationships" ref="L2045" r:id="rId3607"/>
    <hyperlink xmlns:r="http://schemas.openxmlformats.org/officeDocument/2006/relationships" ref="N2045" r:id="rId3608"/>
    <hyperlink xmlns:r="http://schemas.openxmlformats.org/officeDocument/2006/relationships" ref="L2046" r:id="rId3609"/>
    <hyperlink xmlns:r="http://schemas.openxmlformats.org/officeDocument/2006/relationships" ref="N2046" r:id="rId3610"/>
    <hyperlink xmlns:r="http://schemas.openxmlformats.org/officeDocument/2006/relationships" ref="L2047" r:id="rId3611"/>
    <hyperlink xmlns:r="http://schemas.openxmlformats.org/officeDocument/2006/relationships" ref="N2047" r:id="rId3612"/>
    <hyperlink xmlns:r="http://schemas.openxmlformats.org/officeDocument/2006/relationships" ref="L2048" r:id="rId3613"/>
    <hyperlink xmlns:r="http://schemas.openxmlformats.org/officeDocument/2006/relationships" ref="N2048" r:id="rId3614"/>
    <hyperlink xmlns:r="http://schemas.openxmlformats.org/officeDocument/2006/relationships" ref="L2049" r:id="rId3615"/>
    <hyperlink xmlns:r="http://schemas.openxmlformats.org/officeDocument/2006/relationships" ref="N2049" r:id="rId3616"/>
    <hyperlink xmlns:r="http://schemas.openxmlformats.org/officeDocument/2006/relationships" ref="L2050" r:id="rId3617"/>
    <hyperlink xmlns:r="http://schemas.openxmlformats.org/officeDocument/2006/relationships" ref="N2050" r:id="rId3618"/>
    <hyperlink xmlns:r="http://schemas.openxmlformats.org/officeDocument/2006/relationships" ref="L2051" r:id="rId3619"/>
    <hyperlink xmlns:r="http://schemas.openxmlformats.org/officeDocument/2006/relationships" ref="N2051" r:id="rId3620"/>
    <hyperlink xmlns:r="http://schemas.openxmlformats.org/officeDocument/2006/relationships" ref="L2052" r:id="rId3621"/>
    <hyperlink xmlns:r="http://schemas.openxmlformats.org/officeDocument/2006/relationships" ref="N2052" r:id="rId3622"/>
    <hyperlink xmlns:r="http://schemas.openxmlformats.org/officeDocument/2006/relationships" ref="L2053" r:id="rId3623"/>
    <hyperlink xmlns:r="http://schemas.openxmlformats.org/officeDocument/2006/relationships" ref="N2053" r:id="rId3624"/>
    <hyperlink xmlns:r="http://schemas.openxmlformats.org/officeDocument/2006/relationships" ref="L2054" r:id="rId3625"/>
    <hyperlink xmlns:r="http://schemas.openxmlformats.org/officeDocument/2006/relationships" ref="N2054" r:id="rId3626"/>
    <hyperlink xmlns:r="http://schemas.openxmlformats.org/officeDocument/2006/relationships" ref="L2055" r:id="rId3627"/>
    <hyperlink xmlns:r="http://schemas.openxmlformats.org/officeDocument/2006/relationships" ref="N2055" r:id="rId3628"/>
    <hyperlink xmlns:r="http://schemas.openxmlformats.org/officeDocument/2006/relationships" ref="L2056" r:id="rId3629"/>
    <hyperlink xmlns:r="http://schemas.openxmlformats.org/officeDocument/2006/relationships" ref="N2056" r:id="rId3630"/>
    <hyperlink xmlns:r="http://schemas.openxmlformats.org/officeDocument/2006/relationships" ref="L2057" r:id="rId3631"/>
    <hyperlink xmlns:r="http://schemas.openxmlformats.org/officeDocument/2006/relationships" ref="N2057" r:id="rId3632"/>
    <hyperlink xmlns:r="http://schemas.openxmlformats.org/officeDocument/2006/relationships" ref="L2058" r:id="rId3633"/>
    <hyperlink xmlns:r="http://schemas.openxmlformats.org/officeDocument/2006/relationships" ref="N2058" r:id="rId3634"/>
    <hyperlink xmlns:r="http://schemas.openxmlformats.org/officeDocument/2006/relationships" ref="L2059" r:id="rId3635"/>
    <hyperlink xmlns:r="http://schemas.openxmlformats.org/officeDocument/2006/relationships" ref="N2059" r:id="rId3636"/>
    <hyperlink xmlns:r="http://schemas.openxmlformats.org/officeDocument/2006/relationships" ref="L2060" r:id="rId3637"/>
    <hyperlink xmlns:r="http://schemas.openxmlformats.org/officeDocument/2006/relationships" ref="N2060" r:id="rId3638"/>
    <hyperlink xmlns:r="http://schemas.openxmlformats.org/officeDocument/2006/relationships" ref="L2061" r:id="rId3639"/>
    <hyperlink xmlns:r="http://schemas.openxmlformats.org/officeDocument/2006/relationships" ref="N2061" r:id="rId3640"/>
    <hyperlink xmlns:r="http://schemas.openxmlformats.org/officeDocument/2006/relationships" ref="L2062" r:id="rId3641"/>
    <hyperlink xmlns:r="http://schemas.openxmlformats.org/officeDocument/2006/relationships" ref="N2062" r:id="rId3642"/>
    <hyperlink xmlns:r="http://schemas.openxmlformats.org/officeDocument/2006/relationships" ref="L2063" r:id="rId3643"/>
    <hyperlink xmlns:r="http://schemas.openxmlformats.org/officeDocument/2006/relationships" ref="N2063" r:id="rId3644"/>
    <hyperlink xmlns:r="http://schemas.openxmlformats.org/officeDocument/2006/relationships" ref="L2064" r:id="rId3645"/>
    <hyperlink xmlns:r="http://schemas.openxmlformats.org/officeDocument/2006/relationships" ref="N2064" r:id="rId3646"/>
    <hyperlink xmlns:r="http://schemas.openxmlformats.org/officeDocument/2006/relationships" ref="L2065" r:id="rId3647"/>
    <hyperlink xmlns:r="http://schemas.openxmlformats.org/officeDocument/2006/relationships" ref="N2065" r:id="rId3648"/>
    <hyperlink xmlns:r="http://schemas.openxmlformats.org/officeDocument/2006/relationships" ref="L2066" r:id="rId3649"/>
    <hyperlink xmlns:r="http://schemas.openxmlformats.org/officeDocument/2006/relationships" ref="N2066" r:id="rId3650"/>
    <hyperlink xmlns:r="http://schemas.openxmlformats.org/officeDocument/2006/relationships" ref="L2067" r:id="rId3651"/>
    <hyperlink xmlns:r="http://schemas.openxmlformats.org/officeDocument/2006/relationships" ref="N2067" r:id="rId3652"/>
    <hyperlink xmlns:r="http://schemas.openxmlformats.org/officeDocument/2006/relationships" ref="L2068" r:id="rId3653"/>
    <hyperlink xmlns:r="http://schemas.openxmlformats.org/officeDocument/2006/relationships" ref="N2068" r:id="rId3654"/>
    <hyperlink xmlns:r="http://schemas.openxmlformats.org/officeDocument/2006/relationships" ref="L2069" r:id="rId3655"/>
    <hyperlink xmlns:r="http://schemas.openxmlformats.org/officeDocument/2006/relationships" ref="N2069" r:id="rId3656"/>
    <hyperlink xmlns:r="http://schemas.openxmlformats.org/officeDocument/2006/relationships" ref="L2070" r:id="rId3657"/>
    <hyperlink xmlns:r="http://schemas.openxmlformats.org/officeDocument/2006/relationships" ref="N2070" r:id="rId3658"/>
    <hyperlink xmlns:r="http://schemas.openxmlformats.org/officeDocument/2006/relationships" ref="L2071" r:id="rId3659"/>
    <hyperlink xmlns:r="http://schemas.openxmlformats.org/officeDocument/2006/relationships" ref="N2071" r:id="rId3660"/>
    <hyperlink xmlns:r="http://schemas.openxmlformats.org/officeDocument/2006/relationships" ref="L2072" r:id="rId3661"/>
    <hyperlink xmlns:r="http://schemas.openxmlformats.org/officeDocument/2006/relationships" ref="N2072" r:id="rId3662"/>
    <hyperlink xmlns:r="http://schemas.openxmlformats.org/officeDocument/2006/relationships" ref="L2073" r:id="rId3663"/>
    <hyperlink xmlns:r="http://schemas.openxmlformats.org/officeDocument/2006/relationships" ref="N2073" r:id="rId3664"/>
    <hyperlink xmlns:r="http://schemas.openxmlformats.org/officeDocument/2006/relationships" ref="L2074" r:id="rId3665"/>
    <hyperlink xmlns:r="http://schemas.openxmlformats.org/officeDocument/2006/relationships" ref="N2074" r:id="rId3666"/>
    <hyperlink xmlns:r="http://schemas.openxmlformats.org/officeDocument/2006/relationships" ref="L2075" r:id="rId3667"/>
    <hyperlink xmlns:r="http://schemas.openxmlformats.org/officeDocument/2006/relationships" ref="N2075" r:id="rId3668"/>
    <hyperlink xmlns:r="http://schemas.openxmlformats.org/officeDocument/2006/relationships" ref="L2076" r:id="rId3669"/>
    <hyperlink xmlns:r="http://schemas.openxmlformats.org/officeDocument/2006/relationships" ref="N2076" r:id="rId3670"/>
    <hyperlink xmlns:r="http://schemas.openxmlformats.org/officeDocument/2006/relationships" ref="L2077" r:id="rId3671"/>
    <hyperlink xmlns:r="http://schemas.openxmlformats.org/officeDocument/2006/relationships" ref="N2077" r:id="rId3672"/>
    <hyperlink xmlns:r="http://schemas.openxmlformats.org/officeDocument/2006/relationships" ref="L2078" r:id="rId3673"/>
    <hyperlink xmlns:r="http://schemas.openxmlformats.org/officeDocument/2006/relationships" ref="N2078" r:id="rId3674"/>
    <hyperlink xmlns:r="http://schemas.openxmlformats.org/officeDocument/2006/relationships" ref="L2079" r:id="rId3675"/>
    <hyperlink xmlns:r="http://schemas.openxmlformats.org/officeDocument/2006/relationships" ref="N2079" r:id="rId3676"/>
    <hyperlink xmlns:r="http://schemas.openxmlformats.org/officeDocument/2006/relationships" ref="L2080" r:id="rId3677"/>
    <hyperlink xmlns:r="http://schemas.openxmlformats.org/officeDocument/2006/relationships" ref="N2080" r:id="rId3678"/>
    <hyperlink xmlns:r="http://schemas.openxmlformats.org/officeDocument/2006/relationships" ref="L2081" r:id="rId3679"/>
    <hyperlink xmlns:r="http://schemas.openxmlformats.org/officeDocument/2006/relationships" ref="N2081" r:id="rId3680"/>
    <hyperlink xmlns:r="http://schemas.openxmlformats.org/officeDocument/2006/relationships" ref="L2082" r:id="rId3681"/>
    <hyperlink xmlns:r="http://schemas.openxmlformats.org/officeDocument/2006/relationships" ref="N2082" r:id="rId3682"/>
    <hyperlink xmlns:r="http://schemas.openxmlformats.org/officeDocument/2006/relationships" ref="L2083" r:id="rId3683"/>
    <hyperlink xmlns:r="http://schemas.openxmlformats.org/officeDocument/2006/relationships" ref="N2083" r:id="rId3684"/>
    <hyperlink xmlns:r="http://schemas.openxmlformats.org/officeDocument/2006/relationships" ref="L2084" r:id="rId3685"/>
    <hyperlink xmlns:r="http://schemas.openxmlformats.org/officeDocument/2006/relationships" ref="N2084" r:id="rId3686"/>
    <hyperlink xmlns:r="http://schemas.openxmlformats.org/officeDocument/2006/relationships" ref="L2085" r:id="rId3687"/>
    <hyperlink xmlns:r="http://schemas.openxmlformats.org/officeDocument/2006/relationships" ref="N2085" r:id="rId3688"/>
    <hyperlink xmlns:r="http://schemas.openxmlformats.org/officeDocument/2006/relationships" ref="L2086" r:id="rId3689"/>
    <hyperlink xmlns:r="http://schemas.openxmlformats.org/officeDocument/2006/relationships" ref="N2086" r:id="rId3690"/>
    <hyperlink xmlns:r="http://schemas.openxmlformats.org/officeDocument/2006/relationships" ref="L2087" r:id="rId3691"/>
    <hyperlink xmlns:r="http://schemas.openxmlformats.org/officeDocument/2006/relationships" ref="N2087" r:id="rId3692"/>
    <hyperlink xmlns:r="http://schemas.openxmlformats.org/officeDocument/2006/relationships" ref="L2088" r:id="rId3693"/>
    <hyperlink xmlns:r="http://schemas.openxmlformats.org/officeDocument/2006/relationships" ref="N2088" r:id="rId3694"/>
    <hyperlink xmlns:r="http://schemas.openxmlformats.org/officeDocument/2006/relationships" ref="L2089" r:id="rId3695"/>
    <hyperlink xmlns:r="http://schemas.openxmlformats.org/officeDocument/2006/relationships" ref="N2089" r:id="rId3696"/>
    <hyperlink xmlns:r="http://schemas.openxmlformats.org/officeDocument/2006/relationships" ref="L2090" r:id="rId3697"/>
    <hyperlink xmlns:r="http://schemas.openxmlformats.org/officeDocument/2006/relationships" ref="N2090" r:id="rId3698"/>
    <hyperlink xmlns:r="http://schemas.openxmlformats.org/officeDocument/2006/relationships" ref="L2091" r:id="rId3699"/>
    <hyperlink xmlns:r="http://schemas.openxmlformats.org/officeDocument/2006/relationships" ref="N2091" r:id="rId3700"/>
    <hyperlink xmlns:r="http://schemas.openxmlformats.org/officeDocument/2006/relationships" ref="L2092" r:id="rId3701"/>
    <hyperlink xmlns:r="http://schemas.openxmlformats.org/officeDocument/2006/relationships" ref="N2092" r:id="rId3702"/>
    <hyperlink xmlns:r="http://schemas.openxmlformats.org/officeDocument/2006/relationships" ref="L2093" r:id="rId3703"/>
    <hyperlink xmlns:r="http://schemas.openxmlformats.org/officeDocument/2006/relationships" ref="N2093" r:id="rId3704"/>
    <hyperlink xmlns:r="http://schemas.openxmlformats.org/officeDocument/2006/relationships" ref="L2094" r:id="rId3705"/>
    <hyperlink xmlns:r="http://schemas.openxmlformats.org/officeDocument/2006/relationships" ref="N2094" r:id="rId3706"/>
    <hyperlink xmlns:r="http://schemas.openxmlformats.org/officeDocument/2006/relationships" ref="L2095" r:id="rId3707"/>
    <hyperlink xmlns:r="http://schemas.openxmlformats.org/officeDocument/2006/relationships" ref="N2095" r:id="rId3708"/>
    <hyperlink xmlns:r="http://schemas.openxmlformats.org/officeDocument/2006/relationships" ref="L2096" r:id="rId3709"/>
    <hyperlink xmlns:r="http://schemas.openxmlformats.org/officeDocument/2006/relationships" ref="N2096" r:id="rId3710"/>
    <hyperlink xmlns:r="http://schemas.openxmlformats.org/officeDocument/2006/relationships" ref="L2097" r:id="rId3711"/>
    <hyperlink xmlns:r="http://schemas.openxmlformats.org/officeDocument/2006/relationships" ref="N2097" r:id="rId3712"/>
    <hyperlink xmlns:r="http://schemas.openxmlformats.org/officeDocument/2006/relationships" ref="L2098" r:id="rId3713"/>
    <hyperlink xmlns:r="http://schemas.openxmlformats.org/officeDocument/2006/relationships" ref="N2098" r:id="rId3714"/>
    <hyperlink xmlns:r="http://schemas.openxmlformats.org/officeDocument/2006/relationships" ref="L2099" r:id="rId3715"/>
    <hyperlink xmlns:r="http://schemas.openxmlformats.org/officeDocument/2006/relationships" ref="N2099" r:id="rId3716"/>
    <hyperlink xmlns:r="http://schemas.openxmlformats.org/officeDocument/2006/relationships" ref="L2100" r:id="rId3717"/>
    <hyperlink xmlns:r="http://schemas.openxmlformats.org/officeDocument/2006/relationships" ref="N2100" r:id="rId3718"/>
    <hyperlink xmlns:r="http://schemas.openxmlformats.org/officeDocument/2006/relationships" ref="L2101" r:id="rId3719"/>
    <hyperlink xmlns:r="http://schemas.openxmlformats.org/officeDocument/2006/relationships" ref="N2101" r:id="rId3720"/>
    <hyperlink xmlns:r="http://schemas.openxmlformats.org/officeDocument/2006/relationships" ref="L2102" r:id="rId3721"/>
    <hyperlink xmlns:r="http://schemas.openxmlformats.org/officeDocument/2006/relationships" ref="N2102" r:id="rId3722"/>
    <hyperlink xmlns:r="http://schemas.openxmlformats.org/officeDocument/2006/relationships" ref="L2103" r:id="rId3723"/>
    <hyperlink xmlns:r="http://schemas.openxmlformats.org/officeDocument/2006/relationships" ref="N2103" r:id="rId3724"/>
    <hyperlink xmlns:r="http://schemas.openxmlformats.org/officeDocument/2006/relationships" ref="L2104" r:id="rId3725"/>
    <hyperlink xmlns:r="http://schemas.openxmlformats.org/officeDocument/2006/relationships" ref="N2104" r:id="rId3726"/>
    <hyperlink xmlns:r="http://schemas.openxmlformats.org/officeDocument/2006/relationships" ref="L2105" r:id="rId3727"/>
    <hyperlink xmlns:r="http://schemas.openxmlformats.org/officeDocument/2006/relationships" ref="N2105" r:id="rId3728"/>
    <hyperlink xmlns:r="http://schemas.openxmlformats.org/officeDocument/2006/relationships" ref="L2106" r:id="rId3729"/>
    <hyperlink xmlns:r="http://schemas.openxmlformats.org/officeDocument/2006/relationships" ref="N2106" r:id="rId3730"/>
    <hyperlink xmlns:r="http://schemas.openxmlformats.org/officeDocument/2006/relationships" ref="L2107" r:id="rId3731"/>
    <hyperlink xmlns:r="http://schemas.openxmlformats.org/officeDocument/2006/relationships" ref="N2107" r:id="rId3732"/>
    <hyperlink xmlns:r="http://schemas.openxmlformats.org/officeDocument/2006/relationships" ref="L2108" r:id="rId3733"/>
    <hyperlink xmlns:r="http://schemas.openxmlformats.org/officeDocument/2006/relationships" ref="N2108" r:id="rId3734"/>
    <hyperlink xmlns:r="http://schemas.openxmlformats.org/officeDocument/2006/relationships" ref="L2109" r:id="rId3735"/>
    <hyperlink xmlns:r="http://schemas.openxmlformats.org/officeDocument/2006/relationships" ref="N2109" r:id="rId3736"/>
    <hyperlink xmlns:r="http://schemas.openxmlformats.org/officeDocument/2006/relationships" ref="L2110" r:id="rId3737"/>
    <hyperlink xmlns:r="http://schemas.openxmlformats.org/officeDocument/2006/relationships" ref="N2110" r:id="rId3738"/>
    <hyperlink xmlns:r="http://schemas.openxmlformats.org/officeDocument/2006/relationships" ref="L2111" r:id="rId3739"/>
    <hyperlink xmlns:r="http://schemas.openxmlformats.org/officeDocument/2006/relationships" ref="N2111" r:id="rId3740"/>
    <hyperlink xmlns:r="http://schemas.openxmlformats.org/officeDocument/2006/relationships" ref="L2112" r:id="rId3741"/>
    <hyperlink xmlns:r="http://schemas.openxmlformats.org/officeDocument/2006/relationships" ref="N2112" r:id="rId3742"/>
    <hyperlink xmlns:r="http://schemas.openxmlformats.org/officeDocument/2006/relationships" ref="L2113" r:id="rId3743"/>
    <hyperlink xmlns:r="http://schemas.openxmlformats.org/officeDocument/2006/relationships" ref="N2113" r:id="rId3744"/>
    <hyperlink xmlns:r="http://schemas.openxmlformats.org/officeDocument/2006/relationships" ref="L2114" r:id="rId3745"/>
    <hyperlink xmlns:r="http://schemas.openxmlformats.org/officeDocument/2006/relationships" ref="N2114" r:id="rId3746"/>
    <hyperlink xmlns:r="http://schemas.openxmlformats.org/officeDocument/2006/relationships" ref="L2115" r:id="rId3747"/>
    <hyperlink xmlns:r="http://schemas.openxmlformats.org/officeDocument/2006/relationships" ref="N2115" r:id="rId3748"/>
    <hyperlink xmlns:r="http://schemas.openxmlformats.org/officeDocument/2006/relationships" ref="L2116" r:id="rId3749"/>
    <hyperlink xmlns:r="http://schemas.openxmlformats.org/officeDocument/2006/relationships" ref="N2116" r:id="rId3750"/>
    <hyperlink xmlns:r="http://schemas.openxmlformats.org/officeDocument/2006/relationships" ref="L2117" r:id="rId3751"/>
    <hyperlink xmlns:r="http://schemas.openxmlformats.org/officeDocument/2006/relationships" ref="N2117" r:id="rId3752"/>
    <hyperlink xmlns:r="http://schemas.openxmlformats.org/officeDocument/2006/relationships" ref="L2118" r:id="rId3753"/>
    <hyperlink xmlns:r="http://schemas.openxmlformats.org/officeDocument/2006/relationships" ref="N2118" r:id="rId3754"/>
    <hyperlink xmlns:r="http://schemas.openxmlformats.org/officeDocument/2006/relationships" ref="L2119" r:id="rId3755"/>
    <hyperlink xmlns:r="http://schemas.openxmlformats.org/officeDocument/2006/relationships" ref="N2119" r:id="rId3756"/>
    <hyperlink xmlns:r="http://schemas.openxmlformats.org/officeDocument/2006/relationships" ref="L2120" r:id="rId3757"/>
    <hyperlink xmlns:r="http://schemas.openxmlformats.org/officeDocument/2006/relationships" ref="N2120" r:id="rId3758"/>
    <hyperlink xmlns:r="http://schemas.openxmlformats.org/officeDocument/2006/relationships" ref="L2121" r:id="rId3759"/>
    <hyperlink xmlns:r="http://schemas.openxmlformats.org/officeDocument/2006/relationships" ref="N2121" r:id="rId3760"/>
    <hyperlink xmlns:r="http://schemas.openxmlformats.org/officeDocument/2006/relationships" ref="L2122" r:id="rId3761"/>
    <hyperlink xmlns:r="http://schemas.openxmlformats.org/officeDocument/2006/relationships" ref="N2122" r:id="rId3762"/>
    <hyperlink xmlns:r="http://schemas.openxmlformats.org/officeDocument/2006/relationships" ref="L2123" r:id="rId3763"/>
    <hyperlink xmlns:r="http://schemas.openxmlformats.org/officeDocument/2006/relationships" ref="N2123" r:id="rId3764"/>
    <hyperlink xmlns:r="http://schemas.openxmlformats.org/officeDocument/2006/relationships" ref="L2124" r:id="rId3765"/>
    <hyperlink xmlns:r="http://schemas.openxmlformats.org/officeDocument/2006/relationships" ref="N2124" r:id="rId3766"/>
    <hyperlink xmlns:r="http://schemas.openxmlformats.org/officeDocument/2006/relationships" ref="L2125" r:id="rId3767"/>
    <hyperlink xmlns:r="http://schemas.openxmlformats.org/officeDocument/2006/relationships" ref="N2125" r:id="rId3768"/>
    <hyperlink xmlns:r="http://schemas.openxmlformats.org/officeDocument/2006/relationships" ref="L2126" r:id="rId3769"/>
    <hyperlink xmlns:r="http://schemas.openxmlformats.org/officeDocument/2006/relationships" ref="N2126" r:id="rId3770"/>
    <hyperlink xmlns:r="http://schemas.openxmlformats.org/officeDocument/2006/relationships" ref="L2127" r:id="rId3771"/>
    <hyperlink xmlns:r="http://schemas.openxmlformats.org/officeDocument/2006/relationships" ref="N2127" r:id="rId3772"/>
    <hyperlink xmlns:r="http://schemas.openxmlformats.org/officeDocument/2006/relationships" ref="L2128" r:id="rId3773"/>
    <hyperlink xmlns:r="http://schemas.openxmlformats.org/officeDocument/2006/relationships" ref="N2128" r:id="rId3774"/>
    <hyperlink xmlns:r="http://schemas.openxmlformats.org/officeDocument/2006/relationships" ref="L2129" r:id="rId3775"/>
    <hyperlink xmlns:r="http://schemas.openxmlformats.org/officeDocument/2006/relationships" ref="N2129" r:id="rId3776"/>
    <hyperlink xmlns:r="http://schemas.openxmlformats.org/officeDocument/2006/relationships" ref="L2130" r:id="rId3777"/>
    <hyperlink xmlns:r="http://schemas.openxmlformats.org/officeDocument/2006/relationships" ref="N2130" r:id="rId3778"/>
    <hyperlink xmlns:r="http://schemas.openxmlformats.org/officeDocument/2006/relationships" ref="L2131" r:id="rId3779"/>
    <hyperlink xmlns:r="http://schemas.openxmlformats.org/officeDocument/2006/relationships" ref="N2131" r:id="rId3780"/>
    <hyperlink xmlns:r="http://schemas.openxmlformats.org/officeDocument/2006/relationships" ref="L2132" r:id="rId3781"/>
    <hyperlink xmlns:r="http://schemas.openxmlformats.org/officeDocument/2006/relationships" ref="N2132" r:id="rId3782"/>
    <hyperlink xmlns:r="http://schemas.openxmlformats.org/officeDocument/2006/relationships" ref="L2133" r:id="rId3783"/>
    <hyperlink xmlns:r="http://schemas.openxmlformats.org/officeDocument/2006/relationships" ref="N2133" r:id="rId3784"/>
    <hyperlink xmlns:r="http://schemas.openxmlformats.org/officeDocument/2006/relationships" ref="L2134" r:id="rId3785"/>
    <hyperlink xmlns:r="http://schemas.openxmlformats.org/officeDocument/2006/relationships" ref="N2134" r:id="rId3786"/>
    <hyperlink xmlns:r="http://schemas.openxmlformats.org/officeDocument/2006/relationships" ref="L2135" r:id="rId3787"/>
    <hyperlink xmlns:r="http://schemas.openxmlformats.org/officeDocument/2006/relationships" ref="N2135" r:id="rId3788"/>
    <hyperlink xmlns:r="http://schemas.openxmlformats.org/officeDocument/2006/relationships" ref="L2136" r:id="rId3789"/>
    <hyperlink xmlns:r="http://schemas.openxmlformats.org/officeDocument/2006/relationships" ref="N2136" r:id="rId3790"/>
    <hyperlink xmlns:r="http://schemas.openxmlformats.org/officeDocument/2006/relationships" ref="L2137" r:id="rId3791"/>
    <hyperlink xmlns:r="http://schemas.openxmlformats.org/officeDocument/2006/relationships" ref="N2137" r:id="rId3792"/>
    <hyperlink xmlns:r="http://schemas.openxmlformats.org/officeDocument/2006/relationships" ref="L2138" r:id="rId3793"/>
    <hyperlink xmlns:r="http://schemas.openxmlformats.org/officeDocument/2006/relationships" ref="N2138" r:id="rId3794"/>
    <hyperlink xmlns:r="http://schemas.openxmlformats.org/officeDocument/2006/relationships" ref="L2139" r:id="rId3795"/>
    <hyperlink xmlns:r="http://schemas.openxmlformats.org/officeDocument/2006/relationships" ref="N2139" r:id="rId3796"/>
    <hyperlink xmlns:r="http://schemas.openxmlformats.org/officeDocument/2006/relationships" ref="L2140" r:id="rId3797"/>
    <hyperlink xmlns:r="http://schemas.openxmlformats.org/officeDocument/2006/relationships" ref="N2140" r:id="rId3798"/>
    <hyperlink xmlns:r="http://schemas.openxmlformats.org/officeDocument/2006/relationships" ref="L2141" r:id="rId3799"/>
    <hyperlink xmlns:r="http://schemas.openxmlformats.org/officeDocument/2006/relationships" ref="N2141" r:id="rId3800"/>
    <hyperlink xmlns:r="http://schemas.openxmlformats.org/officeDocument/2006/relationships" ref="L2142" r:id="rId3801"/>
    <hyperlink xmlns:r="http://schemas.openxmlformats.org/officeDocument/2006/relationships" ref="N2142" r:id="rId3802"/>
    <hyperlink xmlns:r="http://schemas.openxmlformats.org/officeDocument/2006/relationships" ref="L2143" r:id="rId3803"/>
    <hyperlink xmlns:r="http://schemas.openxmlformats.org/officeDocument/2006/relationships" ref="N2143" r:id="rId3804"/>
    <hyperlink xmlns:r="http://schemas.openxmlformats.org/officeDocument/2006/relationships" ref="L2144" r:id="rId3805"/>
    <hyperlink xmlns:r="http://schemas.openxmlformats.org/officeDocument/2006/relationships" ref="N2144" r:id="rId3806"/>
    <hyperlink xmlns:r="http://schemas.openxmlformats.org/officeDocument/2006/relationships" ref="L2145" r:id="rId3807"/>
    <hyperlink xmlns:r="http://schemas.openxmlformats.org/officeDocument/2006/relationships" ref="N2145" r:id="rId3808"/>
    <hyperlink xmlns:r="http://schemas.openxmlformats.org/officeDocument/2006/relationships" ref="L2146" r:id="rId3809"/>
    <hyperlink xmlns:r="http://schemas.openxmlformats.org/officeDocument/2006/relationships" ref="N2146" r:id="rId3810"/>
    <hyperlink xmlns:r="http://schemas.openxmlformats.org/officeDocument/2006/relationships" ref="L2147" r:id="rId3811"/>
    <hyperlink xmlns:r="http://schemas.openxmlformats.org/officeDocument/2006/relationships" ref="N2147" r:id="rId3812"/>
    <hyperlink xmlns:r="http://schemas.openxmlformats.org/officeDocument/2006/relationships" ref="L2148" r:id="rId3813"/>
    <hyperlink xmlns:r="http://schemas.openxmlformats.org/officeDocument/2006/relationships" ref="N2148" r:id="rId3814"/>
    <hyperlink xmlns:r="http://schemas.openxmlformats.org/officeDocument/2006/relationships" ref="L2149" r:id="rId3815"/>
    <hyperlink xmlns:r="http://schemas.openxmlformats.org/officeDocument/2006/relationships" ref="N2149" r:id="rId3816"/>
    <hyperlink xmlns:r="http://schemas.openxmlformats.org/officeDocument/2006/relationships" ref="L2150" r:id="rId3817"/>
    <hyperlink xmlns:r="http://schemas.openxmlformats.org/officeDocument/2006/relationships" ref="N2150" r:id="rId3818"/>
    <hyperlink xmlns:r="http://schemas.openxmlformats.org/officeDocument/2006/relationships" ref="L2151" r:id="rId3819"/>
    <hyperlink xmlns:r="http://schemas.openxmlformats.org/officeDocument/2006/relationships" ref="N2151" r:id="rId3820"/>
    <hyperlink xmlns:r="http://schemas.openxmlformats.org/officeDocument/2006/relationships" ref="L2152" r:id="rId3821"/>
    <hyperlink xmlns:r="http://schemas.openxmlformats.org/officeDocument/2006/relationships" ref="N2152" r:id="rId3822"/>
    <hyperlink xmlns:r="http://schemas.openxmlformats.org/officeDocument/2006/relationships" ref="L2153" r:id="rId3823"/>
    <hyperlink xmlns:r="http://schemas.openxmlformats.org/officeDocument/2006/relationships" ref="N2153" r:id="rId3824"/>
    <hyperlink xmlns:r="http://schemas.openxmlformats.org/officeDocument/2006/relationships" ref="L2154" r:id="rId3825"/>
    <hyperlink xmlns:r="http://schemas.openxmlformats.org/officeDocument/2006/relationships" ref="N2154" r:id="rId3826"/>
    <hyperlink xmlns:r="http://schemas.openxmlformats.org/officeDocument/2006/relationships" ref="L2155" r:id="rId3827"/>
    <hyperlink xmlns:r="http://schemas.openxmlformats.org/officeDocument/2006/relationships" ref="N2155" r:id="rId3828"/>
    <hyperlink xmlns:r="http://schemas.openxmlformats.org/officeDocument/2006/relationships" ref="L2156" r:id="rId3829"/>
    <hyperlink xmlns:r="http://schemas.openxmlformats.org/officeDocument/2006/relationships" ref="N2156" r:id="rId3830"/>
    <hyperlink xmlns:r="http://schemas.openxmlformats.org/officeDocument/2006/relationships" ref="L2157" r:id="rId3831"/>
    <hyperlink xmlns:r="http://schemas.openxmlformats.org/officeDocument/2006/relationships" ref="N2157" r:id="rId3832"/>
    <hyperlink xmlns:r="http://schemas.openxmlformats.org/officeDocument/2006/relationships" ref="L2158" r:id="rId3833"/>
    <hyperlink xmlns:r="http://schemas.openxmlformats.org/officeDocument/2006/relationships" ref="N2158" r:id="rId3834"/>
    <hyperlink xmlns:r="http://schemas.openxmlformats.org/officeDocument/2006/relationships" ref="L2159" r:id="rId3835"/>
    <hyperlink xmlns:r="http://schemas.openxmlformats.org/officeDocument/2006/relationships" ref="N2159" r:id="rId3836"/>
    <hyperlink xmlns:r="http://schemas.openxmlformats.org/officeDocument/2006/relationships" ref="L2160" r:id="rId3837"/>
    <hyperlink xmlns:r="http://schemas.openxmlformats.org/officeDocument/2006/relationships" ref="N2160" r:id="rId3838"/>
    <hyperlink xmlns:r="http://schemas.openxmlformats.org/officeDocument/2006/relationships" ref="L2161" r:id="rId3839"/>
    <hyperlink xmlns:r="http://schemas.openxmlformats.org/officeDocument/2006/relationships" ref="N2161" r:id="rId3840"/>
    <hyperlink xmlns:r="http://schemas.openxmlformats.org/officeDocument/2006/relationships" ref="L2162" r:id="rId3841"/>
    <hyperlink xmlns:r="http://schemas.openxmlformats.org/officeDocument/2006/relationships" ref="N2162" r:id="rId3842"/>
    <hyperlink xmlns:r="http://schemas.openxmlformats.org/officeDocument/2006/relationships" ref="L2163" r:id="rId3843"/>
    <hyperlink xmlns:r="http://schemas.openxmlformats.org/officeDocument/2006/relationships" ref="N2163" r:id="rId3844"/>
    <hyperlink xmlns:r="http://schemas.openxmlformats.org/officeDocument/2006/relationships" ref="L2164" r:id="rId3845"/>
    <hyperlink xmlns:r="http://schemas.openxmlformats.org/officeDocument/2006/relationships" ref="N2164" r:id="rId3846"/>
    <hyperlink xmlns:r="http://schemas.openxmlformats.org/officeDocument/2006/relationships" ref="L2165" r:id="rId3847"/>
    <hyperlink xmlns:r="http://schemas.openxmlformats.org/officeDocument/2006/relationships" ref="N2165" r:id="rId3848"/>
    <hyperlink xmlns:r="http://schemas.openxmlformats.org/officeDocument/2006/relationships" ref="L2166" r:id="rId3849"/>
    <hyperlink xmlns:r="http://schemas.openxmlformats.org/officeDocument/2006/relationships" ref="N2166" r:id="rId3850"/>
    <hyperlink xmlns:r="http://schemas.openxmlformats.org/officeDocument/2006/relationships" ref="L2167" r:id="rId3851"/>
    <hyperlink xmlns:r="http://schemas.openxmlformats.org/officeDocument/2006/relationships" ref="N2167" r:id="rId3852"/>
    <hyperlink xmlns:r="http://schemas.openxmlformats.org/officeDocument/2006/relationships" ref="L2168" r:id="rId3853"/>
    <hyperlink xmlns:r="http://schemas.openxmlformats.org/officeDocument/2006/relationships" ref="N2168" r:id="rId3854"/>
    <hyperlink xmlns:r="http://schemas.openxmlformats.org/officeDocument/2006/relationships" ref="L2169" r:id="rId3855"/>
    <hyperlink xmlns:r="http://schemas.openxmlformats.org/officeDocument/2006/relationships" ref="N2169" r:id="rId3856"/>
    <hyperlink xmlns:r="http://schemas.openxmlformats.org/officeDocument/2006/relationships" ref="L2170" r:id="rId3857"/>
    <hyperlink xmlns:r="http://schemas.openxmlformats.org/officeDocument/2006/relationships" ref="N2170" r:id="rId3858"/>
    <hyperlink xmlns:r="http://schemas.openxmlformats.org/officeDocument/2006/relationships" ref="L2171" r:id="rId3859"/>
    <hyperlink xmlns:r="http://schemas.openxmlformats.org/officeDocument/2006/relationships" ref="N2171" r:id="rId3860"/>
    <hyperlink xmlns:r="http://schemas.openxmlformats.org/officeDocument/2006/relationships" ref="L2172" r:id="rId3861"/>
    <hyperlink xmlns:r="http://schemas.openxmlformats.org/officeDocument/2006/relationships" ref="N2172" r:id="rId3862"/>
    <hyperlink xmlns:r="http://schemas.openxmlformats.org/officeDocument/2006/relationships" ref="L2173" r:id="rId3863"/>
    <hyperlink xmlns:r="http://schemas.openxmlformats.org/officeDocument/2006/relationships" ref="N2173" r:id="rId3864"/>
    <hyperlink xmlns:r="http://schemas.openxmlformats.org/officeDocument/2006/relationships" ref="L2174" r:id="rId3865"/>
    <hyperlink xmlns:r="http://schemas.openxmlformats.org/officeDocument/2006/relationships" ref="N2174" r:id="rId3866"/>
    <hyperlink xmlns:r="http://schemas.openxmlformats.org/officeDocument/2006/relationships" ref="L2175" r:id="rId3867"/>
    <hyperlink xmlns:r="http://schemas.openxmlformats.org/officeDocument/2006/relationships" ref="N2175" r:id="rId3868"/>
    <hyperlink xmlns:r="http://schemas.openxmlformats.org/officeDocument/2006/relationships" ref="L2176" r:id="rId3869"/>
    <hyperlink xmlns:r="http://schemas.openxmlformats.org/officeDocument/2006/relationships" ref="N2176" r:id="rId3870"/>
    <hyperlink xmlns:r="http://schemas.openxmlformats.org/officeDocument/2006/relationships" ref="L2177" r:id="rId3871"/>
    <hyperlink xmlns:r="http://schemas.openxmlformats.org/officeDocument/2006/relationships" ref="N2177" r:id="rId3872"/>
    <hyperlink xmlns:r="http://schemas.openxmlformats.org/officeDocument/2006/relationships" ref="L2178" r:id="rId3873"/>
    <hyperlink xmlns:r="http://schemas.openxmlformats.org/officeDocument/2006/relationships" ref="N2178" r:id="rId3874"/>
    <hyperlink xmlns:r="http://schemas.openxmlformats.org/officeDocument/2006/relationships" ref="L2179" r:id="rId3875"/>
    <hyperlink xmlns:r="http://schemas.openxmlformats.org/officeDocument/2006/relationships" ref="N2179" r:id="rId3876"/>
    <hyperlink xmlns:r="http://schemas.openxmlformats.org/officeDocument/2006/relationships" ref="L2180" r:id="rId3877"/>
    <hyperlink xmlns:r="http://schemas.openxmlformats.org/officeDocument/2006/relationships" ref="N2180" r:id="rId3878"/>
    <hyperlink xmlns:r="http://schemas.openxmlformats.org/officeDocument/2006/relationships" ref="L2181" r:id="rId3879"/>
    <hyperlink xmlns:r="http://schemas.openxmlformats.org/officeDocument/2006/relationships" ref="N2181" r:id="rId3880"/>
    <hyperlink xmlns:r="http://schemas.openxmlformats.org/officeDocument/2006/relationships" ref="L2182" r:id="rId3881"/>
    <hyperlink xmlns:r="http://schemas.openxmlformats.org/officeDocument/2006/relationships" ref="N2182" r:id="rId3882"/>
    <hyperlink xmlns:r="http://schemas.openxmlformats.org/officeDocument/2006/relationships" ref="L2183" r:id="rId3883"/>
    <hyperlink xmlns:r="http://schemas.openxmlformats.org/officeDocument/2006/relationships" ref="N2183" r:id="rId3884"/>
    <hyperlink xmlns:r="http://schemas.openxmlformats.org/officeDocument/2006/relationships" ref="L2184" r:id="rId3885"/>
    <hyperlink xmlns:r="http://schemas.openxmlformats.org/officeDocument/2006/relationships" ref="N2184" r:id="rId3886"/>
    <hyperlink xmlns:r="http://schemas.openxmlformats.org/officeDocument/2006/relationships" ref="L2185" r:id="rId3887"/>
    <hyperlink xmlns:r="http://schemas.openxmlformats.org/officeDocument/2006/relationships" ref="N2185" r:id="rId3888"/>
    <hyperlink xmlns:r="http://schemas.openxmlformats.org/officeDocument/2006/relationships" ref="L2186" r:id="rId3889"/>
    <hyperlink xmlns:r="http://schemas.openxmlformats.org/officeDocument/2006/relationships" ref="N2186" r:id="rId3890"/>
    <hyperlink xmlns:r="http://schemas.openxmlformats.org/officeDocument/2006/relationships" ref="L2187" r:id="rId3891"/>
    <hyperlink xmlns:r="http://schemas.openxmlformats.org/officeDocument/2006/relationships" ref="N2187" r:id="rId3892"/>
    <hyperlink xmlns:r="http://schemas.openxmlformats.org/officeDocument/2006/relationships" ref="L2188" r:id="rId3893"/>
    <hyperlink xmlns:r="http://schemas.openxmlformats.org/officeDocument/2006/relationships" ref="N2188" r:id="rId3894"/>
    <hyperlink xmlns:r="http://schemas.openxmlformats.org/officeDocument/2006/relationships" ref="L2189" r:id="rId3895"/>
    <hyperlink xmlns:r="http://schemas.openxmlformats.org/officeDocument/2006/relationships" ref="N2189" r:id="rId3896"/>
    <hyperlink xmlns:r="http://schemas.openxmlformats.org/officeDocument/2006/relationships" ref="L2190" r:id="rId3897"/>
    <hyperlink xmlns:r="http://schemas.openxmlformats.org/officeDocument/2006/relationships" ref="N2190" r:id="rId3898"/>
    <hyperlink xmlns:r="http://schemas.openxmlformats.org/officeDocument/2006/relationships" ref="L2191" r:id="rId3899"/>
    <hyperlink xmlns:r="http://schemas.openxmlformats.org/officeDocument/2006/relationships" ref="N2191" r:id="rId3900"/>
    <hyperlink xmlns:r="http://schemas.openxmlformats.org/officeDocument/2006/relationships" ref="L2192" r:id="rId3901"/>
    <hyperlink xmlns:r="http://schemas.openxmlformats.org/officeDocument/2006/relationships" ref="N2192" r:id="rId3902"/>
    <hyperlink xmlns:r="http://schemas.openxmlformats.org/officeDocument/2006/relationships" ref="L2193" r:id="rId3903"/>
    <hyperlink xmlns:r="http://schemas.openxmlformats.org/officeDocument/2006/relationships" ref="N2193" r:id="rId3904"/>
    <hyperlink xmlns:r="http://schemas.openxmlformats.org/officeDocument/2006/relationships" ref="L2194" r:id="rId3905"/>
    <hyperlink xmlns:r="http://schemas.openxmlformats.org/officeDocument/2006/relationships" ref="N2194" r:id="rId3906"/>
    <hyperlink xmlns:r="http://schemas.openxmlformats.org/officeDocument/2006/relationships" ref="L2195" r:id="rId3907"/>
    <hyperlink xmlns:r="http://schemas.openxmlformats.org/officeDocument/2006/relationships" ref="N2195" r:id="rId3908"/>
    <hyperlink xmlns:r="http://schemas.openxmlformats.org/officeDocument/2006/relationships" ref="L2196" r:id="rId3909"/>
    <hyperlink xmlns:r="http://schemas.openxmlformats.org/officeDocument/2006/relationships" ref="N2196" r:id="rId3910"/>
    <hyperlink xmlns:r="http://schemas.openxmlformats.org/officeDocument/2006/relationships" ref="L2197" r:id="rId3911"/>
    <hyperlink xmlns:r="http://schemas.openxmlformats.org/officeDocument/2006/relationships" ref="N2197" r:id="rId3912"/>
    <hyperlink xmlns:r="http://schemas.openxmlformats.org/officeDocument/2006/relationships" ref="L2198" r:id="rId3913"/>
    <hyperlink xmlns:r="http://schemas.openxmlformats.org/officeDocument/2006/relationships" ref="N2198" r:id="rId3914"/>
    <hyperlink xmlns:r="http://schemas.openxmlformats.org/officeDocument/2006/relationships" ref="L2199" r:id="rId3915"/>
    <hyperlink xmlns:r="http://schemas.openxmlformats.org/officeDocument/2006/relationships" ref="N2199" r:id="rId3916"/>
    <hyperlink xmlns:r="http://schemas.openxmlformats.org/officeDocument/2006/relationships" ref="L2200" r:id="rId3917"/>
    <hyperlink xmlns:r="http://schemas.openxmlformats.org/officeDocument/2006/relationships" ref="N2200" r:id="rId3918"/>
    <hyperlink xmlns:r="http://schemas.openxmlformats.org/officeDocument/2006/relationships" ref="L2201" r:id="rId3919"/>
    <hyperlink xmlns:r="http://schemas.openxmlformats.org/officeDocument/2006/relationships" ref="N2201" r:id="rId3920"/>
    <hyperlink xmlns:r="http://schemas.openxmlformats.org/officeDocument/2006/relationships" ref="L2202" r:id="rId3921"/>
    <hyperlink xmlns:r="http://schemas.openxmlformats.org/officeDocument/2006/relationships" ref="N2202" r:id="rId3922"/>
    <hyperlink xmlns:r="http://schemas.openxmlformats.org/officeDocument/2006/relationships" ref="L2203" r:id="rId3923"/>
    <hyperlink xmlns:r="http://schemas.openxmlformats.org/officeDocument/2006/relationships" ref="N2203" r:id="rId3924"/>
    <hyperlink xmlns:r="http://schemas.openxmlformats.org/officeDocument/2006/relationships" ref="L2204" r:id="rId3925"/>
    <hyperlink xmlns:r="http://schemas.openxmlformats.org/officeDocument/2006/relationships" ref="N2204" r:id="rId3926"/>
    <hyperlink xmlns:r="http://schemas.openxmlformats.org/officeDocument/2006/relationships" ref="L2205" r:id="rId3927"/>
    <hyperlink xmlns:r="http://schemas.openxmlformats.org/officeDocument/2006/relationships" ref="N2205" r:id="rId3928"/>
    <hyperlink xmlns:r="http://schemas.openxmlformats.org/officeDocument/2006/relationships" ref="L2206" r:id="rId3929"/>
    <hyperlink xmlns:r="http://schemas.openxmlformats.org/officeDocument/2006/relationships" ref="N2206" r:id="rId3930"/>
    <hyperlink xmlns:r="http://schemas.openxmlformats.org/officeDocument/2006/relationships" ref="L2207" r:id="rId3931"/>
    <hyperlink xmlns:r="http://schemas.openxmlformats.org/officeDocument/2006/relationships" ref="N2207" r:id="rId3932"/>
    <hyperlink xmlns:r="http://schemas.openxmlformats.org/officeDocument/2006/relationships" ref="L2208" r:id="rId3933"/>
    <hyperlink xmlns:r="http://schemas.openxmlformats.org/officeDocument/2006/relationships" ref="N2208" r:id="rId3934"/>
    <hyperlink xmlns:r="http://schemas.openxmlformats.org/officeDocument/2006/relationships" ref="L2209" r:id="rId3935"/>
    <hyperlink xmlns:r="http://schemas.openxmlformats.org/officeDocument/2006/relationships" ref="N2209" r:id="rId3936"/>
    <hyperlink xmlns:r="http://schemas.openxmlformats.org/officeDocument/2006/relationships" ref="L2210" r:id="rId3937"/>
    <hyperlink xmlns:r="http://schemas.openxmlformats.org/officeDocument/2006/relationships" ref="N2210" r:id="rId3938"/>
    <hyperlink xmlns:r="http://schemas.openxmlformats.org/officeDocument/2006/relationships" ref="L2211" r:id="rId3939"/>
    <hyperlink xmlns:r="http://schemas.openxmlformats.org/officeDocument/2006/relationships" ref="N2211" r:id="rId3940"/>
    <hyperlink xmlns:r="http://schemas.openxmlformats.org/officeDocument/2006/relationships" ref="L2212" r:id="rId3941"/>
    <hyperlink xmlns:r="http://schemas.openxmlformats.org/officeDocument/2006/relationships" ref="N2212" r:id="rId3942"/>
    <hyperlink xmlns:r="http://schemas.openxmlformats.org/officeDocument/2006/relationships" ref="L2213" r:id="rId3943"/>
    <hyperlink xmlns:r="http://schemas.openxmlformats.org/officeDocument/2006/relationships" ref="N2213" r:id="rId3944"/>
    <hyperlink xmlns:r="http://schemas.openxmlformats.org/officeDocument/2006/relationships" ref="L2214" r:id="rId3945"/>
    <hyperlink xmlns:r="http://schemas.openxmlformats.org/officeDocument/2006/relationships" ref="N2214" r:id="rId3946"/>
    <hyperlink xmlns:r="http://schemas.openxmlformats.org/officeDocument/2006/relationships" ref="L2215" r:id="rId3947"/>
    <hyperlink xmlns:r="http://schemas.openxmlformats.org/officeDocument/2006/relationships" ref="N2215" r:id="rId3948"/>
    <hyperlink xmlns:r="http://schemas.openxmlformats.org/officeDocument/2006/relationships" ref="L2216" r:id="rId3949"/>
    <hyperlink xmlns:r="http://schemas.openxmlformats.org/officeDocument/2006/relationships" ref="N2216" r:id="rId3950"/>
    <hyperlink xmlns:r="http://schemas.openxmlformats.org/officeDocument/2006/relationships" ref="L2217" r:id="rId3951"/>
    <hyperlink xmlns:r="http://schemas.openxmlformats.org/officeDocument/2006/relationships" ref="N2217" r:id="rId3952"/>
    <hyperlink xmlns:r="http://schemas.openxmlformats.org/officeDocument/2006/relationships" ref="L2218" r:id="rId3953"/>
    <hyperlink xmlns:r="http://schemas.openxmlformats.org/officeDocument/2006/relationships" ref="N2218" r:id="rId3954"/>
    <hyperlink xmlns:r="http://schemas.openxmlformats.org/officeDocument/2006/relationships" ref="L2219" r:id="rId3955"/>
    <hyperlink xmlns:r="http://schemas.openxmlformats.org/officeDocument/2006/relationships" ref="N2219" r:id="rId3956"/>
    <hyperlink xmlns:r="http://schemas.openxmlformats.org/officeDocument/2006/relationships" ref="L2220" r:id="rId3957"/>
    <hyperlink xmlns:r="http://schemas.openxmlformats.org/officeDocument/2006/relationships" ref="N2220" r:id="rId3958"/>
    <hyperlink xmlns:r="http://schemas.openxmlformats.org/officeDocument/2006/relationships" ref="L2221" r:id="rId3959"/>
    <hyperlink xmlns:r="http://schemas.openxmlformats.org/officeDocument/2006/relationships" ref="N2221" r:id="rId3960"/>
    <hyperlink xmlns:r="http://schemas.openxmlformats.org/officeDocument/2006/relationships" ref="L2222" r:id="rId3961"/>
    <hyperlink xmlns:r="http://schemas.openxmlformats.org/officeDocument/2006/relationships" ref="N2222" r:id="rId3962"/>
    <hyperlink xmlns:r="http://schemas.openxmlformats.org/officeDocument/2006/relationships" ref="L2223" r:id="rId3963"/>
    <hyperlink xmlns:r="http://schemas.openxmlformats.org/officeDocument/2006/relationships" ref="N2223" r:id="rId3964"/>
    <hyperlink xmlns:r="http://schemas.openxmlformats.org/officeDocument/2006/relationships" ref="L2224" r:id="rId3965"/>
    <hyperlink xmlns:r="http://schemas.openxmlformats.org/officeDocument/2006/relationships" ref="N2224" r:id="rId3966"/>
    <hyperlink xmlns:r="http://schemas.openxmlformats.org/officeDocument/2006/relationships" ref="L2225" r:id="rId3967"/>
    <hyperlink xmlns:r="http://schemas.openxmlformats.org/officeDocument/2006/relationships" ref="N2225" r:id="rId3968"/>
    <hyperlink xmlns:r="http://schemas.openxmlformats.org/officeDocument/2006/relationships" ref="L2226" r:id="rId3969"/>
    <hyperlink xmlns:r="http://schemas.openxmlformats.org/officeDocument/2006/relationships" ref="N2226" r:id="rId3970"/>
    <hyperlink xmlns:r="http://schemas.openxmlformats.org/officeDocument/2006/relationships" ref="L2227" r:id="rId3971"/>
    <hyperlink xmlns:r="http://schemas.openxmlformats.org/officeDocument/2006/relationships" ref="N2227" r:id="rId3972"/>
    <hyperlink xmlns:r="http://schemas.openxmlformats.org/officeDocument/2006/relationships" ref="L2228" r:id="rId3973"/>
    <hyperlink xmlns:r="http://schemas.openxmlformats.org/officeDocument/2006/relationships" ref="N2228" r:id="rId3974"/>
    <hyperlink xmlns:r="http://schemas.openxmlformats.org/officeDocument/2006/relationships" ref="L2229" r:id="rId3975"/>
    <hyperlink xmlns:r="http://schemas.openxmlformats.org/officeDocument/2006/relationships" ref="N2229" r:id="rId3976"/>
    <hyperlink xmlns:r="http://schemas.openxmlformats.org/officeDocument/2006/relationships" ref="L2230" r:id="rId3977"/>
    <hyperlink xmlns:r="http://schemas.openxmlformats.org/officeDocument/2006/relationships" ref="N2230" r:id="rId3978"/>
    <hyperlink xmlns:r="http://schemas.openxmlformats.org/officeDocument/2006/relationships" ref="L2231" r:id="rId3979"/>
    <hyperlink xmlns:r="http://schemas.openxmlformats.org/officeDocument/2006/relationships" ref="N2231" r:id="rId3980"/>
    <hyperlink xmlns:r="http://schemas.openxmlformats.org/officeDocument/2006/relationships" ref="L2232" r:id="rId3981"/>
    <hyperlink xmlns:r="http://schemas.openxmlformats.org/officeDocument/2006/relationships" ref="N2232" r:id="rId3982"/>
    <hyperlink xmlns:r="http://schemas.openxmlformats.org/officeDocument/2006/relationships" ref="L2233" r:id="rId3983"/>
    <hyperlink xmlns:r="http://schemas.openxmlformats.org/officeDocument/2006/relationships" ref="N2233" r:id="rId3984"/>
    <hyperlink xmlns:r="http://schemas.openxmlformats.org/officeDocument/2006/relationships" ref="L2234" r:id="rId3985"/>
    <hyperlink xmlns:r="http://schemas.openxmlformats.org/officeDocument/2006/relationships" ref="N2234" r:id="rId3986"/>
    <hyperlink xmlns:r="http://schemas.openxmlformats.org/officeDocument/2006/relationships" ref="L2235" r:id="rId3987"/>
    <hyperlink xmlns:r="http://schemas.openxmlformats.org/officeDocument/2006/relationships" ref="N2235" r:id="rId3988"/>
    <hyperlink xmlns:r="http://schemas.openxmlformats.org/officeDocument/2006/relationships" ref="L2236" r:id="rId3989"/>
    <hyperlink xmlns:r="http://schemas.openxmlformats.org/officeDocument/2006/relationships" ref="N2236" r:id="rId3990"/>
    <hyperlink xmlns:r="http://schemas.openxmlformats.org/officeDocument/2006/relationships" ref="L2237" r:id="rId3991"/>
    <hyperlink xmlns:r="http://schemas.openxmlformats.org/officeDocument/2006/relationships" ref="N2237" r:id="rId3992"/>
    <hyperlink xmlns:r="http://schemas.openxmlformats.org/officeDocument/2006/relationships" ref="L2238" r:id="rId3993"/>
    <hyperlink xmlns:r="http://schemas.openxmlformats.org/officeDocument/2006/relationships" ref="N2238" r:id="rId3994"/>
    <hyperlink xmlns:r="http://schemas.openxmlformats.org/officeDocument/2006/relationships" ref="L2239" r:id="rId3995"/>
    <hyperlink xmlns:r="http://schemas.openxmlformats.org/officeDocument/2006/relationships" ref="N2239" r:id="rId3996"/>
    <hyperlink xmlns:r="http://schemas.openxmlformats.org/officeDocument/2006/relationships" ref="L2240" r:id="rId3997"/>
    <hyperlink xmlns:r="http://schemas.openxmlformats.org/officeDocument/2006/relationships" ref="N2240" r:id="rId3998"/>
    <hyperlink xmlns:r="http://schemas.openxmlformats.org/officeDocument/2006/relationships" ref="L2241" r:id="rId3999"/>
    <hyperlink xmlns:r="http://schemas.openxmlformats.org/officeDocument/2006/relationships" ref="N2241" r:id="rId4000"/>
    <hyperlink xmlns:r="http://schemas.openxmlformats.org/officeDocument/2006/relationships" ref="L2242" r:id="rId4001"/>
    <hyperlink xmlns:r="http://schemas.openxmlformats.org/officeDocument/2006/relationships" ref="N2242" r:id="rId4002"/>
    <hyperlink xmlns:r="http://schemas.openxmlformats.org/officeDocument/2006/relationships" ref="L2243" r:id="rId4003"/>
    <hyperlink xmlns:r="http://schemas.openxmlformats.org/officeDocument/2006/relationships" ref="N2243" r:id="rId4004"/>
    <hyperlink xmlns:r="http://schemas.openxmlformats.org/officeDocument/2006/relationships" ref="L2244" r:id="rId4005"/>
    <hyperlink xmlns:r="http://schemas.openxmlformats.org/officeDocument/2006/relationships" ref="N2244" r:id="rId4006"/>
    <hyperlink xmlns:r="http://schemas.openxmlformats.org/officeDocument/2006/relationships" ref="L2245" r:id="rId4007"/>
    <hyperlink xmlns:r="http://schemas.openxmlformats.org/officeDocument/2006/relationships" ref="N2245" r:id="rId4008"/>
    <hyperlink xmlns:r="http://schemas.openxmlformats.org/officeDocument/2006/relationships" ref="L2246" r:id="rId4009"/>
    <hyperlink xmlns:r="http://schemas.openxmlformats.org/officeDocument/2006/relationships" ref="N2246" r:id="rId4010"/>
    <hyperlink xmlns:r="http://schemas.openxmlformats.org/officeDocument/2006/relationships" ref="L2247" r:id="rId4011"/>
    <hyperlink xmlns:r="http://schemas.openxmlformats.org/officeDocument/2006/relationships" ref="N2247" r:id="rId4012"/>
    <hyperlink xmlns:r="http://schemas.openxmlformats.org/officeDocument/2006/relationships" ref="L2248" r:id="rId4013"/>
    <hyperlink xmlns:r="http://schemas.openxmlformats.org/officeDocument/2006/relationships" ref="N2248" r:id="rId4014"/>
    <hyperlink xmlns:r="http://schemas.openxmlformats.org/officeDocument/2006/relationships" ref="L2249" r:id="rId4015"/>
    <hyperlink xmlns:r="http://schemas.openxmlformats.org/officeDocument/2006/relationships" ref="N2249" r:id="rId4016"/>
    <hyperlink xmlns:r="http://schemas.openxmlformats.org/officeDocument/2006/relationships" ref="L2250" r:id="rId4017"/>
    <hyperlink xmlns:r="http://schemas.openxmlformats.org/officeDocument/2006/relationships" ref="N2250" r:id="rId4018"/>
    <hyperlink xmlns:r="http://schemas.openxmlformats.org/officeDocument/2006/relationships" ref="L2251" r:id="rId4019"/>
    <hyperlink xmlns:r="http://schemas.openxmlformats.org/officeDocument/2006/relationships" ref="N2251" r:id="rId4020"/>
    <hyperlink xmlns:r="http://schemas.openxmlformats.org/officeDocument/2006/relationships" ref="L2252" r:id="rId4021"/>
    <hyperlink xmlns:r="http://schemas.openxmlformats.org/officeDocument/2006/relationships" ref="N2252" r:id="rId4022"/>
    <hyperlink xmlns:r="http://schemas.openxmlformats.org/officeDocument/2006/relationships" ref="L2253" r:id="rId4023"/>
    <hyperlink xmlns:r="http://schemas.openxmlformats.org/officeDocument/2006/relationships" ref="N2253" r:id="rId4024"/>
    <hyperlink xmlns:r="http://schemas.openxmlformats.org/officeDocument/2006/relationships" ref="L2254" r:id="rId4025"/>
    <hyperlink xmlns:r="http://schemas.openxmlformats.org/officeDocument/2006/relationships" ref="L2255" r:id="rId4026"/>
    <hyperlink xmlns:r="http://schemas.openxmlformats.org/officeDocument/2006/relationships" ref="L2256" r:id="rId4027"/>
    <hyperlink xmlns:r="http://schemas.openxmlformats.org/officeDocument/2006/relationships" ref="L2257" r:id="rId4028"/>
    <hyperlink xmlns:r="http://schemas.openxmlformats.org/officeDocument/2006/relationships" ref="L2258" r:id="rId4029"/>
    <hyperlink xmlns:r="http://schemas.openxmlformats.org/officeDocument/2006/relationships" ref="L2259" r:id="rId4030"/>
    <hyperlink xmlns:r="http://schemas.openxmlformats.org/officeDocument/2006/relationships" ref="L2260" r:id="rId4031"/>
    <hyperlink xmlns:r="http://schemas.openxmlformats.org/officeDocument/2006/relationships" ref="L2261" r:id="rId4032"/>
    <hyperlink xmlns:r="http://schemas.openxmlformats.org/officeDocument/2006/relationships" ref="L2262" r:id="rId4033"/>
    <hyperlink xmlns:r="http://schemas.openxmlformats.org/officeDocument/2006/relationships" ref="L2263" r:id="rId4034"/>
    <hyperlink xmlns:r="http://schemas.openxmlformats.org/officeDocument/2006/relationships" ref="L2264" r:id="rId4035"/>
    <hyperlink xmlns:r="http://schemas.openxmlformats.org/officeDocument/2006/relationships" ref="L2265" r:id="rId4036"/>
    <hyperlink xmlns:r="http://schemas.openxmlformats.org/officeDocument/2006/relationships" ref="L2266" r:id="rId4037"/>
    <hyperlink xmlns:r="http://schemas.openxmlformats.org/officeDocument/2006/relationships" ref="L2267" r:id="rId4038"/>
    <hyperlink xmlns:r="http://schemas.openxmlformats.org/officeDocument/2006/relationships" ref="L2268" r:id="rId4039"/>
    <hyperlink xmlns:r="http://schemas.openxmlformats.org/officeDocument/2006/relationships" ref="L2269" r:id="rId4040"/>
    <hyperlink xmlns:r="http://schemas.openxmlformats.org/officeDocument/2006/relationships" ref="L2270" r:id="rId4041"/>
    <hyperlink xmlns:r="http://schemas.openxmlformats.org/officeDocument/2006/relationships" ref="N2270" r:id="rId4042"/>
    <hyperlink xmlns:r="http://schemas.openxmlformats.org/officeDocument/2006/relationships" ref="L2271" r:id="rId4043"/>
    <hyperlink xmlns:r="http://schemas.openxmlformats.org/officeDocument/2006/relationships" ref="N2271" r:id="rId4044"/>
    <hyperlink xmlns:r="http://schemas.openxmlformats.org/officeDocument/2006/relationships" ref="L2272" r:id="rId4045"/>
    <hyperlink xmlns:r="http://schemas.openxmlformats.org/officeDocument/2006/relationships" ref="N2272" r:id="rId4046"/>
    <hyperlink xmlns:r="http://schemas.openxmlformats.org/officeDocument/2006/relationships" ref="L2273" r:id="rId4047"/>
    <hyperlink xmlns:r="http://schemas.openxmlformats.org/officeDocument/2006/relationships" ref="N2273" r:id="rId4048"/>
    <hyperlink xmlns:r="http://schemas.openxmlformats.org/officeDocument/2006/relationships" ref="L2274" r:id="rId4049"/>
    <hyperlink xmlns:r="http://schemas.openxmlformats.org/officeDocument/2006/relationships" ref="N2274" r:id="rId4050"/>
    <hyperlink xmlns:r="http://schemas.openxmlformats.org/officeDocument/2006/relationships" ref="L2275" r:id="rId4051"/>
    <hyperlink xmlns:r="http://schemas.openxmlformats.org/officeDocument/2006/relationships" ref="N2275" r:id="rId4052"/>
    <hyperlink xmlns:r="http://schemas.openxmlformats.org/officeDocument/2006/relationships" ref="L2276" r:id="rId4053"/>
    <hyperlink xmlns:r="http://schemas.openxmlformats.org/officeDocument/2006/relationships" ref="N2276" r:id="rId4054"/>
    <hyperlink xmlns:r="http://schemas.openxmlformats.org/officeDocument/2006/relationships" ref="L2277" r:id="rId4055"/>
    <hyperlink xmlns:r="http://schemas.openxmlformats.org/officeDocument/2006/relationships" ref="N2277" r:id="rId4056"/>
    <hyperlink xmlns:r="http://schemas.openxmlformats.org/officeDocument/2006/relationships" ref="L2278" r:id="rId4057"/>
    <hyperlink xmlns:r="http://schemas.openxmlformats.org/officeDocument/2006/relationships" ref="N2278" r:id="rId4058"/>
    <hyperlink xmlns:r="http://schemas.openxmlformats.org/officeDocument/2006/relationships" ref="L2279" r:id="rId4059"/>
    <hyperlink xmlns:r="http://schemas.openxmlformats.org/officeDocument/2006/relationships" ref="N2279" r:id="rId4060"/>
    <hyperlink xmlns:r="http://schemas.openxmlformats.org/officeDocument/2006/relationships" ref="L2280" r:id="rId4061"/>
    <hyperlink xmlns:r="http://schemas.openxmlformats.org/officeDocument/2006/relationships" ref="N2280" r:id="rId4062"/>
    <hyperlink xmlns:r="http://schemas.openxmlformats.org/officeDocument/2006/relationships" ref="L2281" r:id="rId4063"/>
    <hyperlink xmlns:r="http://schemas.openxmlformats.org/officeDocument/2006/relationships" ref="N2281" r:id="rId4064"/>
    <hyperlink xmlns:r="http://schemas.openxmlformats.org/officeDocument/2006/relationships" ref="L2282" r:id="rId4065"/>
    <hyperlink xmlns:r="http://schemas.openxmlformats.org/officeDocument/2006/relationships" ref="N2282" r:id="rId4066"/>
    <hyperlink xmlns:r="http://schemas.openxmlformats.org/officeDocument/2006/relationships" ref="L2283" r:id="rId4067"/>
    <hyperlink xmlns:r="http://schemas.openxmlformats.org/officeDocument/2006/relationships" ref="N2283" r:id="rId4068"/>
    <hyperlink xmlns:r="http://schemas.openxmlformats.org/officeDocument/2006/relationships" ref="L2284" r:id="rId4069"/>
    <hyperlink xmlns:r="http://schemas.openxmlformats.org/officeDocument/2006/relationships" ref="N2284" r:id="rId4070"/>
    <hyperlink xmlns:r="http://schemas.openxmlformats.org/officeDocument/2006/relationships" ref="L2285" r:id="rId4071"/>
    <hyperlink xmlns:r="http://schemas.openxmlformats.org/officeDocument/2006/relationships" ref="N2285" r:id="rId4072"/>
    <hyperlink xmlns:r="http://schemas.openxmlformats.org/officeDocument/2006/relationships" ref="L2286" r:id="rId4073"/>
    <hyperlink xmlns:r="http://schemas.openxmlformats.org/officeDocument/2006/relationships" ref="N2286" r:id="rId4074"/>
    <hyperlink xmlns:r="http://schemas.openxmlformats.org/officeDocument/2006/relationships" ref="L2287" r:id="rId4075"/>
    <hyperlink xmlns:r="http://schemas.openxmlformats.org/officeDocument/2006/relationships" ref="N2287" r:id="rId4076"/>
    <hyperlink xmlns:r="http://schemas.openxmlformats.org/officeDocument/2006/relationships" ref="L2288" r:id="rId4077"/>
    <hyperlink xmlns:r="http://schemas.openxmlformats.org/officeDocument/2006/relationships" ref="N2288" r:id="rId4078"/>
    <hyperlink xmlns:r="http://schemas.openxmlformats.org/officeDocument/2006/relationships" ref="L2289" r:id="rId4079"/>
    <hyperlink xmlns:r="http://schemas.openxmlformats.org/officeDocument/2006/relationships" ref="N2289" r:id="rId4080"/>
    <hyperlink xmlns:r="http://schemas.openxmlformats.org/officeDocument/2006/relationships" ref="L2290" r:id="rId4081"/>
    <hyperlink xmlns:r="http://schemas.openxmlformats.org/officeDocument/2006/relationships" ref="N2290" r:id="rId4082"/>
    <hyperlink xmlns:r="http://schemas.openxmlformats.org/officeDocument/2006/relationships" ref="L2291" r:id="rId4083"/>
    <hyperlink xmlns:r="http://schemas.openxmlformats.org/officeDocument/2006/relationships" ref="N2291" r:id="rId4084"/>
    <hyperlink xmlns:r="http://schemas.openxmlformats.org/officeDocument/2006/relationships" ref="L2292" r:id="rId4085"/>
    <hyperlink xmlns:r="http://schemas.openxmlformats.org/officeDocument/2006/relationships" ref="N2292" r:id="rId4086"/>
    <hyperlink xmlns:r="http://schemas.openxmlformats.org/officeDocument/2006/relationships" ref="L2293" r:id="rId4087"/>
    <hyperlink xmlns:r="http://schemas.openxmlformats.org/officeDocument/2006/relationships" ref="N2293" r:id="rId4088"/>
    <hyperlink xmlns:r="http://schemas.openxmlformats.org/officeDocument/2006/relationships" ref="L2294" r:id="rId4089"/>
    <hyperlink xmlns:r="http://schemas.openxmlformats.org/officeDocument/2006/relationships" ref="N2294" r:id="rId4090"/>
    <hyperlink xmlns:r="http://schemas.openxmlformats.org/officeDocument/2006/relationships" ref="L2295" r:id="rId4091"/>
    <hyperlink xmlns:r="http://schemas.openxmlformats.org/officeDocument/2006/relationships" ref="N2295" r:id="rId4092"/>
    <hyperlink xmlns:r="http://schemas.openxmlformats.org/officeDocument/2006/relationships" ref="L2296" r:id="rId4093"/>
    <hyperlink xmlns:r="http://schemas.openxmlformats.org/officeDocument/2006/relationships" ref="N2296" r:id="rId4094"/>
    <hyperlink xmlns:r="http://schemas.openxmlformats.org/officeDocument/2006/relationships" ref="L2297" r:id="rId4095"/>
    <hyperlink xmlns:r="http://schemas.openxmlformats.org/officeDocument/2006/relationships" ref="N2297" r:id="rId4096"/>
    <hyperlink xmlns:r="http://schemas.openxmlformats.org/officeDocument/2006/relationships" ref="L2298" r:id="rId4097"/>
    <hyperlink xmlns:r="http://schemas.openxmlformats.org/officeDocument/2006/relationships" ref="N2298" r:id="rId4098"/>
    <hyperlink xmlns:r="http://schemas.openxmlformats.org/officeDocument/2006/relationships" ref="L2299" r:id="rId4099"/>
    <hyperlink xmlns:r="http://schemas.openxmlformats.org/officeDocument/2006/relationships" ref="N2299" r:id="rId4100"/>
    <hyperlink xmlns:r="http://schemas.openxmlformats.org/officeDocument/2006/relationships" ref="L2300" r:id="rId4101"/>
    <hyperlink xmlns:r="http://schemas.openxmlformats.org/officeDocument/2006/relationships" ref="N2300" r:id="rId4102"/>
    <hyperlink xmlns:r="http://schemas.openxmlformats.org/officeDocument/2006/relationships" ref="L2301" r:id="rId4103"/>
    <hyperlink xmlns:r="http://schemas.openxmlformats.org/officeDocument/2006/relationships" ref="N2301" r:id="rId4104"/>
    <hyperlink xmlns:r="http://schemas.openxmlformats.org/officeDocument/2006/relationships" ref="L2302" r:id="rId4105"/>
    <hyperlink xmlns:r="http://schemas.openxmlformats.org/officeDocument/2006/relationships" ref="N2302" r:id="rId4106"/>
    <hyperlink xmlns:r="http://schemas.openxmlformats.org/officeDocument/2006/relationships" ref="L2303" r:id="rId4107"/>
    <hyperlink xmlns:r="http://schemas.openxmlformats.org/officeDocument/2006/relationships" ref="N2303" r:id="rId4108"/>
    <hyperlink xmlns:r="http://schemas.openxmlformats.org/officeDocument/2006/relationships" ref="L2304" r:id="rId4109"/>
    <hyperlink xmlns:r="http://schemas.openxmlformats.org/officeDocument/2006/relationships" ref="N2304" r:id="rId4110"/>
    <hyperlink xmlns:r="http://schemas.openxmlformats.org/officeDocument/2006/relationships" ref="L2305" r:id="rId4111"/>
    <hyperlink xmlns:r="http://schemas.openxmlformats.org/officeDocument/2006/relationships" ref="N2305" r:id="rId4112"/>
    <hyperlink xmlns:r="http://schemas.openxmlformats.org/officeDocument/2006/relationships" ref="L2306" r:id="rId4113"/>
    <hyperlink xmlns:r="http://schemas.openxmlformats.org/officeDocument/2006/relationships" ref="N2306" r:id="rId4114"/>
    <hyperlink xmlns:r="http://schemas.openxmlformats.org/officeDocument/2006/relationships" ref="L2307" r:id="rId4115"/>
    <hyperlink xmlns:r="http://schemas.openxmlformats.org/officeDocument/2006/relationships" ref="N2307" r:id="rId4116"/>
    <hyperlink xmlns:r="http://schemas.openxmlformats.org/officeDocument/2006/relationships" ref="L2308" r:id="rId4117"/>
    <hyperlink xmlns:r="http://schemas.openxmlformats.org/officeDocument/2006/relationships" ref="N2308" r:id="rId4118"/>
    <hyperlink xmlns:r="http://schemas.openxmlformats.org/officeDocument/2006/relationships" ref="L2309" r:id="rId4119"/>
    <hyperlink xmlns:r="http://schemas.openxmlformats.org/officeDocument/2006/relationships" ref="N2309" r:id="rId4120"/>
    <hyperlink xmlns:r="http://schemas.openxmlformats.org/officeDocument/2006/relationships" ref="L2310" r:id="rId4121"/>
    <hyperlink xmlns:r="http://schemas.openxmlformats.org/officeDocument/2006/relationships" ref="N2310" r:id="rId4122"/>
    <hyperlink xmlns:r="http://schemas.openxmlformats.org/officeDocument/2006/relationships" ref="L2311" r:id="rId4123"/>
    <hyperlink xmlns:r="http://schemas.openxmlformats.org/officeDocument/2006/relationships" ref="N2311" r:id="rId4124"/>
    <hyperlink xmlns:r="http://schemas.openxmlformats.org/officeDocument/2006/relationships" ref="L2312" r:id="rId4125"/>
    <hyperlink xmlns:r="http://schemas.openxmlformats.org/officeDocument/2006/relationships" ref="N2312" r:id="rId4126"/>
    <hyperlink xmlns:r="http://schemas.openxmlformats.org/officeDocument/2006/relationships" ref="L2313" r:id="rId4127"/>
    <hyperlink xmlns:r="http://schemas.openxmlformats.org/officeDocument/2006/relationships" ref="N2313" r:id="rId4128"/>
    <hyperlink xmlns:r="http://schemas.openxmlformats.org/officeDocument/2006/relationships" ref="L2314" r:id="rId4129"/>
    <hyperlink xmlns:r="http://schemas.openxmlformats.org/officeDocument/2006/relationships" ref="N2314" r:id="rId4130"/>
    <hyperlink xmlns:r="http://schemas.openxmlformats.org/officeDocument/2006/relationships" ref="L2315" r:id="rId4131"/>
    <hyperlink xmlns:r="http://schemas.openxmlformats.org/officeDocument/2006/relationships" ref="N2315" r:id="rId4132"/>
    <hyperlink xmlns:r="http://schemas.openxmlformats.org/officeDocument/2006/relationships" ref="L2316" r:id="rId4133"/>
    <hyperlink xmlns:r="http://schemas.openxmlformats.org/officeDocument/2006/relationships" ref="N2316" r:id="rId4134"/>
    <hyperlink xmlns:r="http://schemas.openxmlformats.org/officeDocument/2006/relationships" ref="L2317" r:id="rId4135"/>
    <hyperlink xmlns:r="http://schemas.openxmlformats.org/officeDocument/2006/relationships" ref="N2317" r:id="rId4136"/>
    <hyperlink xmlns:r="http://schemas.openxmlformats.org/officeDocument/2006/relationships" ref="L2318" r:id="rId4137"/>
    <hyperlink xmlns:r="http://schemas.openxmlformats.org/officeDocument/2006/relationships" ref="N2318" r:id="rId4138"/>
    <hyperlink xmlns:r="http://schemas.openxmlformats.org/officeDocument/2006/relationships" ref="L2319" r:id="rId4139"/>
    <hyperlink xmlns:r="http://schemas.openxmlformats.org/officeDocument/2006/relationships" ref="N2319" r:id="rId4140"/>
    <hyperlink xmlns:r="http://schemas.openxmlformats.org/officeDocument/2006/relationships" ref="L2320" r:id="rId4141"/>
    <hyperlink xmlns:r="http://schemas.openxmlformats.org/officeDocument/2006/relationships" ref="N2320" r:id="rId4142"/>
    <hyperlink xmlns:r="http://schemas.openxmlformats.org/officeDocument/2006/relationships" ref="L2321" r:id="rId4143"/>
    <hyperlink xmlns:r="http://schemas.openxmlformats.org/officeDocument/2006/relationships" ref="N2321" r:id="rId4144"/>
    <hyperlink xmlns:r="http://schemas.openxmlformats.org/officeDocument/2006/relationships" ref="L2322" r:id="rId4145"/>
    <hyperlink xmlns:r="http://schemas.openxmlformats.org/officeDocument/2006/relationships" ref="N2322" r:id="rId4146"/>
    <hyperlink xmlns:r="http://schemas.openxmlformats.org/officeDocument/2006/relationships" ref="L2323" r:id="rId4147"/>
    <hyperlink xmlns:r="http://schemas.openxmlformats.org/officeDocument/2006/relationships" ref="N2323" r:id="rId4148"/>
    <hyperlink xmlns:r="http://schemas.openxmlformats.org/officeDocument/2006/relationships" ref="L2324" r:id="rId4149"/>
    <hyperlink xmlns:r="http://schemas.openxmlformats.org/officeDocument/2006/relationships" ref="N2324" r:id="rId4150"/>
    <hyperlink xmlns:r="http://schemas.openxmlformats.org/officeDocument/2006/relationships" ref="L2325" r:id="rId4151"/>
    <hyperlink xmlns:r="http://schemas.openxmlformats.org/officeDocument/2006/relationships" ref="N2325" r:id="rId4152"/>
    <hyperlink xmlns:r="http://schemas.openxmlformats.org/officeDocument/2006/relationships" ref="L2326" r:id="rId4153"/>
    <hyperlink xmlns:r="http://schemas.openxmlformats.org/officeDocument/2006/relationships" ref="N2326" r:id="rId4154"/>
    <hyperlink xmlns:r="http://schemas.openxmlformats.org/officeDocument/2006/relationships" ref="L2327" r:id="rId4155"/>
    <hyperlink xmlns:r="http://schemas.openxmlformats.org/officeDocument/2006/relationships" ref="N2327" r:id="rId4156"/>
    <hyperlink xmlns:r="http://schemas.openxmlformats.org/officeDocument/2006/relationships" ref="L2328" r:id="rId4157"/>
    <hyperlink xmlns:r="http://schemas.openxmlformats.org/officeDocument/2006/relationships" ref="N2328" r:id="rId4158"/>
    <hyperlink xmlns:r="http://schemas.openxmlformats.org/officeDocument/2006/relationships" ref="L2329" r:id="rId4159"/>
    <hyperlink xmlns:r="http://schemas.openxmlformats.org/officeDocument/2006/relationships" ref="N2329" r:id="rId4160"/>
    <hyperlink xmlns:r="http://schemas.openxmlformats.org/officeDocument/2006/relationships" ref="L2330" r:id="rId4161"/>
    <hyperlink xmlns:r="http://schemas.openxmlformats.org/officeDocument/2006/relationships" ref="N2330" r:id="rId4162"/>
    <hyperlink xmlns:r="http://schemas.openxmlformats.org/officeDocument/2006/relationships" ref="L2331" r:id="rId4163"/>
    <hyperlink xmlns:r="http://schemas.openxmlformats.org/officeDocument/2006/relationships" ref="N2331" r:id="rId4164"/>
    <hyperlink xmlns:r="http://schemas.openxmlformats.org/officeDocument/2006/relationships" ref="L2332" r:id="rId4165"/>
    <hyperlink xmlns:r="http://schemas.openxmlformats.org/officeDocument/2006/relationships" ref="N2332" r:id="rId4166"/>
    <hyperlink xmlns:r="http://schemas.openxmlformats.org/officeDocument/2006/relationships" ref="L2333" r:id="rId4167"/>
    <hyperlink xmlns:r="http://schemas.openxmlformats.org/officeDocument/2006/relationships" ref="N2333" r:id="rId4168"/>
    <hyperlink xmlns:r="http://schemas.openxmlformats.org/officeDocument/2006/relationships" ref="L2334" r:id="rId4169"/>
    <hyperlink xmlns:r="http://schemas.openxmlformats.org/officeDocument/2006/relationships" ref="N2334" r:id="rId4170"/>
    <hyperlink xmlns:r="http://schemas.openxmlformats.org/officeDocument/2006/relationships" ref="L2335" r:id="rId4171"/>
    <hyperlink xmlns:r="http://schemas.openxmlformats.org/officeDocument/2006/relationships" ref="N2335" r:id="rId4172"/>
    <hyperlink xmlns:r="http://schemas.openxmlformats.org/officeDocument/2006/relationships" ref="L2336" r:id="rId4173"/>
    <hyperlink xmlns:r="http://schemas.openxmlformats.org/officeDocument/2006/relationships" ref="N2336" r:id="rId4174"/>
    <hyperlink xmlns:r="http://schemas.openxmlformats.org/officeDocument/2006/relationships" ref="L2337" r:id="rId4175"/>
    <hyperlink xmlns:r="http://schemas.openxmlformats.org/officeDocument/2006/relationships" ref="N2337" r:id="rId4176"/>
    <hyperlink xmlns:r="http://schemas.openxmlformats.org/officeDocument/2006/relationships" ref="L2338" r:id="rId4177"/>
    <hyperlink xmlns:r="http://schemas.openxmlformats.org/officeDocument/2006/relationships" ref="N2338" r:id="rId4178"/>
    <hyperlink xmlns:r="http://schemas.openxmlformats.org/officeDocument/2006/relationships" ref="L2339" r:id="rId4179"/>
    <hyperlink xmlns:r="http://schemas.openxmlformats.org/officeDocument/2006/relationships" ref="N2339" r:id="rId4180"/>
    <hyperlink xmlns:r="http://schemas.openxmlformats.org/officeDocument/2006/relationships" ref="L2340" r:id="rId4181"/>
    <hyperlink xmlns:r="http://schemas.openxmlformats.org/officeDocument/2006/relationships" ref="N2340" r:id="rId4182"/>
    <hyperlink xmlns:r="http://schemas.openxmlformats.org/officeDocument/2006/relationships" ref="L2341" r:id="rId4183"/>
    <hyperlink xmlns:r="http://schemas.openxmlformats.org/officeDocument/2006/relationships" ref="N2341" r:id="rId4184"/>
    <hyperlink xmlns:r="http://schemas.openxmlformats.org/officeDocument/2006/relationships" ref="L2342" r:id="rId4185"/>
    <hyperlink xmlns:r="http://schemas.openxmlformats.org/officeDocument/2006/relationships" ref="N2342" r:id="rId4186"/>
    <hyperlink xmlns:r="http://schemas.openxmlformats.org/officeDocument/2006/relationships" ref="L2343" r:id="rId4187"/>
    <hyperlink xmlns:r="http://schemas.openxmlformats.org/officeDocument/2006/relationships" ref="N2343" r:id="rId4188"/>
    <hyperlink xmlns:r="http://schemas.openxmlformats.org/officeDocument/2006/relationships" ref="L2344" r:id="rId4189"/>
    <hyperlink xmlns:r="http://schemas.openxmlformats.org/officeDocument/2006/relationships" ref="N2344" r:id="rId4190"/>
    <hyperlink xmlns:r="http://schemas.openxmlformats.org/officeDocument/2006/relationships" ref="L2345" r:id="rId4191"/>
    <hyperlink xmlns:r="http://schemas.openxmlformats.org/officeDocument/2006/relationships" ref="N2345" r:id="rId4192"/>
    <hyperlink xmlns:r="http://schemas.openxmlformats.org/officeDocument/2006/relationships" ref="L2346" r:id="rId4193"/>
    <hyperlink xmlns:r="http://schemas.openxmlformats.org/officeDocument/2006/relationships" ref="N2346" r:id="rId4194"/>
    <hyperlink xmlns:r="http://schemas.openxmlformats.org/officeDocument/2006/relationships" ref="L2347" r:id="rId4195"/>
    <hyperlink xmlns:r="http://schemas.openxmlformats.org/officeDocument/2006/relationships" ref="N2347" r:id="rId4196"/>
    <hyperlink xmlns:r="http://schemas.openxmlformats.org/officeDocument/2006/relationships" ref="L2348" r:id="rId4197"/>
    <hyperlink xmlns:r="http://schemas.openxmlformats.org/officeDocument/2006/relationships" ref="N2348" r:id="rId4198"/>
    <hyperlink xmlns:r="http://schemas.openxmlformats.org/officeDocument/2006/relationships" ref="L2349" r:id="rId4199"/>
    <hyperlink xmlns:r="http://schemas.openxmlformats.org/officeDocument/2006/relationships" ref="N2349" r:id="rId4200"/>
    <hyperlink xmlns:r="http://schemas.openxmlformats.org/officeDocument/2006/relationships" ref="L2350" r:id="rId4201"/>
    <hyperlink xmlns:r="http://schemas.openxmlformats.org/officeDocument/2006/relationships" ref="N2350" r:id="rId4202"/>
    <hyperlink xmlns:r="http://schemas.openxmlformats.org/officeDocument/2006/relationships" ref="L2351" r:id="rId4203"/>
    <hyperlink xmlns:r="http://schemas.openxmlformats.org/officeDocument/2006/relationships" ref="N2351" r:id="rId4204"/>
    <hyperlink xmlns:r="http://schemas.openxmlformats.org/officeDocument/2006/relationships" ref="L2352" r:id="rId4205"/>
    <hyperlink xmlns:r="http://schemas.openxmlformats.org/officeDocument/2006/relationships" ref="N2352" r:id="rId4206"/>
    <hyperlink xmlns:r="http://schemas.openxmlformats.org/officeDocument/2006/relationships" ref="L2353" r:id="rId4207"/>
    <hyperlink xmlns:r="http://schemas.openxmlformats.org/officeDocument/2006/relationships" ref="N2353" r:id="rId4208"/>
    <hyperlink xmlns:r="http://schemas.openxmlformats.org/officeDocument/2006/relationships" ref="L2354" r:id="rId4209"/>
    <hyperlink xmlns:r="http://schemas.openxmlformats.org/officeDocument/2006/relationships" ref="N2354" r:id="rId4210"/>
    <hyperlink xmlns:r="http://schemas.openxmlformats.org/officeDocument/2006/relationships" ref="L2355" r:id="rId4211"/>
    <hyperlink xmlns:r="http://schemas.openxmlformats.org/officeDocument/2006/relationships" ref="N2355" r:id="rId4212"/>
    <hyperlink xmlns:r="http://schemas.openxmlformats.org/officeDocument/2006/relationships" ref="L2356" r:id="rId4213"/>
    <hyperlink xmlns:r="http://schemas.openxmlformats.org/officeDocument/2006/relationships" ref="N2356" r:id="rId4214"/>
    <hyperlink xmlns:r="http://schemas.openxmlformats.org/officeDocument/2006/relationships" ref="L2357" r:id="rId4215"/>
    <hyperlink xmlns:r="http://schemas.openxmlformats.org/officeDocument/2006/relationships" ref="N2357" r:id="rId4216"/>
    <hyperlink xmlns:r="http://schemas.openxmlformats.org/officeDocument/2006/relationships" ref="L2358" r:id="rId4217"/>
    <hyperlink xmlns:r="http://schemas.openxmlformats.org/officeDocument/2006/relationships" ref="N2358" r:id="rId4218"/>
    <hyperlink xmlns:r="http://schemas.openxmlformats.org/officeDocument/2006/relationships" ref="L2359" r:id="rId4219"/>
    <hyperlink xmlns:r="http://schemas.openxmlformats.org/officeDocument/2006/relationships" ref="N2359" r:id="rId4220"/>
    <hyperlink xmlns:r="http://schemas.openxmlformats.org/officeDocument/2006/relationships" ref="L2360" r:id="rId4221"/>
    <hyperlink xmlns:r="http://schemas.openxmlformats.org/officeDocument/2006/relationships" ref="N2360" r:id="rId4222"/>
    <hyperlink xmlns:r="http://schemas.openxmlformats.org/officeDocument/2006/relationships" ref="L2361" r:id="rId4223"/>
    <hyperlink xmlns:r="http://schemas.openxmlformats.org/officeDocument/2006/relationships" ref="N2361" r:id="rId4224"/>
    <hyperlink xmlns:r="http://schemas.openxmlformats.org/officeDocument/2006/relationships" ref="L2362" r:id="rId4225"/>
    <hyperlink xmlns:r="http://schemas.openxmlformats.org/officeDocument/2006/relationships" ref="N2362" r:id="rId4226"/>
    <hyperlink xmlns:r="http://schemas.openxmlformats.org/officeDocument/2006/relationships" ref="L2363" r:id="rId4227"/>
    <hyperlink xmlns:r="http://schemas.openxmlformats.org/officeDocument/2006/relationships" ref="N2363" r:id="rId4228"/>
    <hyperlink xmlns:r="http://schemas.openxmlformats.org/officeDocument/2006/relationships" ref="L2364" r:id="rId4229"/>
    <hyperlink xmlns:r="http://schemas.openxmlformats.org/officeDocument/2006/relationships" ref="N2364" r:id="rId4230"/>
    <hyperlink xmlns:r="http://schemas.openxmlformats.org/officeDocument/2006/relationships" ref="L2365" r:id="rId4231"/>
    <hyperlink xmlns:r="http://schemas.openxmlformats.org/officeDocument/2006/relationships" ref="N2365" r:id="rId4232"/>
    <hyperlink xmlns:r="http://schemas.openxmlformats.org/officeDocument/2006/relationships" ref="L2366" r:id="rId4233"/>
    <hyperlink xmlns:r="http://schemas.openxmlformats.org/officeDocument/2006/relationships" ref="N2366" r:id="rId4234"/>
    <hyperlink xmlns:r="http://schemas.openxmlformats.org/officeDocument/2006/relationships" ref="L2367" r:id="rId4235"/>
    <hyperlink xmlns:r="http://schemas.openxmlformats.org/officeDocument/2006/relationships" ref="N2367" r:id="rId4236"/>
    <hyperlink xmlns:r="http://schemas.openxmlformats.org/officeDocument/2006/relationships" ref="L2368" r:id="rId4237"/>
    <hyperlink xmlns:r="http://schemas.openxmlformats.org/officeDocument/2006/relationships" ref="N2368" r:id="rId4238"/>
    <hyperlink xmlns:r="http://schemas.openxmlformats.org/officeDocument/2006/relationships" ref="L2369" r:id="rId4239"/>
    <hyperlink xmlns:r="http://schemas.openxmlformats.org/officeDocument/2006/relationships" ref="N2369" r:id="rId4240"/>
    <hyperlink xmlns:r="http://schemas.openxmlformats.org/officeDocument/2006/relationships" ref="L2370" r:id="rId4241"/>
    <hyperlink xmlns:r="http://schemas.openxmlformats.org/officeDocument/2006/relationships" ref="N2370" r:id="rId4242"/>
    <hyperlink xmlns:r="http://schemas.openxmlformats.org/officeDocument/2006/relationships" ref="L2371" r:id="rId4243"/>
    <hyperlink xmlns:r="http://schemas.openxmlformats.org/officeDocument/2006/relationships" ref="N2371" r:id="rId4244"/>
    <hyperlink xmlns:r="http://schemas.openxmlformats.org/officeDocument/2006/relationships" ref="L2372" r:id="rId4245"/>
    <hyperlink xmlns:r="http://schemas.openxmlformats.org/officeDocument/2006/relationships" ref="N2372" r:id="rId4246"/>
    <hyperlink xmlns:r="http://schemas.openxmlformats.org/officeDocument/2006/relationships" ref="L2373" r:id="rId4247"/>
    <hyperlink xmlns:r="http://schemas.openxmlformats.org/officeDocument/2006/relationships" ref="N2373" r:id="rId4248"/>
    <hyperlink xmlns:r="http://schemas.openxmlformats.org/officeDocument/2006/relationships" ref="L2374" r:id="rId4249"/>
    <hyperlink xmlns:r="http://schemas.openxmlformats.org/officeDocument/2006/relationships" ref="N2374" r:id="rId4250"/>
    <hyperlink xmlns:r="http://schemas.openxmlformats.org/officeDocument/2006/relationships" ref="L2375" r:id="rId4251"/>
    <hyperlink xmlns:r="http://schemas.openxmlformats.org/officeDocument/2006/relationships" ref="N2375" r:id="rId4252"/>
    <hyperlink xmlns:r="http://schemas.openxmlformats.org/officeDocument/2006/relationships" ref="L2376" r:id="rId4253"/>
    <hyperlink xmlns:r="http://schemas.openxmlformats.org/officeDocument/2006/relationships" ref="N2376" r:id="rId4254"/>
    <hyperlink xmlns:r="http://schemas.openxmlformats.org/officeDocument/2006/relationships" ref="L2377" r:id="rId4255"/>
    <hyperlink xmlns:r="http://schemas.openxmlformats.org/officeDocument/2006/relationships" ref="N2377" r:id="rId4256"/>
    <hyperlink xmlns:r="http://schemas.openxmlformats.org/officeDocument/2006/relationships" ref="L2378" r:id="rId4257"/>
    <hyperlink xmlns:r="http://schemas.openxmlformats.org/officeDocument/2006/relationships" ref="N2378" r:id="rId4258"/>
    <hyperlink xmlns:r="http://schemas.openxmlformats.org/officeDocument/2006/relationships" ref="L2379" r:id="rId4259"/>
    <hyperlink xmlns:r="http://schemas.openxmlformats.org/officeDocument/2006/relationships" ref="N2379" r:id="rId4260"/>
    <hyperlink xmlns:r="http://schemas.openxmlformats.org/officeDocument/2006/relationships" ref="L2380" r:id="rId4261"/>
    <hyperlink xmlns:r="http://schemas.openxmlformats.org/officeDocument/2006/relationships" ref="N2380" r:id="rId4262"/>
    <hyperlink xmlns:r="http://schemas.openxmlformats.org/officeDocument/2006/relationships" ref="L2381" r:id="rId4263"/>
    <hyperlink xmlns:r="http://schemas.openxmlformats.org/officeDocument/2006/relationships" ref="N2381" r:id="rId4264"/>
    <hyperlink xmlns:r="http://schemas.openxmlformats.org/officeDocument/2006/relationships" ref="L2382" r:id="rId4265"/>
    <hyperlink xmlns:r="http://schemas.openxmlformats.org/officeDocument/2006/relationships" ref="N2382" r:id="rId4266"/>
    <hyperlink xmlns:r="http://schemas.openxmlformats.org/officeDocument/2006/relationships" ref="L2383" r:id="rId4267"/>
    <hyperlink xmlns:r="http://schemas.openxmlformats.org/officeDocument/2006/relationships" ref="N2383" r:id="rId4268"/>
    <hyperlink xmlns:r="http://schemas.openxmlformats.org/officeDocument/2006/relationships" ref="L2384" r:id="rId4269"/>
    <hyperlink xmlns:r="http://schemas.openxmlformats.org/officeDocument/2006/relationships" ref="N2384" r:id="rId4270"/>
    <hyperlink xmlns:r="http://schemas.openxmlformats.org/officeDocument/2006/relationships" ref="L2385" r:id="rId4271"/>
    <hyperlink xmlns:r="http://schemas.openxmlformats.org/officeDocument/2006/relationships" ref="N2385" r:id="rId4272"/>
    <hyperlink xmlns:r="http://schemas.openxmlformats.org/officeDocument/2006/relationships" ref="L2386" r:id="rId4273"/>
    <hyperlink xmlns:r="http://schemas.openxmlformats.org/officeDocument/2006/relationships" ref="N2386" r:id="rId4274"/>
    <hyperlink xmlns:r="http://schemas.openxmlformats.org/officeDocument/2006/relationships" ref="L2387" r:id="rId4275"/>
    <hyperlink xmlns:r="http://schemas.openxmlformats.org/officeDocument/2006/relationships" ref="N2387" r:id="rId4276"/>
    <hyperlink xmlns:r="http://schemas.openxmlformats.org/officeDocument/2006/relationships" ref="L2388" r:id="rId4277"/>
    <hyperlink xmlns:r="http://schemas.openxmlformats.org/officeDocument/2006/relationships" ref="N2388" r:id="rId4278"/>
    <hyperlink xmlns:r="http://schemas.openxmlformats.org/officeDocument/2006/relationships" ref="L2389" r:id="rId4279"/>
    <hyperlink xmlns:r="http://schemas.openxmlformats.org/officeDocument/2006/relationships" ref="N2389" r:id="rId4280"/>
    <hyperlink xmlns:r="http://schemas.openxmlformats.org/officeDocument/2006/relationships" ref="L2390" r:id="rId4281"/>
    <hyperlink xmlns:r="http://schemas.openxmlformats.org/officeDocument/2006/relationships" ref="N2390" r:id="rId4282"/>
    <hyperlink xmlns:r="http://schemas.openxmlformats.org/officeDocument/2006/relationships" ref="L2391" r:id="rId4283"/>
    <hyperlink xmlns:r="http://schemas.openxmlformats.org/officeDocument/2006/relationships" ref="N2391" r:id="rId4284"/>
    <hyperlink xmlns:r="http://schemas.openxmlformats.org/officeDocument/2006/relationships" ref="L2392" r:id="rId4285"/>
    <hyperlink xmlns:r="http://schemas.openxmlformats.org/officeDocument/2006/relationships" ref="N2392" r:id="rId4286"/>
    <hyperlink xmlns:r="http://schemas.openxmlformats.org/officeDocument/2006/relationships" ref="L2393" r:id="rId4287"/>
    <hyperlink xmlns:r="http://schemas.openxmlformats.org/officeDocument/2006/relationships" ref="N2393" r:id="rId4288"/>
    <hyperlink xmlns:r="http://schemas.openxmlformats.org/officeDocument/2006/relationships" ref="L2394" r:id="rId4289"/>
    <hyperlink xmlns:r="http://schemas.openxmlformats.org/officeDocument/2006/relationships" ref="N2394" r:id="rId4290"/>
    <hyperlink xmlns:r="http://schemas.openxmlformats.org/officeDocument/2006/relationships" ref="L2395" r:id="rId4291"/>
    <hyperlink xmlns:r="http://schemas.openxmlformats.org/officeDocument/2006/relationships" ref="N2395" r:id="rId4292"/>
    <hyperlink xmlns:r="http://schemas.openxmlformats.org/officeDocument/2006/relationships" ref="L2396" r:id="rId4293"/>
    <hyperlink xmlns:r="http://schemas.openxmlformats.org/officeDocument/2006/relationships" ref="N2396" r:id="rId4294"/>
    <hyperlink xmlns:r="http://schemas.openxmlformats.org/officeDocument/2006/relationships" ref="L2397" r:id="rId4295"/>
    <hyperlink xmlns:r="http://schemas.openxmlformats.org/officeDocument/2006/relationships" ref="N2397" r:id="rId4296"/>
    <hyperlink xmlns:r="http://schemas.openxmlformats.org/officeDocument/2006/relationships" ref="L2398" r:id="rId4297"/>
    <hyperlink xmlns:r="http://schemas.openxmlformats.org/officeDocument/2006/relationships" ref="N2398" r:id="rId4298"/>
    <hyperlink xmlns:r="http://schemas.openxmlformats.org/officeDocument/2006/relationships" ref="L2399" r:id="rId4299"/>
    <hyperlink xmlns:r="http://schemas.openxmlformats.org/officeDocument/2006/relationships" ref="N2399" r:id="rId4300"/>
    <hyperlink xmlns:r="http://schemas.openxmlformats.org/officeDocument/2006/relationships" ref="L2400" r:id="rId4301"/>
    <hyperlink xmlns:r="http://schemas.openxmlformats.org/officeDocument/2006/relationships" ref="N2400" r:id="rId4302"/>
    <hyperlink xmlns:r="http://schemas.openxmlformats.org/officeDocument/2006/relationships" ref="L2401" r:id="rId4303"/>
    <hyperlink xmlns:r="http://schemas.openxmlformats.org/officeDocument/2006/relationships" ref="N2401" r:id="rId4304"/>
    <hyperlink xmlns:r="http://schemas.openxmlformats.org/officeDocument/2006/relationships" ref="L2402" r:id="rId4305"/>
    <hyperlink xmlns:r="http://schemas.openxmlformats.org/officeDocument/2006/relationships" ref="N2402" r:id="rId4306"/>
    <hyperlink xmlns:r="http://schemas.openxmlformats.org/officeDocument/2006/relationships" ref="L2403" r:id="rId4307"/>
    <hyperlink xmlns:r="http://schemas.openxmlformats.org/officeDocument/2006/relationships" ref="N2403" r:id="rId4308"/>
    <hyperlink xmlns:r="http://schemas.openxmlformats.org/officeDocument/2006/relationships" ref="L2404" r:id="rId4309"/>
    <hyperlink xmlns:r="http://schemas.openxmlformats.org/officeDocument/2006/relationships" ref="N2404" r:id="rId4310"/>
    <hyperlink xmlns:r="http://schemas.openxmlformats.org/officeDocument/2006/relationships" ref="L2405" r:id="rId4311"/>
    <hyperlink xmlns:r="http://schemas.openxmlformats.org/officeDocument/2006/relationships" ref="N2405" r:id="rId4312"/>
    <hyperlink xmlns:r="http://schemas.openxmlformats.org/officeDocument/2006/relationships" ref="L2406" r:id="rId4313"/>
    <hyperlink xmlns:r="http://schemas.openxmlformats.org/officeDocument/2006/relationships" ref="N2406" r:id="rId4314"/>
    <hyperlink xmlns:r="http://schemas.openxmlformats.org/officeDocument/2006/relationships" ref="L2407" r:id="rId4315"/>
    <hyperlink xmlns:r="http://schemas.openxmlformats.org/officeDocument/2006/relationships" ref="N2407" r:id="rId4316"/>
    <hyperlink xmlns:r="http://schemas.openxmlformats.org/officeDocument/2006/relationships" ref="L2408" r:id="rId4317"/>
    <hyperlink xmlns:r="http://schemas.openxmlformats.org/officeDocument/2006/relationships" ref="N2408" r:id="rId4318"/>
    <hyperlink xmlns:r="http://schemas.openxmlformats.org/officeDocument/2006/relationships" ref="L2409" r:id="rId4319"/>
    <hyperlink xmlns:r="http://schemas.openxmlformats.org/officeDocument/2006/relationships" ref="N2409" r:id="rId4320"/>
    <hyperlink xmlns:r="http://schemas.openxmlformats.org/officeDocument/2006/relationships" ref="L2410" r:id="rId4321"/>
    <hyperlink xmlns:r="http://schemas.openxmlformats.org/officeDocument/2006/relationships" ref="N2410" r:id="rId4322"/>
    <hyperlink xmlns:r="http://schemas.openxmlformats.org/officeDocument/2006/relationships" ref="L2411" r:id="rId4323"/>
    <hyperlink xmlns:r="http://schemas.openxmlformats.org/officeDocument/2006/relationships" ref="N2411" r:id="rId4324"/>
    <hyperlink xmlns:r="http://schemas.openxmlformats.org/officeDocument/2006/relationships" ref="L2412" r:id="rId4325"/>
    <hyperlink xmlns:r="http://schemas.openxmlformats.org/officeDocument/2006/relationships" ref="N2412" r:id="rId4326"/>
    <hyperlink xmlns:r="http://schemas.openxmlformats.org/officeDocument/2006/relationships" ref="L2413" r:id="rId4327"/>
    <hyperlink xmlns:r="http://schemas.openxmlformats.org/officeDocument/2006/relationships" ref="N2413" r:id="rId4328"/>
    <hyperlink xmlns:r="http://schemas.openxmlformats.org/officeDocument/2006/relationships" ref="L2414" r:id="rId4329"/>
    <hyperlink xmlns:r="http://schemas.openxmlformats.org/officeDocument/2006/relationships" ref="N2414" r:id="rId4330"/>
    <hyperlink xmlns:r="http://schemas.openxmlformats.org/officeDocument/2006/relationships" ref="L2415" r:id="rId4331"/>
    <hyperlink xmlns:r="http://schemas.openxmlformats.org/officeDocument/2006/relationships" ref="N2415" r:id="rId4332"/>
    <hyperlink xmlns:r="http://schemas.openxmlformats.org/officeDocument/2006/relationships" ref="L2416" r:id="rId4333"/>
    <hyperlink xmlns:r="http://schemas.openxmlformats.org/officeDocument/2006/relationships" ref="N2416" r:id="rId4334"/>
    <hyperlink xmlns:r="http://schemas.openxmlformats.org/officeDocument/2006/relationships" ref="L2417" r:id="rId4335"/>
    <hyperlink xmlns:r="http://schemas.openxmlformats.org/officeDocument/2006/relationships" ref="N2417" r:id="rId4336"/>
    <hyperlink xmlns:r="http://schemas.openxmlformats.org/officeDocument/2006/relationships" ref="L2418" r:id="rId4337"/>
    <hyperlink xmlns:r="http://schemas.openxmlformats.org/officeDocument/2006/relationships" ref="N2418" r:id="rId4338"/>
    <hyperlink xmlns:r="http://schemas.openxmlformats.org/officeDocument/2006/relationships" ref="L2419" r:id="rId4339"/>
    <hyperlink xmlns:r="http://schemas.openxmlformats.org/officeDocument/2006/relationships" ref="N2419" r:id="rId4340"/>
    <hyperlink xmlns:r="http://schemas.openxmlformats.org/officeDocument/2006/relationships" ref="L2420" r:id="rId4341"/>
    <hyperlink xmlns:r="http://schemas.openxmlformats.org/officeDocument/2006/relationships" ref="N2420" r:id="rId4342"/>
    <hyperlink xmlns:r="http://schemas.openxmlformats.org/officeDocument/2006/relationships" ref="L2421" r:id="rId4343"/>
    <hyperlink xmlns:r="http://schemas.openxmlformats.org/officeDocument/2006/relationships" ref="N2421" r:id="rId4344"/>
    <hyperlink xmlns:r="http://schemas.openxmlformats.org/officeDocument/2006/relationships" ref="L2422" r:id="rId4345"/>
    <hyperlink xmlns:r="http://schemas.openxmlformats.org/officeDocument/2006/relationships" ref="N2422" r:id="rId4346"/>
    <hyperlink xmlns:r="http://schemas.openxmlformats.org/officeDocument/2006/relationships" ref="L2423" r:id="rId4347"/>
    <hyperlink xmlns:r="http://schemas.openxmlformats.org/officeDocument/2006/relationships" ref="N2423" r:id="rId4348"/>
    <hyperlink xmlns:r="http://schemas.openxmlformats.org/officeDocument/2006/relationships" ref="L2424" r:id="rId4349"/>
    <hyperlink xmlns:r="http://schemas.openxmlformats.org/officeDocument/2006/relationships" ref="N2424" r:id="rId4350"/>
    <hyperlink xmlns:r="http://schemas.openxmlformats.org/officeDocument/2006/relationships" ref="L2425" r:id="rId4351"/>
    <hyperlink xmlns:r="http://schemas.openxmlformats.org/officeDocument/2006/relationships" ref="N2425" r:id="rId4352"/>
    <hyperlink xmlns:r="http://schemas.openxmlformats.org/officeDocument/2006/relationships" ref="L2426" r:id="rId4353"/>
    <hyperlink xmlns:r="http://schemas.openxmlformats.org/officeDocument/2006/relationships" ref="N2426" r:id="rId4354"/>
    <hyperlink xmlns:r="http://schemas.openxmlformats.org/officeDocument/2006/relationships" ref="L2427" r:id="rId4355"/>
    <hyperlink xmlns:r="http://schemas.openxmlformats.org/officeDocument/2006/relationships" ref="N2427" r:id="rId4356"/>
    <hyperlink xmlns:r="http://schemas.openxmlformats.org/officeDocument/2006/relationships" ref="L2428" r:id="rId4357"/>
    <hyperlink xmlns:r="http://schemas.openxmlformats.org/officeDocument/2006/relationships" ref="N2428" r:id="rId4358"/>
    <hyperlink xmlns:r="http://schemas.openxmlformats.org/officeDocument/2006/relationships" ref="L2429" r:id="rId4359"/>
    <hyperlink xmlns:r="http://schemas.openxmlformats.org/officeDocument/2006/relationships" ref="N2429" r:id="rId4360"/>
    <hyperlink xmlns:r="http://schemas.openxmlformats.org/officeDocument/2006/relationships" ref="L2430" r:id="rId4361"/>
    <hyperlink xmlns:r="http://schemas.openxmlformats.org/officeDocument/2006/relationships" ref="N2430" r:id="rId4362"/>
    <hyperlink xmlns:r="http://schemas.openxmlformats.org/officeDocument/2006/relationships" ref="L2431" r:id="rId4363"/>
    <hyperlink xmlns:r="http://schemas.openxmlformats.org/officeDocument/2006/relationships" ref="N2431" r:id="rId4364"/>
    <hyperlink xmlns:r="http://schemas.openxmlformats.org/officeDocument/2006/relationships" ref="L2432" r:id="rId4365"/>
    <hyperlink xmlns:r="http://schemas.openxmlformats.org/officeDocument/2006/relationships" ref="N2432" r:id="rId4366"/>
    <hyperlink xmlns:r="http://schemas.openxmlformats.org/officeDocument/2006/relationships" ref="L2433" r:id="rId4367"/>
    <hyperlink xmlns:r="http://schemas.openxmlformats.org/officeDocument/2006/relationships" ref="N2433" r:id="rId4368"/>
    <hyperlink xmlns:r="http://schemas.openxmlformats.org/officeDocument/2006/relationships" ref="L2434" r:id="rId4369"/>
    <hyperlink xmlns:r="http://schemas.openxmlformats.org/officeDocument/2006/relationships" ref="N2434" r:id="rId4370"/>
    <hyperlink xmlns:r="http://schemas.openxmlformats.org/officeDocument/2006/relationships" ref="L2435" r:id="rId4371"/>
    <hyperlink xmlns:r="http://schemas.openxmlformats.org/officeDocument/2006/relationships" ref="N2435" r:id="rId4372"/>
    <hyperlink xmlns:r="http://schemas.openxmlformats.org/officeDocument/2006/relationships" ref="L2436" r:id="rId4373"/>
    <hyperlink xmlns:r="http://schemas.openxmlformats.org/officeDocument/2006/relationships" ref="N2436" r:id="rId4374"/>
    <hyperlink xmlns:r="http://schemas.openxmlformats.org/officeDocument/2006/relationships" ref="L2437" r:id="rId4375"/>
    <hyperlink xmlns:r="http://schemas.openxmlformats.org/officeDocument/2006/relationships" ref="N2437" r:id="rId4376"/>
    <hyperlink xmlns:r="http://schemas.openxmlformats.org/officeDocument/2006/relationships" ref="L2438" r:id="rId4377"/>
    <hyperlink xmlns:r="http://schemas.openxmlformats.org/officeDocument/2006/relationships" ref="N2438" r:id="rId4378"/>
    <hyperlink xmlns:r="http://schemas.openxmlformats.org/officeDocument/2006/relationships" ref="L2439" r:id="rId4379"/>
    <hyperlink xmlns:r="http://schemas.openxmlformats.org/officeDocument/2006/relationships" ref="N2439" r:id="rId4380"/>
    <hyperlink xmlns:r="http://schemas.openxmlformats.org/officeDocument/2006/relationships" ref="L2440" r:id="rId4381"/>
    <hyperlink xmlns:r="http://schemas.openxmlformats.org/officeDocument/2006/relationships" ref="N2440" r:id="rId4382"/>
    <hyperlink xmlns:r="http://schemas.openxmlformats.org/officeDocument/2006/relationships" ref="L2441" r:id="rId4383"/>
    <hyperlink xmlns:r="http://schemas.openxmlformats.org/officeDocument/2006/relationships" ref="N2441" r:id="rId4384"/>
    <hyperlink xmlns:r="http://schemas.openxmlformats.org/officeDocument/2006/relationships" ref="L2442" r:id="rId4385"/>
    <hyperlink xmlns:r="http://schemas.openxmlformats.org/officeDocument/2006/relationships" ref="N2442" r:id="rId4386"/>
    <hyperlink xmlns:r="http://schemas.openxmlformats.org/officeDocument/2006/relationships" ref="L2443" r:id="rId4387"/>
    <hyperlink xmlns:r="http://schemas.openxmlformats.org/officeDocument/2006/relationships" ref="N2443" r:id="rId4388"/>
    <hyperlink xmlns:r="http://schemas.openxmlformats.org/officeDocument/2006/relationships" ref="L2444" r:id="rId4389"/>
    <hyperlink xmlns:r="http://schemas.openxmlformats.org/officeDocument/2006/relationships" ref="N2444" r:id="rId4390"/>
    <hyperlink xmlns:r="http://schemas.openxmlformats.org/officeDocument/2006/relationships" ref="L2445" r:id="rId4391"/>
    <hyperlink xmlns:r="http://schemas.openxmlformats.org/officeDocument/2006/relationships" ref="N2445" r:id="rId4392"/>
    <hyperlink xmlns:r="http://schemas.openxmlformats.org/officeDocument/2006/relationships" ref="L2446" r:id="rId4393"/>
    <hyperlink xmlns:r="http://schemas.openxmlformats.org/officeDocument/2006/relationships" ref="N2446" r:id="rId4394"/>
    <hyperlink xmlns:r="http://schemas.openxmlformats.org/officeDocument/2006/relationships" ref="L2447" r:id="rId4395"/>
    <hyperlink xmlns:r="http://schemas.openxmlformats.org/officeDocument/2006/relationships" ref="N2447" r:id="rId4396"/>
    <hyperlink xmlns:r="http://schemas.openxmlformats.org/officeDocument/2006/relationships" ref="L2448" r:id="rId4397"/>
    <hyperlink xmlns:r="http://schemas.openxmlformats.org/officeDocument/2006/relationships" ref="N2448" r:id="rId4398"/>
    <hyperlink xmlns:r="http://schemas.openxmlformats.org/officeDocument/2006/relationships" ref="L2449" r:id="rId4399"/>
    <hyperlink xmlns:r="http://schemas.openxmlformats.org/officeDocument/2006/relationships" ref="N2449" r:id="rId4400"/>
    <hyperlink xmlns:r="http://schemas.openxmlformats.org/officeDocument/2006/relationships" ref="L2450" r:id="rId4401"/>
    <hyperlink xmlns:r="http://schemas.openxmlformats.org/officeDocument/2006/relationships" ref="N2450" r:id="rId4402"/>
    <hyperlink xmlns:r="http://schemas.openxmlformats.org/officeDocument/2006/relationships" ref="L2451" r:id="rId4403"/>
    <hyperlink xmlns:r="http://schemas.openxmlformats.org/officeDocument/2006/relationships" ref="N2451" r:id="rId4404"/>
    <hyperlink xmlns:r="http://schemas.openxmlformats.org/officeDocument/2006/relationships" ref="L2452" r:id="rId4405"/>
    <hyperlink xmlns:r="http://schemas.openxmlformats.org/officeDocument/2006/relationships" ref="N2452" r:id="rId4406"/>
    <hyperlink xmlns:r="http://schemas.openxmlformats.org/officeDocument/2006/relationships" ref="L2453" r:id="rId4407"/>
    <hyperlink xmlns:r="http://schemas.openxmlformats.org/officeDocument/2006/relationships" ref="N2453" r:id="rId4408"/>
    <hyperlink xmlns:r="http://schemas.openxmlformats.org/officeDocument/2006/relationships" ref="L2454" r:id="rId4409"/>
    <hyperlink xmlns:r="http://schemas.openxmlformats.org/officeDocument/2006/relationships" ref="N2454" r:id="rId4410"/>
    <hyperlink xmlns:r="http://schemas.openxmlformats.org/officeDocument/2006/relationships" ref="L2455" r:id="rId4411"/>
    <hyperlink xmlns:r="http://schemas.openxmlformats.org/officeDocument/2006/relationships" ref="N2455" r:id="rId4412"/>
    <hyperlink xmlns:r="http://schemas.openxmlformats.org/officeDocument/2006/relationships" ref="L2456" r:id="rId4413"/>
    <hyperlink xmlns:r="http://schemas.openxmlformats.org/officeDocument/2006/relationships" ref="N2456" r:id="rId4414"/>
    <hyperlink xmlns:r="http://schemas.openxmlformats.org/officeDocument/2006/relationships" ref="L2457" r:id="rId4415"/>
    <hyperlink xmlns:r="http://schemas.openxmlformats.org/officeDocument/2006/relationships" ref="N2457" r:id="rId4416"/>
    <hyperlink xmlns:r="http://schemas.openxmlformats.org/officeDocument/2006/relationships" ref="L2458" r:id="rId4417"/>
    <hyperlink xmlns:r="http://schemas.openxmlformats.org/officeDocument/2006/relationships" ref="N2458" r:id="rId4418"/>
    <hyperlink xmlns:r="http://schemas.openxmlformats.org/officeDocument/2006/relationships" ref="L2459" r:id="rId4419"/>
    <hyperlink xmlns:r="http://schemas.openxmlformats.org/officeDocument/2006/relationships" ref="N2459" r:id="rId4420"/>
    <hyperlink xmlns:r="http://schemas.openxmlformats.org/officeDocument/2006/relationships" ref="L2460" r:id="rId4421"/>
    <hyperlink xmlns:r="http://schemas.openxmlformats.org/officeDocument/2006/relationships" ref="N2460" r:id="rId4422"/>
    <hyperlink xmlns:r="http://schemas.openxmlformats.org/officeDocument/2006/relationships" ref="L2461" r:id="rId4423"/>
    <hyperlink xmlns:r="http://schemas.openxmlformats.org/officeDocument/2006/relationships" ref="N2461" r:id="rId4424"/>
    <hyperlink xmlns:r="http://schemas.openxmlformats.org/officeDocument/2006/relationships" ref="L2462" r:id="rId4425"/>
    <hyperlink xmlns:r="http://schemas.openxmlformats.org/officeDocument/2006/relationships" ref="N2462" r:id="rId4426"/>
    <hyperlink xmlns:r="http://schemas.openxmlformats.org/officeDocument/2006/relationships" ref="L2463" r:id="rId4427"/>
    <hyperlink xmlns:r="http://schemas.openxmlformats.org/officeDocument/2006/relationships" ref="N2463" r:id="rId4428"/>
    <hyperlink xmlns:r="http://schemas.openxmlformats.org/officeDocument/2006/relationships" ref="L2464" r:id="rId4429"/>
    <hyperlink xmlns:r="http://schemas.openxmlformats.org/officeDocument/2006/relationships" ref="N2464" r:id="rId4430"/>
    <hyperlink xmlns:r="http://schemas.openxmlformats.org/officeDocument/2006/relationships" ref="L2465" r:id="rId4431"/>
    <hyperlink xmlns:r="http://schemas.openxmlformats.org/officeDocument/2006/relationships" ref="N2465" r:id="rId4432"/>
    <hyperlink xmlns:r="http://schemas.openxmlformats.org/officeDocument/2006/relationships" ref="L2466" r:id="rId4433"/>
    <hyperlink xmlns:r="http://schemas.openxmlformats.org/officeDocument/2006/relationships" ref="N2466" r:id="rId4434"/>
    <hyperlink xmlns:r="http://schemas.openxmlformats.org/officeDocument/2006/relationships" ref="L2467" r:id="rId4435"/>
    <hyperlink xmlns:r="http://schemas.openxmlformats.org/officeDocument/2006/relationships" ref="N2467" r:id="rId4436"/>
    <hyperlink xmlns:r="http://schemas.openxmlformats.org/officeDocument/2006/relationships" ref="L2468" r:id="rId4437"/>
    <hyperlink xmlns:r="http://schemas.openxmlformats.org/officeDocument/2006/relationships" ref="N2468" r:id="rId4438"/>
    <hyperlink xmlns:r="http://schemas.openxmlformats.org/officeDocument/2006/relationships" ref="L2469" r:id="rId4439"/>
    <hyperlink xmlns:r="http://schemas.openxmlformats.org/officeDocument/2006/relationships" ref="N2469" r:id="rId4440"/>
    <hyperlink xmlns:r="http://schemas.openxmlformats.org/officeDocument/2006/relationships" ref="L2470" r:id="rId4441"/>
    <hyperlink xmlns:r="http://schemas.openxmlformats.org/officeDocument/2006/relationships" ref="N2470" r:id="rId4442"/>
    <hyperlink xmlns:r="http://schemas.openxmlformats.org/officeDocument/2006/relationships" ref="L2471" r:id="rId4443"/>
    <hyperlink xmlns:r="http://schemas.openxmlformats.org/officeDocument/2006/relationships" ref="N2471" r:id="rId4444"/>
    <hyperlink xmlns:r="http://schemas.openxmlformats.org/officeDocument/2006/relationships" ref="L2472" r:id="rId4445"/>
    <hyperlink xmlns:r="http://schemas.openxmlformats.org/officeDocument/2006/relationships" ref="N2472" r:id="rId4446"/>
    <hyperlink xmlns:r="http://schemas.openxmlformats.org/officeDocument/2006/relationships" ref="L2473" r:id="rId4447"/>
    <hyperlink xmlns:r="http://schemas.openxmlformats.org/officeDocument/2006/relationships" ref="N2473" r:id="rId4448"/>
    <hyperlink xmlns:r="http://schemas.openxmlformats.org/officeDocument/2006/relationships" ref="L2474" r:id="rId4449"/>
    <hyperlink xmlns:r="http://schemas.openxmlformats.org/officeDocument/2006/relationships" ref="N2474" r:id="rId4450"/>
    <hyperlink xmlns:r="http://schemas.openxmlformats.org/officeDocument/2006/relationships" ref="L2475" r:id="rId4451"/>
    <hyperlink xmlns:r="http://schemas.openxmlformats.org/officeDocument/2006/relationships" ref="N2475" r:id="rId4452"/>
    <hyperlink xmlns:r="http://schemas.openxmlformats.org/officeDocument/2006/relationships" ref="L2476" r:id="rId4453"/>
    <hyperlink xmlns:r="http://schemas.openxmlformats.org/officeDocument/2006/relationships" ref="N2476" r:id="rId4454"/>
    <hyperlink xmlns:r="http://schemas.openxmlformats.org/officeDocument/2006/relationships" ref="L2477" r:id="rId4455"/>
    <hyperlink xmlns:r="http://schemas.openxmlformats.org/officeDocument/2006/relationships" ref="N2477" r:id="rId4456"/>
    <hyperlink xmlns:r="http://schemas.openxmlformats.org/officeDocument/2006/relationships" ref="L2478" r:id="rId4457"/>
    <hyperlink xmlns:r="http://schemas.openxmlformats.org/officeDocument/2006/relationships" ref="N2478" r:id="rId4458"/>
    <hyperlink xmlns:r="http://schemas.openxmlformats.org/officeDocument/2006/relationships" ref="L2479" r:id="rId4459"/>
    <hyperlink xmlns:r="http://schemas.openxmlformats.org/officeDocument/2006/relationships" ref="N2479" r:id="rId4460"/>
    <hyperlink xmlns:r="http://schemas.openxmlformats.org/officeDocument/2006/relationships" ref="L2480" r:id="rId4461"/>
    <hyperlink xmlns:r="http://schemas.openxmlformats.org/officeDocument/2006/relationships" ref="N2480" r:id="rId4462"/>
    <hyperlink xmlns:r="http://schemas.openxmlformats.org/officeDocument/2006/relationships" ref="L2481" r:id="rId4463"/>
    <hyperlink xmlns:r="http://schemas.openxmlformats.org/officeDocument/2006/relationships" ref="N2481" r:id="rId4464"/>
    <hyperlink xmlns:r="http://schemas.openxmlformats.org/officeDocument/2006/relationships" ref="L2482" r:id="rId4465"/>
    <hyperlink xmlns:r="http://schemas.openxmlformats.org/officeDocument/2006/relationships" ref="N2482" r:id="rId4466"/>
    <hyperlink xmlns:r="http://schemas.openxmlformats.org/officeDocument/2006/relationships" ref="L2483" r:id="rId4467"/>
    <hyperlink xmlns:r="http://schemas.openxmlformats.org/officeDocument/2006/relationships" ref="N2483" r:id="rId4468"/>
    <hyperlink xmlns:r="http://schemas.openxmlformats.org/officeDocument/2006/relationships" ref="L2484" r:id="rId4469"/>
    <hyperlink xmlns:r="http://schemas.openxmlformats.org/officeDocument/2006/relationships" ref="N2484" r:id="rId4470"/>
    <hyperlink xmlns:r="http://schemas.openxmlformats.org/officeDocument/2006/relationships" ref="L2485" r:id="rId4471"/>
    <hyperlink xmlns:r="http://schemas.openxmlformats.org/officeDocument/2006/relationships" ref="N2485" r:id="rId4472"/>
    <hyperlink xmlns:r="http://schemas.openxmlformats.org/officeDocument/2006/relationships" ref="L2486" r:id="rId4473"/>
    <hyperlink xmlns:r="http://schemas.openxmlformats.org/officeDocument/2006/relationships" ref="N2486" r:id="rId4474"/>
    <hyperlink xmlns:r="http://schemas.openxmlformats.org/officeDocument/2006/relationships" ref="L2487" r:id="rId4475"/>
    <hyperlink xmlns:r="http://schemas.openxmlformats.org/officeDocument/2006/relationships" ref="N2487" r:id="rId4476"/>
    <hyperlink xmlns:r="http://schemas.openxmlformats.org/officeDocument/2006/relationships" ref="L2488" r:id="rId4477"/>
    <hyperlink xmlns:r="http://schemas.openxmlformats.org/officeDocument/2006/relationships" ref="N2488" r:id="rId4478"/>
    <hyperlink xmlns:r="http://schemas.openxmlformats.org/officeDocument/2006/relationships" ref="L2489" r:id="rId4479"/>
    <hyperlink xmlns:r="http://schemas.openxmlformats.org/officeDocument/2006/relationships" ref="N2489" r:id="rId4480"/>
    <hyperlink xmlns:r="http://schemas.openxmlformats.org/officeDocument/2006/relationships" ref="L2490" r:id="rId4481"/>
    <hyperlink xmlns:r="http://schemas.openxmlformats.org/officeDocument/2006/relationships" ref="N2490" r:id="rId4482"/>
    <hyperlink xmlns:r="http://schemas.openxmlformats.org/officeDocument/2006/relationships" ref="L2491" r:id="rId4483"/>
    <hyperlink xmlns:r="http://schemas.openxmlformats.org/officeDocument/2006/relationships" ref="N2491" r:id="rId4484"/>
    <hyperlink xmlns:r="http://schemas.openxmlformats.org/officeDocument/2006/relationships" ref="L2492" r:id="rId4485"/>
    <hyperlink xmlns:r="http://schemas.openxmlformats.org/officeDocument/2006/relationships" ref="N2492" r:id="rId4486"/>
    <hyperlink xmlns:r="http://schemas.openxmlformats.org/officeDocument/2006/relationships" ref="L2493" r:id="rId4487"/>
    <hyperlink xmlns:r="http://schemas.openxmlformats.org/officeDocument/2006/relationships" ref="N2493" r:id="rId4488"/>
    <hyperlink xmlns:r="http://schemas.openxmlformats.org/officeDocument/2006/relationships" ref="L2494" r:id="rId4489"/>
    <hyperlink xmlns:r="http://schemas.openxmlformats.org/officeDocument/2006/relationships" ref="N2494" r:id="rId4490"/>
    <hyperlink xmlns:r="http://schemas.openxmlformats.org/officeDocument/2006/relationships" ref="L2495" r:id="rId4491"/>
    <hyperlink xmlns:r="http://schemas.openxmlformats.org/officeDocument/2006/relationships" ref="N2495" r:id="rId4492"/>
    <hyperlink xmlns:r="http://schemas.openxmlformats.org/officeDocument/2006/relationships" ref="L2496" r:id="rId4493"/>
    <hyperlink xmlns:r="http://schemas.openxmlformats.org/officeDocument/2006/relationships" ref="N2496" r:id="rId4494"/>
    <hyperlink xmlns:r="http://schemas.openxmlformats.org/officeDocument/2006/relationships" ref="L2497" r:id="rId4495"/>
    <hyperlink xmlns:r="http://schemas.openxmlformats.org/officeDocument/2006/relationships" ref="N2497" r:id="rId4496"/>
    <hyperlink xmlns:r="http://schemas.openxmlformats.org/officeDocument/2006/relationships" ref="L2498" r:id="rId4497"/>
    <hyperlink xmlns:r="http://schemas.openxmlformats.org/officeDocument/2006/relationships" ref="N2498" r:id="rId4498"/>
    <hyperlink xmlns:r="http://schemas.openxmlformats.org/officeDocument/2006/relationships" ref="L2499" r:id="rId4499"/>
    <hyperlink xmlns:r="http://schemas.openxmlformats.org/officeDocument/2006/relationships" ref="N2499" r:id="rId4500"/>
    <hyperlink xmlns:r="http://schemas.openxmlformats.org/officeDocument/2006/relationships" ref="L2500" r:id="rId4501"/>
    <hyperlink xmlns:r="http://schemas.openxmlformats.org/officeDocument/2006/relationships" ref="N2500" r:id="rId4502"/>
    <hyperlink xmlns:r="http://schemas.openxmlformats.org/officeDocument/2006/relationships" ref="L2501" r:id="rId4503"/>
    <hyperlink xmlns:r="http://schemas.openxmlformats.org/officeDocument/2006/relationships" ref="N2501" r:id="rId4504"/>
    <hyperlink xmlns:r="http://schemas.openxmlformats.org/officeDocument/2006/relationships" ref="L2502" r:id="rId4505"/>
    <hyperlink xmlns:r="http://schemas.openxmlformats.org/officeDocument/2006/relationships" ref="N2502" r:id="rId4506"/>
    <hyperlink xmlns:r="http://schemas.openxmlformats.org/officeDocument/2006/relationships" ref="L2503" r:id="rId4507"/>
    <hyperlink xmlns:r="http://schemas.openxmlformats.org/officeDocument/2006/relationships" ref="N2503" r:id="rId4508"/>
    <hyperlink xmlns:r="http://schemas.openxmlformats.org/officeDocument/2006/relationships" ref="L2504" r:id="rId4509"/>
    <hyperlink xmlns:r="http://schemas.openxmlformats.org/officeDocument/2006/relationships" ref="N2504" r:id="rId4510"/>
    <hyperlink xmlns:r="http://schemas.openxmlformats.org/officeDocument/2006/relationships" ref="L2505" r:id="rId4511"/>
    <hyperlink xmlns:r="http://schemas.openxmlformats.org/officeDocument/2006/relationships" ref="N2505" r:id="rId4512"/>
    <hyperlink xmlns:r="http://schemas.openxmlformats.org/officeDocument/2006/relationships" ref="L2506" r:id="rId4513"/>
    <hyperlink xmlns:r="http://schemas.openxmlformats.org/officeDocument/2006/relationships" ref="N2506" r:id="rId4514"/>
    <hyperlink xmlns:r="http://schemas.openxmlformats.org/officeDocument/2006/relationships" ref="L2507" r:id="rId4515"/>
    <hyperlink xmlns:r="http://schemas.openxmlformats.org/officeDocument/2006/relationships" ref="N2507" r:id="rId4516"/>
    <hyperlink xmlns:r="http://schemas.openxmlformats.org/officeDocument/2006/relationships" ref="L2508" r:id="rId4517"/>
    <hyperlink xmlns:r="http://schemas.openxmlformats.org/officeDocument/2006/relationships" ref="N2508" r:id="rId4518"/>
    <hyperlink xmlns:r="http://schemas.openxmlformats.org/officeDocument/2006/relationships" ref="L2509" r:id="rId4519"/>
    <hyperlink xmlns:r="http://schemas.openxmlformats.org/officeDocument/2006/relationships" ref="N2509" r:id="rId4520"/>
    <hyperlink xmlns:r="http://schemas.openxmlformats.org/officeDocument/2006/relationships" ref="L2510" r:id="rId4521"/>
    <hyperlink xmlns:r="http://schemas.openxmlformats.org/officeDocument/2006/relationships" ref="N2510" r:id="rId4522"/>
    <hyperlink xmlns:r="http://schemas.openxmlformats.org/officeDocument/2006/relationships" ref="L2511" r:id="rId4523"/>
    <hyperlink xmlns:r="http://schemas.openxmlformats.org/officeDocument/2006/relationships" ref="N2511" r:id="rId4524"/>
    <hyperlink xmlns:r="http://schemas.openxmlformats.org/officeDocument/2006/relationships" ref="L2512" r:id="rId4525"/>
    <hyperlink xmlns:r="http://schemas.openxmlformats.org/officeDocument/2006/relationships" ref="N2512" r:id="rId4526"/>
    <hyperlink xmlns:r="http://schemas.openxmlformats.org/officeDocument/2006/relationships" ref="L2513" r:id="rId4527"/>
    <hyperlink xmlns:r="http://schemas.openxmlformats.org/officeDocument/2006/relationships" ref="N2513" r:id="rId4528"/>
    <hyperlink xmlns:r="http://schemas.openxmlformats.org/officeDocument/2006/relationships" ref="L2514" r:id="rId4529"/>
    <hyperlink xmlns:r="http://schemas.openxmlformats.org/officeDocument/2006/relationships" ref="N2514" r:id="rId4530"/>
    <hyperlink xmlns:r="http://schemas.openxmlformats.org/officeDocument/2006/relationships" ref="L2515" r:id="rId4531"/>
    <hyperlink xmlns:r="http://schemas.openxmlformats.org/officeDocument/2006/relationships" ref="N2515" r:id="rId4532"/>
    <hyperlink xmlns:r="http://schemas.openxmlformats.org/officeDocument/2006/relationships" ref="L2516" r:id="rId4533"/>
    <hyperlink xmlns:r="http://schemas.openxmlformats.org/officeDocument/2006/relationships" ref="N2516" r:id="rId4534"/>
    <hyperlink xmlns:r="http://schemas.openxmlformats.org/officeDocument/2006/relationships" ref="L2517" r:id="rId4535"/>
    <hyperlink xmlns:r="http://schemas.openxmlformats.org/officeDocument/2006/relationships" ref="N2517" r:id="rId4536"/>
    <hyperlink xmlns:r="http://schemas.openxmlformats.org/officeDocument/2006/relationships" ref="L2518" r:id="rId4537"/>
    <hyperlink xmlns:r="http://schemas.openxmlformats.org/officeDocument/2006/relationships" ref="N2518" r:id="rId4538"/>
    <hyperlink xmlns:r="http://schemas.openxmlformats.org/officeDocument/2006/relationships" ref="L2519" r:id="rId4539"/>
    <hyperlink xmlns:r="http://schemas.openxmlformats.org/officeDocument/2006/relationships" ref="N2519" r:id="rId4540"/>
    <hyperlink xmlns:r="http://schemas.openxmlformats.org/officeDocument/2006/relationships" ref="L2520" r:id="rId4541"/>
    <hyperlink xmlns:r="http://schemas.openxmlformats.org/officeDocument/2006/relationships" ref="N2520" r:id="rId4542"/>
    <hyperlink xmlns:r="http://schemas.openxmlformats.org/officeDocument/2006/relationships" ref="L2521" r:id="rId4543"/>
    <hyperlink xmlns:r="http://schemas.openxmlformats.org/officeDocument/2006/relationships" ref="N2521" r:id="rId4544"/>
    <hyperlink xmlns:r="http://schemas.openxmlformats.org/officeDocument/2006/relationships" ref="L2522" r:id="rId4545"/>
    <hyperlink xmlns:r="http://schemas.openxmlformats.org/officeDocument/2006/relationships" ref="N2522" r:id="rId4546"/>
    <hyperlink xmlns:r="http://schemas.openxmlformats.org/officeDocument/2006/relationships" ref="L2523" r:id="rId4547"/>
    <hyperlink xmlns:r="http://schemas.openxmlformats.org/officeDocument/2006/relationships" ref="N2523" r:id="rId4548"/>
    <hyperlink xmlns:r="http://schemas.openxmlformats.org/officeDocument/2006/relationships" ref="L2524" r:id="rId4549"/>
    <hyperlink xmlns:r="http://schemas.openxmlformats.org/officeDocument/2006/relationships" ref="N2524" r:id="rId4550"/>
    <hyperlink xmlns:r="http://schemas.openxmlformats.org/officeDocument/2006/relationships" ref="L2525" r:id="rId4551"/>
    <hyperlink xmlns:r="http://schemas.openxmlformats.org/officeDocument/2006/relationships" ref="N2525" r:id="rId4552"/>
    <hyperlink xmlns:r="http://schemas.openxmlformats.org/officeDocument/2006/relationships" ref="L2526" r:id="rId4553"/>
    <hyperlink xmlns:r="http://schemas.openxmlformats.org/officeDocument/2006/relationships" ref="N2526" r:id="rId4554"/>
    <hyperlink xmlns:r="http://schemas.openxmlformats.org/officeDocument/2006/relationships" ref="L2527" r:id="rId4555"/>
    <hyperlink xmlns:r="http://schemas.openxmlformats.org/officeDocument/2006/relationships" ref="N2527" r:id="rId4556"/>
    <hyperlink xmlns:r="http://schemas.openxmlformats.org/officeDocument/2006/relationships" ref="L2528" r:id="rId4557"/>
    <hyperlink xmlns:r="http://schemas.openxmlformats.org/officeDocument/2006/relationships" ref="N2528" r:id="rId4558"/>
    <hyperlink xmlns:r="http://schemas.openxmlformats.org/officeDocument/2006/relationships" ref="L2529" r:id="rId4559"/>
    <hyperlink xmlns:r="http://schemas.openxmlformats.org/officeDocument/2006/relationships" ref="N2529" r:id="rId4560"/>
    <hyperlink xmlns:r="http://schemas.openxmlformats.org/officeDocument/2006/relationships" ref="L2530" r:id="rId4561"/>
    <hyperlink xmlns:r="http://schemas.openxmlformats.org/officeDocument/2006/relationships" ref="N2530" r:id="rId4562"/>
    <hyperlink xmlns:r="http://schemas.openxmlformats.org/officeDocument/2006/relationships" ref="L2531" r:id="rId4563"/>
    <hyperlink xmlns:r="http://schemas.openxmlformats.org/officeDocument/2006/relationships" ref="N2531" r:id="rId4564"/>
    <hyperlink xmlns:r="http://schemas.openxmlformats.org/officeDocument/2006/relationships" ref="L2532" r:id="rId4565"/>
    <hyperlink xmlns:r="http://schemas.openxmlformats.org/officeDocument/2006/relationships" ref="N2532" r:id="rId4566"/>
    <hyperlink xmlns:r="http://schemas.openxmlformats.org/officeDocument/2006/relationships" ref="L2533" r:id="rId4567"/>
    <hyperlink xmlns:r="http://schemas.openxmlformats.org/officeDocument/2006/relationships" ref="N2533" r:id="rId4568"/>
    <hyperlink xmlns:r="http://schemas.openxmlformats.org/officeDocument/2006/relationships" ref="L2534" r:id="rId4569"/>
    <hyperlink xmlns:r="http://schemas.openxmlformats.org/officeDocument/2006/relationships" ref="N2534" r:id="rId4570"/>
    <hyperlink xmlns:r="http://schemas.openxmlformats.org/officeDocument/2006/relationships" ref="L2535" r:id="rId4571"/>
    <hyperlink xmlns:r="http://schemas.openxmlformats.org/officeDocument/2006/relationships" ref="N2535" r:id="rId4572"/>
    <hyperlink xmlns:r="http://schemas.openxmlformats.org/officeDocument/2006/relationships" ref="L2536" r:id="rId4573"/>
    <hyperlink xmlns:r="http://schemas.openxmlformats.org/officeDocument/2006/relationships" ref="N2536" r:id="rId4574"/>
    <hyperlink xmlns:r="http://schemas.openxmlformats.org/officeDocument/2006/relationships" ref="L2537" r:id="rId4575"/>
    <hyperlink xmlns:r="http://schemas.openxmlformats.org/officeDocument/2006/relationships" ref="N2537" r:id="rId4576"/>
    <hyperlink xmlns:r="http://schemas.openxmlformats.org/officeDocument/2006/relationships" ref="L2538" r:id="rId4577"/>
    <hyperlink xmlns:r="http://schemas.openxmlformats.org/officeDocument/2006/relationships" ref="N2538" r:id="rId4578"/>
    <hyperlink xmlns:r="http://schemas.openxmlformats.org/officeDocument/2006/relationships" ref="L2539" r:id="rId4579"/>
    <hyperlink xmlns:r="http://schemas.openxmlformats.org/officeDocument/2006/relationships" ref="N2539" r:id="rId4580"/>
    <hyperlink xmlns:r="http://schemas.openxmlformats.org/officeDocument/2006/relationships" ref="L2540" r:id="rId4581"/>
    <hyperlink xmlns:r="http://schemas.openxmlformats.org/officeDocument/2006/relationships" ref="N2540" r:id="rId4582"/>
    <hyperlink xmlns:r="http://schemas.openxmlformats.org/officeDocument/2006/relationships" ref="L2541" r:id="rId4583"/>
    <hyperlink xmlns:r="http://schemas.openxmlformats.org/officeDocument/2006/relationships" ref="N2541" r:id="rId4584"/>
    <hyperlink xmlns:r="http://schemas.openxmlformats.org/officeDocument/2006/relationships" ref="L2542" r:id="rId4585"/>
    <hyperlink xmlns:r="http://schemas.openxmlformats.org/officeDocument/2006/relationships" ref="N2542" r:id="rId4586"/>
    <hyperlink xmlns:r="http://schemas.openxmlformats.org/officeDocument/2006/relationships" ref="L2543" r:id="rId4587"/>
    <hyperlink xmlns:r="http://schemas.openxmlformats.org/officeDocument/2006/relationships" ref="N2543" r:id="rId4588"/>
    <hyperlink xmlns:r="http://schemas.openxmlformats.org/officeDocument/2006/relationships" ref="L2544" r:id="rId4589"/>
    <hyperlink xmlns:r="http://schemas.openxmlformats.org/officeDocument/2006/relationships" ref="N2544" r:id="rId4590"/>
    <hyperlink xmlns:r="http://schemas.openxmlformats.org/officeDocument/2006/relationships" ref="L2545" r:id="rId4591"/>
    <hyperlink xmlns:r="http://schemas.openxmlformats.org/officeDocument/2006/relationships" ref="N2545" r:id="rId4592"/>
    <hyperlink xmlns:r="http://schemas.openxmlformats.org/officeDocument/2006/relationships" ref="L2546" r:id="rId4593"/>
    <hyperlink xmlns:r="http://schemas.openxmlformats.org/officeDocument/2006/relationships" ref="N2546" r:id="rId4594"/>
    <hyperlink xmlns:r="http://schemas.openxmlformats.org/officeDocument/2006/relationships" ref="L2547" r:id="rId4595"/>
    <hyperlink xmlns:r="http://schemas.openxmlformats.org/officeDocument/2006/relationships" ref="N2547" r:id="rId4596"/>
    <hyperlink xmlns:r="http://schemas.openxmlformats.org/officeDocument/2006/relationships" ref="L2548" r:id="rId4597"/>
    <hyperlink xmlns:r="http://schemas.openxmlformats.org/officeDocument/2006/relationships" ref="N2548" r:id="rId4598"/>
    <hyperlink xmlns:r="http://schemas.openxmlformats.org/officeDocument/2006/relationships" ref="L2549" r:id="rId4599"/>
    <hyperlink xmlns:r="http://schemas.openxmlformats.org/officeDocument/2006/relationships" ref="N2549" r:id="rId4600"/>
    <hyperlink xmlns:r="http://schemas.openxmlformats.org/officeDocument/2006/relationships" ref="L2550" r:id="rId4601"/>
    <hyperlink xmlns:r="http://schemas.openxmlformats.org/officeDocument/2006/relationships" ref="N2550" r:id="rId4602"/>
    <hyperlink xmlns:r="http://schemas.openxmlformats.org/officeDocument/2006/relationships" ref="L2551" r:id="rId4603"/>
    <hyperlink xmlns:r="http://schemas.openxmlformats.org/officeDocument/2006/relationships" ref="N2551" r:id="rId4604"/>
    <hyperlink xmlns:r="http://schemas.openxmlformats.org/officeDocument/2006/relationships" ref="L2552" r:id="rId4605"/>
    <hyperlink xmlns:r="http://schemas.openxmlformats.org/officeDocument/2006/relationships" ref="N2552" r:id="rId4606"/>
    <hyperlink xmlns:r="http://schemas.openxmlformats.org/officeDocument/2006/relationships" ref="L2553" r:id="rId4607"/>
    <hyperlink xmlns:r="http://schemas.openxmlformats.org/officeDocument/2006/relationships" ref="N2553" r:id="rId4608"/>
    <hyperlink xmlns:r="http://schemas.openxmlformats.org/officeDocument/2006/relationships" ref="L2554" r:id="rId4609"/>
    <hyperlink xmlns:r="http://schemas.openxmlformats.org/officeDocument/2006/relationships" ref="N2554" r:id="rId4610"/>
    <hyperlink xmlns:r="http://schemas.openxmlformats.org/officeDocument/2006/relationships" ref="L2555" r:id="rId4611"/>
    <hyperlink xmlns:r="http://schemas.openxmlformats.org/officeDocument/2006/relationships" ref="N2555" r:id="rId4612"/>
    <hyperlink xmlns:r="http://schemas.openxmlformats.org/officeDocument/2006/relationships" ref="L2556" r:id="rId4613"/>
    <hyperlink xmlns:r="http://schemas.openxmlformats.org/officeDocument/2006/relationships" ref="N2556" r:id="rId4614"/>
    <hyperlink xmlns:r="http://schemas.openxmlformats.org/officeDocument/2006/relationships" ref="L2557" r:id="rId4615"/>
    <hyperlink xmlns:r="http://schemas.openxmlformats.org/officeDocument/2006/relationships" ref="N2557" r:id="rId4616"/>
    <hyperlink xmlns:r="http://schemas.openxmlformats.org/officeDocument/2006/relationships" ref="L2558" r:id="rId4617"/>
    <hyperlink xmlns:r="http://schemas.openxmlformats.org/officeDocument/2006/relationships" ref="N2558" r:id="rId4618"/>
    <hyperlink xmlns:r="http://schemas.openxmlformats.org/officeDocument/2006/relationships" ref="L2559" r:id="rId4619"/>
    <hyperlink xmlns:r="http://schemas.openxmlformats.org/officeDocument/2006/relationships" ref="N2559" r:id="rId4620"/>
    <hyperlink xmlns:r="http://schemas.openxmlformats.org/officeDocument/2006/relationships" ref="L2560" r:id="rId4621"/>
    <hyperlink xmlns:r="http://schemas.openxmlformats.org/officeDocument/2006/relationships" ref="N2560" r:id="rId4622"/>
    <hyperlink xmlns:r="http://schemas.openxmlformats.org/officeDocument/2006/relationships" ref="L2561" r:id="rId4623"/>
    <hyperlink xmlns:r="http://schemas.openxmlformats.org/officeDocument/2006/relationships" ref="N2561" r:id="rId4624"/>
    <hyperlink xmlns:r="http://schemas.openxmlformats.org/officeDocument/2006/relationships" ref="L2562" r:id="rId4625"/>
    <hyperlink xmlns:r="http://schemas.openxmlformats.org/officeDocument/2006/relationships" ref="N2562" r:id="rId4626"/>
    <hyperlink xmlns:r="http://schemas.openxmlformats.org/officeDocument/2006/relationships" ref="L2563" r:id="rId4627"/>
    <hyperlink xmlns:r="http://schemas.openxmlformats.org/officeDocument/2006/relationships" ref="N2563" r:id="rId4628"/>
    <hyperlink xmlns:r="http://schemas.openxmlformats.org/officeDocument/2006/relationships" ref="L2564" r:id="rId4629"/>
    <hyperlink xmlns:r="http://schemas.openxmlformats.org/officeDocument/2006/relationships" ref="N2564" r:id="rId4630"/>
    <hyperlink xmlns:r="http://schemas.openxmlformats.org/officeDocument/2006/relationships" ref="L2565" r:id="rId4631"/>
    <hyperlink xmlns:r="http://schemas.openxmlformats.org/officeDocument/2006/relationships" ref="N2565" r:id="rId4632"/>
    <hyperlink xmlns:r="http://schemas.openxmlformats.org/officeDocument/2006/relationships" ref="L2566" r:id="rId4633"/>
    <hyperlink xmlns:r="http://schemas.openxmlformats.org/officeDocument/2006/relationships" ref="N2566" r:id="rId4634"/>
    <hyperlink xmlns:r="http://schemas.openxmlformats.org/officeDocument/2006/relationships" ref="L2567" r:id="rId4635"/>
    <hyperlink xmlns:r="http://schemas.openxmlformats.org/officeDocument/2006/relationships" ref="N2567" r:id="rId4636"/>
    <hyperlink xmlns:r="http://schemas.openxmlformats.org/officeDocument/2006/relationships" ref="L2568" r:id="rId4637"/>
    <hyperlink xmlns:r="http://schemas.openxmlformats.org/officeDocument/2006/relationships" ref="N2568" r:id="rId4638"/>
    <hyperlink xmlns:r="http://schemas.openxmlformats.org/officeDocument/2006/relationships" ref="L2569" r:id="rId4639"/>
    <hyperlink xmlns:r="http://schemas.openxmlformats.org/officeDocument/2006/relationships" ref="N2569" r:id="rId4640"/>
    <hyperlink xmlns:r="http://schemas.openxmlformats.org/officeDocument/2006/relationships" ref="L2570" r:id="rId4641"/>
    <hyperlink xmlns:r="http://schemas.openxmlformats.org/officeDocument/2006/relationships" ref="N2570" r:id="rId4642"/>
    <hyperlink xmlns:r="http://schemas.openxmlformats.org/officeDocument/2006/relationships" ref="L2571" r:id="rId4643"/>
    <hyperlink xmlns:r="http://schemas.openxmlformats.org/officeDocument/2006/relationships" ref="N2571" r:id="rId4644"/>
    <hyperlink xmlns:r="http://schemas.openxmlformats.org/officeDocument/2006/relationships" ref="L2572" r:id="rId4645"/>
    <hyperlink xmlns:r="http://schemas.openxmlformats.org/officeDocument/2006/relationships" ref="N2572" r:id="rId4646"/>
    <hyperlink xmlns:r="http://schemas.openxmlformats.org/officeDocument/2006/relationships" ref="L2573" r:id="rId4647"/>
    <hyperlink xmlns:r="http://schemas.openxmlformats.org/officeDocument/2006/relationships" ref="N2573" r:id="rId4648"/>
    <hyperlink xmlns:r="http://schemas.openxmlformats.org/officeDocument/2006/relationships" ref="L2574" r:id="rId4649"/>
    <hyperlink xmlns:r="http://schemas.openxmlformats.org/officeDocument/2006/relationships" ref="N2574" r:id="rId4650"/>
    <hyperlink xmlns:r="http://schemas.openxmlformats.org/officeDocument/2006/relationships" ref="L2575" r:id="rId4651"/>
    <hyperlink xmlns:r="http://schemas.openxmlformats.org/officeDocument/2006/relationships" ref="N2575" r:id="rId4652"/>
    <hyperlink xmlns:r="http://schemas.openxmlformats.org/officeDocument/2006/relationships" ref="L2576" r:id="rId4653"/>
    <hyperlink xmlns:r="http://schemas.openxmlformats.org/officeDocument/2006/relationships" ref="N2576" r:id="rId4654"/>
    <hyperlink xmlns:r="http://schemas.openxmlformats.org/officeDocument/2006/relationships" ref="L2577" r:id="rId4655"/>
    <hyperlink xmlns:r="http://schemas.openxmlformats.org/officeDocument/2006/relationships" ref="N2577" r:id="rId4656"/>
    <hyperlink xmlns:r="http://schemas.openxmlformats.org/officeDocument/2006/relationships" ref="L2578" r:id="rId4657"/>
    <hyperlink xmlns:r="http://schemas.openxmlformats.org/officeDocument/2006/relationships" ref="N2578" r:id="rId4658"/>
    <hyperlink xmlns:r="http://schemas.openxmlformats.org/officeDocument/2006/relationships" ref="L2579" r:id="rId4659"/>
    <hyperlink xmlns:r="http://schemas.openxmlformats.org/officeDocument/2006/relationships" ref="N2579" r:id="rId4660"/>
    <hyperlink xmlns:r="http://schemas.openxmlformats.org/officeDocument/2006/relationships" ref="L2580" r:id="rId4661"/>
    <hyperlink xmlns:r="http://schemas.openxmlformats.org/officeDocument/2006/relationships" ref="N2580" r:id="rId4662"/>
    <hyperlink xmlns:r="http://schemas.openxmlformats.org/officeDocument/2006/relationships" ref="L2581" r:id="rId4663"/>
    <hyperlink xmlns:r="http://schemas.openxmlformats.org/officeDocument/2006/relationships" ref="N2581" r:id="rId4664"/>
    <hyperlink xmlns:r="http://schemas.openxmlformats.org/officeDocument/2006/relationships" ref="L2582" r:id="rId4665"/>
    <hyperlink xmlns:r="http://schemas.openxmlformats.org/officeDocument/2006/relationships" ref="N2582" r:id="rId4666"/>
    <hyperlink xmlns:r="http://schemas.openxmlformats.org/officeDocument/2006/relationships" ref="L2583" r:id="rId4667"/>
    <hyperlink xmlns:r="http://schemas.openxmlformats.org/officeDocument/2006/relationships" ref="N2583" r:id="rId4668"/>
    <hyperlink xmlns:r="http://schemas.openxmlformats.org/officeDocument/2006/relationships" ref="L2584" r:id="rId4669"/>
    <hyperlink xmlns:r="http://schemas.openxmlformats.org/officeDocument/2006/relationships" ref="N2584" r:id="rId4670"/>
    <hyperlink xmlns:r="http://schemas.openxmlformats.org/officeDocument/2006/relationships" ref="L2585" r:id="rId4671"/>
    <hyperlink xmlns:r="http://schemas.openxmlformats.org/officeDocument/2006/relationships" ref="N2585" r:id="rId4672"/>
    <hyperlink xmlns:r="http://schemas.openxmlformats.org/officeDocument/2006/relationships" ref="L2586" r:id="rId4673"/>
    <hyperlink xmlns:r="http://schemas.openxmlformats.org/officeDocument/2006/relationships" ref="N2586" r:id="rId4674"/>
    <hyperlink xmlns:r="http://schemas.openxmlformats.org/officeDocument/2006/relationships" ref="L2587" r:id="rId4675"/>
    <hyperlink xmlns:r="http://schemas.openxmlformats.org/officeDocument/2006/relationships" ref="N2587" r:id="rId4676"/>
    <hyperlink xmlns:r="http://schemas.openxmlformats.org/officeDocument/2006/relationships" ref="L2588" r:id="rId4677"/>
    <hyperlink xmlns:r="http://schemas.openxmlformats.org/officeDocument/2006/relationships" ref="N2588" r:id="rId4678"/>
    <hyperlink xmlns:r="http://schemas.openxmlformats.org/officeDocument/2006/relationships" ref="L2589" r:id="rId4679"/>
    <hyperlink xmlns:r="http://schemas.openxmlformats.org/officeDocument/2006/relationships" ref="N2589" r:id="rId4680"/>
    <hyperlink xmlns:r="http://schemas.openxmlformats.org/officeDocument/2006/relationships" ref="L2590" r:id="rId4681"/>
    <hyperlink xmlns:r="http://schemas.openxmlformats.org/officeDocument/2006/relationships" ref="N2590" r:id="rId4682"/>
    <hyperlink xmlns:r="http://schemas.openxmlformats.org/officeDocument/2006/relationships" ref="L2591" r:id="rId4683"/>
    <hyperlink xmlns:r="http://schemas.openxmlformats.org/officeDocument/2006/relationships" ref="N2591" r:id="rId4684"/>
    <hyperlink xmlns:r="http://schemas.openxmlformats.org/officeDocument/2006/relationships" ref="L2592" r:id="rId4685"/>
    <hyperlink xmlns:r="http://schemas.openxmlformats.org/officeDocument/2006/relationships" ref="N2592" r:id="rId4686"/>
    <hyperlink xmlns:r="http://schemas.openxmlformats.org/officeDocument/2006/relationships" ref="L2593" r:id="rId4687"/>
    <hyperlink xmlns:r="http://schemas.openxmlformats.org/officeDocument/2006/relationships" ref="N2593" r:id="rId4688"/>
    <hyperlink xmlns:r="http://schemas.openxmlformats.org/officeDocument/2006/relationships" ref="L2594" r:id="rId4689"/>
    <hyperlink xmlns:r="http://schemas.openxmlformats.org/officeDocument/2006/relationships" ref="N2594" r:id="rId4690"/>
    <hyperlink xmlns:r="http://schemas.openxmlformats.org/officeDocument/2006/relationships" ref="L2595" r:id="rId4691"/>
    <hyperlink xmlns:r="http://schemas.openxmlformats.org/officeDocument/2006/relationships" ref="N2595" r:id="rId4692"/>
    <hyperlink xmlns:r="http://schemas.openxmlformats.org/officeDocument/2006/relationships" ref="L2596" r:id="rId4693"/>
    <hyperlink xmlns:r="http://schemas.openxmlformats.org/officeDocument/2006/relationships" ref="N2596" r:id="rId4694"/>
    <hyperlink xmlns:r="http://schemas.openxmlformats.org/officeDocument/2006/relationships" ref="L2597" r:id="rId4695"/>
    <hyperlink xmlns:r="http://schemas.openxmlformats.org/officeDocument/2006/relationships" ref="N2597" r:id="rId4696"/>
    <hyperlink xmlns:r="http://schemas.openxmlformats.org/officeDocument/2006/relationships" ref="L2598" r:id="rId4697"/>
    <hyperlink xmlns:r="http://schemas.openxmlformats.org/officeDocument/2006/relationships" ref="N2598" r:id="rId4698"/>
    <hyperlink xmlns:r="http://schemas.openxmlformats.org/officeDocument/2006/relationships" ref="L2599" r:id="rId4699"/>
    <hyperlink xmlns:r="http://schemas.openxmlformats.org/officeDocument/2006/relationships" ref="N2599" r:id="rId4700"/>
    <hyperlink xmlns:r="http://schemas.openxmlformats.org/officeDocument/2006/relationships" ref="L2600" r:id="rId4701"/>
    <hyperlink xmlns:r="http://schemas.openxmlformats.org/officeDocument/2006/relationships" ref="N2600" r:id="rId4702"/>
    <hyperlink xmlns:r="http://schemas.openxmlformats.org/officeDocument/2006/relationships" ref="L2601" r:id="rId4703"/>
    <hyperlink xmlns:r="http://schemas.openxmlformats.org/officeDocument/2006/relationships" ref="N2601" r:id="rId4704"/>
    <hyperlink xmlns:r="http://schemas.openxmlformats.org/officeDocument/2006/relationships" ref="L2602" r:id="rId4705"/>
    <hyperlink xmlns:r="http://schemas.openxmlformats.org/officeDocument/2006/relationships" ref="N2602" r:id="rId4706"/>
    <hyperlink xmlns:r="http://schemas.openxmlformats.org/officeDocument/2006/relationships" ref="L2603" r:id="rId4707"/>
    <hyperlink xmlns:r="http://schemas.openxmlformats.org/officeDocument/2006/relationships" ref="N2603" r:id="rId4708"/>
    <hyperlink xmlns:r="http://schemas.openxmlformats.org/officeDocument/2006/relationships" ref="L2604" r:id="rId4709"/>
    <hyperlink xmlns:r="http://schemas.openxmlformats.org/officeDocument/2006/relationships" ref="N2604" r:id="rId4710"/>
    <hyperlink xmlns:r="http://schemas.openxmlformats.org/officeDocument/2006/relationships" ref="L2605" r:id="rId4711"/>
    <hyperlink xmlns:r="http://schemas.openxmlformats.org/officeDocument/2006/relationships" ref="N2605" r:id="rId4712"/>
    <hyperlink xmlns:r="http://schemas.openxmlformats.org/officeDocument/2006/relationships" ref="L2606" r:id="rId4713"/>
    <hyperlink xmlns:r="http://schemas.openxmlformats.org/officeDocument/2006/relationships" ref="N2606" r:id="rId4714"/>
    <hyperlink xmlns:r="http://schemas.openxmlformats.org/officeDocument/2006/relationships" ref="L2607" r:id="rId4715"/>
    <hyperlink xmlns:r="http://schemas.openxmlformats.org/officeDocument/2006/relationships" ref="N2607" r:id="rId4716"/>
    <hyperlink xmlns:r="http://schemas.openxmlformats.org/officeDocument/2006/relationships" ref="L2608" r:id="rId4717"/>
    <hyperlink xmlns:r="http://schemas.openxmlformats.org/officeDocument/2006/relationships" ref="N2608" r:id="rId4718"/>
    <hyperlink xmlns:r="http://schemas.openxmlformats.org/officeDocument/2006/relationships" ref="L2609" r:id="rId4719"/>
    <hyperlink xmlns:r="http://schemas.openxmlformats.org/officeDocument/2006/relationships" ref="N2609" r:id="rId4720"/>
    <hyperlink xmlns:r="http://schemas.openxmlformats.org/officeDocument/2006/relationships" ref="L2610" r:id="rId4721"/>
    <hyperlink xmlns:r="http://schemas.openxmlformats.org/officeDocument/2006/relationships" ref="N2610" r:id="rId4722"/>
    <hyperlink xmlns:r="http://schemas.openxmlformats.org/officeDocument/2006/relationships" ref="L2611" r:id="rId4723"/>
    <hyperlink xmlns:r="http://schemas.openxmlformats.org/officeDocument/2006/relationships" ref="N2611" r:id="rId4724"/>
    <hyperlink xmlns:r="http://schemas.openxmlformats.org/officeDocument/2006/relationships" ref="L2612" r:id="rId4725"/>
    <hyperlink xmlns:r="http://schemas.openxmlformats.org/officeDocument/2006/relationships" ref="N2612" r:id="rId4726"/>
    <hyperlink xmlns:r="http://schemas.openxmlformats.org/officeDocument/2006/relationships" ref="L2613" r:id="rId4727"/>
    <hyperlink xmlns:r="http://schemas.openxmlformats.org/officeDocument/2006/relationships" ref="N2613" r:id="rId4728"/>
    <hyperlink xmlns:r="http://schemas.openxmlformats.org/officeDocument/2006/relationships" ref="L2614" r:id="rId4729"/>
    <hyperlink xmlns:r="http://schemas.openxmlformats.org/officeDocument/2006/relationships" ref="N2614" r:id="rId4730"/>
    <hyperlink xmlns:r="http://schemas.openxmlformats.org/officeDocument/2006/relationships" ref="L2615" r:id="rId4731"/>
    <hyperlink xmlns:r="http://schemas.openxmlformats.org/officeDocument/2006/relationships" ref="N2615" r:id="rId4732"/>
    <hyperlink xmlns:r="http://schemas.openxmlformats.org/officeDocument/2006/relationships" ref="L2616" r:id="rId4733"/>
    <hyperlink xmlns:r="http://schemas.openxmlformats.org/officeDocument/2006/relationships" ref="N2616" r:id="rId4734"/>
    <hyperlink xmlns:r="http://schemas.openxmlformats.org/officeDocument/2006/relationships" ref="L2617" r:id="rId4735"/>
    <hyperlink xmlns:r="http://schemas.openxmlformats.org/officeDocument/2006/relationships" ref="N2617" r:id="rId4736"/>
    <hyperlink xmlns:r="http://schemas.openxmlformats.org/officeDocument/2006/relationships" ref="L2618" r:id="rId4737"/>
    <hyperlink xmlns:r="http://schemas.openxmlformats.org/officeDocument/2006/relationships" ref="N2618" r:id="rId4738"/>
    <hyperlink xmlns:r="http://schemas.openxmlformats.org/officeDocument/2006/relationships" ref="L2619" r:id="rId4739"/>
    <hyperlink xmlns:r="http://schemas.openxmlformats.org/officeDocument/2006/relationships" ref="N2619" r:id="rId4740"/>
    <hyperlink xmlns:r="http://schemas.openxmlformats.org/officeDocument/2006/relationships" ref="L2620" r:id="rId4741"/>
    <hyperlink xmlns:r="http://schemas.openxmlformats.org/officeDocument/2006/relationships" ref="N2620" r:id="rId4742"/>
    <hyperlink xmlns:r="http://schemas.openxmlformats.org/officeDocument/2006/relationships" ref="L2621" r:id="rId4743"/>
    <hyperlink xmlns:r="http://schemas.openxmlformats.org/officeDocument/2006/relationships" ref="N2621" r:id="rId4744"/>
    <hyperlink xmlns:r="http://schemas.openxmlformats.org/officeDocument/2006/relationships" ref="L2622" r:id="rId4745"/>
    <hyperlink xmlns:r="http://schemas.openxmlformats.org/officeDocument/2006/relationships" ref="N2622" r:id="rId4746"/>
    <hyperlink xmlns:r="http://schemas.openxmlformats.org/officeDocument/2006/relationships" ref="L2623" r:id="rId4747"/>
    <hyperlink xmlns:r="http://schemas.openxmlformats.org/officeDocument/2006/relationships" ref="N2623" r:id="rId4748"/>
    <hyperlink xmlns:r="http://schemas.openxmlformats.org/officeDocument/2006/relationships" ref="L2624" r:id="rId4749"/>
    <hyperlink xmlns:r="http://schemas.openxmlformats.org/officeDocument/2006/relationships" ref="N2624" r:id="rId4750"/>
    <hyperlink xmlns:r="http://schemas.openxmlformats.org/officeDocument/2006/relationships" ref="L2625" r:id="rId4751"/>
    <hyperlink xmlns:r="http://schemas.openxmlformats.org/officeDocument/2006/relationships" ref="N2625" r:id="rId4752"/>
    <hyperlink xmlns:r="http://schemas.openxmlformats.org/officeDocument/2006/relationships" ref="L2626" r:id="rId4753"/>
    <hyperlink xmlns:r="http://schemas.openxmlformats.org/officeDocument/2006/relationships" ref="N2626" r:id="rId4754"/>
    <hyperlink xmlns:r="http://schemas.openxmlformats.org/officeDocument/2006/relationships" ref="L2627" r:id="rId4755"/>
    <hyperlink xmlns:r="http://schemas.openxmlformats.org/officeDocument/2006/relationships" ref="N2627" r:id="rId4756"/>
    <hyperlink xmlns:r="http://schemas.openxmlformats.org/officeDocument/2006/relationships" ref="L2628" r:id="rId4757"/>
    <hyperlink xmlns:r="http://schemas.openxmlformats.org/officeDocument/2006/relationships" ref="N2628" r:id="rId4758"/>
    <hyperlink xmlns:r="http://schemas.openxmlformats.org/officeDocument/2006/relationships" ref="L2629" r:id="rId4759"/>
    <hyperlink xmlns:r="http://schemas.openxmlformats.org/officeDocument/2006/relationships" ref="N2629" r:id="rId4760"/>
    <hyperlink xmlns:r="http://schemas.openxmlformats.org/officeDocument/2006/relationships" ref="L2630" r:id="rId4761"/>
    <hyperlink xmlns:r="http://schemas.openxmlformats.org/officeDocument/2006/relationships" ref="N2630" r:id="rId4762"/>
    <hyperlink xmlns:r="http://schemas.openxmlformats.org/officeDocument/2006/relationships" ref="L2631" r:id="rId4763"/>
    <hyperlink xmlns:r="http://schemas.openxmlformats.org/officeDocument/2006/relationships" ref="N2631" r:id="rId4764"/>
    <hyperlink xmlns:r="http://schemas.openxmlformats.org/officeDocument/2006/relationships" ref="L2632" r:id="rId4765"/>
    <hyperlink xmlns:r="http://schemas.openxmlformats.org/officeDocument/2006/relationships" ref="N2632" r:id="rId4766"/>
    <hyperlink xmlns:r="http://schemas.openxmlformats.org/officeDocument/2006/relationships" ref="L2633" r:id="rId4767"/>
    <hyperlink xmlns:r="http://schemas.openxmlformats.org/officeDocument/2006/relationships" ref="N2633" r:id="rId4768"/>
    <hyperlink xmlns:r="http://schemas.openxmlformats.org/officeDocument/2006/relationships" ref="L2634" r:id="rId4769"/>
    <hyperlink xmlns:r="http://schemas.openxmlformats.org/officeDocument/2006/relationships" ref="N2634" r:id="rId4770"/>
    <hyperlink xmlns:r="http://schemas.openxmlformats.org/officeDocument/2006/relationships" ref="L2635" r:id="rId4771"/>
    <hyperlink xmlns:r="http://schemas.openxmlformats.org/officeDocument/2006/relationships" ref="N2635" r:id="rId4772"/>
    <hyperlink xmlns:r="http://schemas.openxmlformats.org/officeDocument/2006/relationships" ref="L2636" r:id="rId4773"/>
    <hyperlink xmlns:r="http://schemas.openxmlformats.org/officeDocument/2006/relationships" ref="N2636" r:id="rId4774"/>
    <hyperlink xmlns:r="http://schemas.openxmlformats.org/officeDocument/2006/relationships" ref="L2637" r:id="rId4775"/>
    <hyperlink xmlns:r="http://schemas.openxmlformats.org/officeDocument/2006/relationships" ref="N2637" r:id="rId4776"/>
    <hyperlink xmlns:r="http://schemas.openxmlformats.org/officeDocument/2006/relationships" ref="L2638" r:id="rId4777"/>
    <hyperlink xmlns:r="http://schemas.openxmlformats.org/officeDocument/2006/relationships" ref="N2638" r:id="rId4778"/>
    <hyperlink xmlns:r="http://schemas.openxmlformats.org/officeDocument/2006/relationships" ref="L2639" r:id="rId4779"/>
    <hyperlink xmlns:r="http://schemas.openxmlformats.org/officeDocument/2006/relationships" ref="N2639" r:id="rId4780"/>
    <hyperlink xmlns:r="http://schemas.openxmlformats.org/officeDocument/2006/relationships" ref="L2640" r:id="rId4781"/>
    <hyperlink xmlns:r="http://schemas.openxmlformats.org/officeDocument/2006/relationships" ref="N2640" r:id="rId4782"/>
    <hyperlink xmlns:r="http://schemas.openxmlformats.org/officeDocument/2006/relationships" ref="L2641" r:id="rId4783"/>
    <hyperlink xmlns:r="http://schemas.openxmlformats.org/officeDocument/2006/relationships" ref="N2641" r:id="rId4784"/>
    <hyperlink xmlns:r="http://schemas.openxmlformats.org/officeDocument/2006/relationships" ref="L2642" r:id="rId4785"/>
    <hyperlink xmlns:r="http://schemas.openxmlformats.org/officeDocument/2006/relationships" ref="N2642" r:id="rId4786"/>
    <hyperlink xmlns:r="http://schemas.openxmlformats.org/officeDocument/2006/relationships" ref="L2643" r:id="rId4787"/>
    <hyperlink xmlns:r="http://schemas.openxmlformats.org/officeDocument/2006/relationships" ref="N2643" r:id="rId4788"/>
    <hyperlink xmlns:r="http://schemas.openxmlformats.org/officeDocument/2006/relationships" ref="L2644" r:id="rId4789"/>
    <hyperlink xmlns:r="http://schemas.openxmlformats.org/officeDocument/2006/relationships" ref="N2644" r:id="rId4790"/>
    <hyperlink xmlns:r="http://schemas.openxmlformats.org/officeDocument/2006/relationships" ref="L2645" r:id="rId4791"/>
    <hyperlink xmlns:r="http://schemas.openxmlformats.org/officeDocument/2006/relationships" ref="N2645" r:id="rId4792"/>
    <hyperlink xmlns:r="http://schemas.openxmlformats.org/officeDocument/2006/relationships" ref="L2646" r:id="rId4793"/>
    <hyperlink xmlns:r="http://schemas.openxmlformats.org/officeDocument/2006/relationships" ref="N2646" r:id="rId4794"/>
    <hyperlink xmlns:r="http://schemas.openxmlformats.org/officeDocument/2006/relationships" ref="L2647" r:id="rId4795"/>
    <hyperlink xmlns:r="http://schemas.openxmlformats.org/officeDocument/2006/relationships" ref="N2647" r:id="rId4796"/>
    <hyperlink xmlns:r="http://schemas.openxmlformats.org/officeDocument/2006/relationships" ref="L2648" r:id="rId4797"/>
    <hyperlink xmlns:r="http://schemas.openxmlformats.org/officeDocument/2006/relationships" ref="N2648" r:id="rId4798"/>
    <hyperlink xmlns:r="http://schemas.openxmlformats.org/officeDocument/2006/relationships" ref="L2649" r:id="rId4799"/>
    <hyperlink xmlns:r="http://schemas.openxmlformats.org/officeDocument/2006/relationships" ref="N2649" r:id="rId4800"/>
    <hyperlink xmlns:r="http://schemas.openxmlformats.org/officeDocument/2006/relationships" ref="L2650" r:id="rId4801"/>
    <hyperlink xmlns:r="http://schemas.openxmlformats.org/officeDocument/2006/relationships" ref="N2650" r:id="rId4802"/>
    <hyperlink xmlns:r="http://schemas.openxmlformats.org/officeDocument/2006/relationships" ref="L2651" r:id="rId4803"/>
    <hyperlink xmlns:r="http://schemas.openxmlformats.org/officeDocument/2006/relationships" ref="N2651" r:id="rId4804"/>
    <hyperlink xmlns:r="http://schemas.openxmlformats.org/officeDocument/2006/relationships" ref="L2652" r:id="rId4805"/>
    <hyperlink xmlns:r="http://schemas.openxmlformats.org/officeDocument/2006/relationships" ref="N2652" r:id="rId4806"/>
    <hyperlink xmlns:r="http://schemas.openxmlformats.org/officeDocument/2006/relationships" ref="L2653" r:id="rId4807"/>
    <hyperlink xmlns:r="http://schemas.openxmlformats.org/officeDocument/2006/relationships" ref="N2653" r:id="rId4808"/>
    <hyperlink xmlns:r="http://schemas.openxmlformats.org/officeDocument/2006/relationships" ref="L2654" r:id="rId4809"/>
    <hyperlink xmlns:r="http://schemas.openxmlformats.org/officeDocument/2006/relationships" ref="N2654" r:id="rId4810"/>
    <hyperlink xmlns:r="http://schemas.openxmlformats.org/officeDocument/2006/relationships" ref="L2655" r:id="rId4811"/>
    <hyperlink xmlns:r="http://schemas.openxmlformats.org/officeDocument/2006/relationships" ref="N2655" r:id="rId4812"/>
    <hyperlink xmlns:r="http://schemas.openxmlformats.org/officeDocument/2006/relationships" ref="L2656" r:id="rId4813"/>
    <hyperlink xmlns:r="http://schemas.openxmlformats.org/officeDocument/2006/relationships" ref="N2656" r:id="rId4814"/>
    <hyperlink xmlns:r="http://schemas.openxmlformats.org/officeDocument/2006/relationships" ref="L2657" r:id="rId4815"/>
    <hyperlink xmlns:r="http://schemas.openxmlformats.org/officeDocument/2006/relationships" ref="N2657" r:id="rId4816"/>
    <hyperlink xmlns:r="http://schemas.openxmlformats.org/officeDocument/2006/relationships" ref="L2658" r:id="rId4817"/>
    <hyperlink xmlns:r="http://schemas.openxmlformats.org/officeDocument/2006/relationships" ref="N2658" r:id="rId4818"/>
    <hyperlink xmlns:r="http://schemas.openxmlformats.org/officeDocument/2006/relationships" ref="L2659" r:id="rId4819"/>
    <hyperlink xmlns:r="http://schemas.openxmlformats.org/officeDocument/2006/relationships" ref="N2659" r:id="rId4820"/>
    <hyperlink xmlns:r="http://schemas.openxmlformats.org/officeDocument/2006/relationships" ref="L2660" r:id="rId4821"/>
    <hyperlink xmlns:r="http://schemas.openxmlformats.org/officeDocument/2006/relationships" ref="N2660" r:id="rId4822"/>
    <hyperlink xmlns:r="http://schemas.openxmlformats.org/officeDocument/2006/relationships" ref="L2661" r:id="rId4823"/>
    <hyperlink xmlns:r="http://schemas.openxmlformats.org/officeDocument/2006/relationships" ref="N2661" r:id="rId4824"/>
    <hyperlink xmlns:r="http://schemas.openxmlformats.org/officeDocument/2006/relationships" ref="L2662" r:id="rId4825"/>
    <hyperlink xmlns:r="http://schemas.openxmlformats.org/officeDocument/2006/relationships" ref="N2662" r:id="rId4826"/>
    <hyperlink xmlns:r="http://schemas.openxmlformats.org/officeDocument/2006/relationships" ref="L2663" r:id="rId4827"/>
    <hyperlink xmlns:r="http://schemas.openxmlformats.org/officeDocument/2006/relationships" ref="N2663" r:id="rId4828"/>
    <hyperlink xmlns:r="http://schemas.openxmlformats.org/officeDocument/2006/relationships" ref="L2664" r:id="rId4829"/>
    <hyperlink xmlns:r="http://schemas.openxmlformats.org/officeDocument/2006/relationships" ref="N2664" r:id="rId4830"/>
    <hyperlink xmlns:r="http://schemas.openxmlformats.org/officeDocument/2006/relationships" ref="L2665" r:id="rId4831"/>
    <hyperlink xmlns:r="http://schemas.openxmlformats.org/officeDocument/2006/relationships" ref="N2665" r:id="rId4832"/>
    <hyperlink xmlns:r="http://schemas.openxmlformats.org/officeDocument/2006/relationships" ref="L2666" r:id="rId4833"/>
    <hyperlink xmlns:r="http://schemas.openxmlformats.org/officeDocument/2006/relationships" ref="N2666" r:id="rId4834"/>
    <hyperlink xmlns:r="http://schemas.openxmlformats.org/officeDocument/2006/relationships" ref="L2667" r:id="rId4835"/>
    <hyperlink xmlns:r="http://schemas.openxmlformats.org/officeDocument/2006/relationships" ref="N2667" r:id="rId4836"/>
    <hyperlink xmlns:r="http://schemas.openxmlformats.org/officeDocument/2006/relationships" ref="L2668" r:id="rId4837"/>
    <hyperlink xmlns:r="http://schemas.openxmlformats.org/officeDocument/2006/relationships" ref="N2668" r:id="rId4838"/>
    <hyperlink xmlns:r="http://schemas.openxmlformats.org/officeDocument/2006/relationships" ref="L2669" r:id="rId4839"/>
    <hyperlink xmlns:r="http://schemas.openxmlformats.org/officeDocument/2006/relationships" ref="N2669" r:id="rId4840"/>
    <hyperlink xmlns:r="http://schemas.openxmlformats.org/officeDocument/2006/relationships" ref="L2670" r:id="rId4841"/>
    <hyperlink xmlns:r="http://schemas.openxmlformats.org/officeDocument/2006/relationships" ref="N2670" r:id="rId4842"/>
    <hyperlink xmlns:r="http://schemas.openxmlformats.org/officeDocument/2006/relationships" ref="L2671" r:id="rId4843"/>
    <hyperlink xmlns:r="http://schemas.openxmlformats.org/officeDocument/2006/relationships" ref="N2671" r:id="rId4844"/>
    <hyperlink xmlns:r="http://schemas.openxmlformats.org/officeDocument/2006/relationships" ref="L2672" r:id="rId4845"/>
    <hyperlink xmlns:r="http://schemas.openxmlformats.org/officeDocument/2006/relationships" ref="N2672" r:id="rId4846"/>
    <hyperlink xmlns:r="http://schemas.openxmlformats.org/officeDocument/2006/relationships" ref="L2673" r:id="rId4847"/>
    <hyperlink xmlns:r="http://schemas.openxmlformats.org/officeDocument/2006/relationships" ref="N2673" r:id="rId4848"/>
    <hyperlink xmlns:r="http://schemas.openxmlformats.org/officeDocument/2006/relationships" ref="L2674" r:id="rId4849"/>
    <hyperlink xmlns:r="http://schemas.openxmlformats.org/officeDocument/2006/relationships" ref="N2674" r:id="rId4850"/>
    <hyperlink xmlns:r="http://schemas.openxmlformats.org/officeDocument/2006/relationships" ref="L2675" r:id="rId4851"/>
    <hyperlink xmlns:r="http://schemas.openxmlformats.org/officeDocument/2006/relationships" ref="N2675" r:id="rId4852"/>
    <hyperlink xmlns:r="http://schemas.openxmlformats.org/officeDocument/2006/relationships" ref="L2676" r:id="rId4853"/>
    <hyperlink xmlns:r="http://schemas.openxmlformats.org/officeDocument/2006/relationships" ref="N2676" r:id="rId4854"/>
    <hyperlink xmlns:r="http://schemas.openxmlformats.org/officeDocument/2006/relationships" ref="L2677" r:id="rId4855"/>
    <hyperlink xmlns:r="http://schemas.openxmlformats.org/officeDocument/2006/relationships" ref="N2677" r:id="rId4856"/>
    <hyperlink xmlns:r="http://schemas.openxmlformats.org/officeDocument/2006/relationships" ref="L2678" r:id="rId4857"/>
    <hyperlink xmlns:r="http://schemas.openxmlformats.org/officeDocument/2006/relationships" ref="N2678" r:id="rId4858"/>
    <hyperlink xmlns:r="http://schemas.openxmlformats.org/officeDocument/2006/relationships" ref="L2679" r:id="rId4859"/>
    <hyperlink xmlns:r="http://schemas.openxmlformats.org/officeDocument/2006/relationships" ref="N2679" r:id="rId4860"/>
    <hyperlink xmlns:r="http://schemas.openxmlformats.org/officeDocument/2006/relationships" ref="L2680" r:id="rId4861"/>
    <hyperlink xmlns:r="http://schemas.openxmlformats.org/officeDocument/2006/relationships" ref="L2681" r:id="rId4862"/>
    <hyperlink xmlns:r="http://schemas.openxmlformats.org/officeDocument/2006/relationships" ref="L2682" r:id="rId4863"/>
    <hyperlink xmlns:r="http://schemas.openxmlformats.org/officeDocument/2006/relationships" ref="L2683" r:id="rId4864"/>
    <hyperlink xmlns:r="http://schemas.openxmlformats.org/officeDocument/2006/relationships" ref="L2684" r:id="rId4865"/>
    <hyperlink xmlns:r="http://schemas.openxmlformats.org/officeDocument/2006/relationships" ref="L2685" r:id="rId4866"/>
    <hyperlink xmlns:r="http://schemas.openxmlformats.org/officeDocument/2006/relationships" ref="L2686" r:id="rId4867"/>
    <hyperlink xmlns:r="http://schemas.openxmlformats.org/officeDocument/2006/relationships" ref="L2687" r:id="rId4868"/>
    <hyperlink xmlns:r="http://schemas.openxmlformats.org/officeDocument/2006/relationships" ref="L2688" r:id="rId4869"/>
    <hyperlink xmlns:r="http://schemas.openxmlformats.org/officeDocument/2006/relationships" ref="L2689" r:id="rId4870"/>
    <hyperlink xmlns:r="http://schemas.openxmlformats.org/officeDocument/2006/relationships" ref="L2690" r:id="rId4871"/>
    <hyperlink xmlns:r="http://schemas.openxmlformats.org/officeDocument/2006/relationships" ref="L2691" r:id="rId4872"/>
    <hyperlink xmlns:r="http://schemas.openxmlformats.org/officeDocument/2006/relationships" ref="L2692" r:id="rId4873"/>
    <hyperlink xmlns:r="http://schemas.openxmlformats.org/officeDocument/2006/relationships" ref="L2693" r:id="rId4874"/>
    <hyperlink xmlns:r="http://schemas.openxmlformats.org/officeDocument/2006/relationships" ref="L2694" r:id="rId4875"/>
    <hyperlink xmlns:r="http://schemas.openxmlformats.org/officeDocument/2006/relationships" ref="L2695" r:id="rId4876"/>
    <hyperlink xmlns:r="http://schemas.openxmlformats.org/officeDocument/2006/relationships" ref="L2696" r:id="rId4877"/>
    <hyperlink xmlns:r="http://schemas.openxmlformats.org/officeDocument/2006/relationships" ref="L2697" r:id="rId4878"/>
    <hyperlink xmlns:r="http://schemas.openxmlformats.org/officeDocument/2006/relationships" ref="L2698" r:id="rId4879"/>
    <hyperlink xmlns:r="http://schemas.openxmlformats.org/officeDocument/2006/relationships" ref="L2699" r:id="rId4880"/>
    <hyperlink xmlns:r="http://schemas.openxmlformats.org/officeDocument/2006/relationships" ref="L2700" r:id="rId4881"/>
    <hyperlink xmlns:r="http://schemas.openxmlformats.org/officeDocument/2006/relationships" ref="L2701" r:id="rId4882"/>
    <hyperlink xmlns:r="http://schemas.openxmlformats.org/officeDocument/2006/relationships" ref="L2702" r:id="rId4883"/>
    <hyperlink xmlns:r="http://schemas.openxmlformats.org/officeDocument/2006/relationships" ref="L2703" r:id="rId4884"/>
    <hyperlink xmlns:r="http://schemas.openxmlformats.org/officeDocument/2006/relationships" ref="L2704" r:id="rId4885"/>
    <hyperlink xmlns:r="http://schemas.openxmlformats.org/officeDocument/2006/relationships" ref="L2705" r:id="rId4886"/>
    <hyperlink xmlns:r="http://schemas.openxmlformats.org/officeDocument/2006/relationships" ref="L2706" r:id="rId4887"/>
    <hyperlink xmlns:r="http://schemas.openxmlformats.org/officeDocument/2006/relationships" ref="L2707" r:id="rId4888"/>
    <hyperlink xmlns:r="http://schemas.openxmlformats.org/officeDocument/2006/relationships" ref="L2708" r:id="rId4889"/>
    <hyperlink xmlns:r="http://schemas.openxmlformats.org/officeDocument/2006/relationships" ref="L2709" r:id="rId4890"/>
    <hyperlink xmlns:r="http://schemas.openxmlformats.org/officeDocument/2006/relationships" ref="L2710" r:id="rId4891"/>
    <hyperlink xmlns:r="http://schemas.openxmlformats.org/officeDocument/2006/relationships" ref="L2711" r:id="rId4892"/>
    <hyperlink xmlns:r="http://schemas.openxmlformats.org/officeDocument/2006/relationships" ref="L2712" r:id="rId4893"/>
    <hyperlink xmlns:r="http://schemas.openxmlformats.org/officeDocument/2006/relationships" ref="L2713" r:id="rId4894"/>
    <hyperlink xmlns:r="http://schemas.openxmlformats.org/officeDocument/2006/relationships" ref="L2714" r:id="rId4895"/>
    <hyperlink xmlns:r="http://schemas.openxmlformats.org/officeDocument/2006/relationships" ref="L2715" r:id="rId4896"/>
    <hyperlink xmlns:r="http://schemas.openxmlformats.org/officeDocument/2006/relationships" ref="L2716" r:id="rId4897"/>
    <hyperlink xmlns:r="http://schemas.openxmlformats.org/officeDocument/2006/relationships" ref="L2717" r:id="rId4898"/>
    <hyperlink xmlns:r="http://schemas.openxmlformats.org/officeDocument/2006/relationships" ref="L2718" r:id="rId4899"/>
    <hyperlink xmlns:r="http://schemas.openxmlformats.org/officeDocument/2006/relationships" ref="L2719" r:id="rId4900"/>
    <hyperlink xmlns:r="http://schemas.openxmlformats.org/officeDocument/2006/relationships" ref="N2719" r:id="rId4901"/>
    <hyperlink xmlns:r="http://schemas.openxmlformats.org/officeDocument/2006/relationships" ref="L2720" r:id="rId4902"/>
    <hyperlink xmlns:r="http://schemas.openxmlformats.org/officeDocument/2006/relationships" ref="N2720" r:id="rId4903"/>
    <hyperlink xmlns:r="http://schemas.openxmlformats.org/officeDocument/2006/relationships" ref="L2721" r:id="rId4904"/>
    <hyperlink xmlns:r="http://schemas.openxmlformats.org/officeDocument/2006/relationships" ref="N2721" r:id="rId4905"/>
    <hyperlink xmlns:r="http://schemas.openxmlformats.org/officeDocument/2006/relationships" ref="L2722" r:id="rId4906"/>
    <hyperlink xmlns:r="http://schemas.openxmlformats.org/officeDocument/2006/relationships" ref="N2722" r:id="rId4907"/>
    <hyperlink xmlns:r="http://schemas.openxmlformats.org/officeDocument/2006/relationships" ref="L2723" r:id="rId4908"/>
    <hyperlink xmlns:r="http://schemas.openxmlformats.org/officeDocument/2006/relationships" ref="N2723" r:id="rId4909"/>
    <hyperlink xmlns:r="http://schemas.openxmlformats.org/officeDocument/2006/relationships" ref="L2724" r:id="rId4910"/>
    <hyperlink xmlns:r="http://schemas.openxmlformats.org/officeDocument/2006/relationships" ref="N2724" r:id="rId4911"/>
    <hyperlink xmlns:r="http://schemas.openxmlformats.org/officeDocument/2006/relationships" ref="L2725" r:id="rId4912"/>
    <hyperlink xmlns:r="http://schemas.openxmlformats.org/officeDocument/2006/relationships" ref="N2725" r:id="rId4913"/>
    <hyperlink xmlns:r="http://schemas.openxmlformats.org/officeDocument/2006/relationships" ref="L2726" r:id="rId4914"/>
    <hyperlink xmlns:r="http://schemas.openxmlformats.org/officeDocument/2006/relationships" ref="N2726" r:id="rId4915"/>
    <hyperlink xmlns:r="http://schemas.openxmlformats.org/officeDocument/2006/relationships" ref="L2727" r:id="rId4916"/>
    <hyperlink xmlns:r="http://schemas.openxmlformats.org/officeDocument/2006/relationships" ref="N2727" r:id="rId4917"/>
    <hyperlink xmlns:r="http://schemas.openxmlformats.org/officeDocument/2006/relationships" ref="L2728" r:id="rId4918"/>
    <hyperlink xmlns:r="http://schemas.openxmlformats.org/officeDocument/2006/relationships" ref="N2728" r:id="rId4919"/>
    <hyperlink xmlns:r="http://schemas.openxmlformats.org/officeDocument/2006/relationships" ref="L2729" r:id="rId4920"/>
    <hyperlink xmlns:r="http://schemas.openxmlformats.org/officeDocument/2006/relationships" ref="N2729" r:id="rId4921"/>
    <hyperlink xmlns:r="http://schemas.openxmlformats.org/officeDocument/2006/relationships" ref="L2730" r:id="rId4922"/>
    <hyperlink xmlns:r="http://schemas.openxmlformats.org/officeDocument/2006/relationships" ref="N2730" r:id="rId4923"/>
    <hyperlink xmlns:r="http://schemas.openxmlformats.org/officeDocument/2006/relationships" ref="L2731" r:id="rId4924"/>
    <hyperlink xmlns:r="http://schemas.openxmlformats.org/officeDocument/2006/relationships" ref="N2731" r:id="rId4925"/>
    <hyperlink xmlns:r="http://schemas.openxmlformats.org/officeDocument/2006/relationships" ref="L2732" r:id="rId4926"/>
    <hyperlink xmlns:r="http://schemas.openxmlformats.org/officeDocument/2006/relationships" ref="N2732" r:id="rId4927"/>
    <hyperlink xmlns:r="http://schemas.openxmlformats.org/officeDocument/2006/relationships" ref="L2733" r:id="rId4928"/>
    <hyperlink xmlns:r="http://schemas.openxmlformats.org/officeDocument/2006/relationships" ref="N2733" r:id="rId4929"/>
    <hyperlink xmlns:r="http://schemas.openxmlformats.org/officeDocument/2006/relationships" ref="L2734" r:id="rId4930"/>
    <hyperlink xmlns:r="http://schemas.openxmlformats.org/officeDocument/2006/relationships" ref="N2734" r:id="rId4931"/>
    <hyperlink xmlns:r="http://schemas.openxmlformats.org/officeDocument/2006/relationships" ref="L2735" r:id="rId4932"/>
    <hyperlink xmlns:r="http://schemas.openxmlformats.org/officeDocument/2006/relationships" ref="N2735" r:id="rId4933"/>
    <hyperlink xmlns:r="http://schemas.openxmlformats.org/officeDocument/2006/relationships" ref="L2736" r:id="rId4934"/>
    <hyperlink xmlns:r="http://schemas.openxmlformats.org/officeDocument/2006/relationships" ref="N2736" r:id="rId4935"/>
    <hyperlink xmlns:r="http://schemas.openxmlformats.org/officeDocument/2006/relationships" ref="L2737" r:id="rId4936"/>
    <hyperlink xmlns:r="http://schemas.openxmlformats.org/officeDocument/2006/relationships" ref="N2737" r:id="rId4937"/>
    <hyperlink xmlns:r="http://schemas.openxmlformats.org/officeDocument/2006/relationships" ref="L2738" r:id="rId4938"/>
    <hyperlink xmlns:r="http://schemas.openxmlformats.org/officeDocument/2006/relationships" ref="N2738" r:id="rId4939"/>
    <hyperlink xmlns:r="http://schemas.openxmlformats.org/officeDocument/2006/relationships" ref="L2739" r:id="rId4940"/>
    <hyperlink xmlns:r="http://schemas.openxmlformats.org/officeDocument/2006/relationships" ref="N2739" r:id="rId4941"/>
    <hyperlink xmlns:r="http://schemas.openxmlformats.org/officeDocument/2006/relationships" ref="L2740" r:id="rId4942"/>
    <hyperlink xmlns:r="http://schemas.openxmlformats.org/officeDocument/2006/relationships" ref="N2740" r:id="rId4943"/>
    <hyperlink xmlns:r="http://schemas.openxmlformats.org/officeDocument/2006/relationships" ref="L2741" r:id="rId4944"/>
    <hyperlink xmlns:r="http://schemas.openxmlformats.org/officeDocument/2006/relationships" ref="N2741" r:id="rId4945"/>
    <hyperlink xmlns:r="http://schemas.openxmlformats.org/officeDocument/2006/relationships" ref="L2742" r:id="rId4946"/>
    <hyperlink xmlns:r="http://schemas.openxmlformats.org/officeDocument/2006/relationships" ref="N2742" r:id="rId4947"/>
    <hyperlink xmlns:r="http://schemas.openxmlformats.org/officeDocument/2006/relationships" ref="L2743" r:id="rId4948"/>
    <hyperlink xmlns:r="http://schemas.openxmlformats.org/officeDocument/2006/relationships" ref="N2743" r:id="rId4949"/>
    <hyperlink xmlns:r="http://schemas.openxmlformats.org/officeDocument/2006/relationships" ref="L2744" r:id="rId4950"/>
    <hyperlink xmlns:r="http://schemas.openxmlformats.org/officeDocument/2006/relationships" ref="N2744" r:id="rId4951"/>
    <hyperlink xmlns:r="http://schemas.openxmlformats.org/officeDocument/2006/relationships" ref="L2745" r:id="rId4952"/>
    <hyperlink xmlns:r="http://schemas.openxmlformats.org/officeDocument/2006/relationships" ref="N2745" r:id="rId4953"/>
    <hyperlink xmlns:r="http://schemas.openxmlformats.org/officeDocument/2006/relationships" ref="L2746" r:id="rId4954"/>
    <hyperlink xmlns:r="http://schemas.openxmlformats.org/officeDocument/2006/relationships" ref="N2746" r:id="rId4955"/>
    <hyperlink xmlns:r="http://schemas.openxmlformats.org/officeDocument/2006/relationships" ref="L2747" r:id="rId4956"/>
    <hyperlink xmlns:r="http://schemas.openxmlformats.org/officeDocument/2006/relationships" ref="N2747" r:id="rId4957"/>
    <hyperlink xmlns:r="http://schemas.openxmlformats.org/officeDocument/2006/relationships" ref="L2748" r:id="rId4958"/>
    <hyperlink xmlns:r="http://schemas.openxmlformats.org/officeDocument/2006/relationships" ref="N2748" r:id="rId4959"/>
    <hyperlink xmlns:r="http://schemas.openxmlformats.org/officeDocument/2006/relationships" ref="L2749" r:id="rId4960"/>
    <hyperlink xmlns:r="http://schemas.openxmlformats.org/officeDocument/2006/relationships" ref="N2749" r:id="rId4961"/>
    <hyperlink xmlns:r="http://schemas.openxmlformats.org/officeDocument/2006/relationships" ref="L2750" r:id="rId4962"/>
    <hyperlink xmlns:r="http://schemas.openxmlformats.org/officeDocument/2006/relationships" ref="N2750" r:id="rId4963"/>
    <hyperlink xmlns:r="http://schemas.openxmlformats.org/officeDocument/2006/relationships" ref="L2751" r:id="rId4964"/>
    <hyperlink xmlns:r="http://schemas.openxmlformats.org/officeDocument/2006/relationships" ref="N2751" r:id="rId4965"/>
    <hyperlink xmlns:r="http://schemas.openxmlformats.org/officeDocument/2006/relationships" ref="L2752" r:id="rId4966"/>
    <hyperlink xmlns:r="http://schemas.openxmlformats.org/officeDocument/2006/relationships" ref="N2752" r:id="rId4967"/>
    <hyperlink xmlns:r="http://schemas.openxmlformats.org/officeDocument/2006/relationships" ref="L2753" r:id="rId4968"/>
    <hyperlink xmlns:r="http://schemas.openxmlformats.org/officeDocument/2006/relationships" ref="N2753" r:id="rId4969"/>
    <hyperlink xmlns:r="http://schemas.openxmlformats.org/officeDocument/2006/relationships" ref="L2754" r:id="rId4970"/>
    <hyperlink xmlns:r="http://schemas.openxmlformats.org/officeDocument/2006/relationships" ref="N2754" r:id="rId4971"/>
    <hyperlink xmlns:r="http://schemas.openxmlformats.org/officeDocument/2006/relationships" ref="L2755" r:id="rId4972"/>
    <hyperlink xmlns:r="http://schemas.openxmlformats.org/officeDocument/2006/relationships" ref="N2755" r:id="rId4973"/>
    <hyperlink xmlns:r="http://schemas.openxmlformats.org/officeDocument/2006/relationships" ref="L2756" r:id="rId4974"/>
    <hyperlink xmlns:r="http://schemas.openxmlformats.org/officeDocument/2006/relationships" ref="N2756" r:id="rId4975"/>
    <hyperlink xmlns:r="http://schemas.openxmlformats.org/officeDocument/2006/relationships" ref="L2757" r:id="rId4976"/>
    <hyperlink xmlns:r="http://schemas.openxmlformats.org/officeDocument/2006/relationships" ref="N2757" r:id="rId4977"/>
    <hyperlink xmlns:r="http://schemas.openxmlformats.org/officeDocument/2006/relationships" ref="L2758" r:id="rId4978"/>
    <hyperlink xmlns:r="http://schemas.openxmlformats.org/officeDocument/2006/relationships" ref="N2758" r:id="rId4979"/>
    <hyperlink xmlns:r="http://schemas.openxmlformats.org/officeDocument/2006/relationships" ref="L2759" r:id="rId4980"/>
    <hyperlink xmlns:r="http://schemas.openxmlformats.org/officeDocument/2006/relationships" ref="N2759" r:id="rId4981"/>
    <hyperlink xmlns:r="http://schemas.openxmlformats.org/officeDocument/2006/relationships" ref="L2760" r:id="rId4982"/>
    <hyperlink xmlns:r="http://schemas.openxmlformats.org/officeDocument/2006/relationships" ref="N2760" r:id="rId4983"/>
    <hyperlink xmlns:r="http://schemas.openxmlformats.org/officeDocument/2006/relationships" ref="L2761" r:id="rId4984"/>
    <hyperlink xmlns:r="http://schemas.openxmlformats.org/officeDocument/2006/relationships" ref="N2761" r:id="rId4985"/>
    <hyperlink xmlns:r="http://schemas.openxmlformats.org/officeDocument/2006/relationships" ref="L2762" r:id="rId4986"/>
    <hyperlink xmlns:r="http://schemas.openxmlformats.org/officeDocument/2006/relationships" ref="N2762" r:id="rId4987"/>
    <hyperlink xmlns:r="http://schemas.openxmlformats.org/officeDocument/2006/relationships" ref="L2763" r:id="rId4988"/>
    <hyperlink xmlns:r="http://schemas.openxmlformats.org/officeDocument/2006/relationships" ref="N2763" r:id="rId4989"/>
    <hyperlink xmlns:r="http://schemas.openxmlformats.org/officeDocument/2006/relationships" ref="L2764" r:id="rId4990"/>
    <hyperlink xmlns:r="http://schemas.openxmlformats.org/officeDocument/2006/relationships" ref="N2764" r:id="rId4991"/>
    <hyperlink xmlns:r="http://schemas.openxmlformats.org/officeDocument/2006/relationships" ref="L2765" r:id="rId4992"/>
    <hyperlink xmlns:r="http://schemas.openxmlformats.org/officeDocument/2006/relationships" ref="L2766" r:id="rId4993"/>
    <hyperlink xmlns:r="http://schemas.openxmlformats.org/officeDocument/2006/relationships" ref="L2767" r:id="rId4994"/>
    <hyperlink xmlns:r="http://schemas.openxmlformats.org/officeDocument/2006/relationships" ref="L2768" r:id="rId4995"/>
    <hyperlink xmlns:r="http://schemas.openxmlformats.org/officeDocument/2006/relationships" ref="L2769" r:id="rId4996"/>
    <hyperlink xmlns:r="http://schemas.openxmlformats.org/officeDocument/2006/relationships" ref="L2770" r:id="rId4997"/>
    <hyperlink xmlns:r="http://schemas.openxmlformats.org/officeDocument/2006/relationships" ref="L2771" r:id="rId4998"/>
    <hyperlink xmlns:r="http://schemas.openxmlformats.org/officeDocument/2006/relationships" ref="L2772" r:id="rId4999"/>
    <hyperlink xmlns:r="http://schemas.openxmlformats.org/officeDocument/2006/relationships" ref="L2773" r:id="rId5000"/>
    <hyperlink xmlns:r="http://schemas.openxmlformats.org/officeDocument/2006/relationships" ref="L2774" r:id="rId5001"/>
    <hyperlink xmlns:r="http://schemas.openxmlformats.org/officeDocument/2006/relationships" ref="L2775" r:id="rId5002"/>
    <hyperlink xmlns:r="http://schemas.openxmlformats.org/officeDocument/2006/relationships" ref="L2776" r:id="rId5003"/>
    <hyperlink xmlns:r="http://schemas.openxmlformats.org/officeDocument/2006/relationships" ref="L2777" r:id="rId5004"/>
    <hyperlink xmlns:r="http://schemas.openxmlformats.org/officeDocument/2006/relationships" ref="L2778" r:id="rId5005"/>
    <hyperlink xmlns:r="http://schemas.openxmlformats.org/officeDocument/2006/relationships" ref="L2779" r:id="rId5006"/>
    <hyperlink xmlns:r="http://schemas.openxmlformats.org/officeDocument/2006/relationships" ref="L2780" r:id="rId5007"/>
    <hyperlink xmlns:r="http://schemas.openxmlformats.org/officeDocument/2006/relationships" ref="L2781" r:id="rId5008"/>
    <hyperlink xmlns:r="http://schemas.openxmlformats.org/officeDocument/2006/relationships" ref="L2782" r:id="rId5009"/>
    <hyperlink xmlns:r="http://schemas.openxmlformats.org/officeDocument/2006/relationships" ref="L2783" r:id="rId5010"/>
    <hyperlink xmlns:r="http://schemas.openxmlformats.org/officeDocument/2006/relationships" ref="L2784" r:id="rId5011"/>
    <hyperlink xmlns:r="http://schemas.openxmlformats.org/officeDocument/2006/relationships" ref="L2785" r:id="rId5012"/>
    <hyperlink xmlns:r="http://schemas.openxmlformats.org/officeDocument/2006/relationships" ref="L2786" r:id="rId5013"/>
    <hyperlink xmlns:r="http://schemas.openxmlformats.org/officeDocument/2006/relationships" ref="L2787" r:id="rId5014"/>
    <hyperlink xmlns:r="http://schemas.openxmlformats.org/officeDocument/2006/relationships" ref="L2788" r:id="rId5015"/>
    <hyperlink xmlns:r="http://schemas.openxmlformats.org/officeDocument/2006/relationships" ref="L2789" r:id="rId5016"/>
    <hyperlink xmlns:r="http://schemas.openxmlformats.org/officeDocument/2006/relationships" ref="L2790" r:id="rId5017"/>
    <hyperlink xmlns:r="http://schemas.openxmlformats.org/officeDocument/2006/relationships" ref="L2791" r:id="rId5018"/>
    <hyperlink xmlns:r="http://schemas.openxmlformats.org/officeDocument/2006/relationships" ref="L2792" r:id="rId5019"/>
    <hyperlink xmlns:r="http://schemas.openxmlformats.org/officeDocument/2006/relationships" ref="L2793" r:id="rId5020"/>
    <hyperlink xmlns:r="http://schemas.openxmlformats.org/officeDocument/2006/relationships" ref="L2794" r:id="rId5021"/>
    <hyperlink xmlns:r="http://schemas.openxmlformats.org/officeDocument/2006/relationships" ref="L2795" r:id="rId5022"/>
    <hyperlink xmlns:r="http://schemas.openxmlformats.org/officeDocument/2006/relationships" ref="L2796" r:id="rId5023"/>
    <hyperlink xmlns:r="http://schemas.openxmlformats.org/officeDocument/2006/relationships" ref="L2797" r:id="rId5024"/>
    <hyperlink xmlns:r="http://schemas.openxmlformats.org/officeDocument/2006/relationships" ref="L2798" r:id="rId5025"/>
    <hyperlink xmlns:r="http://schemas.openxmlformats.org/officeDocument/2006/relationships" ref="L2799" r:id="rId5026"/>
    <hyperlink xmlns:r="http://schemas.openxmlformats.org/officeDocument/2006/relationships" ref="L2800" r:id="rId5027"/>
    <hyperlink xmlns:r="http://schemas.openxmlformats.org/officeDocument/2006/relationships" ref="L2801" r:id="rId5028"/>
    <hyperlink xmlns:r="http://schemas.openxmlformats.org/officeDocument/2006/relationships" ref="L2802" r:id="rId5029"/>
    <hyperlink xmlns:r="http://schemas.openxmlformats.org/officeDocument/2006/relationships" ref="L2803" r:id="rId5030"/>
    <hyperlink xmlns:r="http://schemas.openxmlformats.org/officeDocument/2006/relationships" ref="L2804" r:id="rId5031"/>
    <hyperlink xmlns:r="http://schemas.openxmlformats.org/officeDocument/2006/relationships" ref="L2805" r:id="rId5032"/>
    <hyperlink xmlns:r="http://schemas.openxmlformats.org/officeDocument/2006/relationships" ref="L2806" r:id="rId5033"/>
    <hyperlink xmlns:r="http://schemas.openxmlformats.org/officeDocument/2006/relationships" ref="L2807" r:id="rId5034"/>
    <hyperlink xmlns:r="http://schemas.openxmlformats.org/officeDocument/2006/relationships" ref="L2808" r:id="rId5035"/>
    <hyperlink xmlns:r="http://schemas.openxmlformats.org/officeDocument/2006/relationships" ref="L2809" r:id="rId5036"/>
    <hyperlink xmlns:r="http://schemas.openxmlformats.org/officeDocument/2006/relationships" ref="L2810" r:id="rId5037"/>
    <hyperlink xmlns:r="http://schemas.openxmlformats.org/officeDocument/2006/relationships" ref="L2811" r:id="rId5038"/>
    <hyperlink xmlns:r="http://schemas.openxmlformats.org/officeDocument/2006/relationships" ref="L2812" r:id="rId5039"/>
    <hyperlink xmlns:r="http://schemas.openxmlformats.org/officeDocument/2006/relationships" ref="L2813" r:id="rId5040"/>
    <hyperlink xmlns:r="http://schemas.openxmlformats.org/officeDocument/2006/relationships" ref="L2814" r:id="rId5041"/>
    <hyperlink xmlns:r="http://schemas.openxmlformats.org/officeDocument/2006/relationships" ref="L2815" r:id="rId5042"/>
    <hyperlink xmlns:r="http://schemas.openxmlformats.org/officeDocument/2006/relationships" ref="L2816" r:id="rId5043"/>
    <hyperlink xmlns:r="http://schemas.openxmlformats.org/officeDocument/2006/relationships" ref="L2817" r:id="rId5044"/>
    <hyperlink xmlns:r="http://schemas.openxmlformats.org/officeDocument/2006/relationships" ref="L2818" r:id="rId5045"/>
    <hyperlink xmlns:r="http://schemas.openxmlformats.org/officeDocument/2006/relationships" ref="L2819" r:id="rId5046"/>
    <hyperlink xmlns:r="http://schemas.openxmlformats.org/officeDocument/2006/relationships" ref="L2820" r:id="rId5047"/>
    <hyperlink xmlns:r="http://schemas.openxmlformats.org/officeDocument/2006/relationships" ref="L2821" r:id="rId5048"/>
    <hyperlink xmlns:r="http://schemas.openxmlformats.org/officeDocument/2006/relationships" ref="L2822" r:id="rId5049"/>
    <hyperlink xmlns:r="http://schemas.openxmlformats.org/officeDocument/2006/relationships" ref="L2823" r:id="rId5050"/>
    <hyperlink xmlns:r="http://schemas.openxmlformats.org/officeDocument/2006/relationships" ref="L2824" r:id="rId5051"/>
    <hyperlink xmlns:r="http://schemas.openxmlformats.org/officeDocument/2006/relationships" ref="L2825" r:id="rId5052"/>
    <hyperlink xmlns:r="http://schemas.openxmlformats.org/officeDocument/2006/relationships" ref="L2826" r:id="rId5053"/>
    <hyperlink xmlns:r="http://schemas.openxmlformats.org/officeDocument/2006/relationships" ref="L2827" r:id="rId5054"/>
    <hyperlink xmlns:r="http://schemas.openxmlformats.org/officeDocument/2006/relationships" ref="L2828" r:id="rId5055"/>
    <hyperlink xmlns:r="http://schemas.openxmlformats.org/officeDocument/2006/relationships" ref="L2829" r:id="rId5056"/>
    <hyperlink xmlns:r="http://schemas.openxmlformats.org/officeDocument/2006/relationships" ref="L2830" r:id="rId5057"/>
    <hyperlink xmlns:r="http://schemas.openxmlformats.org/officeDocument/2006/relationships" ref="L2831" r:id="rId5058"/>
    <hyperlink xmlns:r="http://schemas.openxmlformats.org/officeDocument/2006/relationships" ref="L2832" r:id="rId5059"/>
    <hyperlink xmlns:r="http://schemas.openxmlformats.org/officeDocument/2006/relationships" ref="L2833" r:id="rId5060"/>
    <hyperlink xmlns:r="http://schemas.openxmlformats.org/officeDocument/2006/relationships" ref="L2834" r:id="rId5061"/>
    <hyperlink xmlns:r="http://schemas.openxmlformats.org/officeDocument/2006/relationships" ref="L2835" r:id="rId5062"/>
    <hyperlink xmlns:r="http://schemas.openxmlformats.org/officeDocument/2006/relationships" ref="L2836" r:id="rId5063"/>
    <hyperlink xmlns:r="http://schemas.openxmlformats.org/officeDocument/2006/relationships" ref="L2837" r:id="rId5064"/>
    <hyperlink xmlns:r="http://schemas.openxmlformats.org/officeDocument/2006/relationships" ref="L2838" r:id="rId5065"/>
    <hyperlink xmlns:r="http://schemas.openxmlformats.org/officeDocument/2006/relationships" ref="L2839" r:id="rId5066"/>
    <hyperlink xmlns:r="http://schemas.openxmlformats.org/officeDocument/2006/relationships" ref="L2840" r:id="rId5067"/>
    <hyperlink xmlns:r="http://schemas.openxmlformats.org/officeDocument/2006/relationships" ref="L2841" r:id="rId5068"/>
    <hyperlink xmlns:r="http://schemas.openxmlformats.org/officeDocument/2006/relationships" ref="L2842" r:id="rId5069"/>
    <hyperlink xmlns:r="http://schemas.openxmlformats.org/officeDocument/2006/relationships" ref="L2843" r:id="rId5070"/>
    <hyperlink xmlns:r="http://schemas.openxmlformats.org/officeDocument/2006/relationships" ref="L2844" r:id="rId5071"/>
    <hyperlink xmlns:r="http://schemas.openxmlformats.org/officeDocument/2006/relationships" ref="L2845" r:id="rId5072"/>
    <hyperlink xmlns:r="http://schemas.openxmlformats.org/officeDocument/2006/relationships" ref="L2846" r:id="rId5073"/>
    <hyperlink xmlns:r="http://schemas.openxmlformats.org/officeDocument/2006/relationships" ref="L2847" r:id="rId5074"/>
    <hyperlink xmlns:r="http://schemas.openxmlformats.org/officeDocument/2006/relationships" ref="L2848" r:id="rId5075"/>
    <hyperlink xmlns:r="http://schemas.openxmlformats.org/officeDocument/2006/relationships" ref="L2849" r:id="rId5076"/>
    <hyperlink xmlns:r="http://schemas.openxmlformats.org/officeDocument/2006/relationships" ref="L2850" r:id="rId5077"/>
    <hyperlink xmlns:r="http://schemas.openxmlformats.org/officeDocument/2006/relationships" ref="L2851" r:id="rId5078"/>
    <hyperlink xmlns:r="http://schemas.openxmlformats.org/officeDocument/2006/relationships" ref="L2852" r:id="rId5079"/>
    <hyperlink xmlns:r="http://schemas.openxmlformats.org/officeDocument/2006/relationships" ref="L2853" r:id="rId5080"/>
    <hyperlink xmlns:r="http://schemas.openxmlformats.org/officeDocument/2006/relationships" ref="L2854" r:id="rId5081"/>
    <hyperlink xmlns:r="http://schemas.openxmlformats.org/officeDocument/2006/relationships" ref="L2855" r:id="rId5082"/>
    <hyperlink xmlns:r="http://schemas.openxmlformats.org/officeDocument/2006/relationships" ref="L2856" r:id="rId5083"/>
    <hyperlink xmlns:r="http://schemas.openxmlformats.org/officeDocument/2006/relationships" ref="L2857" r:id="rId5084"/>
    <hyperlink xmlns:r="http://schemas.openxmlformats.org/officeDocument/2006/relationships" ref="L2858" r:id="rId5085"/>
    <hyperlink xmlns:r="http://schemas.openxmlformats.org/officeDocument/2006/relationships" ref="L2859" r:id="rId5086"/>
    <hyperlink xmlns:r="http://schemas.openxmlformats.org/officeDocument/2006/relationships" ref="L2860" r:id="rId5087"/>
    <hyperlink xmlns:r="http://schemas.openxmlformats.org/officeDocument/2006/relationships" ref="L2861" r:id="rId5088"/>
    <hyperlink xmlns:r="http://schemas.openxmlformats.org/officeDocument/2006/relationships" ref="L2862" r:id="rId5089"/>
    <hyperlink xmlns:r="http://schemas.openxmlformats.org/officeDocument/2006/relationships" ref="L2863" r:id="rId5090"/>
    <hyperlink xmlns:r="http://schemas.openxmlformats.org/officeDocument/2006/relationships" ref="L2864" r:id="rId5091"/>
    <hyperlink xmlns:r="http://schemas.openxmlformats.org/officeDocument/2006/relationships" ref="L2865" r:id="rId5092"/>
    <hyperlink xmlns:r="http://schemas.openxmlformats.org/officeDocument/2006/relationships" ref="L2866" r:id="rId5093"/>
    <hyperlink xmlns:r="http://schemas.openxmlformats.org/officeDocument/2006/relationships" ref="L2867" r:id="rId5094"/>
    <hyperlink xmlns:r="http://schemas.openxmlformats.org/officeDocument/2006/relationships" ref="L2868" r:id="rId5095"/>
    <hyperlink xmlns:r="http://schemas.openxmlformats.org/officeDocument/2006/relationships" ref="L2869" r:id="rId5096"/>
    <hyperlink xmlns:r="http://schemas.openxmlformats.org/officeDocument/2006/relationships" ref="L2870" r:id="rId5097"/>
    <hyperlink xmlns:r="http://schemas.openxmlformats.org/officeDocument/2006/relationships" ref="L2871" r:id="rId5098"/>
    <hyperlink xmlns:r="http://schemas.openxmlformats.org/officeDocument/2006/relationships" ref="L2872" r:id="rId5099"/>
    <hyperlink xmlns:r="http://schemas.openxmlformats.org/officeDocument/2006/relationships" ref="L2873" r:id="rId5100"/>
    <hyperlink xmlns:r="http://schemas.openxmlformats.org/officeDocument/2006/relationships" ref="L2874" r:id="rId5101"/>
    <hyperlink xmlns:r="http://schemas.openxmlformats.org/officeDocument/2006/relationships" ref="L2875" r:id="rId5102"/>
    <hyperlink xmlns:r="http://schemas.openxmlformats.org/officeDocument/2006/relationships" ref="L2876" r:id="rId5103"/>
    <hyperlink xmlns:r="http://schemas.openxmlformats.org/officeDocument/2006/relationships" ref="L2877" r:id="rId5104"/>
    <hyperlink xmlns:r="http://schemas.openxmlformats.org/officeDocument/2006/relationships" ref="L2878" r:id="rId5105"/>
    <hyperlink xmlns:r="http://schemas.openxmlformats.org/officeDocument/2006/relationships" ref="L2879" r:id="rId5106"/>
    <hyperlink xmlns:r="http://schemas.openxmlformats.org/officeDocument/2006/relationships" ref="L2880" r:id="rId5107"/>
    <hyperlink xmlns:r="http://schemas.openxmlformats.org/officeDocument/2006/relationships" ref="L2881" r:id="rId5108"/>
    <hyperlink xmlns:r="http://schemas.openxmlformats.org/officeDocument/2006/relationships" ref="L2882" r:id="rId5109"/>
    <hyperlink xmlns:r="http://schemas.openxmlformats.org/officeDocument/2006/relationships" ref="L2883" r:id="rId5110"/>
    <hyperlink xmlns:r="http://schemas.openxmlformats.org/officeDocument/2006/relationships" ref="L2884" r:id="rId5111"/>
    <hyperlink xmlns:r="http://schemas.openxmlformats.org/officeDocument/2006/relationships" ref="L2885" r:id="rId5112"/>
    <hyperlink xmlns:r="http://schemas.openxmlformats.org/officeDocument/2006/relationships" ref="L2886" r:id="rId5113"/>
    <hyperlink xmlns:r="http://schemas.openxmlformats.org/officeDocument/2006/relationships" ref="L2887" r:id="rId5114"/>
    <hyperlink xmlns:r="http://schemas.openxmlformats.org/officeDocument/2006/relationships" ref="L2888" r:id="rId5115"/>
    <hyperlink xmlns:r="http://schemas.openxmlformats.org/officeDocument/2006/relationships" ref="L2889" r:id="rId5116"/>
    <hyperlink xmlns:r="http://schemas.openxmlformats.org/officeDocument/2006/relationships" ref="L2890" r:id="rId5117"/>
    <hyperlink xmlns:r="http://schemas.openxmlformats.org/officeDocument/2006/relationships" ref="L2891" r:id="rId5118"/>
    <hyperlink xmlns:r="http://schemas.openxmlformats.org/officeDocument/2006/relationships" ref="L2892" r:id="rId5119"/>
    <hyperlink xmlns:r="http://schemas.openxmlformats.org/officeDocument/2006/relationships" ref="L2893" r:id="rId5120"/>
    <hyperlink xmlns:r="http://schemas.openxmlformats.org/officeDocument/2006/relationships" ref="L2894" r:id="rId5121"/>
    <hyperlink xmlns:r="http://schemas.openxmlformats.org/officeDocument/2006/relationships" ref="L2895" r:id="rId5122"/>
    <hyperlink xmlns:r="http://schemas.openxmlformats.org/officeDocument/2006/relationships" ref="L2896" r:id="rId5123"/>
    <hyperlink xmlns:r="http://schemas.openxmlformats.org/officeDocument/2006/relationships" ref="L2897" r:id="rId5124"/>
    <hyperlink xmlns:r="http://schemas.openxmlformats.org/officeDocument/2006/relationships" ref="L2898" r:id="rId5125"/>
    <hyperlink xmlns:r="http://schemas.openxmlformats.org/officeDocument/2006/relationships" ref="L2899" r:id="rId5126"/>
    <hyperlink xmlns:r="http://schemas.openxmlformats.org/officeDocument/2006/relationships" ref="L2900" r:id="rId5127"/>
    <hyperlink xmlns:r="http://schemas.openxmlformats.org/officeDocument/2006/relationships" ref="L2901" r:id="rId5128"/>
    <hyperlink xmlns:r="http://schemas.openxmlformats.org/officeDocument/2006/relationships" ref="L2902" r:id="rId5129"/>
    <hyperlink xmlns:r="http://schemas.openxmlformats.org/officeDocument/2006/relationships" ref="L2903" r:id="rId5130"/>
    <hyperlink xmlns:r="http://schemas.openxmlformats.org/officeDocument/2006/relationships" ref="L2904" r:id="rId5131"/>
    <hyperlink xmlns:r="http://schemas.openxmlformats.org/officeDocument/2006/relationships" ref="L2905" r:id="rId5132"/>
    <hyperlink xmlns:r="http://schemas.openxmlformats.org/officeDocument/2006/relationships" ref="L2906" r:id="rId5133"/>
    <hyperlink xmlns:r="http://schemas.openxmlformats.org/officeDocument/2006/relationships" ref="L2907" r:id="rId5134"/>
    <hyperlink xmlns:r="http://schemas.openxmlformats.org/officeDocument/2006/relationships" ref="L2908" r:id="rId5135"/>
    <hyperlink xmlns:r="http://schemas.openxmlformats.org/officeDocument/2006/relationships" ref="L2909" r:id="rId5136"/>
    <hyperlink xmlns:r="http://schemas.openxmlformats.org/officeDocument/2006/relationships" ref="L2910" r:id="rId5137"/>
    <hyperlink xmlns:r="http://schemas.openxmlformats.org/officeDocument/2006/relationships" ref="L2911" r:id="rId5138"/>
    <hyperlink xmlns:r="http://schemas.openxmlformats.org/officeDocument/2006/relationships" ref="L2912" r:id="rId5139"/>
    <hyperlink xmlns:r="http://schemas.openxmlformats.org/officeDocument/2006/relationships" ref="L2913" r:id="rId5140"/>
    <hyperlink xmlns:r="http://schemas.openxmlformats.org/officeDocument/2006/relationships" ref="L2914" r:id="rId5141"/>
    <hyperlink xmlns:r="http://schemas.openxmlformats.org/officeDocument/2006/relationships" ref="L2915" r:id="rId5142"/>
    <hyperlink xmlns:r="http://schemas.openxmlformats.org/officeDocument/2006/relationships" ref="L2916" r:id="rId5143"/>
    <hyperlink xmlns:r="http://schemas.openxmlformats.org/officeDocument/2006/relationships" ref="L2917" r:id="rId5144"/>
    <hyperlink xmlns:r="http://schemas.openxmlformats.org/officeDocument/2006/relationships" ref="L2918" r:id="rId5145"/>
    <hyperlink xmlns:r="http://schemas.openxmlformats.org/officeDocument/2006/relationships" ref="L2919" r:id="rId5146"/>
    <hyperlink xmlns:r="http://schemas.openxmlformats.org/officeDocument/2006/relationships" ref="L2920" r:id="rId5147"/>
    <hyperlink xmlns:r="http://schemas.openxmlformats.org/officeDocument/2006/relationships" ref="L2921" r:id="rId5148"/>
    <hyperlink xmlns:r="http://schemas.openxmlformats.org/officeDocument/2006/relationships" ref="L2922" r:id="rId5149"/>
    <hyperlink xmlns:r="http://schemas.openxmlformats.org/officeDocument/2006/relationships" ref="L2923" r:id="rId5150"/>
    <hyperlink xmlns:r="http://schemas.openxmlformats.org/officeDocument/2006/relationships" ref="L2924" r:id="rId5151"/>
    <hyperlink xmlns:r="http://schemas.openxmlformats.org/officeDocument/2006/relationships" ref="L2925" r:id="rId5152"/>
    <hyperlink xmlns:r="http://schemas.openxmlformats.org/officeDocument/2006/relationships" ref="L2926" r:id="rId5153"/>
    <hyperlink xmlns:r="http://schemas.openxmlformats.org/officeDocument/2006/relationships" ref="L2927" r:id="rId5154"/>
    <hyperlink xmlns:r="http://schemas.openxmlformats.org/officeDocument/2006/relationships" ref="L2928" r:id="rId5155"/>
    <hyperlink xmlns:r="http://schemas.openxmlformats.org/officeDocument/2006/relationships" ref="L2929" r:id="rId5156"/>
    <hyperlink xmlns:r="http://schemas.openxmlformats.org/officeDocument/2006/relationships" ref="L2930" r:id="rId5157"/>
    <hyperlink xmlns:r="http://schemas.openxmlformats.org/officeDocument/2006/relationships" ref="L2931" r:id="rId5158"/>
    <hyperlink xmlns:r="http://schemas.openxmlformats.org/officeDocument/2006/relationships" ref="L2932" r:id="rId5159"/>
    <hyperlink xmlns:r="http://schemas.openxmlformats.org/officeDocument/2006/relationships" ref="L2933" r:id="rId5160"/>
    <hyperlink xmlns:r="http://schemas.openxmlformats.org/officeDocument/2006/relationships" ref="L2934" r:id="rId5161"/>
    <hyperlink xmlns:r="http://schemas.openxmlformats.org/officeDocument/2006/relationships" ref="L2935" r:id="rId5162"/>
    <hyperlink xmlns:r="http://schemas.openxmlformats.org/officeDocument/2006/relationships" ref="L2936" r:id="rId5163"/>
    <hyperlink xmlns:r="http://schemas.openxmlformats.org/officeDocument/2006/relationships" ref="L2937" r:id="rId5164"/>
    <hyperlink xmlns:r="http://schemas.openxmlformats.org/officeDocument/2006/relationships" ref="L2938" r:id="rId5165"/>
    <hyperlink xmlns:r="http://schemas.openxmlformats.org/officeDocument/2006/relationships" ref="L2939" r:id="rId5166"/>
    <hyperlink xmlns:r="http://schemas.openxmlformats.org/officeDocument/2006/relationships" ref="L2940" r:id="rId5167"/>
    <hyperlink xmlns:r="http://schemas.openxmlformats.org/officeDocument/2006/relationships" ref="L2941" r:id="rId5168"/>
    <hyperlink xmlns:r="http://schemas.openxmlformats.org/officeDocument/2006/relationships" ref="L2942" r:id="rId5169"/>
    <hyperlink xmlns:r="http://schemas.openxmlformats.org/officeDocument/2006/relationships" ref="L2943" r:id="rId5170"/>
    <hyperlink xmlns:r="http://schemas.openxmlformats.org/officeDocument/2006/relationships" ref="L2944" r:id="rId5171"/>
    <hyperlink xmlns:r="http://schemas.openxmlformats.org/officeDocument/2006/relationships" ref="L2945" r:id="rId5172"/>
    <hyperlink xmlns:r="http://schemas.openxmlformats.org/officeDocument/2006/relationships" ref="L2946" r:id="rId5173"/>
    <hyperlink xmlns:r="http://schemas.openxmlformats.org/officeDocument/2006/relationships" ref="L2947" r:id="rId5174"/>
    <hyperlink xmlns:r="http://schemas.openxmlformats.org/officeDocument/2006/relationships" ref="L2948" r:id="rId5175"/>
    <hyperlink xmlns:r="http://schemas.openxmlformats.org/officeDocument/2006/relationships" ref="L2949" r:id="rId5176"/>
    <hyperlink xmlns:r="http://schemas.openxmlformats.org/officeDocument/2006/relationships" ref="L2950" r:id="rId5177"/>
    <hyperlink xmlns:r="http://schemas.openxmlformats.org/officeDocument/2006/relationships" ref="L2951" r:id="rId5178"/>
    <hyperlink xmlns:r="http://schemas.openxmlformats.org/officeDocument/2006/relationships" ref="L2952" r:id="rId5179"/>
    <hyperlink xmlns:r="http://schemas.openxmlformats.org/officeDocument/2006/relationships" ref="L2953" r:id="rId5180"/>
    <hyperlink xmlns:r="http://schemas.openxmlformats.org/officeDocument/2006/relationships" ref="L2954" r:id="rId5181"/>
    <hyperlink xmlns:r="http://schemas.openxmlformats.org/officeDocument/2006/relationships" ref="L2955" r:id="rId5182"/>
    <hyperlink xmlns:r="http://schemas.openxmlformats.org/officeDocument/2006/relationships" ref="L2956" r:id="rId5183"/>
    <hyperlink xmlns:r="http://schemas.openxmlformats.org/officeDocument/2006/relationships" ref="L2957" r:id="rId5184"/>
    <hyperlink xmlns:r="http://schemas.openxmlformats.org/officeDocument/2006/relationships" ref="L2958" r:id="rId5185"/>
    <hyperlink xmlns:r="http://schemas.openxmlformats.org/officeDocument/2006/relationships" ref="L2959" r:id="rId5186"/>
    <hyperlink xmlns:r="http://schemas.openxmlformats.org/officeDocument/2006/relationships" ref="L2960" r:id="rId5187"/>
    <hyperlink xmlns:r="http://schemas.openxmlformats.org/officeDocument/2006/relationships" ref="L2961" r:id="rId5188"/>
    <hyperlink xmlns:r="http://schemas.openxmlformats.org/officeDocument/2006/relationships" ref="L2962" r:id="rId5189"/>
    <hyperlink xmlns:r="http://schemas.openxmlformats.org/officeDocument/2006/relationships" ref="L2963" r:id="rId5190"/>
    <hyperlink xmlns:r="http://schemas.openxmlformats.org/officeDocument/2006/relationships" ref="L2964" r:id="rId5191"/>
    <hyperlink xmlns:r="http://schemas.openxmlformats.org/officeDocument/2006/relationships" ref="L2965" r:id="rId5192"/>
    <hyperlink xmlns:r="http://schemas.openxmlformats.org/officeDocument/2006/relationships" ref="L2966" r:id="rId5193"/>
    <hyperlink xmlns:r="http://schemas.openxmlformats.org/officeDocument/2006/relationships" ref="L2967" r:id="rId5194"/>
    <hyperlink xmlns:r="http://schemas.openxmlformats.org/officeDocument/2006/relationships" ref="L2968" r:id="rId5195"/>
    <hyperlink xmlns:r="http://schemas.openxmlformats.org/officeDocument/2006/relationships" ref="L2969" r:id="rId5196"/>
    <hyperlink xmlns:r="http://schemas.openxmlformats.org/officeDocument/2006/relationships" ref="L2970" r:id="rId5197"/>
    <hyperlink xmlns:r="http://schemas.openxmlformats.org/officeDocument/2006/relationships" ref="L2971" r:id="rId5198"/>
    <hyperlink xmlns:r="http://schemas.openxmlformats.org/officeDocument/2006/relationships" ref="L2972" r:id="rId5199"/>
    <hyperlink xmlns:r="http://schemas.openxmlformats.org/officeDocument/2006/relationships" ref="L2973" r:id="rId5200"/>
    <hyperlink xmlns:r="http://schemas.openxmlformats.org/officeDocument/2006/relationships" ref="L2974" r:id="rId5201"/>
    <hyperlink xmlns:r="http://schemas.openxmlformats.org/officeDocument/2006/relationships" ref="L2975" r:id="rId5202"/>
    <hyperlink xmlns:r="http://schemas.openxmlformats.org/officeDocument/2006/relationships" ref="L2976" r:id="rId5203"/>
    <hyperlink xmlns:r="http://schemas.openxmlformats.org/officeDocument/2006/relationships" ref="L2977" r:id="rId5204"/>
    <hyperlink xmlns:r="http://schemas.openxmlformats.org/officeDocument/2006/relationships" ref="L2978" r:id="rId5205"/>
    <hyperlink xmlns:r="http://schemas.openxmlformats.org/officeDocument/2006/relationships" ref="L2979" r:id="rId5206"/>
    <hyperlink xmlns:r="http://schemas.openxmlformats.org/officeDocument/2006/relationships" ref="L2980" r:id="rId5207"/>
    <hyperlink xmlns:r="http://schemas.openxmlformats.org/officeDocument/2006/relationships" ref="L2981" r:id="rId5208"/>
    <hyperlink xmlns:r="http://schemas.openxmlformats.org/officeDocument/2006/relationships" ref="L2982" r:id="rId5209"/>
    <hyperlink xmlns:r="http://schemas.openxmlformats.org/officeDocument/2006/relationships" ref="L2983" r:id="rId5210"/>
    <hyperlink xmlns:r="http://schemas.openxmlformats.org/officeDocument/2006/relationships" ref="L2984" r:id="rId5211"/>
    <hyperlink xmlns:r="http://schemas.openxmlformats.org/officeDocument/2006/relationships" ref="L2985" r:id="rId5212"/>
    <hyperlink xmlns:r="http://schemas.openxmlformats.org/officeDocument/2006/relationships" ref="L2986" r:id="rId5213"/>
    <hyperlink xmlns:r="http://schemas.openxmlformats.org/officeDocument/2006/relationships" ref="L2987" r:id="rId5214"/>
    <hyperlink xmlns:r="http://schemas.openxmlformats.org/officeDocument/2006/relationships" ref="L2988" r:id="rId5215"/>
    <hyperlink xmlns:r="http://schemas.openxmlformats.org/officeDocument/2006/relationships" ref="L2989" r:id="rId5216"/>
    <hyperlink xmlns:r="http://schemas.openxmlformats.org/officeDocument/2006/relationships" ref="L2990" r:id="rId5217"/>
    <hyperlink xmlns:r="http://schemas.openxmlformats.org/officeDocument/2006/relationships" ref="L2991" r:id="rId5218"/>
    <hyperlink xmlns:r="http://schemas.openxmlformats.org/officeDocument/2006/relationships" ref="L2992" r:id="rId5219"/>
    <hyperlink xmlns:r="http://schemas.openxmlformats.org/officeDocument/2006/relationships" ref="L2993" r:id="rId5220"/>
    <hyperlink xmlns:r="http://schemas.openxmlformats.org/officeDocument/2006/relationships" ref="L2994" r:id="rId5221"/>
    <hyperlink xmlns:r="http://schemas.openxmlformats.org/officeDocument/2006/relationships" ref="L2995" r:id="rId5222"/>
    <hyperlink xmlns:r="http://schemas.openxmlformats.org/officeDocument/2006/relationships" ref="L2996" r:id="rId5223"/>
    <hyperlink xmlns:r="http://schemas.openxmlformats.org/officeDocument/2006/relationships" ref="L2997" r:id="rId5224"/>
    <hyperlink xmlns:r="http://schemas.openxmlformats.org/officeDocument/2006/relationships" ref="L2998" r:id="rId5225"/>
    <hyperlink xmlns:r="http://schemas.openxmlformats.org/officeDocument/2006/relationships" ref="L2999" r:id="rId5226"/>
    <hyperlink xmlns:r="http://schemas.openxmlformats.org/officeDocument/2006/relationships" ref="L3000" r:id="rId5227"/>
    <hyperlink xmlns:r="http://schemas.openxmlformats.org/officeDocument/2006/relationships" ref="L3001" r:id="rId5228"/>
    <hyperlink xmlns:r="http://schemas.openxmlformats.org/officeDocument/2006/relationships" ref="L3002" r:id="rId5229"/>
    <hyperlink xmlns:r="http://schemas.openxmlformats.org/officeDocument/2006/relationships" ref="L3003" r:id="rId5230"/>
    <hyperlink xmlns:r="http://schemas.openxmlformats.org/officeDocument/2006/relationships" ref="L3004" r:id="rId5231"/>
    <hyperlink xmlns:r="http://schemas.openxmlformats.org/officeDocument/2006/relationships" ref="L3005" r:id="rId5232"/>
    <hyperlink xmlns:r="http://schemas.openxmlformats.org/officeDocument/2006/relationships" ref="L3006" r:id="rId5233"/>
    <hyperlink xmlns:r="http://schemas.openxmlformats.org/officeDocument/2006/relationships" ref="L3007" r:id="rId5234"/>
    <hyperlink xmlns:r="http://schemas.openxmlformats.org/officeDocument/2006/relationships" ref="L3008" r:id="rId5235"/>
    <hyperlink xmlns:r="http://schemas.openxmlformats.org/officeDocument/2006/relationships" ref="L3009" r:id="rId5236"/>
    <hyperlink xmlns:r="http://schemas.openxmlformats.org/officeDocument/2006/relationships" ref="L3010" r:id="rId5237"/>
    <hyperlink xmlns:r="http://schemas.openxmlformats.org/officeDocument/2006/relationships" ref="L3011" r:id="rId5238"/>
    <hyperlink xmlns:r="http://schemas.openxmlformats.org/officeDocument/2006/relationships" ref="L3012" r:id="rId5239"/>
    <hyperlink xmlns:r="http://schemas.openxmlformats.org/officeDocument/2006/relationships" ref="L3013" r:id="rId5240"/>
    <hyperlink xmlns:r="http://schemas.openxmlformats.org/officeDocument/2006/relationships" ref="L3014" r:id="rId5241"/>
    <hyperlink xmlns:r="http://schemas.openxmlformats.org/officeDocument/2006/relationships" ref="L3015" r:id="rId5242"/>
    <hyperlink xmlns:r="http://schemas.openxmlformats.org/officeDocument/2006/relationships" ref="L3016" r:id="rId5243"/>
    <hyperlink xmlns:r="http://schemas.openxmlformats.org/officeDocument/2006/relationships" ref="L3017" r:id="rId5244"/>
    <hyperlink xmlns:r="http://schemas.openxmlformats.org/officeDocument/2006/relationships" ref="L3018" r:id="rId5245"/>
    <hyperlink xmlns:r="http://schemas.openxmlformats.org/officeDocument/2006/relationships" ref="L3019" r:id="rId5246"/>
    <hyperlink xmlns:r="http://schemas.openxmlformats.org/officeDocument/2006/relationships" ref="L3020" r:id="rId5247"/>
    <hyperlink xmlns:r="http://schemas.openxmlformats.org/officeDocument/2006/relationships" ref="L3021" r:id="rId5248"/>
    <hyperlink xmlns:r="http://schemas.openxmlformats.org/officeDocument/2006/relationships" ref="L3022" r:id="rId5249"/>
    <hyperlink xmlns:r="http://schemas.openxmlformats.org/officeDocument/2006/relationships" ref="L3023" r:id="rId5250"/>
    <hyperlink xmlns:r="http://schemas.openxmlformats.org/officeDocument/2006/relationships" ref="L3024" r:id="rId5251"/>
    <hyperlink xmlns:r="http://schemas.openxmlformats.org/officeDocument/2006/relationships" ref="L3025" r:id="rId5252"/>
    <hyperlink xmlns:r="http://schemas.openxmlformats.org/officeDocument/2006/relationships" ref="L3026" r:id="rId5253"/>
    <hyperlink xmlns:r="http://schemas.openxmlformats.org/officeDocument/2006/relationships" ref="L3027" r:id="rId5254"/>
    <hyperlink xmlns:r="http://schemas.openxmlformats.org/officeDocument/2006/relationships" ref="L3028" r:id="rId5255"/>
    <hyperlink xmlns:r="http://schemas.openxmlformats.org/officeDocument/2006/relationships" ref="L3029" r:id="rId5256"/>
    <hyperlink xmlns:r="http://schemas.openxmlformats.org/officeDocument/2006/relationships" ref="L3030" r:id="rId5257"/>
    <hyperlink xmlns:r="http://schemas.openxmlformats.org/officeDocument/2006/relationships" ref="L3031" r:id="rId5258"/>
    <hyperlink xmlns:r="http://schemas.openxmlformats.org/officeDocument/2006/relationships" ref="L3032" r:id="rId5259"/>
    <hyperlink xmlns:r="http://schemas.openxmlformats.org/officeDocument/2006/relationships" ref="L3033" r:id="rId5260"/>
    <hyperlink xmlns:r="http://schemas.openxmlformats.org/officeDocument/2006/relationships" ref="L3034" r:id="rId5261"/>
    <hyperlink xmlns:r="http://schemas.openxmlformats.org/officeDocument/2006/relationships" ref="L3035" r:id="rId5262"/>
    <hyperlink xmlns:r="http://schemas.openxmlformats.org/officeDocument/2006/relationships" ref="L3036" r:id="rId5263"/>
    <hyperlink xmlns:r="http://schemas.openxmlformats.org/officeDocument/2006/relationships" ref="L3037" r:id="rId5264"/>
    <hyperlink xmlns:r="http://schemas.openxmlformats.org/officeDocument/2006/relationships" ref="L3038" r:id="rId5265"/>
    <hyperlink xmlns:r="http://schemas.openxmlformats.org/officeDocument/2006/relationships" ref="L3039" r:id="rId5266"/>
    <hyperlink xmlns:r="http://schemas.openxmlformats.org/officeDocument/2006/relationships" ref="L3040" r:id="rId5267"/>
    <hyperlink xmlns:r="http://schemas.openxmlformats.org/officeDocument/2006/relationships" ref="L3041" r:id="rId5268"/>
    <hyperlink xmlns:r="http://schemas.openxmlformats.org/officeDocument/2006/relationships" ref="L3042" r:id="rId5269"/>
    <hyperlink xmlns:r="http://schemas.openxmlformats.org/officeDocument/2006/relationships" ref="L3043" r:id="rId5270"/>
    <hyperlink xmlns:r="http://schemas.openxmlformats.org/officeDocument/2006/relationships" ref="L3044" r:id="rId5271"/>
    <hyperlink xmlns:r="http://schemas.openxmlformats.org/officeDocument/2006/relationships" ref="L3045" r:id="rId5272"/>
    <hyperlink xmlns:r="http://schemas.openxmlformats.org/officeDocument/2006/relationships" ref="L3046" r:id="rId5273"/>
    <hyperlink xmlns:r="http://schemas.openxmlformats.org/officeDocument/2006/relationships" ref="L3047" r:id="rId5274"/>
    <hyperlink xmlns:r="http://schemas.openxmlformats.org/officeDocument/2006/relationships" ref="L3048" r:id="rId5275"/>
    <hyperlink xmlns:r="http://schemas.openxmlformats.org/officeDocument/2006/relationships" ref="L3049" r:id="rId5276"/>
    <hyperlink xmlns:r="http://schemas.openxmlformats.org/officeDocument/2006/relationships" ref="L3050" r:id="rId5277"/>
    <hyperlink xmlns:r="http://schemas.openxmlformats.org/officeDocument/2006/relationships" ref="L3051" r:id="rId5278"/>
    <hyperlink xmlns:r="http://schemas.openxmlformats.org/officeDocument/2006/relationships" ref="L3052" r:id="rId5279"/>
    <hyperlink xmlns:r="http://schemas.openxmlformats.org/officeDocument/2006/relationships" ref="L3053" r:id="rId5280"/>
    <hyperlink xmlns:r="http://schemas.openxmlformats.org/officeDocument/2006/relationships" ref="L3054" r:id="rId5281"/>
    <hyperlink xmlns:r="http://schemas.openxmlformats.org/officeDocument/2006/relationships" ref="L3055" r:id="rId5282"/>
    <hyperlink xmlns:r="http://schemas.openxmlformats.org/officeDocument/2006/relationships" ref="L3056" r:id="rId5283"/>
    <hyperlink xmlns:r="http://schemas.openxmlformats.org/officeDocument/2006/relationships" ref="L3057" r:id="rId5284"/>
    <hyperlink xmlns:r="http://schemas.openxmlformats.org/officeDocument/2006/relationships" ref="L3058" r:id="rId5285"/>
    <hyperlink xmlns:r="http://schemas.openxmlformats.org/officeDocument/2006/relationships" ref="L3059" r:id="rId5286"/>
    <hyperlink xmlns:r="http://schemas.openxmlformats.org/officeDocument/2006/relationships" ref="L3060" r:id="rId5287"/>
    <hyperlink xmlns:r="http://schemas.openxmlformats.org/officeDocument/2006/relationships" ref="L3061" r:id="rId5288"/>
    <hyperlink xmlns:r="http://schemas.openxmlformats.org/officeDocument/2006/relationships" ref="L3062" r:id="rId5289"/>
    <hyperlink xmlns:r="http://schemas.openxmlformats.org/officeDocument/2006/relationships" ref="L3063" r:id="rId5290"/>
    <hyperlink xmlns:r="http://schemas.openxmlformats.org/officeDocument/2006/relationships" ref="L3064" r:id="rId5291"/>
    <hyperlink xmlns:r="http://schemas.openxmlformats.org/officeDocument/2006/relationships" ref="L3065" r:id="rId5292"/>
    <hyperlink xmlns:r="http://schemas.openxmlformats.org/officeDocument/2006/relationships" ref="L3066" r:id="rId5293"/>
    <hyperlink xmlns:r="http://schemas.openxmlformats.org/officeDocument/2006/relationships" ref="L3067" r:id="rId5294"/>
    <hyperlink xmlns:r="http://schemas.openxmlformats.org/officeDocument/2006/relationships" ref="L3068" r:id="rId5295"/>
    <hyperlink xmlns:r="http://schemas.openxmlformats.org/officeDocument/2006/relationships" ref="L3069" r:id="rId5296"/>
    <hyperlink xmlns:r="http://schemas.openxmlformats.org/officeDocument/2006/relationships" ref="L3070" r:id="rId5297"/>
    <hyperlink xmlns:r="http://schemas.openxmlformats.org/officeDocument/2006/relationships" ref="L3071" r:id="rId5298"/>
    <hyperlink xmlns:r="http://schemas.openxmlformats.org/officeDocument/2006/relationships" ref="L3072" r:id="rId5299"/>
    <hyperlink xmlns:r="http://schemas.openxmlformats.org/officeDocument/2006/relationships" ref="L3073" r:id="rId5300"/>
    <hyperlink xmlns:r="http://schemas.openxmlformats.org/officeDocument/2006/relationships" ref="L3074" r:id="rId5301"/>
    <hyperlink xmlns:r="http://schemas.openxmlformats.org/officeDocument/2006/relationships" ref="L3075" r:id="rId5302"/>
    <hyperlink xmlns:r="http://schemas.openxmlformats.org/officeDocument/2006/relationships" ref="L3076" r:id="rId5303"/>
    <hyperlink xmlns:r="http://schemas.openxmlformats.org/officeDocument/2006/relationships" ref="L3077" r:id="rId5304"/>
    <hyperlink xmlns:r="http://schemas.openxmlformats.org/officeDocument/2006/relationships" ref="L3078" r:id="rId5305"/>
    <hyperlink xmlns:r="http://schemas.openxmlformats.org/officeDocument/2006/relationships" ref="L3079" r:id="rId5306"/>
    <hyperlink xmlns:r="http://schemas.openxmlformats.org/officeDocument/2006/relationships" ref="L3080" r:id="rId5307"/>
    <hyperlink xmlns:r="http://schemas.openxmlformats.org/officeDocument/2006/relationships" ref="L3081" r:id="rId5308"/>
    <hyperlink xmlns:r="http://schemas.openxmlformats.org/officeDocument/2006/relationships" ref="L3082" r:id="rId5309"/>
    <hyperlink xmlns:r="http://schemas.openxmlformats.org/officeDocument/2006/relationships" ref="L3083" r:id="rId5310"/>
    <hyperlink xmlns:r="http://schemas.openxmlformats.org/officeDocument/2006/relationships" ref="L3084" r:id="rId5311"/>
    <hyperlink xmlns:r="http://schemas.openxmlformats.org/officeDocument/2006/relationships" ref="L3085" r:id="rId5312"/>
    <hyperlink xmlns:r="http://schemas.openxmlformats.org/officeDocument/2006/relationships" ref="L3086" r:id="rId5313"/>
    <hyperlink xmlns:r="http://schemas.openxmlformats.org/officeDocument/2006/relationships" ref="L3087" r:id="rId5314"/>
    <hyperlink xmlns:r="http://schemas.openxmlformats.org/officeDocument/2006/relationships" ref="L3088" r:id="rId5315"/>
    <hyperlink xmlns:r="http://schemas.openxmlformats.org/officeDocument/2006/relationships" ref="L3089" r:id="rId5316"/>
    <hyperlink xmlns:r="http://schemas.openxmlformats.org/officeDocument/2006/relationships" ref="L3090" r:id="rId5317"/>
    <hyperlink xmlns:r="http://schemas.openxmlformats.org/officeDocument/2006/relationships" ref="L3091" r:id="rId5318"/>
    <hyperlink xmlns:r="http://schemas.openxmlformats.org/officeDocument/2006/relationships" ref="L3092" r:id="rId5319"/>
    <hyperlink xmlns:r="http://schemas.openxmlformats.org/officeDocument/2006/relationships" ref="L3093" r:id="rId5320"/>
    <hyperlink xmlns:r="http://schemas.openxmlformats.org/officeDocument/2006/relationships" ref="L3094" r:id="rId5321"/>
    <hyperlink xmlns:r="http://schemas.openxmlformats.org/officeDocument/2006/relationships" ref="L3095" r:id="rId5322"/>
    <hyperlink xmlns:r="http://schemas.openxmlformats.org/officeDocument/2006/relationships" ref="L3096" r:id="rId5323"/>
    <hyperlink xmlns:r="http://schemas.openxmlformats.org/officeDocument/2006/relationships" ref="L3097" r:id="rId5324"/>
    <hyperlink xmlns:r="http://schemas.openxmlformats.org/officeDocument/2006/relationships" ref="L3098" r:id="rId5325"/>
    <hyperlink xmlns:r="http://schemas.openxmlformats.org/officeDocument/2006/relationships" ref="L3099" r:id="rId5326"/>
    <hyperlink xmlns:r="http://schemas.openxmlformats.org/officeDocument/2006/relationships" ref="L3100" r:id="rId5327"/>
    <hyperlink xmlns:r="http://schemas.openxmlformats.org/officeDocument/2006/relationships" ref="L3101" r:id="rId5328"/>
    <hyperlink xmlns:r="http://schemas.openxmlformats.org/officeDocument/2006/relationships" ref="L3102" r:id="rId5329"/>
    <hyperlink xmlns:r="http://schemas.openxmlformats.org/officeDocument/2006/relationships" ref="L3103" r:id="rId5330"/>
    <hyperlink xmlns:r="http://schemas.openxmlformats.org/officeDocument/2006/relationships" ref="L3104" r:id="rId5331"/>
    <hyperlink xmlns:r="http://schemas.openxmlformats.org/officeDocument/2006/relationships" ref="L3105" r:id="rId5332"/>
    <hyperlink xmlns:r="http://schemas.openxmlformats.org/officeDocument/2006/relationships" ref="L3106" r:id="rId5333"/>
    <hyperlink xmlns:r="http://schemas.openxmlformats.org/officeDocument/2006/relationships" ref="L3107" r:id="rId5334"/>
    <hyperlink xmlns:r="http://schemas.openxmlformats.org/officeDocument/2006/relationships" ref="L3108" r:id="rId5335"/>
    <hyperlink xmlns:r="http://schemas.openxmlformats.org/officeDocument/2006/relationships" ref="L3109" r:id="rId5336"/>
    <hyperlink xmlns:r="http://schemas.openxmlformats.org/officeDocument/2006/relationships" ref="L3110" r:id="rId5337"/>
    <hyperlink xmlns:r="http://schemas.openxmlformats.org/officeDocument/2006/relationships" ref="L3111" r:id="rId5338"/>
    <hyperlink xmlns:r="http://schemas.openxmlformats.org/officeDocument/2006/relationships" ref="L3112" r:id="rId5339"/>
    <hyperlink xmlns:r="http://schemas.openxmlformats.org/officeDocument/2006/relationships" ref="L3113" r:id="rId5340"/>
    <hyperlink xmlns:r="http://schemas.openxmlformats.org/officeDocument/2006/relationships" ref="L3114" r:id="rId5341"/>
    <hyperlink xmlns:r="http://schemas.openxmlformats.org/officeDocument/2006/relationships" ref="L3115" r:id="rId5342"/>
    <hyperlink xmlns:r="http://schemas.openxmlformats.org/officeDocument/2006/relationships" ref="L3116" r:id="rId5343"/>
    <hyperlink xmlns:r="http://schemas.openxmlformats.org/officeDocument/2006/relationships" ref="L3117" r:id="rId5344"/>
    <hyperlink xmlns:r="http://schemas.openxmlformats.org/officeDocument/2006/relationships" ref="L3118" r:id="rId5345"/>
    <hyperlink xmlns:r="http://schemas.openxmlformats.org/officeDocument/2006/relationships" ref="L3119" r:id="rId5346"/>
    <hyperlink xmlns:r="http://schemas.openxmlformats.org/officeDocument/2006/relationships" ref="L3120" r:id="rId5347"/>
    <hyperlink xmlns:r="http://schemas.openxmlformats.org/officeDocument/2006/relationships" ref="L3121" r:id="rId5348"/>
    <hyperlink xmlns:r="http://schemas.openxmlformats.org/officeDocument/2006/relationships" ref="L3122" r:id="rId5349"/>
    <hyperlink xmlns:r="http://schemas.openxmlformats.org/officeDocument/2006/relationships" ref="L3123" r:id="rId5350"/>
    <hyperlink xmlns:r="http://schemas.openxmlformats.org/officeDocument/2006/relationships" ref="L3124" r:id="rId5351"/>
    <hyperlink xmlns:r="http://schemas.openxmlformats.org/officeDocument/2006/relationships" ref="L3125" r:id="rId5352"/>
    <hyperlink xmlns:r="http://schemas.openxmlformats.org/officeDocument/2006/relationships" ref="L3126" r:id="rId5353"/>
    <hyperlink xmlns:r="http://schemas.openxmlformats.org/officeDocument/2006/relationships" ref="L3127" r:id="rId5354"/>
    <hyperlink xmlns:r="http://schemas.openxmlformats.org/officeDocument/2006/relationships" ref="L3128" r:id="rId5355"/>
    <hyperlink xmlns:r="http://schemas.openxmlformats.org/officeDocument/2006/relationships" ref="L3129" r:id="rId5356"/>
    <hyperlink xmlns:r="http://schemas.openxmlformats.org/officeDocument/2006/relationships" ref="L3130" r:id="rId5357"/>
    <hyperlink xmlns:r="http://schemas.openxmlformats.org/officeDocument/2006/relationships" ref="L3131" r:id="rId5358"/>
    <hyperlink xmlns:r="http://schemas.openxmlformats.org/officeDocument/2006/relationships" ref="L3132" r:id="rId5359"/>
    <hyperlink xmlns:r="http://schemas.openxmlformats.org/officeDocument/2006/relationships" ref="L3133" r:id="rId5360"/>
    <hyperlink xmlns:r="http://schemas.openxmlformats.org/officeDocument/2006/relationships" ref="L3134" r:id="rId5361"/>
    <hyperlink xmlns:r="http://schemas.openxmlformats.org/officeDocument/2006/relationships" ref="L3135" r:id="rId5362"/>
    <hyperlink xmlns:r="http://schemas.openxmlformats.org/officeDocument/2006/relationships" ref="L3136" r:id="rId5363"/>
    <hyperlink xmlns:r="http://schemas.openxmlformats.org/officeDocument/2006/relationships" ref="L3137" r:id="rId5364"/>
    <hyperlink xmlns:r="http://schemas.openxmlformats.org/officeDocument/2006/relationships" ref="L3138" r:id="rId5365"/>
    <hyperlink xmlns:r="http://schemas.openxmlformats.org/officeDocument/2006/relationships" ref="L3139" r:id="rId5366"/>
    <hyperlink xmlns:r="http://schemas.openxmlformats.org/officeDocument/2006/relationships" ref="L3140" r:id="rId5367"/>
    <hyperlink xmlns:r="http://schemas.openxmlformats.org/officeDocument/2006/relationships" ref="L3141" r:id="rId5368"/>
    <hyperlink xmlns:r="http://schemas.openxmlformats.org/officeDocument/2006/relationships" ref="L3142" r:id="rId5369"/>
    <hyperlink xmlns:r="http://schemas.openxmlformats.org/officeDocument/2006/relationships" ref="L3143" r:id="rId5370"/>
    <hyperlink xmlns:r="http://schemas.openxmlformats.org/officeDocument/2006/relationships" ref="L3144" r:id="rId5371"/>
    <hyperlink xmlns:r="http://schemas.openxmlformats.org/officeDocument/2006/relationships" ref="L3145" r:id="rId5372"/>
    <hyperlink xmlns:r="http://schemas.openxmlformats.org/officeDocument/2006/relationships" ref="L3146" r:id="rId5373"/>
    <hyperlink xmlns:r="http://schemas.openxmlformats.org/officeDocument/2006/relationships" ref="L3147" r:id="rId5374"/>
    <hyperlink xmlns:r="http://schemas.openxmlformats.org/officeDocument/2006/relationships" ref="L3148" r:id="rId5375"/>
    <hyperlink xmlns:r="http://schemas.openxmlformats.org/officeDocument/2006/relationships" ref="L3149" r:id="rId5376"/>
    <hyperlink xmlns:r="http://schemas.openxmlformats.org/officeDocument/2006/relationships" ref="L3150" r:id="rId5377"/>
    <hyperlink xmlns:r="http://schemas.openxmlformats.org/officeDocument/2006/relationships" ref="L3151" r:id="rId5378"/>
    <hyperlink xmlns:r="http://schemas.openxmlformats.org/officeDocument/2006/relationships" ref="L3152" r:id="rId5379"/>
    <hyperlink xmlns:r="http://schemas.openxmlformats.org/officeDocument/2006/relationships" ref="L3153" r:id="rId5380"/>
    <hyperlink xmlns:r="http://schemas.openxmlformats.org/officeDocument/2006/relationships" ref="L3154" r:id="rId5381"/>
    <hyperlink xmlns:r="http://schemas.openxmlformats.org/officeDocument/2006/relationships" ref="L3155" r:id="rId5382"/>
    <hyperlink xmlns:r="http://schemas.openxmlformats.org/officeDocument/2006/relationships" ref="L3156" r:id="rId5383"/>
    <hyperlink xmlns:r="http://schemas.openxmlformats.org/officeDocument/2006/relationships" ref="L3157" r:id="rId5384"/>
    <hyperlink xmlns:r="http://schemas.openxmlformats.org/officeDocument/2006/relationships" ref="L3158" r:id="rId5385"/>
    <hyperlink xmlns:r="http://schemas.openxmlformats.org/officeDocument/2006/relationships" ref="L3159" r:id="rId5386"/>
    <hyperlink xmlns:r="http://schemas.openxmlformats.org/officeDocument/2006/relationships" ref="L3160" r:id="rId5387"/>
    <hyperlink xmlns:r="http://schemas.openxmlformats.org/officeDocument/2006/relationships" ref="L3161" r:id="rId5388"/>
    <hyperlink xmlns:r="http://schemas.openxmlformats.org/officeDocument/2006/relationships" ref="L3162" r:id="rId5389"/>
    <hyperlink xmlns:r="http://schemas.openxmlformats.org/officeDocument/2006/relationships" ref="L3163" r:id="rId5390"/>
    <hyperlink xmlns:r="http://schemas.openxmlformats.org/officeDocument/2006/relationships" ref="L3164" r:id="rId5391"/>
    <hyperlink xmlns:r="http://schemas.openxmlformats.org/officeDocument/2006/relationships" ref="L3165" r:id="rId5392"/>
    <hyperlink xmlns:r="http://schemas.openxmlformats.org/officeDocument/2006/relationships" ref="L3166" r:id="rId5393"/>
    <hyperlink xmlns:r="http://schemas.openxmlformats.org/officeDocument/2006/relationships" ref="L3167" r:id="rId5394"/>
    <hyperlink xmlns:r="http://schemas.openxmlformats.org/officeDocument/2006/relationships" ref="L3168" r:id="rId5395"/>
    <hyperlink xmlns:r="http://schemas.openxmlformats.org/officeDocument/2006/relationships" ref="L3169" r:id="rId5396"/>
    <hyperlink xmlns:r="http://schemas.openxmlformats.org/officeDocument/2006/relationships" ref="L3170" r:id="rId5397"/>
    <hyperlink xmlns:r="http://schemas.openxmlformats.org/officeDocument/2006/relationships" ref="L3171" r:id="rId5398"/>
    <hyperlink xmlns:r="http://schemas.openxmlformats.org/officeDocument/2006/relationships" ref="L3172" r:id="rId5399"/>
    <hyperlink xmlns:r="http://schemas.openxmlformats.org/officeDocument/2006/relationships" ref="L3173" r:id="rId5400"/>
    <hyperlink xmlns:r="http://schemas.openxmlformats.org/officeDocument/2006/relationships" ref="L3174" r:id="rId5401"/>
    <hyperlink xmlns:r="http://schemas.openxmlformats.org/officeDocument/2006/relationships" ref="L3175" r:id="rId5402"/>
    <hyperlink xmlns:r="http://schemas.openxmlformats.org/officeDocument/2006/relationships" ref="L3176" r:id="rId5403"/>
    <hyperlink xmlns:r="http://schemas.openxmlformats.org/officeDocument/2006/relationships" ref="L3177" r:id="rId5404"/>
    <hyperlink xmlns:r="http://schemas.openxmlformats.org/officeDocument/2006/relationships" ref="L3178" r:id="rId5405"/>
    <hyperlink xmlns:r="http://schemas.openxmlformats.org/officeDocument/2006/relationships" ref="L3179" r:id="rId5406"/>
    <hyperlink xmlns:r="http://schemas.openxmlformats.org/officeDocument/2006/relationships" ref="L3180" r:id="rId5407"/>
    <hyperlink xmlns:r="http://schemas.openxmlformats.org/officeDocument/2006/relationships" ref="L3181" r:id="rId5408"/>
    <hyperlink xmlns:r="http://schemas.openxmlformats.org/officeDocument/2006/relationships" ref="L3182" r:id="rId5409"/>
    <hyperlink xmlns:r="http://schemas.openxmlformats.org/officeDocument/2006/relationships" ref="L3183" r:id="rId5410"/>
    <hyperlink xmlns:r="http://schemas.openxmlformats.org/officeDocument/2006/relationships" ref="L3184" r:id="rId5411"/>
    <hyperlink xmlns:r="http://schemas.openxmlformats.org/officeDocument/2006/relationships" ref="L3185" r:id="rId5412"/>
    <hyperlink xmlns:r="http://schemas.openxmlformats.org/officeDocument/2006/relationships" ref="L3186" r:id="rId5413"/>
    <hyperlink xmlns:r="http://schemas.openxmlformats.org/officeDocument/2006/relationships" ref="L3187" r:id="rId5414"/>
    <hyperlink xmlns:r="http://schemas.openxmlformats.org/officeDocument/2006/relationships" ref="L3188" r:id="rId5415"/>
    <hyperlink xmlns:r="http://schemas.openxmlformats.org/officeDocument/2006/relationships" ref="L3189" r:id="rId5416"/>
    <hyperlink xmlns:r="http://schemas.openxmlformats.org/officeDocument/2006/relationships" ref="L3190" r:id="rId5417"/>
    <hyperlink xmlns:r="http://schemas.openxmlformats.org/officeDocument/2006/relationships" ref="L3191" r:id="rId5418"/>
    <hyperlink xmlns:r="http://schemas.openxmlformats.org/officeDocument/2006/relationships" ref="L3192" r:id="rId5419"/>
    <hyperlink xmlns:r="http://schemas.openxmlformats.org/officeDocument/2006/relationships" ref="L3193" r:id="rId5420"/>
    <hyperlink xmlns:r="http://schemas.openxmlformats.org/officeDocument/2006/relationships" ref="L3194" r:id="rId5421"/>
    <hyperlink xmlns:r="http://schemas.openxmlformats.org/officeDocument/2006/relationships" ref="L3195" r:id="rId5422"/>
    <hyperlink xmlns:r="http://schemas.openxmlformats.org/officeDocument/2006/relationships" ref="L3196" r:id="rId5423"/>
    <hyperlink xmlns:r="http://schemas.openxmlformats.org/officeDocument/2006/relationships" ref="L3197" r:id="rId5424"/>
    <hyperlink xmlns:r="http://schemas.openxmlformats.org/officeDocument/2006/relationships" ref="L3198" r:id="rId5425"/>
    <hyperlink xmlns:r="http://schemas.openxmlformats.org/officeDocument/2006/relationships" ref="L3199" r:id="rId5426"/>
    <hyperlink xmlns:r="http://schemas.openxmlformats.org/officeDocument/2006/relationships" ref="L3200" r:id="rId5427"/>
    <hyperlink xmlns:r="http://schemas.openxmlformats.org/officeDocument/2006/relationships" ref="L3201" r:id="rId5428"/>
    <hyperlink xmlns:r="http://schemas.openxmlformats.org/officeDocument/2006/relationships" ref="L3202" r:id="rId5429"/>
    <hyperlink xmlns:r="http://schemas.openxmlformats.org/officeDocument/2006/relationships" ref="L3203" r:id="rId5430"/>
    <hyperlink xmlns:r="http://schemas.openxmlformats.org/officeDocument/2006/relationships" ref="L3204" r:id="rId5431"/>
    <hyperlink xmlns:r="http://schemas.openxmlformats.org/officeDocument/2006/relationships" ref="L3205" r:id="rId5432"/>
    <hyperlink xmlns:r="http://schemas.openxmlformats.org/officeDocument/2006/relationships" ref="L3206" r:id="rId5433"/>
    <hyperlink xmlns:r="http://schemas.openxmlformats.org/officeDocument/2006/relationships" ref="L3207" r:id="rId5434"/>
    <hyperlink xmlns:r="http://schemas.openxmlformats.org/officeDocument/2006/relationships" ref="L3208" r:id="rId5435"/>
    <hyperlink xmlns:r="http://schemas.openxmlformats.org/officeDocument/2006/relationships" ref="L3209" r:id="rId5436"/>
    <hyperlink xmlns:r="http://schemas.openxmlformats.org/officeDocument/2006/relationships" ref="L3210" r:id="rId5437"/>
    <hyperlink xmlns:r="http://schemas.openxmlformats.org/officeDocument/2006/relationships" ref="L3211" r:id="rId5438"/>
    <hyperlink xmlns:r="http://schemas.openxmlformats.org/officeDocument/2006/relationships" ref="L3212" r:id="rId5439"/>
    <hyperlink xmlns:r="http://schemas.openxmlformats.org/officeDocument/2006/relationships" ref="L3213" r:id="rId5440"/>
    <hyperlink xmlns:r="http://schemas.openxmlformats.org/officeDocument/2006/relationships" ref="L3214" r:id="rId5441"/>
    <hyperlink xmlns:r="http://schemas.openxmlformats.org/officeDocument/2006/relationships" ref="L3215" r:id="rId5442"/>
    <hyperlink xmlns:r="http://schemas.openxmlformats.org/officeDocument/2006/relationships" ref="L3216" r:id="rId5443"/>
    <hyperlink xmlns:r="http://schemas.openxmlformats.org/officeDocument/2006/relationships" ref="L3217" r:id="rId5444"/>
    <hyperlink xmlns:r="http://schemas.openxmlformats.org/officeDocument/2006/relationships" ref="L3218" r:id="rId5445"/>
    <hyperlink xmlns:r="http://schemas.openxmlformats.org/officeDocument/2006/relationships" ref="L3219" r:id="rId5446"/>
    <hyperlink xmlns:r="http://schemas.openxmlformats.org/officeDocument/2006/relationships" ref="L3220" r:id="rId5447"/>
    <hyperlink xmlns:r="http://schemas.openxmlformats.org/officeDocument/2006/relationships" ref="L3221" r:id="rId5448"/>
    <hyperlink xmlns:r="http://schemas.openxmlformats.org/officeDocument/2006/relationships" ref="L3222" r:id="rId5449"/>
    <hyperlink xmlns:r="http://schemas.openxmlformats.org/officeDocument/2006/relationships" ref="L3223" r:id="rId5450"/>
    <hyperlink xmlns:r="http://schemas.openxmlformats.org/officeDocument/2006/relationships" ref="L3224" r:id="rId5451"/>
    <hyperlink xmlns:r="http://schemas.openxmlformats.org/officeDocument/2006/relationships" ref="L3225" r:id="rId5452"/>
    <hyperlink xmlns:r="http://schemas.openxmlformats.org/officeDocument/2006/relationships" ref="L3226" r:id="rId5453"/>
    <hyperlink xmlns:r="http://schemas.openxmlformats.org/officeDocument/2006/relationships" ref="L3227" r:id="rId5454"/>
    <hyperlink xmlns:r="http://schemas.openxmlformats.org/officeDocument/2006/relationships" ref="L3228" r:id="rId5455"/>
    <hyperlink xmlns:r="http://schemas.openxmlformats.org/officeDocument/2006/relationships" ref="L3229" r:id="rId5456"/>
    <hyperlink xmlns:r="http://schemas.openxmlformats.org/officeDocument/2006/relationships" ref="L3230" r:id="rId5457"/>
    <hyperlink xmlns:r="http://schemas.openxmlformats.org/officeDocument/2006/relationships" ref="L3231" r:id="rId5458"/>
    <hyperlink xmlns:r="http://schemas.openxmlformats.org/officeDocument/2006/relationships" ref="L3232" r:id="rId5459"/>
    <hyperlink xmlns:r="http://schemas.openxmlformats.org/officeDocument/2006/relationships" ref="L3233" r:id="rId5460"/>
    <hyperlink xmlns:r="http://schemas.openxmlformats.org/officeDocument/2006/relationships" ref="L3234" r:id="rId5461"/>
    <hyperlink xmlns:r="http://schemas.openxmlformats.org/officeDocument/2006/relationships" ref="L3235" r:id="rId5462"/>
    <hyperlink xmlns:r="http://schemas.openxmlformats.org/officeDocument/2006/relationships" ref="L3236" r:id="rId5463"/>
    <hyperlink xmlns:r="http://schemas.openxmlformats.org/officeDocument/2006/relationships" ref="L3237" r:id="rId5464"/>
    <hyperlink xmlns:r="http://schemas.openxmlformats.org/officeDocument/2006/relationships" ref="L3238" r:id="rId5465"/>
    <hyperlink xmlns:r="http://schemas.openxmlformats.org/officeDocument/2006/relationships" ref="L3239" r:id="rId5466"/>
    <hyperlink xmlns:r="http://schemas.openxmlformats.org/officeDocument/2006/relationships" ref="L3240" r:id="rId5467"/>
    <hyperlink xmlns:r="http://schemas.openxmlformats.org/officeDocument/2006/relationships" ref="L3241" r:id="rId5468"/>
    <hyperlink xmlns:r="http://schemas.openxmlformats.org/officeDocument/2006/relationships" ref="L3242" r:id="rId5469"/>
    <hyperlink xmlns:r="http://schemas.openxmlformats.org/officeDocument/2006/relationships" ref="L3243" r:id="rId5470"/>
    <hyperlink xmlns:r="http://schemas.openxmlformats.org/officeDocument/2006/relationships" ref="L3244" r:id="rId5471"/>
    <hyperlink xmlns:r="http://schemas.openxmlformats.org/officeDocument/2006/relationships" ref="L3245" r:id="rId5472"/>
    <hyperlink xmlns:r="http://schemas.openxmlformats.org/officeDocument/2006/relationships" ref="L3246" r:id="rId5473"/>
    <hyperlink xmlns:r="http://schemas.openxmlformats.org/officeDocument/2006/relationships" ref="L3247" r:id="rId5474"/>
    <hyperlink xmlns:r="http://schemas.openxmlformats.org/officeDocument/2006/relationships" ref="L3248" r:id="rId5475"/>
    <hyperlink xmlns:r="http://schemas.openxmlformats.org/officeDocument/2006/relationships" ref="L3249" r:id="rId5476"/>
    <hyperlink xmlns:r="http://schemas.openxmlformats.org/officeDocument/2006/relationships" ref="L3250" r:id="rId5477"/>
    <hyperlink xmlns:r="http://schemas.openxmlformats.org/officeDocument/2006/relationships" ref="L3251" r:id="rId5478"/>
    <hyperlink xmlns:r="http://schemas.openxmlformats.org/officeDocument/2006/relationships" ref="L3252" r:id="rId5479"/>
    <hyperlink xmlns:r="http://schemas.openxmlformats.org/officeDocument/2006/relationships" ref="L3253" r:id="rId5480"/>
    <hyperlink xmlns:r="http://schemas.openxmlformats.org/officeDocument/2006/relationships" ref="L3254" r:id="rId5481"/>
    <hyperlink xmlns:r="http://schemas.openxmlformats.org/officeDocument/2006/relationships" ref="L3255" r:id="rId5482"/>
    <hyperlink xmlns:r="http://schemas.openxmlformats.org/officeDocument/2006/relationships" ref="L3256" r:id="rId5483"/>
    <hyperlink xmlns:r="http://schemas.openxmlformats.org/officeDocument/2006/relationships" ref="L3257" r:id="rId5484"/>
    <hyperlink xmlns:r="http://schemas.openxmlformats.org/officeDocument/2006/relationships" ref="L3258" r:id="rId5485"/>
    <hyperlink xmlns:r="http://schemas.openxmlformats.org/officeDocument/2006/relationships" ref="L3259" r:id="rId5486"/>
    <hyperlink xmlns:r="http://schemas.openxmlformats.org/officeDocument/2006/relationships" ref="L3260" r:id="rId5487"/>
    <hyperlink xmlns:r="http://schemas.openxmlformats.org/officeDocument/2006/relationships" ref="L3261" r:id="rId5488"/>
    <hyperlink xmlns:r="http://schemas.openxmlformats.org/officeDocument/2006/relationships" ref="L3262" r:id="rId5489"/>
    <hyperlink xmlns:r="http://schemas.openxmlformats.org/officeDocument/2006/relationships" ref="L3263" r:id="rId5490"/>
    <hyperlink xmlns:r="http://schemas.openxmlformats.org/officeDocument/2006/relationships" ref="L3264" r:id="rId5491"/>
    <hyperlink xmlns:r="http://schemas.openxmlformats.org/officeDocument/2006/relationships" ref="L3265" r:id="rId5492"/>
    <hyperlink xmlns:r="http://schemas.openxmlformats.org/officeDocument/2006/relationships" ref="L3266" r:id="rId5493"/>
    <hyperlink xmlns:r="http://schemas.openxmlformats.org/officeDocument/2006/relationships" ref="L3267" r:id="rId5494"/>
    <hyperlink xmlns:r="http://schemas.openxmlformats.org/officeDocument/2006/relationships" ref="L3268" r:id="rId5495"/>
    <hyperlink xmlns:r="http://schemas.openxmlformats.org/officeDocument/2006/relationships" ref="L3269" r:id="rId5496"/>
    <hyperlink xmlns:r="http://schemas.openxmlformats.org/officeDocument/2006/relationships" ref="L3270" r:id="rId5497"/>
    <hyperlink xmlns:r="http://schemas.openxmlformats.org/officeDocument/2006/relationships" ref="L3271" r:id="rId5498"/>
    <hyperlink xmlns:r="http://schemas.openxmlformats.org/officeDocument/2006/relationships" ref="L3272" r:id="rId54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47"/>
  <sheetViews>
    <sheetView showGridLines="0" workbookViewId="0">
      <selection activeCell="A1" sqref="A1"/>
    </sheetView>
  </sheetViews>
  <sheetFormatPr baseColWidth="8" defaultRowHeight="15"/>
  <cols>
    <col width="3" customWidth="1" min="1" max="1"/>
    <col width="40" customWidth="1" min="2" max="2"/>
    <col width="12" customWidth="1" min="3" max="3"/>
    <col width="12" customWidth="1" min="4" max="4"/>
    <col width="12" customWidth="1" min="5" max="5"/>
    <col width="12" customWidth="1" min="6" max="6"/>
    <col width="12" customWidth="1" min="7" max="7"/>
    <col width="14" customWidth="1" min="8" max="8"/>
  </cols>
  <sheetData>
    <row r="1">
      <c r="A1" s="1" t="n"/>
      <c r="B1" s="1" t="n"/>
      <c r="C1" s="1" t="n"/>
      <c r="D1" s="1" t="n"/>
      <c r="E1" s="1" t="n"/>
      <c r="F1" s="1" t="n"/>
      <c r="G1" s="1" t="n"/>
    </row>
    <row r="2">
      <c r="A2" s="1" t="n"/>
      <c r="B2" s="2" t="inlineStr">
        <is>
          <t>Progress</t>
        </is>
      </c>
      <c r="C2" s="1" t="n"/>
      <c r="D2" s="1" t="n"/>
      <c r="E2" s="1" t="n"/>
      <c r="F2" s="1" t="n"/>
      <c r="G2" s="1" t="n"/>
    </row>
    <row r="3">
      <c r="A3" s="1" t="n"/>
      <c r="B3" s="3" t="inlineStr">
        <is>
          <t>Driven by the Status column on Progress Tracker. Nothing here needs editing.</t>
        </is>
      </c>
      <c r="C3" s="1" t="n"/>
      <c r="D3" s="1" t="n"/>
      <c r="E3" s="1" t="n"/>
      <c r="F3" s="1" t="n"/>
      <c r="G3" s="1" t="n"/>
    </row>
    <row r="4">
      <c r="A4" s="1" t="n"/>
      <c r="B4" s="1" t="n"/>
      <c r="C4" s="1" t="n"/>
      <c r="D4" s="1" t="n"/>
      <c r="E4" s="1" t="n"/>
      <c r="F4" s="1" t="n"/>
      <c r="G4" s="1" t="n"/>
    </row>
    <row r="5">
      <c r="A5" s="1" t="n"/>
      <c r="B5" s="6" t="inlineStr">
        <is>
          <t>OVERALL</t>
        </is>
      </c>
      <c r="C5" s="1" t="n"/>
      <c r="D5" s="1" t="n"/>
      <c r="E5" s="1" t="n"/>
      <c r="F5" s="1" t="n"/>
      <c r="G5" s="1" t="n"/>
    </row>
    <row r="6">
      <c r="A6" s="1" t="n"/>
      <c r="B6" s="25" t="inlineStr">
        <is>
          <t>Videos total</t>
        </is>
      </c>
      <c r="C6" s="26">
        <f>COUNTA('Progress Tracker'!A2:A3272)</f>
        <v/>
      </c>
      <c r="D6" s="1" t="n"/>
      <c r="E6" s="1" t="n"/>
      <c r="F6" s="1" t="n"/>
      <c r="G6" s="1" t="n"/>
    </row>
    <row r="7">
      <c r="A7" s="1" t="n"/>
      <c r="B7" s="25" t="inlineStr">
        <is>
          <t>Done</t>
        </is>
      </c>
      <c r="C7" s="26">
        <f>COUNTIF('Progress Tracker'!$I$2:$I$3272,"Done")</f>
        <v/>
      </c>
      <c r="D7" s="1" t="n"/>
      <c r="E7" s="1" t="n"/>
      <c r="F7" s="1" t="n"/>
      <c r="G7" s="1" t="n"/>
    </row>
    <row r="8">
      <c r="A8" s="1" t="n"/>
      <c r="B8" s="25" t="inlineStr">
        <is>
          <t>Watching</t>
        </is>
      </c>
      <c r="C8" s="26">
        <f>COUNTIF('Progress Tracker'!$I$2:$I$3272,"Watching")</f>
        <v/>
      </c>
      <c r="D8" s="1" t="n"/>
      <c r="E8" s="1" t="n"/>
      <c r="F8" s="1" t="n"/>
      <c r="G8" s="1" t="n"/>
    </row>
    <row r="9">
      <c r="A9" s="1" t="n"/>
      <c r="B9" s="25" t="inlineStr">
        <is>
          <t>Skipped</t>
        </is>
      </c>
      <c r="C9" s="26">
        <f>COUNTIF('Progress Tracker'!$I$2:$I$3272,"Skipped")</f>
        <v/>
      </c>
      <c r="D9" s="1" t="n"/>
      <c r="E9" s="1" t="n"/>
      <c r="F9" s="1" t="n"/>
      <c r="G9" s="1" t="n"/>
    </row>
    <row r="10">
      <c r="A10" s="1" t="n"/>
      <c r="B10" s="25" t="inlineStr">
        <is>
          <t>Percent done</t>
        </is>
      </c>
      <c r="C10" s="27">
        <f>IFERROR(COUNTIF('Progress Tracker'!$I$2:$I$3272,"Done")/COUNTA('Progress Tracker'!A2:A3272),0)</f>
        <v/>
      </c>
      <c r="D10" s="1" t="n"/>
      <c r="E10" s="1" t="n"/>
      <c r="F10" s="1" t="n"/>
      <c r="G10" s="1" t="n"/>
    </row>
    <row r="11">
      <c r="A11" s="1" t="n"/>
      <c r="B11" s="25" t="inlineStr">
        <is>
          <t>Hours total</t>
        </is>
      </c>
      <c r="C11" s="26">
        <f>ROUND(SUM('Progress Tracker'!$G$2:$G$3272),0)</f>
        <v/>
      </c>
      <c r="D11" s="1" t="n"/>
      <c r="E11" s="1" t="n"/>
      <c r="F11" s="1" t="n"/>
      <c r="G11" s="1" t="n"/>
    </row>
    <row r="12">
      <c r="A12" s="1" t="n"/>
      <c r="B12" s="25" t="inlineStr">
        <is>
          <t>Hours done</t>
        </is>
      </c>
      <c r="C12" s="26">
        <f>ROUND(SUMIF('Progress Tracker'!$I$2:$I$3272,"Done",'Progress Tracker'!$G$2:$G$3272),1)</f>
        <v/>
      </c>
      <c r="D12" s="1" t="n"/>
      <c r="E12" s="1" t="n"/>
      <c r="F12" s="1" t="n"/>
      <c r="G12" s="1" t="n"/>
    </row>
    <row r="13">
      <c r="A13" s="1" t="n"/>
      <c r="B13" s="1" t="n"/>
      <c r="C13" s="1" t="n"/>
      <c r="D13" s="1" t="n"/>
      <c r="E13" s="1" t="n"/>
      <c r="F13" s="1" t="n"/>
      <c r="G13" s="1" t="n"/>
    </row>
    <row r="14">
      <c r="A14" s="1" t="n"/>
      <c r="B14" s="1" t="n"/>
      <c r="C14" s="1" t="n"/>
      <c r="D14" s="1" t="n"/>
      <c r="E14" s="1" t="n"/>
      <c r="F14" s="1" t="n"/>
      <c r="G14" s="1" t="n"/>
    </row>
    <row r="15">
      <c r="A15" s="1" t="n"/>
      <c r="B15" s="6" t="inlineStr">
        <is>
          <t>BY PART</t>
        </is>
      </c>
      <c r="C15" s="1" t="n"/>
      <c r="D15" s="1" t="n"/>
      <c r="E15" s="1" t="n"/>
      <c r="F15" s="1" t="n"/>
      <c r="G15" s="1" t="n"/>
    </row>
    <row r="16" ht="22" customHeight="1">
      <c r="A16" s="7" t="n"/>
      <c r="B16" s="7" t="inlineStr">
        <is>
          <t>Part</t>
        </is>
      </c>
      <c r="C16" s="7" t="inlineStr">
        <is>
          <t>Videos</t>
        </is>
      </c>
      <c r="D16" s="7" t="inlineStr">
        <is>
          <t>Done</t>
        </is>
      </c>
      <c r="E16" s="7" t="inlineStr">
        <is>
          <t>% done</t>
        </is>
      </c>
      <c r="F16" s="7" t="inlineStr">
        <is>
          <t>Hours</t>
        </is>
      </c>
      <c r="G16" s="7" t="inlineStr">
        <is>
          <t>Hrs done</t>
        </is>
      </c>
    </row>
    <row r="17">
      <c r="A17" s="1" t="n"/>
      <c r="B17" s="28" t="inlineStr">
        <is>
          <t>Part I - Foundations</t>
        </is>
      </c>
      <c r="C17" s="29">
        <f>COUNTIF('Progress Tracker'!$B$2:$B$3272,$B17)</f>
        <v/>
      </c>
      <c r="D17" s="29">
        <f>COUNTIFS('Progress Tracker'!$B$2:$B$3272,$B17,'Progress Tracker'!$I$2:$I$3272,"Done")</f>
        <v/>
      </c>
      <c r="E17" s="30">
        <f>IFERROR(D17/C17,0)</f>
        <v/>
      </c>
      <c r="F17" s="29">
        <f>ROUND(SUMIF('Progress Tracker'!$B$2:$B$3272,$B17,'Progress Tracker'!$G$2:$G$3272),0)</f>
        <v/>
      </c>
      <c r="G17" s="29">
        <f>ROUND(SUMIFS('Progress Tracker'!$G$2:$G$3272,'Progress Tracker'!$B$2:$B$3272,$B17,'Progress Tracker'!$I$2:$I$3272,"Done"),1)</f>
        <v/>
      </c>
    </row>
    <row r="18">
      <c r="A18" s="1" t="n"/>
      <c r="B18" s="31" t="inlineStr">
        <is>
          <t>Part II - The Method Atlas</t>
        </is>
      </c>
      <c r="C18" s="29">
        <f>COUNTIF('Progress Tracker'!$B$2:$B$3272,$B18)</f>
        <v/>
      </c>
      <c r="D18" s="29">
        <f>COUNTIFS('Progress Tracker'!$B$2:$B$3272,$B18,'Progress Tracker'!$I$2:$I$3272,"Done")</f>
        <v/>
      </c>
      <c r="E18" s="30">
        <f>IFERROR(D18/C18,0)</f>
        <v/>
      </c>
      <c r="F18" s="29">
        <f>ROUND(SUMIF('Progress Tracker'!$B$2:$B$3272,$B18,'Progress Tracker'!$G$2:$G$3272),0)</f>
        <v/>
      </c>
      <c r="G18" s="29">
        <f>ROUND(SUMIFS('Progress Tracker'!$G$2:$G$3272,'Progress Tracker'!$B$2:$B$3272,$B18,'Progress Tracker'!$I$2:$I$3272,"Done"),1)</f>
        <v/>
      </c>
    </row>
    <row r="19">
      <c r="A19" s="1" t="n"/>
      <c r="B19" s="32" t="inlineStr">
        <is>
          <t>Part III - Upstream AI Research</t>
        </is>
      </c>
      <c r="C19" s="29">
        <f>COUNTIF('Progress Tracker'!$B$2:$B$3272,$B19)</f>
        <v/>
      </c>
      <c r="D19" s="29">
        <f>COUNTIFS('Progress Tracker'!$B$2:$B$3272,$B19,'Progress Tracker'!$I$2:$I$3272,"Done")</f>
        <v/>
      </c>
      <c r="E19" s="30">
        <f>IFERROR(D19/C19,0)</f>
        <v/>
      </c>
      <c r="F19" s="29">
        <f>ROUND(SUMIF('Progress Tracker'!$B$2:$B$3272,$B19,'Progress Tracker'!$G$2:$G$3272),0)</f>
        <v/>
      </c>
      <c r="G19" s="29">
        <f>ROUND(SUMIFS('Progress Tracker'!$G$2:$G$3272,'Progress Tracker'!$B$2:$B$3272,$B19,'Progress Tracker'!$I$2:$I$3272,"Done"),1)</f>
        <v/>
      </c>
    </row>
    <row r="20">
      <c r="A20" s="1" t="n"/>
      <c r="B20" s="33" t="inlineStr">
        <is>
          <t>Part IV - Performance Engineering</t>
        </is>
      </c>
      <c r="C20" s="29">
        <f>COUNTIF('Progress Tracker'!$B$2:$B$3272,$B20)</f>
        <v/>
      </c>
      <c r="D20" s="29">
        <f>COUNTIFS('Progress Tracker'!$B$2:$B$3272,$B20,'Progress Tracker'!$I$2:$I$3272,"Done")</f>
        <v/>
      </c>
      <c r="E20" s="30">
        <f>IFERROR(D20/C20,0)</f>
        <v/>
      </c>
      <c r="F20" s="29">
        <f>ROUND(SUMIF('Progress Tracker'!$B$2:$B$3272,$B20,'Progress Tracker'!$G$2:$G$3272),0)</f>
        <v/>
      </c>
      <c r="G20" s="29">
        <f>ROUND(SUMIFS('Progress Tracker'!$G$2:$G$3272,'Progress Tracker'!$B$2:$B$3272,$B20,'Progress Tracker'!$I$2:$I$3272,"Done"),1)</f>
        <v/>
      </c>
    </row>
    <row r="21">
      <c r="A21" s="1" t="n"/>
      <c r="B21" s="34" t="inlineStr">
        <is>
          <t>Part V (continued) - Research Craft</t>
        </is>
      </c>
      <c r="C21" s="29">
        <f>COUNTIF('Progress Tracker'!$B$2:$B$3272,$B21)</f>
        <v/>
      </c>
      <c r="D21" s="29">
        <f>COUNTIFS('Progress Tracker'!$B$2:$B$3272,$B21,'Progress Tracker'!$I$2:$I$3272,"Done")</f>
        <v/>
      </c>
      <c r="E21" s="30">
        <f>IFERROR(D21/C21,0)</f>
        <v/>
      </c>
      <c r="F21" s="29">
        <f>ROUND(SUMIF('Progress Tracker'!$B$2:$B$3272,$B21,'Progress Tracker'!$G$2:$G$3272),0)</f>
        <v/>
      </c>
      <c r="G21" s="29">
        <f>ROUND(SUMIFS('Progress Tracker'!$G$2:$G$3272,'Progress Tracker'!$B$2:$B$3272,$B21,'Progress Tracker'!$I$2:$I$3272,"Done"),1)</f>
        <v/>
      </c>
    </row>
    <row r="22">
      <c r="A22" s="1" t="n"/>
      <c r="B22" s="35" t="inlineStr">
        <is>
          <t>Part VI - Appendices</t>
        </is>
      </c>
      <c r="C22" s="29">
        <f>COUNTIF('Progress Tracker'!$B$2:$B$3272,$B22)</f>
        <v/>
      </c>
      <c r="D22" s="29">
        <f>COUNTIFS('Progress Tracker'!$B$2:$B$3272,$B22,'Progress Tracker'!$I$2:$I$3272,"Done")</f>
        <v/>
      </c>
      <c r="E22" s="30">
        <f>IFERROR(D22/C22,0)</f>
        <v/>
      </c>
      <c r="F22" s="29">
        <f>ROUND(SUMIF('Progress Tracker'!$B$2:$B$3272,$B22,'Progress Tracker'!$G$2:$G$3272),0)</f>
        <v/>
      </c>
      <c r="G22" s="29">
        <f>ROUND(SUMIFS('Progress Tracker'!$G$2:$G$3272,'Progress Tracker'!$B$2:$B$3272,$B22,'Progress Tracker'!$I$2:$I$3272,"Done"),1)</f>
        <v/>
      </c>
    </row>
    <row r="23">
      <c r="A23" s="1" t="n"/>
      <c r="B23" s="1" t="n"/>
      <c r="C23" s="1" t="n"/>
      <c r="D23" s="1" t="n"/>
      <c r="E23" s="1" t="n"/>
      <c r="F23" s="1" t="n"/>
      <c r="G23" s="1" t="n"/>
    </row>
    <row r="24">
      <c r="A24" s="1" t="n"/>
      <c r="B24" s="1" t="n"/>
      <c r="C24" s="1" t="n"/>
      <c r="D24" s="1" t="n"/>
      <c r="E24" s="1" t="n"/>
      <c r="F24" s="1" t="n"/>
      <c r="G24" s="1" t="n"/>
    </row>
    <row r="25">
      <c r="A25" s="1" t="n"/>
      <c r="B25" s="6" t="inlineStr">
        <is>
          <t>BY SECTION</t>
        </is>
      </c>
      <c r="C25" s="1" t="n"/>
      <c r="D25" s="1" t="n"/>
      <c r="E25" s="1" t="n"/>
      <c r="F25" s="1" t="n"/>
      <c r="G25" s="1" t="n"/>
    </row>
    <row r="26" ht="22" customHeight="1">
      <c r="A26" s="7" t="n"/>
      <c r="B26" s="7" t="inlineStr">
        <is>
          <t>Section</t>
        </is>
      </c>
      <c r="C26" s="7" t="inlineStr">
        <is>
          <t>Videos</t>
        </is>
      </c>
      <c r="D26" s="7" t="inlineStr">
        <is>
          <t>Done</t>
        </is>
      </c>
      <c r="E26" s="7" t="inlineStr">
        <is>
          <t>% done</t>
        </is>
      </c>
      <c r="F26" s="7" t="inlineStr">
        <is>
          <t>Hours</t>
        </is>
      </c>
      <c r="G26" s="1" t="n"/>
    </row>
    <row r="27">
      <c r="A27" s="1" t="n"/>
      <c r="B27" s="36" t="inlineStr">
        <is>
          <t>MIT 18.065 - Matrix Methods in Data Analysis, Signal Processing and Machine Learning</t>
        </is>
      </c>
      <c r="C27" s="29">
        <f>COUNTIF('Progress Tracker'!$C$2:$C$3272,$B27)</f>
        <v/>
      </c>
      <c r="D27" s="29">
        <f>COUNTIFS('Progress Tracker'!$C$2:$C$3272,$B27,'Progress Tracker'!$I$2:$I$3272,"Done")</f>
        <v/>
      </c>
      <c r="E27" s="30">
        <f>IFERROR(D27/C27,0)</f>
        <v/>
      </c>
      <c r="F27" s="29">
        <f>ROUND(SUMIF('Progress Tracker'!$C$2:$C$3272,$B27,'Progress Tracker'!$G$2:$G$3272),1)</f>
        <v/>
      </c>
      <c r="G27" s="1" t="n"/>
    </row>
    <row r="28">
      <c r="A28" s="1" t="n"/>
      <c r="B28" s="36" t="inlineStr">
        <is>
          <t>MIT 18.S096 - Matrix Calculus for Machine Learning and Beyond</t>
        </is>
      </c>
      <c r="C28" s="29">
        <f>COUNTIF('Progress Tracker'!$C$2:$C$3272,$B28)</f>
        <v/>
      </c>
      <c r="D28" s="29">
        <f>COUNTIFS('Progress Tracker'!$C$2:$C$3272,$B28,'Progress Tracker'!$I$2:$I$3272,"Done")</f>
        <v/>
      </c>
      <c r="E28" s="30">
        <f>IFERROR(D28/C28,0)</f>
        <v/>
      </c>
      <c r="F28" s="29">
        <f>ROUND(SUMIF('Progress Tracker'!$C$2:$C$3272,$B28,'Progress Tracker'!$G$2:$G$3272),1)</f>
        <v/>
      </c>
      <c r="G28" s="1" t="n"/>
    </row>
    <row r="29">
      <c r="A29" s="1" t="n"/>
      <c r="B29" s="36" t="inlineStr">
        <is>
          <t>David MacKay - Information Theory, Pattern Recognition and Neural Networks</t>
        </is>
      </c>
      <c r="C29" s="29">
        <f>COUNTIF('Progress Tracker'!$C$2:$C$3272,$B29)</f>
        <v/>
      </c>
      <c r="D29" s="29">
        <f>COUNTIFS('Progress Tracker'!$C$2:$C$3272,$B29,'Progress Tracker'!$I$2:$I$3272,"Done")</f>
        <v/>
      </c>
      <c r="E29" s="30">
        <f>IFERROR(D29/C29,0)</f>
        <v/>
      </c>
      <c r="F29" s="29">
        <f>ROUND(SUMIF('Progress Tracker'!$C$2:$C$3272,$B29,'Progress Tracker'!$G$2:$G$3272),1)</f>
        <v/>
      </c>
      <c r="G29" s="1" t="n"/>
    </row>
    <row r="30">
      <c r="A30" s="1" t="n"/>
      <c r="B30" s="36" t="inlineStr">
        <is>
          <t>Unit I - Thermodynamics</t>
        </is>
      </c>
      <c r="C30" s="29">
        <f>COUNTIF('Progress Tracker'!$C$2:$C$3272,$B30)</f>
        <v/>
      </c>
      <c r="D30" s="29">
        <f>COUNTIFS('Progress Tracker'!$C$2:$C$3272,$B30,'Progress Tracker'!$I$2:$I$3272,"Done")</f>
        <v/>
      </c>
      <c r="E30" s="30">
        <f>IFERROR(D30/C30,0)</f>
        <v/>
      </c>
      <c r="F30" s="29">
        <f>ROUND(SUMIF('Progress Tracker'!$C$2:$C$3272,$B30,'Progress Tracker'!$G$2:$G$3272),1)</f>
        <v/>
      </c>
      <c r="G30" s="1" t="n"/>
    </row>
    <row r="31">
      <c r="A31" s="1" t="n"/>
      <c r="B31" s="36" t="inlineStr">
        <is>
          <t>Unit II - Probability</t>
        </is>
      </c>
      <c r="C31" s="29">
        <f>COUNTIF('Progress Tracker'!$C$2:$C$3272,$B31)</f>
        <v/>
      </c>
      <c r="D31" s="29">
        <f>COUNTIFS('Progress Tracker'!$C$2:$C$3272,$B31,'Progress Tracker'!$I$2:$I$3272,"Done")</f>
        <v/>
      </c>
      <c r="E31" s="30">
        <f>IFERROR(D31/C31,0)</f>
        <v/>
      </c>
      <c r="F31" s="29">
        <f>ROUND(SUMIF('Progress Tracker'!$C$2:$C$3272,$B31,'Progress Tracker'!$G$2:$G$3272),1)</f>
        <v/>
      </c>
      <c r="G31" s="1" t="n"/>
    </row>
    <row r="32">
      <c r="A32" s="1" t="n"/>
      <c r="B32" s="36" t="inlineStr">
        <is>
          <t>Unit III - Kinetic Theory of Gases</t>
        </is>
      </c>
      <c r="C32" s="29">
        <f>COUNTIF('Progress Tracker'!$C$2:$C$3272,$B32)</f>
        <v/>
      </c>
      <c r="D32" s="29">
        <f>COUNTIFS('Progress Tracker'!$C$2:$C$3272,$B32,'Progress Tracker'!$I$2:$I$3272,"Done")</f>
        <v/>
      </c>
      <c r="E32" s="30">
        <f>IFERROR(D32/C32,0)</f>
        <v/>
      </c>
      <c r="F32" s="29">
        <f>ROUND(SUMIF('Progress Tracker'!$C$2:$C$3272,$B32,'Progress Tracker'!$G$2:$G$3272),1)</f>
        <v/>
      </c>
      <c r="G32" s="1" t="n"/>
    </row>
    <row r="33">
      <c r="A33" s="1" t="n"/>
      <c r="B33" s="36" t="inlineStr">
        <is>
          <t>Unit IV - Classical Statistical Mechanics</t>
        </is>
      </c>
      <c r="C33" s="29">
        <f>COUNTIF('Progress Tracker'!$C$2:$C$3272,$B33)</f>
        <v/>
      </c>
      <c r="D33" s="29">
        <f>COUNTIFS('Progress Tracker'!$C$2:$C$3272,$B33,'Progress Tracker'!$I$2:$I$3272,"Done")</f>
        <v/>
      </c>
      <c r="E33" s="30">
        <f>IFERROR(D33/C33,0)</f>
        <v/>
      </c>
      <c r="F33" s="29">
        <f>ROUND(SUMIF('Progress Tracker'!$C$2:$C$3272,$B33,'Progress Tracker'!$G$2:$G$3272),1)</f>
        <v/>
      </c>
      <c r="G33" s="1" t="n"/>
    </row>
    <row r="34">
      <c r="A34" s="1" t="n"/>
      <c r="B34" s="36" t="inlineStr">
        <is>
          <t>Unit V - Interacting Particles</t>
        </is>
      </c>
      <c r="C34" s="29">
        <f>COUNTIF('Progress Tracker'!$C$2:$C$3272,$B34)</f>
        <v/>
      </c>
      <c r="D34" s="29">
        <f>COUNTIFS('Progress Tracker'!$C$2:$C$3272,$B34,'Progress Tracker'!$I$2:$I$3272,"Done")</f>
        <v/>
      </c>
      <c r="E34" s="30">
        <f>IFERROR(D34/C34,0)</f>
        <v/>
      </c>
      <c r="F34" s="29">
        <f>ROUND(SUMIF('Progress Tracker'!$C$2:$C$3272,$B34,'Progress Tracker'!$G$2:$G$3272),1)</f>
        <v/>
      </c>
      <c r="G34" s="1" t="n"/>
    </row>
    <row r="35">
      <c r="A35" s="1" t="n"/>
      <c r="B35" s="36" t="inlineStr">
        <is>
          <t>Units VI–VII - Quantum Statistical Mechanics and Ideal Quantum Gases</t>
        </is>
      </c>
      <c r="C35" s="29">
        <f>COUNTIF('Progress Tracker'!$C$2:$C$3272,$B35)</f>
        <v/>
      </c>
      <c r="D35" s="29">
        <f>COUNTIFS('Progress Tracker'!$C$2:$C$3272,$B35,'Progress Tracker'!$I$2:$I$3272,"Done")</f>
        <v/>
      </c>
      <c r="E35" s="30">
        <f>IFERROR(D35/C35,0)</f>
        <v/>
      </c>
      <c r="F35" s="29">
        <f>ROUND(SUMIF('Progress Tracker'!$C$2:$C$3272,$B35,'Progress Tracker'!$G$2:$G$3272),1)</f>
        <v/>
      </c>
      <c r="G35" s="1" t="n"/>
    </row>
    <row r="36">
      <c r="A36" s="1" t="n"/>
      <c r="B36" s="36" t="inlineStr">
        <is>
          <t>B.2.2 V. Balakrishnan - Physical Applications of Stochastic Processes</t>
        </is>
      </c>
      <c r="C36" s="29">
        <f>COUNTIF('Progress Tracker'!$C$2:$C$3272,$B36)</f>
        <v/>
      </c>
      <c r="D36" s="29">
        <f>COUNTIFS('Progress Tracker'!$C$2:$C$3272,$B36,'Progress Tracker'!$I$2:$I$3272,"Done")</f>
        <v/>
      </c>
      <c r="E36" s="30">
        <f>IFERROR(D36/C36,0)</f>
        <v/>
      </c>
      <c r="F36" s="29">
        <f>ROUND(SUMIF('Progress Tracker'!$C$2:$C$3272,$B36,'Progress Tracker'!$G$2:$G$3272),1)</f>
        <v/>
      </c>
      <c r="G36" s="1" t="n"/>
    </row>
    <row r="37">
      <c r="A37" s="1" t="n"/>
      <c r="B37" s="36" t="inlineStr">
        <is>
          <t>B.2.3 V. Balakrishnan - Nonequilibrium Statistical Mechanics</t>
        </is>
      </c>
      <c r="C37" s="29">
        <f>COUNTIF('Progress Tracker'!$C$2:$C$3272,$B37)</f>
        <v/>
      </c>
      <c r="D37" s="29">
        <f>COUNTIFS('Progress Tracker'!$C$2:$C$3272,$B37,'Progress Tracker'!$I$2:$I$3272,"Done")</f>
        <v/>
      </c>
      <c r="E37" s="30">
        <f>IFERROR(D37/C37,0)</f>
        <v/>
      </c>
      <c r="F37" s="29">
        <f>ROUND(SUMIF('Progress Tracker'!$C$2:$C$3272,$B37,'Progress Tracker'!$G$2:$G$3272),1)</f>
        <v/>
      </c>
      <c r="G37" s="1" t="n"/>
    </row>
    <row r="38">
      <c r="A38" s="1" t="n"/>
      <c r="B38" s="36" t="inlineStr">
        <is>
          <t>B.2.5 Statistical honesty: the Zuckerman thread</t>
        </is>
      </c>
      <c r="C38" s="29">
        <f>COUNTIF('Progress Tracker'!$C$2:$C$3272,$B38)</f>
        <v/>
      </c>
      <c r="D38" s="29">
        <f>COUNTIFS('Progress Tracker'!$C$2:$C$3272,$B38,'Progress Tracker'!$I$2:$I$3272,"Done")</f>
        <v/>
      </c>
      <c r="E38" s="30">
        <f>IFERROR(D38/C38,0)</f>
        <v/>
      </c>
      <c r="F38" s="29">
        <f>ROUND(SUMIF('Progress Tracker'!$C$2:$C$3272,$B38,'Progress Tracker'!$G$2:$G$3272),1)</f>
        <v/>
      </c>
      <c r="G38" s="1" t="n"/>
    </row>
    <row r="39">
      <c r="A39" s="1" t="n"/>
      <c r="B39" s="36" t="inlineStr">
        <is>
          <t>CS229r individual lectures - the first twelve are the ones that matter</t>
        </is>
      </c>
      <c r="C39" s="29">
        <f>COUNTIF('Progress Tracker'!$C$2:$C$3272,$B39)</f>
        <v/>
      </c>
      <c r="D39" s="29">
        <f>COUNTIFS('Progress Tracker'!$C$2:$C$3272,$B39,'Progress Tracker'!$I$2:$I$3272,"Done")</f>
        <v/>
      </c>
      <c r="E39" s="30">
        <f>IFERROR(D39/C39,0)</f>
        <v/>
      </c>
      <c r="F39" s="29">
        <f>ROUND(SUMIF('Progress Tracker'!$C$2:$C$3272,$B39,'Progress Tracker'!$G$2:$G$3272),1)</f>
        <v/>
      </c>
      <c r="G39" s="1" t="n"/>
    </row>
    <row r="40">
      <c r="A40" s="1" t="n"/>
      <c r="B40" s="36" t="inlineStr">
        <is>
          <t>MIT 6.172 - the lectures that matter most</t>
        </is>
      </c>
      <c r="C40" s="29">
        <f>COUNTIF('Progress Tracker'!$C$2:$C$3272,$B40)</f>
        <v/>
      </c>
      <c r="D40" s="29">
        <f>COUNTIFS('Progress Tracker'!$C$2:$C$3272,$B40,'Progress Tracker'!$I$2:$I$3272,"Done")</f>
        <v/>
      </c>
      <c r="E40" s="30">
        <f>IFERROR(D40/C40,0)</f>
        <v/>
      </c>
      <c r="F40" s="29">
        <f>ROUND(SUMIF('Progress Tracker'!$C$2:$C$3272,$B40,'Progress Tracker'!$G$2:$G$3272),1)</f>
        <v/>
      </c>
      <c r="G40" s="1" t="n"/>
    </row>
    <row r="41">
      <c r="A41" s="1" t="n"/>
      <c r="B41" s="36" t="inlineStr">
        <is>
          <t>CMU 10-414 individual lectures - you build an autodiff framework from nothing</t>
        </is>
      </c>
      <c r="C41" s="29">
        <f>COUNTIF('Progress Tracker'!$C$2:$C$3272,$B41)</f>
        <v/>
      </c>
      <c r="D41" s="29">
        <f>COUNTIFS('Progress Tracker'!$C$2:$C$3272,$B41,'Progress Tracker'!$I$2:$I$3272,"Done")</f>
        <v/>
      </c>
      <c r="E41" s="30">
        <f>IFERROR(D41/C41,0)</f>
        <v/>
      </c>
      <c r="F41" s="29">
        <f>ROUND(SUMIF('Progress Tracker'!$C$2:$C$3272,$B41,'Progress Tracker'!$G$2:$G$3272),1)</f>
        <v/>
      </c>
      <c r="G41" s="1" t="n"/>
    </row>
    <row r="42">
      <c r="A42" s="1" t="n"/>
      <c r="B42" s="36" t="inlineStr">
        <is>
          <t>CS336 individual lectures (2026 edition</t>
        </is>
      </c>
      <c r="C42" s="29">
        <f>COUNTIF('Progress Tracker'!$C$2:$C$3272,$B42)</f>
        <v/>
      </c>
      <c r="D42" s="29">
        <f>COUNTIFS('Progress Tracker'!$C$2:$C$3272,$B42,'Progress Tracker'!$I$2:$I$3272,"Done")</f>
        <v/>
      </c>
      <c r="E42" s="30">
        <f>IFERROR(D42/C42,0)</f>
        <v/>
      </c>
      <c r="F42" s="29">
        <f>ROUND(SUMIF('Progress Tracker'!$C$2:$C$3272,$B42,'Progress Tracker'!$G$2:$G$3272),1)</f>
        <v/>
      </c>
      <c r="G42" s="1" t="n"/>
    </row>
    <row r="43">
      <c r="A43" s="1" t="n"/>
      <c r="B43" s="36" t="inlineStr">
        <is>
          <t>B.3.8 Large-scale data, search, and complexity</t>
        </is>
      </c>
      <c r="C43" s="29">
        <f>COUNTIF('Progress Tracker'!$C$2:$C$3272,$B43)</f>
        <v/>
      </c>
      <c r="D43" s="29">
        <f>COUNTIFS('Progress Tracker'!$C$2:$C$3272,$B43,'Progress Tracker'!$I$2:$I$3272,"Done")</f>
        <v/>
      </c>
      <c r="E43" s="30">
        <f>IFERROR(D43/C43,0)</f>
        <v/>
      </c>
      <c r="F43" s="29">
        <f>ROUND(SUMIF('Progress Tracker'!$C$2:$C$3272,$B43,'Progress Tracker'!$G$2:$G$3272),1)</f>
        <v/>
      </c>
      <c r="G43" s="1" t="n"/>
    </row>
    <row r="44">
      <c r="A44" s="1" t="n"/>
      <c r="B44" s="36" t="inlineStr">
        <is>
          <t>B.4.3 Protein structure and folding</t>
        </is>
      </c>
      <c r="C44" s="29">
        <f>COUNTIF('Progress Tracker'!$C$2:$C$3272,$B44)</f>
        <v/>
      </c>
      <c r="D44" s="29">
        <f>COUNTIFS('Progress Tracker'!$C$2:$C$3272,$B44,'Progress Tracker'!$I$2:$I$3272,"Done")</f>
        <v/>
      </c>
      <c r="E44" s="30">
        <f>IFERROR(D44/C44,0)</f>
        <v/>
      </c>
      <c r="F44" s="29">
        <f>ROUND(SUMIF('Progress Tracker'!$C$2:$C$3272,$B44,'Progress Tracker'!$G$2:$G$3272),1)</f>
        <v/>
      </c>
      <c r="G44" s="1" t="n"/>
    </row>
    <row r="45">
      <c r="A45" s="1" t="n"/>
      <c r="B45" s="36" t="inlineStr">
        <is>
          <t>A.1 Empirical force fields</t>
        </is>
      </c>
      <c r="C45" s="29">
        <f>COUNTIF('Progress Tracker'!$C$2:$C$3272,$B45)</f>
        <v/>
      </c>
      <c r="D45" s="29">
        <f>COUNTIFS('Progress Tracker'!$C$2:$C$3272,$B45,'Progress Tracker'!$I$2:$I$3272,"Done")</f>
        <v/>
      </c>
      <c r="E45" s="30">
        <f>IFERROR(D45/C45,0)</f>
        <v/>
      </c>
      <c r="F45" s="29">
        <f>ROUND(SUMIF('Progress Tracker'!$C$2:$C$3272,$B45,'Progress Tracker'!$G$2:$G$3272),1)</f>
        <v/>
      </c>
      <c r="G45" s="1" t="n"/>
    </row>
    <row r="46">
      <c r="A46" s="1" t="n"/>
      <c r="B46" s="36" t="inlineStr">
        <is>
          <t>A.2 Electrostatics and continuum solvation</t>
        </is>
      </c>
      <c r="C46" s="29">
        <f>COUNTIF('Progress Tracker'!$C$2:$C$3272,$B46)</f>
        <v/>
      </c>
      <c r="D46" s="29">
        <f>COUNTIFS('Progress Tracker'!$C$2:$C$3272,$B46,'Progress Tracker'!$I$2:$I$3272,"Done")</f>
        <v/>
      </c>
      <c r="E46" s="30">
        <f>IFERROR(D46/C46,0)</f>
        <v/>
      </c>
      <c r="F46" s="29">
        <f>ROUND(SUMIF('Progress Tracker'!$C$2:$C$3272,$B46,'Progress Tracker'!$G$2:$G$3272),1)</f>
        <v/>
      </c>
      <c r="G46" s="1" t="n"/>
    </row>
    <row r="47">
      <c r="A47" s="1" t="n"/>
      <c r="B47" s="36" t="inlineStr">
        <is>
          <t>A.3 Quantum mechanics and QM/MM</t>
        </is>
      </c>
      <c r="C47" s="29">
        <f>COUNTIF('Progress Tracker'!$C$2:$C$3272,$B47)</f>
        <v/>
      </c>
      <c r="D47" s="29">
        <f>COUNTIFS('Progress Tracker'!$C$2:$C$3272,$B47,'Progress Tracker'!$I$2:$I$3272,"Done")</f>
        <v/>
      </c>
      <c r="E47" s="30">
        <f>IFERROR(D47/C47,0)</f>
        <v/>
      </c>
      <c r="F47" s="29">
        <f>ROUND(SUMIF('Progress Tracker'!$C$2:$C$3272,$B47,'Progress Tracker'!$G$2:$G$3272),1)</f>
        <v/>
      </c>
      <c r="G47" s="1" t="n"/>
    </row>
    <row r="48">
      <c r="A48" s="1" t="n"/>
      <c r="B48" s="36" t="inlineStr">
        <is>
          <t>A.4 Machine-learned interatomic potentials - the disruptive tier</t>
        </is>
      </c>
      <c r="C48" s="29">
        <f>COUNTIF('Progress Tracker'!$C$2:$C$3272,$B48)</f>
        <v/>
      </c>
      <c r="D48" s="29">
        <f>COUNTIFS('Progress Tracker'!$C$2:$C$3272,$B48,'Progress Tracker'!$I$2:$I$3272,"Done")</f>
        <v/>
      </c>
      <c r="E48" s="30">
        <f>IFERROR(D48/C48,0)</f>
        <v/>
      </c>
      <c r="F48" s="29">
        <f>ROUND(SUMIF('Progress Tracker'!$C$2:$C$3272,$B48,'Progress Tracker'!$G$2:$G$3272),1)</f>
        <v/>
      </c>
      <c r="G48" s="1" t="n"/>
    </row>
    <row r="49">
      <c r="A49" s="1" t="n"/>
      <c r="B49" s="36" t="inlineStr">
        <is>
          <t>B.1 Foundations - the integrator, the thermostat, the box</t>
        </is>
      </c>
      <c r="C49" s="29">
        <f>COUNTIF('Progress Tracker'!$C$2:$C$3272,$B49)</f>
        <v/>
      </c>
      <c r="D49" s="29">
        <f>COUNTIFS('Progress Tracker'!$C$2:$C$3272,$B49,'Progress Tracker'!$I$2:$I$3272,"Done")</f>
        <v/>
      </c>
      <c r="E49" s="30">
        <f>IFERROR(D49/C49,0)</f>
        <v/>
      </c>
      <c r="F49" s="29">
        <f>ROUND(SUMIF('Progress Tracker'!$C$2:$C$3272,$B49,'Progress Tracker'!$G$2:$G$3272),1)</f>
        <v/>
      </c>
      <c r="G49" s="1" t="n"/>
    </row>
    <row r="50">
      <c r="A50" s="1" t="n"/>
      <c r="B50" s="36" t="inlineStr">
        <is>
          <t>B.2 Anton and the long-timescale program</t>
        </is>
      </c>
      <c r="C50" s="29">
        <f>COUNTIF('Progress Tracker'!$C$2:$C$3272,$B50)</f>
        <v/>
      </c>
      <c r="D50" s="29">
        <f>COUNTIFS('Progress Tracker'!$C$2:$C$3272,$B50,'Progress Tracker'!$I$2:$I$3272,"Done")</f>
        <v/>
      </c>
      <c r="E50" s="30">
        <f>IFERROR(D50/C50,0)</f>
        <v/>
      </c>
      <c r="F50" s="29">
        <f>ROUND(SUMIF('Progress Tracker'!$C$2:$C$3272,$B50,'Progress Tracker'!$G$2:$G$3272),1)</f>
        <v/>
      </c>
      <c r="G50" s="1" t="n"/>
    </row>
    <row r="51">
      <c r="A51" s="1" t="n"/>
      <c r="B51" s="36" t="inlineStr">
        <is>
          <t>B.3 Force fields in practice - and the parts that are wrong</t>
        </is>
      </c>
      <c r="C51" s="29">
        <f>COUNTIF('Progress Tracker'!$C$2:$C$3272,$B51)</f>
        <v/>
      </c>
      <c r="D51" s="29">
        <f>COUNTIFS('Progress Tracker'!$C$2:$C$3272,$B51,'Progress Tracker'!$I$2:$I$3272,"Done")</f>
        <v/>
      </c>
      <c r="E51" s="30">
        <f>IFERROR(D51/C51,0)</f>
        <v/>
      </c>
      <c r="F51" s="29">
        <f>ROUND(SUMIF('Progress Tracker'!$C$2:$C$3272,$B51,'Progress Tracker'!$G$2:$G$3272),1)</f>
        <v/>
      </c>
      <c r="G51" s="1" t="n"/>
    </row>
    <row r="52">
      <c r="A52" s="1" t="n"/>
      <c r="B52" s="36" t="inlineStr">
        <is>
          <t>B.4 Running MD correctly - the practitioner layer</t>
        </is>
      </c>
      <c r="C52" s="29">
        <f>COUNTIF('Progress Tracker'!$C$2:$C$3272,$B52)</f>
        <v/>
      </c>
      <c r="D52" s="29">
        <f>COUNTIFS('Progress Tracker'!$C$2:$C$3272,$B52,'Progress Tracker'!$I$2:$I$3272,"Done")</f>
        <v/>
      </c>
      <c r="E52" s="30">
        <f>IFERROR(D52/C52,0)</f>
        <v/>
      </c>
      <c r="F52" s="29">
        <f>ROUND(SUMIF('Progress Tracker'!$C$2:$C$3272,$B52,'Progress Tracker'!$G$2:$G$3272),1)</f>
        <v/>
      </c>
      <c r="G52" s="1" t="n"/>
    </row>
    <row r="53">
      <c r="A53" s="1" t="n"/>
      <c r="B53" s="36" t="inlineStr">
        <is>
          <t>B.5 Convergence, error bars, and what a trajectory does not tell you</t>
        </is>
      </c>
      <c r="C53" s="29">
        <f>COUNTIF('Progress Tracker'!$C$2:$C$3272,$B53)</f>
        <v/>
      </c>
      <c r="D53" s="29">
        <f>COUNTIFS('Progress Tracker'!$C$2:$C$3272,$B53,'Progress Tracker'!$I$2:$I$3272,"Done")</f>
        <v/>
      </c>
      <c r="E53" s="30">
        <f>IFERROR(D53/C53,0)</f>
        <v/>
      </c>
      <c r="F53" s="29">
        <f>ROUND(SUMIF('Progress Tracker'!$C$2:$C$3272,$B53,'Progress Tracker'!$G$2:$G$3272),1)</f>
        <v/>
      </c>
      <c r="G53" s="1" t="n"/>
    </row>
    <row r="54">
      <c r="A54" s="1" t="n"/>
      <c r="B54" s="36" t="inlineStr">
        <is>
          <t>Werner Krauth - Statistical Mechanics: Algorithms and Computations</t>
        </is>
      </c>
      <c r="C54" s="29">
        <f>COUNTIF('Progress Tracker'!$C$2:$C$3272,$B54)</f>
        <v/>
      </c>
      <c r="D54" s="29">
        <f>COUNTIFS('Progress Tracker'!$C$2:$C$3272,$B54,'Progress Tracker'!$I$2:$I$3272,"Done")</f>
        <v/>
      </c>
      <c r="E54" s="30">
        <f>IFERROR(D54/C54,0)</f>
        <v/>
      </c>
      <c r="F54" s="29">
        <f>ROUND(SUMIF('Progress Tracker'!$C$2:$C$3272,$B54,'Progress Tracker'!$G$2:$G$3272),1)</f>
        <v/>
      </c>
      <c r="G54" s="1" t="n"/>
    </row>
    <row r="55">
      <c r="A55" s="1" t="n"/>
      <c r="B55" s="36" t="inlineStr">
        <is>
          <t>Why high-dimensional sampling needs MCMC at all</t>
        </is>
      </c>
      <c r="C55" s="29">
        <f>COUNTIF('Progress Tracker'!$C$2:$C$3272,$B55)</f>
        <v/>
      </c>
      <c r="D55" s="29">
        <f>COUNTIFS('Progress Tracker'!$C$2:$C$3272,$B55,'Progress Tracker'!$I$2:$I$3272,"Done")</f>
        <v/>
      </c>
      <c r="E55" s="30">
        <f>IFERROR(D55/C55,0)</f>
        <v/>
      </c>
      <c r="F55" s="29">
        <f>ROUND(SUMIF('Progress Tracker'!$C$2:$C$3272,$B55,'Progress Tracker'!$G$2:$G$3272),1)</f>
        <v/>
      </c>
      <c r="G55" s="1" t="n"/>
    </row>
    <row r="56">
      <c r="A56" s="1" t="n"/>
      <c r="B56" s="36" t="inlineStr">
        <is>
          <t>Course modules</t>
        </is>
      </c>
      <c r="C56" s="29">
        <f>COUNTIF('Progress Tracker'!$C$2:$C$3272,$B56)</f>
        <v/>
      </c>
      <c r="D56" s="29">
        <f>COUNTIFS('Progress Tracker'!$C$2:$C$3272,$B56,'Progress Tracker'!$I$2:$I$3272,"Done")</f>
        <v/>
      </c>
      <c r="E56" s="30">
        <f>IFERROR(D56/C56,0)</f>
        <v/>
      </c>
      <c r="F56" s="29">
        <f>ROUND(SUMIF('Progress Tracker'!$C$2:$C$3272,$B56,'Progress Tracker'!$G$2:$G$3272),1)</f>
        <v/>
      </c>
      <c r="G56" s="1" t="n"/>
    </row>
    <row r="57">
      <c r="A57" s="1" t="n"/>
      <c r="B57" s="36" t="inlineStr">
        <is>
          <t>Hamiltonian Monte Carlo</t>
        </is>
      </c>
      <c r="C57" s="29">
        <f>COUNTIF('Progress Tracker'!$C$2:$C$3272,$B57)</f>
        <v/>
      </c>
      <c r="D57" s="29">
        <f>COUNTIFS('Progress Tracker'!$C$2:$C$3272,$B57,'Progress Tracker'!$I$2:$I$3272,"Done")</f>
        <v/>
      </c>
      <c r="E57" s="30">
        <f>IFERROR(D57/C57,0)</f>
        <v/>
      </c>
      <c r="F57" s="29">
        <f>ROUND(SUMIF('Progress Tracker'!$C$2:$C$3272,$B57,'Progress Tracker'!$G$2:$G$3272),1)</f>
        <v/>
      </c>
      <c r="G57" s="1" t="n"/>
    </row>
    <row r="58">
      <c r="A58" s="1" t="n"/>
      <c r="B58" s="36" t="inlineStr">
        <is>
          <t>Nested sampling, Wang-Landau, tempering</t>
        </is>
      </c>
      <c r="C58" s="29">
        <f>COUNTIF('Progress Tracker'!$C$2:$C$3272,$B58)</f>
        <v/>
      </c>
      <c r="D58" s="29">
        <f>COUNTIFS('Progress Tracker'!$C$2:$C$3272,$B58,'Progress Tracker'!$I$2:$I$3272,"Done")</f>
        <v/>
      </c>
      <c r="E58" s="30">
        <f>IFERROR(D58/C58,0)</f>
        <v/>
      </c>
      <c r="F58" s="29">
        <f>ROUND(SUMIF('Progress Tracker'!$C$2:$C$3272,$B58,'Progress Tracker'!$G$2:$G$3272),1)</f>
        <v/>
      </c>
      <c r="G58" s="1" t="n"/>
    </row>
    <row r="59">
      <c r="A59" s="1" t="n"/>
      <c r="B59" s="36" t="inlineStr">
        <is>
          <t>Cluster algorithms, non-reversible MCMC, sequential MC</t>
        </is>
      </c>
      <c r="C59" s="29">
        <f>COUNTIF('Progress Tracker'!$C$2:$C$3272,$B59)</f>
        <v/>
      </c>
      <c r="D59" s="29">
        <f>COUNTIFS('Progress Tracker'!$C$2:$C$3272,$B59,'Progress Tracker'!$I$2:$I$3272,"Done")</f>
        <v/>
      </c>
      <c r="E59" s="30">
        <f>IFERROR(D59/C59,0)</f>
        <v/>
      </c>
      <c r="F59" s="29">
        <f>ROUND(SUMIF('Progress Tracker'!$C$2:$C$3272,$B59,'Progress Tracker'!$G$2:$G$3272),1)</f>
        <v/>
      </c>
      <c r="G59" s="1" t="n"/>
    </row>
    <row r="60">
      <c r="A60" s="1" t="n"/>
      <c r="B60" s="36" t="inlineStr">
        <is>
          <t>C.3 Monte Carlo in molecular systems</t>
        </is>
      </c>
      <c r="C60" s="29">
        <f>COUNTIF('Progress Tracker'!$C$2:$C$3272,$B60)</f>
        <v/>
      </c>
      <c r="D60" s="29">
        <f>COUNTIFS('Progress Tracker'!$C$2:$C$3272,$B60,'Progress Tracker'!$I$2:$I$3272,"Done")</f>
        <v/>
      </c>
      <c r="E60" s="30">
        <f>IFERROR(D60/C60,0)</f>
        <v/>
      </c>
      <c r="F60" s="29">
        <f>ROUND(SUMIF('Progress Tracker'!$C$2:$C$3272,$B60,'Progress Tracker'!$G$2:$G$3272),1)</f>
        <v/>
      </c>
      <c r="G60" s="1" t="n"/>
    </row>
    <row r="61">
      <c r="A61" s="1" t="n"/>
      <c r="B61" s="36" t="inlineStr">
        <is>
          <t>C.4 Rare-event and path sampling</t>
        </is>
      </c>
      <c r="C61" s="29">
        <f>COUNTIF('Progress Tracker'!$C$2:$C$3272,$B61)</f>
        <v/>
      </c>
      <c r="D61" s="29">
        <f>COUNTIFS('Progress Tracker'!$C$2:$C$3272,$B61,'Progress Tracker'!$I$2:$I$3272,"Done")</f>
        <v/>
      </c>
      <c r="E61" s="30">
        <f>IFERROR(D61/C61,0)</f>
        <v/>
      </c>
      <c r="F61" s="29">
        <f>ROUND(SUMIF('Progress Tracker'!$C$2:$C$3272,$B61,'Progress Tracker'!$G$2:$G$3272),1)</f>
        <v/>
      </c>
      <c r="G61" s="1" t="n"/>
    </row>
    <row r="62">
      <c r="A62" s="1" t="n"/>
      <c r="B62" s="36" t="inlineStr">
        <is>
          <t>C.5 Monte Carlo meets machine learning - the live frontier</t>
        </is>
      </c>
      <c r="C62" s="29">
        <f>COUNTIF('Progress Tracker'!$C$2:$C$3272,$B62)</f>
        <v/>
      </c>
      <c r="D62" s="29">
        <f>COUNTIFS('Progress Tracker'!$C$2:$C$3272,$B62,'Progress Tracker'!$I$2:$I$3272,"Done")</f>
        <v/>
      </c>
      <c r="E62" s="30">
        <f>IFERROR(D62/C62,0)</f>
        <v/>
      </c>
      <c r="F62" s="29">
        <f>ROUND(SUMIF('Progress Tracker'!$C$2:$C$3272,$B62,'Progress Tracker'!$G$2:$G$3272),1)</f>
        <v/>
      </c>
      <c r="G62" s="1" t="n"/>
    </row>
    <row r="63">
      <c r="A63" s="1" t="n"/>
      <c r="B63" s="36" t="inlineStr">
        <is>
          <t>C.6 Quantum and Bayesian Monte Carlo</t>
        </is>
      </c>
      <c r="C63" s="29">
        <f>COUNTIF('Progress Tracker'!$C$2:$C$3272,$B63)</f>
        <v/>
      </c>
      <c r="D63" s="29">
        <f>COUNTIFS('Progress Tracker'!$C$2:$C$3272,$B63,'Progress Tracker'!$I$2:$I$3272,"Done")</f>
        <v/>
      </c>
      <c r="E63" s="30">
        <f>IFERROR(D63/C63,0)</f>
        <v/>
      </c>
      <c r="F63" s="29">
        <f>ROUND(SUMIF('Progress Tracker'!$C$2:$C$3272,$B63,'Progress Tracker'!$G$2:$G$3272),1)</f>
        <v/>
      </c>
      <c r="G63" s="1" t="n"/>
    </row>
    <row r="64">
      <c r="A64" s="1" t="n"/>
      <c r="B64" s="36" t="inlineStr">
        <is>
          <t>Bayesian computation and diagnostics</t>
        </is>
      </c>
      <c r="C64" s="29">
        <f>COUNTIF('Progress Tracker'!$C$2:$C$3272,$B64)</f>
        <v/>
      </c>
      <c r="D64" s="29">
        <f>COUNTIFS('Progress Tracker'!$C$2:$C$3272,$B64,'Progress Tracker'!$I$2:$I$3272,"Done")</f>
        <v/>
      </c>
      <c r="E64" s="30">
        <f>IFERROR(D64/C64,0)</f>
        <v/>
      </c>
      <c r="F64" s="29">
        <f>ROUND(SUMIF('Progress Tracker'!$C$2:$C$3272,$B64,'Progress Tracker'!$G$2:$G$3272),1)</f>
        <v/>
      </c>
      <c r="G64" s="1" t="n"/>
    </row>
    <row r="65">
      <c r="A65" s="1" t="n"/>
      <c r="B65" s="36" t="inlineStr">
        <is>
          <t>D.2 Collective-variable methods</t>
        </is>
      </c>
      <c r="C65" s="29">
        <f>COUNTIF('Progress Tracker'!$C$2:$C$3272,$B65)</f>
        <v/>
      </c>
      <c r="D65" s="29">
        <f>COUNTIFS('Progress Tracker'!$C$2:$C$3272,$B65,'Progress Tracker'!$I$2:$I$3272,"Done")</f>
        <v/>
      </c>
      <c r="E65" s="30">
        <f>IFERROR(D65/C65,0)</f>
        <v/>
      </c>
      <c r="F65" s="29">
        <f>ROUND(SUMIF('Progress Tracker'!$C$2:$C$3272,$B65,'Progress Tracker'!$G$2:$G$3272),1)</f>
        <v/>
      </c>
      <c r="G65" s="1" t="n"/>
    </row>
    <row r="66">
      <c r="A66" s="1" t="n"/>
      <c r="B66" s="36" t="inlineStr">
        <is>
          <t>D.4 Path and trajectory-space methods</t>
        </is>
      </c>
      <c r="C66" s="29">
        <f>COUNTIF('Progress Tracker'!$C$2:$C$3272,$B66)</f>
        <v/>
      </c>
      <c r="D66" s="29">
        <f>COUNTIFS('Progress Tracker'!$C$2:$C$3272,$B66,'Progress Tracker'!$I$2:$I$3272,"Done")</f>
        <v/>
      </c>
      <c r="E66" s="30">
        <f>IFERROR(D66/C66,0)</f>
        <v/>
      </c>
      <c r="F66" s="29">
        <f>ROUND(SUMIF('Progress Tracker'!$C$2:$C$3272,$B66,'Progress Tracker'!$G$2:$G$3272),1)</f>
        <v/>
      </c>
      <c r="G66" s="1" t="n"/>
    </row>
    <row r="67">
      <c r="A67" s="1" t="n"/>
      <c r="B67" s="36" t="inlineStr">
        <is>
          <t>D.5 Markov state models - many short runs instead of one long one</t>
        </is>
      </c>
      <c r="C67" s="29">
        <f>COUNTIF('Progress Tracker'!$C$2:$C$3272,$B67)</f>
        <v/>
      </c>
      <c r="D67" s="29">
        <f>COUNTIFS('Progress Tracker'!$C$2:$C$3272,$B67,'Progress Tracker'!$I$2:$I$3272,"Done")</f>
        <v/>
      </c>
      <c r="E67" s="30">
        <f>IFERROR(D67/C67,0)</f>
        <v/>
      </c>
      <c r="F67" s="29">
        <f>ROUND(SUMIF('Progress Tracker'!$C$2:$C$3272,$B67,'Progress Tracker'!$G$2:$G$3272),1)</f>
        <v/>
      </c>
      <c r="G67" s="1" t="n"/>
    </row>
    <row r="68">
      <c r="A68" s="1" t="n"/>
      <c r="B68" s="36" t="inlineStr">
        <is>
          <t>D.6 The learned-sampler frontier</t>
        </is>
      </c>
      <c r="C68" s="29">
        <f>COUNTIF('Progress Tracker'!$C$2:$C$3272,$B68)</f>
        <v/>
      </c>
      <c r="D68" s="29">
        <f>COUNTIFS('Progress Tracker'!$C$2:$C$3272,$B68,'Progress Tracker'!$I$2:$I$3272,"Done")</f>
        <v/>
      </c>
      <c r="E68" s="30">
        <f>IFERROR(D68/C68,0)</f>
        <v/>
      </c>
      <c r="F68" s="29">
        <f>ROUND(SUMIF('Progress Tracker'!$C$2:$C$3272,$B68,'Progress Tracker'!$G$2:$G$3272),1)</f>
        <v/>
      </c>
      <c r="G68" s="1" t="n"/>
    </row>
    <row r="69">
      <c r="A69" s="1" t="n"/>
      <c r="B69" s="36" t="inlineStr">
        <is>
          <t>Alchemical foundations</t>
        </is>
      </c>
      <c r="C69" s="29">
        <f>COUNTIF('Progress Tracker'!$C$2:$C$3272,$B69)</f>
        <v/>
      </c>
      <c r="D69" s="29">
        <f>COUNTIFS('Progress Tracker'!$C$2:$C$3272,$B69,'Progress Tracker'!$I$2:$I$3272,"Done")</f>
        <v/>
      </c>
      <c r="E69" s="30">
        <f>IFERROR(D69/C69,0)</f>
        <v/>
      </c>
      <c r="F69" s="29">
        <f>ROUND(SUMIF('Progress Tracker'!$C$2:$C$3272,$B69,'Progress Tracker'!$G$2:$G$3272),1)</f>
        <v/>
      </c>
      <c r="G69" s="1" t="n"/>
    </row>
    <row r="70">
      <c r="A70" s="1" t="n"/>
      <c r="B70" s="36" t="inlineStr">
        <is>
          <t>Industrial practice, and the skeptics</t>
        </is>
      </c>
      <c r="C70" s="29">
        <f>COUNTIF('Progress Tracker'!$C$2:$C$3272,$B70)</f>
        <v/>
      </c>
      <c r="D70" s="29">
        <f>COUNTIFS('Progress Tracker'!$C$2:$C$3272,$B70,'Progress Tracker'!$I$2:$I$3272,"Done")</f>
        <v/>
      </c>
      <c r="E70" s="30">
        <f>IFERROR(D70/C70,0)</f>
        <v/>
      </c>
      <c r="F70" s="29">
        <f>ROUND(SUMIF('Progress Tracker'!$C$2:$C$3272,$B70,'Progress Tracker'!$G$2:$G$3272),1)</f>
        <v/>
      </c>
      <c r="G70" s="1" t="n"/>
    </row>
    <row r="71">
      <c r="A71" s="1" t="n"/>
      <c r="B71" s="36" t="inlineStr">
        <is>
          <t>Blind challenges</t>
        </is>
      </c>
      <c r="C71" s="29">
        <f>COUNTIF('Progress Tracker'!$C$2:$C$3272,$B71)</f>
        <v/>
      </c>
      <c r="D71" s="29">
        <f>COUNTIFS('Progress Tracker'!$C$2:$C$3272,$B71,'Progress Tracker'!$I$2:$I$3272,"Done")</f>
        <v/>
      </c>
      <c r="E71" s="30">
        <f>IFERROR(D71/C71,0)</f>
        <v/>
      </c>
      <c r="F71" s="29">
        <f>ROUND(SUMIF('Progress Tracker'!$C$2:$C$3272,$B71,'Progress Tracker'!$G$2:$G$3272),1)</f>
        <v/>
      </c>
      <c r="G71" s="1" t="n"/>
    </row>
    <row r="72">
      <c r="A72" s="1" t="n"/>
      <c r="B72" s="36" t="inlineStr">
        <is>
          <t>Nonequilibrium methods</t>
        </is>
      </c>
      <c r="C72" s="29">
        <f>COUNTIF('Progress Tracker'!$C$2:$C$3272,$B72)</f>
        <v/>
      </c>
      <c r="D72" s="29">
        <f>COUNTIFS('Progress Tracker'!$C$2:$C$3272,$B72,'Progress Tracker'!$I$2:$I$3272,"Done")</f>
        <v/>
      </c>
      <c r="E72" s="30">
        <f>IFERROR(D72/C72,0)</f>
        <v/>
      </c>
      <c r="F72" s="29">
        <f>ROUND(SUMIF('Progress Tracker'!$C$2:$C$3272,$B72,'Progress Tracker'!$G$2:$G$3272),1)</f>
        <v/>
      </c>
      <c r="G72" s="1" t="n"/>
    </row>
    <row r="73">
      <c r="A73" s="1" t="n"/>
      <c r="B73" s="36" t="inlineStr">
        <is>
          <t>ΔΔG of mutation</t>
        </is>
      </c>
      <c r="C73" s="29">
        <f>COUNTIF('Progress Tracker'!$C$2:$C$3272,$B73)</f>
        <v/>
      </c>
      <c r="D73" s="29">
        <f>COUNTIFS('Progress Tracker'!$C$2:$C$3272,$B73,'Progress Tracker'!$I$2:$I$3272,"Done")</f>
        <v/>
      </c>
      <c r="E73" s="30">
        <f>IFERROR(D73/C73,0)</f>
        <v/>
      </c>
      <c r="F73" s="29">
        <f>ROUND(SUMIF('Progress Tracker'!$C$2:$C$3272,$B73,'Progress Tracker'!$G$2:$G$3272),1)</f>
        <v/>
      </c>
      <c r="G73" s="1" t="n"/>
    </row>
    <row r="74">
      <c r="A74" s="1" t="n"/>
      <c r="B74" s="36" t="inlineStr">
        <is>
          <t>E.2 The estimators</t>
        </is>
      </c>
      <c r="C74" s="29">
        <f>COUNTIF('Progress Tracker'!$C$2:$C$3272,$B74)</f>
        <v/>
      </c>
      <c r="D74" s="29">
        <f>COUNTIFS('Progress Tracker'!$C$2:$C$3272,$B74,'Progress Tracker'!$I$2:$I$3272,"Done")</f>
        <v/>
      </c>
      <c r="E74" s="30">
        <f>IFERROR(D74/C74,0)</f>
        <v/>
      </c>
      <c r="F74" s="29">
        <f>ROUND(SUMIF('Progress Tracker'!$C$2:$C$3272,$B74,'Progress Tracker'!$G$2:$G$3272),1)</f>
        <v/>
      </c>
      <c r="G74" s="1" t="n"/>
    </row>
    <row r="75">
      <c r="A75" s="1" t="n"/>
      <c r="B75" s="36" t="inlineStr">
        <is>
          <t>E.3 Binding free energies</t>
        </is>
      </c>
      <c r="C75" s="29">
        <f>COUNTIF('Progress Tracker'!$C$2:$C$3272,$B75)</f>
        <v/>
      </c>
      <c r="D75" s="29">
        <f>COUNTIFS('Progress Tracker'!$C$2:$C$3272,$B75,'Progress Tracker'!$I$2:$I$3272,"Done")</f>
        <v/>
      </c>
      <c r="E75" s="30">
        <f>IFERROR(D75/C75,0)</f>
        <v/>
      </c>
      <c r="F75" s="29">
        <f>ROUND(SUMIF('Progress Tracker'!$C$2:$C$3272,$B75,'Progress Tracker'!$G$2:$G$3272),1)</f>
        <v/>
      </c>
      <c r="G75" s="1" t="n"/>
    </row>
    <row r="76">
      <c r="A76" s="1" t="n"/>
      <c r="B76" s="36" t="inlineStr">
        <is>
          <t>E.4 ΔΔG of mutation and protein stability</t>
        </is>
      </c>
      <c r="C76" s="29">
        <f>COUNTIF('Progress Tracker'!$C$2:$C$3272,$B76)</f>
        <v/>
      </c>
      <c r="D76" s="29">
        <f>COUNTIFS('Progress Tracker'!$C$2:$C$3272,$B76,'Progress Tracker'!$I$2:$I$3272,"Done")</f>
        <v/>
      </c>
      <c r="E76" s="30">
        <f>IFERROR(D76/C76,0)</f>
        <v/>
      </c>
      <c r="F76" s="29">
        <f>ROUND(SUMIF('Progress Tracker'!$C$2:$C$3272,$B76,'Progress Tracker'!$G$2:$G$3272),1)</f>
        <v/>
      </c>
      <c r="G76" s="1" t="n"/>
    </row>
    <row r="77">
      <c r="A77" s="1" t="n"/>
      <c r="B77" s="36" t="inlineStr">
        <is>
          <t>Voth and multiscale coarse-graining</t>
        </is>
      </c>
      <c r="C77" s="29">
        <f>COUNTIF('Progress Tracker'!$C$2:$C$3272,$B77)</f>
        <v/>
      </c>
      <c r="D77" s="29">
        <f>COUNTIFS('Progress Tracker'!$C$2:$C$3272,$B77,'Progress Tracker'!$I$2:$I$3272,"Done")</f>
        <v/>
      </c>
      <c r="E77" s="30">
        <f>IFERROR(D77/C77,0)</f>
        <v/>
      </c>
      <c r="F77" s="29">
        <f>ROUND(SUMIF('Progress Tracker'!$C$2:$C$3272,$B77,'Progress Tracker'!$G$2:$G$3272),1)</f>
        <v/>
      </c>
      <c r="G77" s="1" t="n"/>
    </row>
    <row r="78">
      <c r="A78" s="1" t="n"/>
      <c r="B78" s="36" t="inlineStr">
        <is>
          <t>Force matching and iterative Boltzmann inversion - the PASI 2012 school</t>
        </is>
      </c>
      <c r="C78" s="29">
        <f>COUNTIF('Progress Tracker'!$C$2:$C$3272,$B78)</f>
        <v/>
      </c>
      <c r="D78" s="29">
        <f>COUNTIFS('Progress Tracker'!$C$2:$C$3272,$B78,'Progress Tracker'!$I$2:$I$3272,"Done")</f>
        <v/>
      </c>
      <c r="E78" s="30">
        <f>IFERROR(D78/C78,0)</f>
        <v/>
      </c>
      <c r="F78" s="29">
        <f>ROUND(SUMIF('Progress Tracker'!$C$2:$C$3272,$B78,'Progress Tracker'!$G$2:$G$3272),1)</f>
        <v/>
      </c>
      <c r="G78" s="1" t="n"/>
    </row>
    <row r="79">
      <c r="A79" s="1" t="n"/>
      <c r="B79" s="36" t="inlineStr">
        <is>
          <t>Mori-Zwanzig and the memory kernel</t>
        </is>
      </c>
      <c r="C79" s="29">
        <f>COUNTIF('Progress Tracker'!$C$2:$C$3272,$B79)</f>
        <v/>
      </c>
      <c r="D79" s="29">
        <f>COUNTIFS('Progress Tracker'!$C$2:$C$3272,$B79,'Progress Tracker'!$I$2:$I$3272,"Done")</f>
        <v/>
      </c>
      <c r="E79" s="30">
        <f>IFERROR(D79/C79,0)</f>
        <v/>
      </c>
      <c r="F79" s="29">
        <f>ROUND(SUMIF('Progress Tracker'!$C$2:$C$3272,$B79,'Progress Tracker'!$G$2:$G$3272),1)</f>
        <v/>
      </c>
      <c r="G79" s="1" t="n"/>
    </row>
    <row r="80">
      <c r="A80" s="1" t="n"/>
      <c r="B80" s="36" t="inlineStr">
        <is>
          <t>Machine-learned coarse-graining - Clementi</t>
        </is>
      </c>
      <c r="C80" s="29">
        <f>COUNTIF('Progress Tracker'!$C$2:$C$3272,$B80)</f>
        <v/>
      </c>
      <c r="D80" s="29">
        <f>COUNTIFS('Progress Tracker'!$C$2:$C$3272,$B80,'Progress Tracker'!$I$2:$I$3272,"Done")</f>
        <v/>
      </c>
      <c r="E80" s="30">
        <f>IFERROR(D80/C80,0)</f>
        <v/>
      </c>
      <c r="F80" s="29">
        <f>ROUND(SUMIF('Progress Tracker'!$C$2:$C$3272,$B80,'Progress Tracker'!$G$2:$G$3272),1)</f>
        <v/>
      </c>
      <c r="G80" s="1" t="n"/>
    </row>
    <row r="81">
      <c r="A81" s="1" t="n"/>
      <c r="B81" s="36" t="inlineStr">
        <is>
          <t>Learned mappings and backmapping</t>
        </is>
      </c>
      <c r="C81" s="29">
        <f>COUNTIF('Progress Tracker'!$C$2:$C$3272,$B81)</f>
        <v/>
      </c>
      <c r="D81" s="29">
        <f>COUNTIFS('Progress Tracker'!$C$2:$C$3272,$B81,'Progress Tracker'!$I$2:$I$3272,"Done")</f>
        <v/>
      </c>
      <c r="E81" s="30">
        <f>IFERROR(D81/C81,0)</f>
        <v/>
      </c>
      <c r="F81" s="29">
        <f>ROUND(SUMIF('Progress Tracker'!$C$2:$C$3272,$B81,'Progress Tracker'!$G$2:$G$3272),1)</f>
        <v/>
      </c>
      <c r="G81" s="1" t="n"/>
    </row>
    <row r="82">
      <c r="A82" s="1" t="n"/>
      <c r="B82" s="36" t="inlineStr">
        <is>
          <t>MARTINI</t>
        </is>
      </c>
      <c r="C82" s="29">
        <f>COUNTIF('Progress Tracker'!$C$2:$C$3272,$B82)</f>
        <v/>
      </c>
      <c r="D82" s="29">
        <f>COUNTIFS('Progress Tracker'!$C$2:$C$3272,$B82,'Progress Tracker'!$I$2:$I$3272,"Done")</f>
        <v/>
      </c>
      <c r="E82" s="30">
        <f>IFERROR(D82/C82,0)</f>
        <v/>
      </c>
      <c r="F82" s="29">
        <f>ROUND(SUMIF('Progress Tracker'!$C$2:$C$3272,$B82,'Progress Tracker'!$G$2:$G$3272),1)</f>
        <v/>
      </c>
      <c r="G82" s="1" t="n"/>
    </row>
    <row r="83">
      <c r="A83" s="1" t="n"/>
      <c r="B83" s="36" t="inlineStr">
        <is>
          <t>Structure-based (Gō) models and the funnel lineage</t>
        </is>
      </c>
      <c r="C83" s="29">
        <f>COUNTIF('Progress Tracker'!$C$2:$C$3272,$B83)</f>
        <v/>
      </c>
      <c r="D83" s="29">
        <f>COUNTIFS('Progress Tracker'!$C$2:$C$3272,$B83,'Progress Tracker'!$I$2:$I$3272,"Done")</f>
        <v/>
      </c>
      <c r="E83" s="30">
        <f>IFERROR(D83/C83,0)</f>
        <v/>
      </c>
      <c r="F83" s="29">
        <f>ROUND(SUMIF('Progress Tracker'!$C$2:$C$3272,$B83,'Progress Tracker'!$G$2:$G$3272),1)</f>
        <v/>
      </c>
      <c r="G83" s="1" t="n"/>
    </row>
    <row r="84">
      <c r="A84" s="1" t="n"/>
      <c r="B84" s="36" t="inlineStr">
        <is>
          <t>AWSEM, UNRES, SIRAH and the rest</t>
        </is>
      </c>
      <c r="C84" s="29">
        <f>COUNTIF('Progress Tracker'!$C$2:$C$3272,$B84)</f>
        <v/>
      </c>
      <c r="D84" s="29">
        <f>COUNTIFS('Progress Tracker'!$C$2:$C$3272,$B84,'Progress Tracker'!$I$2:$I$3272,"Done")</f>
        <v/>
      </c>
      <c r="E84" s="30">
        <f>IFERROR(D84/C84,0)</f>
        <v/>
      </c>
      <c r="F84" s="29">
        <f>ROUND(SUMIF('Progress Tracker'!$C$2:$C$3272,$B84,'Progress Tracker'!$G$2:$G$3272),1)</f>
        <v/>
      </c>
      <c r="G84" s="1" t="n"/>
    </row>
    <row r="85">
      <c r="A85" s="1" t="n"/>
      <c r="B85" s="36" t="inlineStr">
        <is>
          <t>Adaptive resolution and multiscale coupling</t>
        </is>
      </c>
      <c r="C85" s="29">
        <f>COUNTIF('Progress Tracker'!$C$2:$C$3272,$B85)</f>
        <v/>
      </c>
      <c r="D85" s="29">
        <f>COUNTIFS('Progress Tracker'!$C$2:$C$3272,$B85,'Progress Tracker'!$I$2:$I$3272,"Done")</f>
        <v/>
      </c>
      <c r="E85" s="30">
        <f>IFERROR(D85/C85,0)</f>
        <v/>
      </c>
      <c r="F85" s="29">
        <f>ROUND(SUMIF('Progress Tracker'!$C$2:$C$3272,$B85,'Progress Tracker'!$G$2:$G$3272),1)</f>
        <v/>
      </c>
      <c r="G85" s="1" t="n"/>
    </row>
    <row r="86">
      <c r="A86" s="1" t="n"/>
      <c r="B86" s="36" t="inlineStr">
        <is>
          <t>Membrane elasticity - the Deserno course</t>
        </is>
      </c>
      <c r="C86" s="29">
        <f>COUNTIF('Progress Tracker'!$C$2:$C$3272,$B86)</f>
        <v/>
      </c>
      <c r="D86" s="29">
        <f>COUNTIFS('Progress Tracker'!$C$2:$C$3272,$B86,'Progress Tracker'!$I$2:$I$3272,"Done")</f>
        <v/>
      </c>
      <c r="E86" s="30">
        <f>IFERROR(D86/C86,0)</f>
        <v/>
      </c>
      <c r="F86" s="29">
        <f>ROUND(SUMIF('Progress Tracker'!$C$2:$C$3272,$B86,'Progress Tracker'!$G$2:$G$3272),1)</f>
        <v/>
      </c>
      <c r="G86" s="1" t="n"/>
    </row>
    <row r="87">
      <c r="A87" s="1" t="n"/>
      <c r="B87" s="36" t="inlineStr">
        <is>
          <t>Dissipative particle dynamics and lattice Boltzmann</t>
        </is>
      </c>
      <c r="C87" s="29">
        <f>COUNTIF('Progress Tracker'!$C$2:$C$3272,$B87)</f>
        <v/>
      </c>
      <c r="D87" s="29">
        <f>COUNTIFS('Progress Tracker'!$C$2:$C$3272,$B87,'Progress Tracker'!$I$2:$I$3272,"Done")</f>
        <v/>
      </c>
      <c r="E87" s="30">
        <f>IFERROR(D87/C87,0)</f>
        <v/>
      </c>
      <c r="F87" s="29">
        <f>ROUND(SUMIF('Progress Tracker'!$C$2:$C$3272,$B87,'Progress Tracker'!$G$2:$G$3272),1)</f>
        <v/>
      </c>
      <c r="G87" s="1" t="n"/>
    </row>
    <row r="88">
      <c r="A88" s="1" t="n"/>
      <c r="B88" s="36" t="inlineStr">
        <is>
          <t>G.1 Brownian and Langevin dynamics, and association kinetics</t>
        </is>
      </c>
      <c r="C88" s="29">
        <f>COUNTIF('Progress Tracker'!$C$2:$C$3272,$B88)</f>
        <v/>
      </c>
      <c r="D88" s="29">
        <f>COUNTIFS('Progress Tracker'!$C$2:$C$3272,$B88,'Progress Tracker'!$I$2:$I$3272,"Done")</f>
        <v/>
      </c>
      <c r="E88" s="30">
        <f>IFERROR(D88/C88,0)</f>
        <v/>
      </c>
      <c r="F88" s="29">
        <f>ROUND(SUMIF('Progress Tracker'!$C$2:$C$3272,$B88,'Progress Tracker'!$G$2:$G$3272),1)</f>
        <v/>
      </c>
      <c r="G88" s="1" t="n"/>
    </row>
    <row r="89">
      <c r="A89" s="1" t="n"/>
      <c r="B89" s="36" t="inlineStr">
        <is>
          <t>G.2 Reaction-diffusion and particle-based cell simulation</t>
        </is>
      </c>
      <c r="C89" s="29">
        <f>COUNTIF('Progress Tracker'!$C$2:$C$3272,$B89)</f>
        <v/>
      </c>
      <c r="D89" s="29">
        <f>COUNTIFS('Progress Tracker'!$C$2:$C$3272,$B89,'Progress Tracker'!$I$2:$I$3272,"Done")</f>
        <v/>
      </c>
      <c r="E89" s="30">
        <f>IFERROR(D89/C89,0)</f>
        <v/>
      </c>
      <c r="F89" s="29">
        <f>ROUND(SUMIF('Progress Tracker'!$C$2:$C$3272,$B89,'Progress Tracker'!$G$2:$G$3272),1)</f>
        <v/>
      </c>
      <c r="G89" s="1" t="n"/>
    </row>
    <row r="90">
      <c r="A90" s="1" t="n"/>
      <c r="B90" s="36" t="inlineStr">
        <is>
          <t>G.3 Whole-cell modeling</t>
        </is>
      </c>
      <c r="C90" s="29">
        <f>COUNTIF('Progress Tracker'!$C$2:$C$3272,$B90)</f>
        <v/>
      </c>
      <c r="D90" s="29">
        <f>COUNTIFS('Progress Tracker'!$C$2:$C$3272,$B90,'Progress Tracker'!$I$2:$I$3272,"Done")</f>
        <v/>
      </c>
      <c r="E90" s="30">
        <f>IFERROR(D90/C90,0)</f>
        <v/>
      </c>
      <c r="F90" s="29">
        <f>ROUND(SUMIF('Progress Tracker'!$C$2:$C$3272,$B90,'Progress Tracker'!$G$2:$G$3272),1)</f>
        <v/>
      </c>
      <c r="G90" s="1" t="n"/>
    </row>
    <row r="91">
      <c r="A91" s="1" t="n"/>
      <c r="B91" s="36" t="inlineStr">
        <is>
          <t>G.4 Crowding and the cytoplasm</t>
        </is>
      </c>
      <c r="C91" s="29">
        <f>COUNTIF('Progress Tracker'!$C$2:$C$3272,$B91)</f>
        <v/>
      </c>
      <c r="D91" s="29">
        <f>COUNTIFS('Progress Tracker'!$C$2:$C$3272,$B91,'Progress Tracker'!$I$2:$I$3272,"Done")</f>
        <v/>
      </c>
      <c r="E91" s="30">
        <f>IFERROR(D91/C91,0)</f>
        <v/>
      </c>
      <c r="F91" s="29">
        <f>ROUND(SUMIF('Progress Tracker'!$C$2:$C$3272,$B91,'Progress Tracker'!$G$2:$G$3272),1)</f>
        <v/>
      </c>
      <c r="G91" s="1" t="n"/>
    </row>
    <row r="92">
      <c r="A92" s="1" t="n"/>
      <c r="B92" s="36" t="inlineStr">
        <is>
          <t>G.5 Condensates and phase separation</t>
        </is>
      </c>
      <c r="C92" s="29">
        <f>COUNTIF('Progress Tracker'!$C$2:$C$3272,$B92)</f>
        <v/>
      </c>
      <c r="D92" s="29">
        <f>COUNTIFS('Progress Tracker'!$C$2:$C$3272,$B92,'Progress Tracker'!$I$2:$I$3272,"Done")</f>
        <v/>
      </c>
      <c r="E92" s="30">
        <f>IFERROR(D92/C92,0)</f>
        <v/>
      </c>
      <c r="F92" s="29">
        <f>ROUND(SUMIF('Progress Tracker'!$C$2:$C$3272,$B92,'Progress Tracker'!$G$2:$G$3272),1)</f>
        <v/>
      </c>
      <c r="G92" s="1" t="n"/>
    </row>
    <row r="93">
      <c r="A93" s="1" t="n"/>
      <c r="B93" s="36" t="inlineStr">
        <is>
          <t>G.6 Continuum electrostatics and mesoscale hydrodynamics</t>
        </is>
      </c>
      <c r="C93" s="29">
        <f>COUNTIF('Progress Tracker'!$C$2:$C$3272,$B93)</f>
        <v/>
      </c>
      <c r="D93" s="29">
        <f>COUNTIFS('Progress Tracker'!$C$2:$C$3272,$B93,'Progress Tracker'!$I$2:$I$3272,"Done")</f>
        <v/>
      </c>
      <c r="E93" s="30">
        <f>IFERROR(D93/C93,0)</f>
        <v/>
      </c>
      <c r="F93" s="29">
        <f>ROUND(SUMIF('Progress Tracker'!$C$2:$C$3272,$B93,'Progress Tracker'!$G$2:$G$3272),1)</f>
        <v/>
      </c>
      <c r="G93" s="1" t="n"/>
    </row>
    <row r="94">
      <c r="A94" s="1" t="n"/>
      <c r="B94" s="36" t="inlineStr">
        <is>
          <t>H.1 The Grosberg-Rubinstein course</t>
        </is>
      </c>
      <c r="C94" s="29">
        <f>COUNTIF('Progress Tracker'!$C$2:$C$3272,$B94)</f>
        <v/>
      </c>
      <c r="D94" s="29">
        <f>COUNTIFS('Progress Tracker'!$C$2:$C$3272,$B94,'Progress Tracker'!$I$2:$I$3272,"Done")</f>
        <v/>
      </c>
      <c r="E94" s="30">
        <f>IFERROR(D94/C94,0)</f>
        <v/>
      </c>
      <c r="F94" s="29">
        <f>ROUND(SUMIF('Progress Tracker'!$C$2:$C$3272,$B94,'Progress Tracker'!$G$2:$G$3272),1)</f>
        <v/>
      </c>
      <c r="G94" s="1" t="n"/>
    </row>
    <row r="95">
      <c r="A95" s="1" t="n"/>
      <c r="B95" s="36" t="inlineStr">
        <is>
          <t>H.2 The LMU derivation course</t>
        </is>
      </c>
      <c r="C95" s="29">
        <f>COUNTIF('Progress Tracker'!$C$2:$C$3272,$B95)</f>
        <v/>
      </c>
      <c r="D95" s="29">
        <f>COUNTIFS('Progress Tracker'!$C$2:$C$3272,$B95,'Progress Tracker'!$I$2:$I$3272,"Done")</f>
        <v/>
      </c>
      <c r="E95" s="30">
        <f>IFERROR(D95/C95,0)</f>
        <v/>
      </c>
      <c r="F95" s="29">
        <f>ROUND(SUMIF('Progress Tracker'!$C$2:$C$3272,$B95,'Progress Tracker'!$G$2:$G$3272),1)</f>
        <v/>
      </c>
      <c r="G95" s="1" t="n"/>
    </row>
    <row r="96">
      <c r="A96" s="1" t="n"/>
      <c r="B96" s="36" t="inlineStr">
        <is>
          <t>H.3 Biology-facing treatments</t>
        </is>
      </c>
      <c r="C96" s="29">
        <f>COUNTIF('Progress Tracker'!$C$2:$C$3272,$B96)</f>
        <v/>
      </c>
      <c r="D96" s="29">
        <f>COUNTIFS('Progress Tracker'!$C$2:$C$3272,$B96,'Progress Tracker'!$I$2:$I$3272,"Done")</f>
        <v/>
      </c>
      <c r="E96" s="30">
        <f>IFERROR(D96/C96,0)</f>
        <v/>
      </c>
      <c r="F96" s="29">
        <f>ROUND(SUMIF('Progress Tracker'!$C$2:$C$3272,$B96,'Progress Tracker'!$G$2:$G$3272),1)</f>
        <v/>
      </c>
      <c r="G96" s="1" t="n"/>
    </row>
    <row r="97">
      <c r="A97" s="1" t="n"/>
      <c r="B97" s="36" t="inlineStr">
        <is>
          <t>The NPTEL polymer physics course</t>
        </is>
      </c>
      <c r="C97" s="29">
        <f>COUNTIF('Progress Tracker'!$C$2:$C$3272,$B97)</f>
        <v/>
      </c>
      <c r="D97" s="29">
        <f>COUNTIFS('Progress Tracker'!$C$2:$C$3272,$B97,'Progress Tracker'!$I$2:$I$3272,"Done")</f>
        <v/>
      </c>
      <c r="E97" s="30">
        <f>IFERROR(D97/C97,0)</f>
        <v/>
      </c>
      <c r="F97" s="29">
        <f>ROUND(SUMIF('Progress Tracker'!$C$2:$C$3272,$B97,'Progress Tracker'!$G$2:$G$3272),1)</f>
        <v/>
      </c>
      <c r="G97" s="1" t="n"/>
    </row>
    <row r="98">
      <c r="A98" s="1" t="n"/>
      <c r="B98" s="36" t="inlineStr">
        <is>
          <t>H.4 Polymer models of chromatin - the ICTP school</t>
        </is>
      </c>
      <c r="C98" s="29">
        <f>COUNTIF('Progress Tracker'!$C$2:$C$3272,$B98)</f>
        <v/>
      </c>
      <c r="D98" s="29">
        <f>COUNTIFS('Progress Tracker'!$C$2:$C$3272,$B98,'Progress Tracker'!$I$2:$I$3272,"Done")</f>
        <v/>
      </c>
      <c r="E98" s="30">
        <f>IFERROR(D98/C98,0)</f>
        <v/>
      </c>
      <c r="F98" s="29">
        <f>ROUND(SUMIF('Progress Tracker'!$C$2:$C$3272,$B98,'Progress Tracker'!$G$2:$G$3272),1)</f>
        <v/>
      </c>
      <c r="G98" s="1" t="n"/>
    </row>
    <row r="99">
      <c r="A99" s="1" t="n"/>
      <c r="B99" s="36" t="inlineStr">
        <is>
          <t>H.5 Minimal models of folding - lattice proteins and the random energy model</t>
        </is>
      </c>
      <c r="C99" s="29">
        <f>COUNTIF('Progress Tracker'!$C$2:$C$3272,$B99)</f>
        <v/>
      </c>
      <c r="D99" s="29">
        <f>COUNTIFS('Progress Tracker'!$C$2:$C$3272,$B99,'Progress Tracker'!$I$2:$I$3272,"Done")</f>
        <v/>
      </c>
      <c r="E99" s="30">
        <f>IFERROR(D99/C99,0)</f>
        <v/>
      </c>
      <c r="F99" s="29">
        <f>ROUND(SUMIF('Progress Tracker'!$C$2:$C$3272,$B99,'Progress Tracker'!$G$2:$G$3272),1)</f>
        <v/>
      </c>
      <c r="G99" s="1" t="n"/>
    </row>
    <row r="100">
      <c r="A100" s="1" t="n"/>
      <c r="B100" s="36" t="inlineStr">
        <is>
          <t>I.1 Allostery: theory</t>
        </is>
      </c>
      <c r="C100" s="29">
        <f>COUNTIF('Progress Tracker'!$C$2:$C$3272,$B100)</f>
        <v/>
      </c>
      <c r="D100" s="29">
        <f>COUNTIFS('Progress Tracker'!$C$2:$C$3272,$B100,'Progress Tracker'!$I$2:$I$3272,"Done")</f>
        <v/>
      </c>
      <c r="E100" s="30">
        <f>IFERROR(D100/C100,0)</f>
        <v/>
      </c>
      <c r="F100" s="29">
        <f>ROUND(SUMIF('Progress Tracker'!$C$2:$C$3272,$B100,'Progress Tracker'!$G$2:$G$3272),1)</f>
        <v/>
      </c>
      <c r="G100" s="1" t="n"/>
    </row>
    <row r="101">
      <c r="A101" s="1" t="n"/>
      <c r="B101" s="36" t="inlineStr">
        <is>
          <t>Evolutionary coupling and sectors</t>
        </is>
      </c>
      <c r="C101" s="29">
        <f>COUNTIF('Progress Tracker'!$C$2:$C$3272,$B101)</f>
        <v/>
      </c>
      <c r="D101" s="29">
        <f>COUNTIFS('Progress Tracker'!$C$2:$C$3272,$B101,'Progress Tracker'!$I$2:$I$3272,"Done")</f>
        <v/>
      </c>
      <c r="E101" s="30">
        <f>IFERROR(D101/C101,0)</f>
        <v/>
      </c>
      <c r="F101" s="29">
        <f>ROUND(SUMIF('Progress Tracker'!$C$2:$C$3272,$B101,'Progress Tracker'!$G$2:$G$3272),1)</f>
        <v/>
      </c>
      <c r="G101" s="1" t="n"/>
    </row>
    <row r="102">
      <c r="A102" s="1" t="n"/>
      <c r="B102" s="36" t="inlineStr">
        <is>
          <t>Elastic network models and ANM-based allostery</t>
        </is>
      </c>
      <c r="C102" s="29">
        <f>COUNTIF('Progress Tracker'!$C$2:$C$3272,$B102)</f>
        <v/>
      </c>
      <c r="D102" s="29">
        <f>COUNTIFS('Progress Tracker'!$C$2:$C$3272,$B102,'Progress Tracker'!$I$2:$I$3272,"Done")</f>
        <v/>
      </c>
      <c r="E102" s="30">
        <f>IFERROR(D102/C102,0)</f>
        <v/>
      </c>
      <c r="F102" s="29">
        <f>ROUND(SUMIF('Progress Tracker'!$C$2:$C$3272,$B102,'Progress Tracker'!$G$2:$G$3272),1)</f>
        <v/>
      </c>
      <c r="G102" s="1" t="n"/>
    </row>
    <row r="103">
      <c r="A103" s="1" t="n"/>
      <c r="B103" s="36" t="inlineStr">
        <is>
          <t>Dynamic allostery, networks, information-theoretic coupling</t>
        </is>
      </c>
      <c r="C103" s="29">
        <f>COUNTIF('Progress Tracker'!$C$2:$C$3272,$B103)</f>
        <v/>
      </c>
      <c r="D103" s="29">
        <f>COUNTIFS('Progress Tracker'!$C$2:$C$3272,$B103,'Progress Tracker'!$I$2:$I$3272,"Done")</f>
        <v/>
      </c>
      <c r="E103" s="30">
        <f>IFERROR(D103/C103,0)</f>
        <v/>
      </c>
      <c r="F103" s="29">
        <f>ROUND(SUMIF('Progress Tracker'!$C$2:$C$3272,$B103,'Progress Tracker'!$G$2:$G$3272),1)</f>
        <v/>
      </c>
      <c r="G103" s="1" t="n"/>
    </row>
    <row r="104">
      <c r="A104" s="1" t="n"/>
      <c r="B104" s="36" t="inlineStr">
        <is>
          <t>I.2 Pocket and site detection</t>
        </is>
      </c>
      <c r="C104" s="29">
        <f>COUNTIF('Progress Tracker'!$C$2:$C$3272,$B104)</f>
        <v/>
      </c>
      <c r="D104" s="29">
        <f>COUNTIFS('Progress Tracker'!$C$2:$C$3272,$B104,'Progress Tracker'!$I$2:$I$3272,"Done")</f>
        <v/>
      </c>
      <c r="E104" s="30">
        <f>IFERROR(D104/C104,0)</f>
        <v/>
      </c>
      <c r="F104" s="29">
        <f>ROUND(SUMIF('Progress Tracker'!$C$2:$C$3272,$B104,'Progress Tracker'!$G$2:$G$3272),1)</f>
        <v/>
      </c>
      <c r="G104" s="1" t="n"/>
    </row>
    <row r="105">
      <c r="A105" s="1" t="n"/>
      <c r="B105" s="36" t="inlineStr">
        <is>
          <t>I.3 Interfaces and hot spots</t>
        </is>
      </c>
      <c r="C105" s="29">
        <f>COUNTIF('Progress Tracker'!$C$2:$C$3272,$B105)</f>
        <v/>
      </c>
      <c r="D105" s="29">
        <f>COUNTIFS('Progress Tracker'!$C$2:$C$3272,$B105,'Progress Tracker'!$I$2:$I$3272,"Done")</f>
        <v/>
      </c>
      <c r="E105" s="30">
        <f>IFERROR(D105/C105,0)</f>
        <v/>
      </c>
      <c r="F105" s="29">
        <f>ROUND(SUMIF('Progress Tracker'!$C$2:$C$3272,$B105,'Progress Tracker'!$G$2:$G$3272),1)</f>
        <v/>
      </c>
      <c r="G105" s="1" t="n"/>
    </row>
    <row r="106">
      <c r="A106" s="1" t="n"/>
      <c r="B106" s="36" t="inlineStr">
        <is>
          <t>I.4 Trajectory analysis - and its pitfalls</t>
        </is>
      </c>
      <c r="C106" s="29">
        <f>COUNTIF('Progress Tracker'!$C$2:$C$3272,$B106)</f>
        <v/>
      </c>
      <c r="D106" s="29">
        <f>COUNTIFS('Progress Tracker'!$C$2:$C$3272,$B106,'Progress Tracker'!$I$2:$I$3272,"Done")</f>
        <v/>
      </c>
      <c r="E106" s="30">
        <f>IFERROR(D106/C106,0)</f>
        <v/>
      </c>
      <c r="F106" s="29">
        <f>ROUND(SUMIF('Progress Tracker'!$C$2:$C$3272,$B106,'Progress Tracker'!$G$2:$G$3272),1)</f>
        <v/>
      </c>
      <c r="G106" s="1" t="n"/>
    </row>
    <row r="107">
      <c r="A107" s="1" t="n"/>
      <c r="B107" s="36" t="inlineStr">
        <is>
          <t>Dimensionality reduction and Markov state models - the PyEMMA course</t>
        </is>
      </c>
      <c r="C107" s="29">
        <f>COUNTIF('Progress Tracker'!$C$2:$C$3272,$B107)</f>
        <v/>
      </c>
      <c r="D107" s="29">
        <f>COUNTIFS('Progress Tracker'!$C$2:$C$3272,$B107,'Progress Tracker'!$I$2:$I$3272,"Done")</f>
        <v/>
      </c>
      <c r="E107" s="30">
        <f>IFERROR(D107/C107,0)</f>
        <v/>
      </c>
      <c r="F107" s="29">
        <f>ROUND(SUMIF('Progress Tracker'!$C$2:$C$3272,$B107,'Progress Tracker'!$G$2:$G$3272),1)</f>
        <v/>
      </c>
      <c r="G107" s="1" t="n"/>
    </row>
    <row r="108">
      <c r="A108" s="1" t="n"/>
      <c r="B108" s="36" t="inlineStr">
        <is>
          <t>Convergence - assign these FIRST</t>
        </is>
      </c>
      <c r="C108" s="29">
        <f>COUNTIF('Progress Tracker'!$C$2:$C$3272,$B108)</f>
        <v/>
      </c>
      <c r="D108" s="29">
        <f>COUNTIFS('Progress Tracker'!$C$2:$C$3272,$B108,'Progress Tracker'!$I$2:$I$3272,"Done")</f>
        <v/>
      </c>
      <c r="E108" s="30">
        <f>IFERROR(D108/C108,0)</f>
        <v/>
      </c>
      <c r="F108" s="29">
        <f>ROUND(SUMIF('Progress Tracker'!$C$2:$C$3272,$B108,'Progress Tracker'!$G$2:$G$3272),1)</f>
        <v/>
      </c>
      <c r="G108" s="1" t="n"/>
    </row>
    <row r="109">
      <c r="A109" s="1" t="n"/>
      <c r="B109" s="36" t="inlineStr">
        <is>
          <t>I.5 Intrinsically disordered proteins</t>
        </is>
      </c>
      <c r="C109" s="29">
        <f>COUNTIF('Progress Tracker'!$C$2:$C$3272,$B109)</f>
        <v/>
      </c>
      <c r="D109" s="29">
        <f>COUNTIFS('Progress Tracker'!$C$2:$C$3272,$B109,'Progress Tracker'!$I$2:$I$3272,"Done")</f>
        <v/>
      </c>
      <c r="E109" s="30">
        <f>IFERROR(D109/C109,0)</f>
        <v/>
      </c>
      <c r="F109" s="29">
        <f>ROUND(SUMIF('Progress Tracker'!$C$2:$C$3272,$B109,'Progress Tracker'!$G$2:$G$3272),1)</f>
        <v/>
      </c>
      <c r="G109" s="1" t="n"/>
    </row>
    <row r="110">
      <c r="A110" s="1" t="n"/>
      <c r="B110" s="36" t="inlineStr">
        <is>
          <t>I.6 Condensates and phase separation</t>
        </is>
      </c>
      <c r="C110" s="29">
        <f>COUNTIF('Progress Tracker'!$C$2:$C$3272,$B110)</f>
        <v/>
      </c>
      <c r="D110" s="29">
        <f>COUNTIFS('Progress Tracker'!$C$2:$C$3272,$B110,'Progress Tracker'!$I$2:$I$3272,"Done")</f>
        <v/>
      </c>
      <c r="E110" s="30">
        <f>IFERROR(D110/C110,0)</f>
        <v/>
      </c>
      <c r="F110" s="29">
        <f>ROUND(SUMIF('Progress Tracker'!$C$2:$C$3272,$B110,'Progress Tracker'!$G$2:$G$3272),1)</f>
        <v/>
      </c>
      <c r="G110" s="1" t="n"/>
    </row>
    <row r="111">
      <c r="A111" s="1" t="n"/>
      <c r="B111" s="36" t="inlineStr">
        <is>
          <t>I.7 Membrane proteins and large assemblies</t>
        </is>
      </c>
      <c r="C111" s="29">
        <f>COUNTIF('Progress Tracker'!$C$2:$C$3272,$B111)</f>
        <v/>
      </c>
      <c r="D111" s="29">
        <f>COUNTIFS('Progress Tracker'!$C$2:$C$3272,$B111,'Progress Tracker'!$I$2:$I$3272,"Done")</f>
        <v/>
      </c>
      <c r="E111" s="30">
        <f>IFERROR(D111/C111,0)</f>
        <v/>
      </c>
      <c r="F111" s="29">
        <f>ROUND(SUMIF('Progress Tracker'!$C$2:$C$3272,$B111,'Progress Tracker'!$G$2:$G$3272),1)</f>
        <v/>
      </c>
      <c r="G111" s="1" t="n"/>
    </row>
    <row r="112">
      <c r="A112" s="1" t="n"/>
      <c r="B112" s="36" t="inlineStr">
        <is>
          <t>Maximum likelihood and the Bayesian framework</t>
        </is>
      </c>
      <c r="C112" s="29">
        <f>COUNTIF('Progress Tracker'!$C$2:$C$3272,$B112)</f>
        <v/>
      </c>
      <c r="D112" s="29">
        <f>COUNTIFS('Progress Tracker'!$C$2:$C$3272,$B112,'Progress Tracker'!$I$2:$I$3272,"Done")</f>
        <v/>
      </c>
      <c r="E112" s="30">
        <f>IFERROR(D112/C112,0)</f>
        <v/>
      </c>
      <c r="F112" s="29">
        <f>ROUND(SUMIF('Progress Tracker'!$C$2:$C$3272,$B112,'Progress Tracker'!$G$2:$G$3272),1)</f>
        <v/>
      </c>
      <c r="G112" s="1" t="n"/>
    </row>
    <row r="113">
      <c r="A113" s="1" t="n"/>
      <c r="B113" s="36" t="inlineStr">
        <is>
          <t>Image formation, CTF and Fourier theory</t>
        </is>
      </c>
      <c r="C113" s="29">
        <f>COUNTIF('Progress Tracker'!$C$2:$C$3272,$B113)</f>
        <v/>
      </c>
      <c r="D113" s="29">
        <f>COUNTIFS('Progress Tracker'!$C$2:$C$3272,$B113,'Progress Tracker'!$I$2:$I$3272,"Done")</f>
        <v/>
      </c>
      <c r="E113" s="30">
        <f>IFERROR(D113/C113,0)</f>
        <v/>
      </c>
      <c r="F113" s="29">
        <f>ROUND(SUMIF('Progress Tracker'!$C$2:$C$3272,$B113,'Progress Tracker'!$G$2:$G$3272),1)</f>
        <v/>
      </c>
      <c r="G113" s="1" t="n"/>
    </row>
    <row r="114">
      <c r="A114" s="1" t="n"/>
      <c r="B114" s="36" t="inlineStr">
        <is>
          <t>Resolution and validation</t>
        </is>
      </c>
      <c r="C114" s="29">
        <f>COUNTIF('Progress Tracker'!$C$2:$C$3272,$B114)</f>
        <v/>
      </c>
      <c r="D114" s="29">
        <f>COUNTIFS('Progress Tracker'!$C$2:$C$3272,$B114,'Progress Tracker'!$I$2:$I$3272,"Done")</f>
        <v/>
      </c>
      <c r="E114" s="30">
        <f>IFERROR(D114/C114,0)</f>
        <v/>
      </c>
      <c r="F114" s="29">
        <f>ROUND(SUMIF('Progress Tracker'!$C$2:$C$3272,$B114,'Progress Tracker'!$G$2:$G$3272),1)</f>
        <v/>
      </c>
      <c r="G114" s="1" t="n"/>
    </row>
    <row r="115">
      <c r="A115" s="1" t="n"/>
      <c r="B115" s="36" t="inlineStr">
        <is>
          <t>Particle picking with deep learning</t>
        </is>
      </c>
      <c r="C115" s="29">
        <f>COUNTIF('Progress Tracker'!$C$2:$C$3272,$B115)</f>
        <v/>
      </c>
      <c r="D115" s="29">
        <f>COUNTIFS('Progress Tracker'!$C$2:$C$3272,$B115,'Progress Tracker'!$I$2:$I$3272,"Done")</f>
        <v/>
      </c>
      <c r="E115" s="30">
        <f>IFERROR(D115/C115,0)</f>
        <v/>
      </c>
      <c r="F115" s="29">
        <f>ROUND(SUMIF('Progress Tracker'!$C$2:$C$3272,$B115,'Progress Tracker'!$G$2:$G$3272),1)</f>
        <v/>
      </c>
      <c r="G115" s="1" t="n"/>
    </row>
    <row r="116">
      <c r="A116" s="1" t="n"/>
      <c r="B116" s="36" t="inlineStr">
        <is>
          <t>Heterogeneity - the frontier</t>
        </is>
      </c>
      <c r="C116" s="29">
        <f>COUNTIF('Progress Tracker'!$C$2:$C$3272,$B116)</f>
        <v/>
      </c>
      <c r="D116" s="29">
        <f>COUNTIFS('Progress Tracker'!$C$2:$C$3272,$B116,'Progress Tracker'!$I$2:$I$3272,"Done")</f>
        <v/>
      </c>
      <c r="E116" s="30">
        <f>IFERROR(D116/C116,0)</f>
        <v/>
      </c>
      <c r="F116" s="29">
        <f>ROUND(SUMIF('Progress Tracker'!$C$2:$C$3272,$B116,'Progress Tracker'!$G$2:$G$3272),1)</f>
        <v/>
      </c>
      <c r="G116" s="1" t="n"/>
    </row>
    <row r="117">
      <c r="A117" s="1" t="n"/>
      <c r="B117" s="36" t="inlineStr">
        <is>
          <t>Motion correction and the inverse problem</t>
        </is>
      </c>
      <c r="C117" s="29">
        <f>COUNTIF('Progress Tracker'!$C$2:$C$3272,$B117)</f>
        <v/>
      </c>
      <c r="D117" s="29">
        <f>COUNTIFS('Progress Tracker'!$C$2:$C$3272,$B117,'Progress Tracker'!$I$2:$I$3272,"Done")</f>
        <v/>
      </c>
      <c r="E117" s="30">
        <f>IFERROR(D117/C117,0)</f>
        <v/>
      </c>
      <c r="F117" s="29">
        <f>ROUND(SUMIF('Progress Tracker'!$C$2:$C$3272,$B117,'Progress Tracker'!$G$2:$G$3272),1)</f>
        <v/>
      </c>
      <c r="G117" s="1" t="n"/>
    </row>
    <row r="118">
      <c r="A118" s="1" t="n"/>
      <c r="B118" s="36" t="inlineStr">
        <is>
          <t>Symmetry, strategy, maps and models</t>
        </is>
      </c>
      <c r="C118" s="29">
        <f>COUNTIF('Progress Tracker'!$C$2:$C$3272,$B118)</f>
        <v/>
      </c>
      <c r="D118" s="29">
        <f>COUNTIFS('Progress Tracker'!$C$2:$C$3272,$B118,'Progress Tracker'!$I$2:$I$3272,"Done")</f>
        <v/>
      </c>
      <c r="E118" s="30">
        <f>IFERROR(D118/C118,0)</f>
        <v/>
      </c>
      <c r="F118" s="29">
        <f>ROUND(SUMIF('Progress Tracker'!$C$2:$C$3272,$B118,'Progress Tracker'!$G$2:$G$3272),1)</f>
        <v/>
      </c>
      <c r="G118" s="1" t="n"/>
    </row>
    <row r="119">
      <c r="A119" s="1" t="n"/>
      <c r="B119" s="36" t="inlineStr">
        <is>
          <t>Tomography</t>
        </is>
      </c>
      <c r="C119" s="29">
        <f>COUNTIF('Progress Tracker'!$C$2:$C$3272,$B119)</f>
        <v/>
      </c>
      <c r="D119" s="29">
        <f>COUNTIFS('Progress Tracker'!$C$2:$C$3272,$B119,'Progress Tracker'!$I$2:$I$3272,"Done")</f>
        <v/>
      </c>
      <c r="E119" s="30">
        <f>IFERROR(D119/C119,0)</f>
        <v/>
      </c>
      <c r="F119" s="29">
        <f>ROUND(SUMIF('Progress Tracker'!$C$2:$C$3272,$B119,'Progress Tracker'!$G$2:$G$3272),1)</f>
        <v/>
      </c>
      <c r="G119" s="1" t="n"/>
    </row>
    <row r="120">
      <c r="A120" s="1" t="n"/>
      <c r="B120" s="36" t="inlineStr">
        <is>
          <t>The phase problem</t>
        </is>
      </c>
      <c r="C120" s="29">
        <f>COUNTIF('Progress Tracker'!$C$2:$C$3272,$B120)</f>
        <v/>
      </c>
      <c r="D120" s="29">
        <f>COUNTIFS('Progress Tracker'!$C$2:$C$3272,$B120,'Progress Tracker'!$I$2:$I$3272,"Done")</f>
        <v/>
      </c>
      <c r="E120" s="30">
        <f>IFERROR(D120/C120,0)</f>
        <v/>
      </c>
      <c r="F120" s="29">
        <f>ROUND(SUMIF('Progress Tracker'!$C$2:$C$3272,$B120,'Progress Tracker'!$G$2:$G$3272),1)</f>
        <v/>
      </c>
      <c r="G120" s="1" t="n"/>
    </row>
    <row r="121">
      <c r="A121" s="1" t="n"/>
      <c r="B121" s="36" t="inlineStr">
        <is>
          <t>Molecular replacement</t>
        </is>
      </c>
      <c r="C121" s="29">
        <f>COUNTIF('Progress Tracker'!$C$2:$C$3272,$B121)</f>
        <v/>
      </c>
      <c r="D121" s="29">
        <f>COUNTIFS('Progress Tracker'!$C$2:$C$3272,$B121,'Progress Tracker'!$I$2:$I$3272,"Done")</f>
        <v/>
      </c>
      <c r="E121" s="30">
        <f>IFERROR(D121/C121,0)</f>
        <v/>
      </c>
      <c r="F121" s="29">
        <f>ROUND(SUMIF('Progress Tracker'!$C$2:$C$3272,$B121,'Progress Tracker'!$G$2:$G$3272),1)</f>
        <v/>
      </c>
      <c r="G121" s="1" t="n"/>
    </row>
    <row r="122">
      <c r="A122" s="1" t="n"/>
      <c r="B122" s="36" t="inlineStr">
        <is>
          <t>Experimental phasing, density modification, refinement</t>
        </is>
      </c>
      <c r="C122" s="29">
        <f>COUNTIF('Progress Tracker'!$C$2:$C$3272,$B122)</f>
        <v/>
      </c>
      <c r="D122" s="29">
        <f>COUNTIFS('Progress Tracker'!$C$2:$C$3272,$B122,'Progress Tracker'!$I$2:$I$3272,"Done")</f>
        <v/>
      </c>
      <c r="E122" s="30">
        <f>IFERROR(D122/C122,0)</f>
        <v/>
      </c>
      <c r="F122" s="29">
        <f>ROUND(SUMIF('Progress Tracker'!$C$2:$C$3272,$B122,'Progress Tracker'!$G$2:$G$3272),1)</f>
        <v/>
      </c>
      <c r="G122" s="1" t="n"/>
    </row>
    <row r="123">
      <c r="A123" s="1" t="n"/>
      <c r="B123" s="36" t="inlineStr">
        <is>
          <t>Multiconformer models and room-temperature crystallography</t>
        </is>
      </c>
      <c r="C123" s="29">
        <f>COUNTIF('Progress Tracker'!$C$2:$C$3272,$B123)</f>
        <v/>
      </c>
      <c r="D123" s="29">
        <f>COUNTIFS('Progress Tracker'!$C$2:$C$3272,$B123,'Progress Tracker'!$I$2:$I$3272,"Done")</f>
        <v/>
      </c>
      <c r="E123" s="30">
        <f>IFERROR(D123/C123,0)</f>
        <v/>
      </c>
      <c r="F123" s="29">
        <f>ROUND(SUMIF('Progress Tracker'!$C$2:$C$3272,$B123,'Progress Tracker'!$G$2:$G$3272),1)</f>
        <v/>
      </c>
      <c r="G123" s="1" t="n"/>
    </row>
    <row r="124">
      <c r="A124" s="1" t="n"/>
      <c r="B124" s="36" t="inlineStr">
        <is>
          <t>J.3 NMR structure calculation</t>
        </is>
      </c>
      <c r="C124" s="29">
        <f>COUNTIF('Progress Tracker'!$C$2:$C$3272,$B124)</f>
        <v/>
      </c>
      <c r="D124" s="29">
        <f>COUNTIFS('Progress Tracker'!$C$2:$C$3272,$B124,'Progress Tracker'!$I$2:$I$3272,"Done")</f>
        <v/>
      </c>
      <c r="E124" s="30">
        <f>IFERROR(D124/C124,0)</f>
        <v/>
      </c>
      <c r="F124" s="29">
        <f>ROUND(SUMIF('Progress Tracker'!$C$2:$C$3272,$B124,'Progress Tracker'!$G$2:$G$3272),1)</f>
        <v/>
      </c>
      <c r="G124" s="1" t="n"/>
    </row>
    <row r="125">
      <c r="A125" s="1" t="n"/>
      <c r="B125" s="36" t="inlineStr">
        <is>
          <t>J.4 SAXS, SANS and low-resolution methods</t>
        </is>
      </c>
      <c r="C125" s="29">
        <f>COUNTIF('Progress Tracker'!$C$2:$C$3272,$B125)</f>
        <v/>
      </c>
      <c r="D125" s="29">
        <f>COUNTIFS('Progress Tracker'!$C$2:$C$3272,$B125,'Progress Tracker'!$I$2:$I$3272,"Done")</f>
        <v/>
      </c>
      <c r="E125" s="30">
        <f>IFERROR(D125/C125,0)</f>
        <v/>
      </c>
      <c r="F125" s="29">
        <f>ROUND(SUMIF('Progress Tracker'!$C$2:$C$3272,$B125,'Progress Tracker'!$G$2:$G$3272),1)</f>
        <v/>
      </c>
      <c r="G125" s="1" t="n"/>
    </row>
    <row r="126">
      <c r="A126" s="1" t="n"/>
      <c r="B126" s="36" t="inlineStr">
        <is>
          <t>J.5 Crosslinking-MS, HDX and native MS</t>
        </is>
      </c>
      <c r="C126" s="29">
        <f>COUNTIF('Progress Tracker'!$C$2:$C$3272,$B126)</f>
        <v/>
      </c>
      <c r="D126" s="29">
        <f>COUNTIFS('Progress Tracker'!$C$2:$C$3272,$B126,'Progress Tracker'!$I$2:$I$3272,"Done")</f>
        <v/>
      </c>
      <c r="E126" s="30">
        <f>IFERROR(D126/C126,0)</f>
        <v/>
      </c>
      <c r="F126" s="29">
        <f>ROUND(SUMIF('Progress Tracker'!$C$2:$C$3272,$B126,'Progress Tracker'!$G$2:$G$3272),1)</f>
        <v/>
      </c>
      <c r="G126" s="1" t="n"/>
    </row>
    <row r="127">
      <c r="A127" s="1" t="n"/>
      <c r="B127" s="36" t="inlineStr">
        <is>
          <t>Sali, IMP, and the integrative modeling platform</t>
        </is>
      </c>
      <c r="C127" s="29">
        <f>COUNTIF('Progress Tracker'!$C$2:$C$3272,$B127)</f>
        <v/>
      </c>
      <c r="D127" s="29">
        <f>COUNTIFS('Progress Tracker'!$C$2:$C$3272,$B127,'Progress Tracker'!$I$2:$I$3272,"Done")</f>
        <v/>
      </c>
      <c r="E127" s="30">
        <f>IFERROR(D127/C127,0)</f>
        <v/>
      </c>
      <c r="F127" s="29">
        <f>ROUND(SUMIF('Progress Tracker'!$C$2:$C$3272,$B127,'Progress Tracker'!$G$2:$G$3272),1)</f>
        <v/>
      </c>
      <c r="G127" s="1" t="n"/>
    </row>
    <row r="128">
      <c r="A128" s="1" t="n"/>
      <c r="B128" s="36" t="inlineStr">
        <is>
          <t>Bayesian inference and ensemble reweighting</t>
        </is>
      </c>
      <c r="C128" s="29">
        <f>COUNTIF('Progress Tracker'!$C$2:$C$3272,$B128)</f>
        <v/>
      </c>
      <c r="D128" s="29">
        <f>COUNTIFS('Progress Tracker'!$C$2:$C$3272,$B128,'Progress Tracker'!$I$2:$I$3272,"Done")</f>
        <v/>
      </c>
      <c r="E128" s="30">
        <f>IFERROR(D128/C128,0)</f>
        <v/>
      </c>
      <c r="F128" s="29">
        <f>ROUND(SUMIF('Progress Tracker'!$C$2:$C$3272,$B128,'Progress Tracker'!$G$2:$G$3272),1)</f>
        <v/>
      </c>
      <c r="G128" s="1" t="n"/>
    </row>
    <row r="129">
      <c r="A129" s="1" t="n"/>
      <c r="B129" s="36" t="inlineStr">
        <is>
          <t>Fitting models into density</t>
        </is>
      </c>
      <c r="C129" s="29">
        <f>COUNTIF('Progress Tracker'!$C$2:$C$3272,$B129)</f>
        <v/>
      </c>
      <c r="D129" s="29">
        <f>COUNTIFS('Progress Tracker'!$C$2:$C$3272,$B129,'Progress Tracker'!$I$2:$I$3272,"Done")</f>
        <v/>
      </c>
      <c r="E129" s="30">
        <f>IFERROR(D129/C129,0)</f>
        <v/>
      </c>
      <c r="F129" s="29">
        <f>ROUND(SUMIF('Progress Tracker'!$C$2:$C$3272,$B129,'Progress Tracker'!$G$2:$G$3272),1)</f>
        <v/>
      </c>
      <c r="G129" s="1" t="n"/>
    </row>
    <row r="130">
      <c r="A130" s="1" t="n"/>
      <c r="B130" s="36" t="inlineStr">
        <is>
          <t>Prediction plus sparse restraints</t>
        </is>
      </c>
      <c r="C130" s="29">
        <f>COUNTIF('Progress Tracker'!$C$2:$C$3272,$B130)</f>
        <v/>
      </c>
      <c r="D130" s="29">
        <f>COUNTIFS('Progress Tracker'!$C$2:$C$3272,$B130,'Progress Tracker'!$I$2:$I$3272,"Done")</f>
        <v/>
      </c>
      <c r="E130" s="30">
        <f>IFERROR(D130/C130,0)</f>
        <v/>
      </c>
      <c r="F130" s="29">
        <f>ROUND(SUMIF('Progress Tracker'!$C$2:$C$3272,$B130,'Progress Tracker'!$G$2:$G$3272),1)</f>
        <v/>
      </c>
      <c r="G130" s="1" t="n"/>
    </row>
    <row r="131">
      <c r="A131" s="1" t="n"/>
      <c r="B131" s="36" t="inlineStr">
        <is>
          <t>K.3 Combining prediction with sparse experimental data</t>
        </is>
      </c>
      <c r="C131" s="29">
        <f>COUNTIF('Progress Tracker'!$C$2:$C$3272,$B131)</f>
        <v/>
      </c>
      <c r="D131" s="29">
        <f>COUNTIFS('Progress Tracker'!$C$2:$C$3272,$B131,'Progress Tracker'!$I$2:$I$3272,"Done")</f>
        <v/>
      </c>
      <c r="E131" s="30">
        <f>IFERROR(D131/C131,0)</f>
        <v/>
      </c>
      <c r="F131" s="29">
        <f>ROUND(SUMIF('Progress Tracker'!$C$2:$C$3272,$B131,'Progress Tracker'!$G$2:$G$3272),1)</f>
        <v/>
      </c>
      <c r="G131" s="1" t="n"/>
    </row>
    <row r="132">
      <c r="A132" s="1" t="n"/>
      <c r="B132" s="36" t="inlineStr">
        <is>
          <t>L.1 The classical course</t>
        </is>
      </c>
      <c r="C132" s="29">
        <f>COUNTIF('Progress Tracker'!$C$2:$C$3272,$B132)</f>
        <v/>
      </c>
      <c r="D132" s="29">
        <f>COUNTIFS('Progress Tracker'!$C$2:$C$3272,$B132,'Progress Tracker'!$I$2:$I$3272,"Done")</f>
        <v/>
      </c>
      <c r="E132" s="30">
        <f>IFERROR(D132/C132,0)</f>
        <v/>
      </c>
      <c r="F132" s="29">
        <f>ROUND(SUMIF('Progress Tracker'!$C$2:$C$3272,$B132,'Progress Tracker'!$G$2:$G$3272),1)</f>
        <v/>
      </c>
      <c r="G132" s="1" t="n"/>
    </row>
    <row r="133">
      <c r="A133" s="1" t="n"/>
      <c r="B133" s="36" t="inlineStr">
        <is>
          <t>L.2 Fragment assembly and the Rosetta energy function</t>
        </is>
      </c>
      <c r="C133" s="29">
        <f>COUNTIF('Progress Tracker'!$C$2:$C$3272,$B133)</f>
        <v/>
      </c>
      <c r="D133" s="29">
        <f>COUNTIFS('Progress Tracker'!$C$2:$C$3272,$B133,'Progress Tracker'!$I$2:$I$3272,"Done")</f>
        <v/>
      </c>
      <c r="E133" s="30">
        <f>IFERROR(D133/C133,0)</f>
        <v/>
      </c>
      <c r="F133" s="29">
        <f>ROUND(SUMIF('Progress Tracker'!$C$2:$C$3272,$B133,'Progress Tracker'!$G$2:$G$3272),1)</f>
        <v/>
      </c>
      <c r="G133" s="1" t="n"/>
    </row>
    <row r="134">
      <c r="A134" s="1" t="n"/>
      <c r="B134" s="36" t="inlineStr">
        <is>
          <t>M.1 Protein-ligand docking</t>
        </is>
      </c>
      <c r="C134" s="29">
        <f>COUNTIF('Progress Tracker'!$C$2:$C$3272,$B134)</f>
        <v/>
      </c>
      <c r="D134" s="29">
        <f>COUNTIFS('Progress Tracker'!$C$2:$C$3272,$B134,'Progress Tracker'!$I$2:$I$3272,"Done")</f>
        <v/>
      </c>
      <c r="E134" s="30">
        <f>IFERROR(D134/C134,0)</f>
        <v/>
      </c>
      <c r="F134" s="29">
        <f>ROUND(SUMIF('Progress Tracker'!$C$2:$C$3272,$B134,'Progress Tracker'!$G$2:$G$3272),1)</f>
        <v/>
      </c>
      <c r="G134" s="1" t="n"/>
    </row>
    <row r="135">
      <c r="A135" s="1" t="n"/>
      <c r="B135" s="36" t="inlineStr">
        <is>
          <t>M.2 Protein-protein and information-driven docking</t>
        </is>
      </c>
      <c r="C135" s="29">
        <f>COUNTIF('Progress Tracker'!$C$2:$C$3272,$B135)</f>
        <v/>
      </c>
      <c r="D135" s="29">
        <f>COUNTIFS('Progress Tracker'!$C$2:$C$3272,$B135,'Progress Tracker'!$I$2:$I$3272,"Done")</f>
        <v/>
      </c>
      <c r="E135" s="30">
        <f>IFERROR(D135/C135,0)</f>
        <v/>
      </c>
      <c r="F135" s="29">
        <f>ROUND(SUMIF('Progress Tracker'!$C$2:$C$3272,$B135,'Progress Tracker'!$G$2:$G$3272),1)</f>
        <v/>
      </c>
      <c r="G135" s="1" t="n"/>
    </row>
    <row r="136">
      <c r="A136" s="1" t="n"/>
      <c r="B136" s="36" t="inlineStr">
        <is>
          <t>M.3 Virtual screening and cheminformatics</t>
        </is>
      </c>
      <c r="C136" s="29">
        <f>COUNTIF('Progress Tracker'!$C$2:$C$3272,$B136)</f>
        <v/>
      </c>
      <c r="D136" s="29">
        <f>COUNTIFS('Progress Tracker'!$C$2:$C$3272,$B136,'Progress Tracker'!$I$2:$I$3272,"Done")</f>
        <v/>
      </c>
      <c r="E136" s="30">
        <f>IFERROR(D136/C136,0)</f>
        <v/>
      </c>
      <c r="F136" s="29">
        <f>ROUND(SUMIF('Progress Tracker'!$C$2:$C$3272,$B136,'Progress Tracker'!$G$2:$G$3272),1)</f>
        <v/>
      </c>
      <c r="G136" s="1" t="n"/>
    </row>
    <row r="137">
      <c r="A137" s="1" t="n"/>
      <c r="B137" s="36" t="inlineStr">
        <is>
          <t>M.4 Binding free energy in practice</t>
        </is>
      </c>
      <c r="C137" s="29">
        <f>COUNTIF('Progress Tracker'!$C$2:$C$3272,$B137)</f>
        <v/>
      </c>
      <c r="D137" s="29">
        <f>COUNTIFS('Progress Tracker'!$C$2:$C$3272,$B137,'Progress Tracker'!$I$2:$I$3272,"Done")</f>
        <v/>
      </c>
      <c r="E137" s="30">
        <f>IFERROR(D137/C137,0)</f>
        <v/>
      </c>
      <c r="F137" s="29">
        <f>ROUND(SUMIF('Progress Tracker'!$C$2:$C$3272,$B137,'Progress Tracker'!$G$2:$G$3272),1)</f>
        <v/>
      </c>
      <c r="G137" s="1" t="n"/>
    </row>
    <row r="138">
      <c r="A138" s="1" t="n"/>
      <c r="B138" s="36" t="inlineStr">
        <is>
          <t>N.1 Alignment and search</t>
        </is>
      </c>
      <c r="C138" s="29">
        <f>COUNTIF('Progress Tracker'!$C$2:$C$3272,$B138)</f>
        <v/>
      </c>
      <c r="D138" s="29">
        <f>COUNTIFS('Progress Tracker'!$C$2:$C$3272,$B138,'Progress Tracker'!$I$2:$I$3272,"Done")</f>
        <v/>
      </c>
      <c r="E138" s="30">
        <f>IFERROR(D138/C138,0)</f>
        <v/>
      </c>
      <c r="F138" s="29">
        <f>ROUND(SUMIF('Progress Tracker'!$C$2:$C$3272,$B138,'Progress Tracker'!$G$2:$G$3272),1)</f>
        <v/>
      </c>
      <c r="G138" s="1" t="n"/>
    </row>
    <row r="139">
      <c r="A139" s="1" t="n"/>
      <c r="B139" s="36" t="inlineStr">
        <is>
          <t>N.2 Phylogenetics and the non-independence problem</t>
        </is>
      </c>
      <c r="C139" s="29">
        <f>COUNTIF('Progress Tracker'!$C$2:$C$3272,$B139)</f>
        <v/>
      </c>
      <c r="D139" s="29">
        <f>COUNTIFS('Progress Tracker'!$C$2:$C$3272,$B139,'Progress Tracker'!$I$2:$I$3272,"Done")</f>
        <v/>
      </c>
      <c r="E139" s="30">
        <f>IFERROR(D139/C139,0)</f>
        <v/>
      </c>
      <c r="F139" s="29">
        <f>ROUND(SUMIF('Progress Tracker'!$C$2:$C$3272,$B139,'Progress Tracker'!$G$2:$G$3272),1)</f>
        <v/>
      </c>
      <c r="G139" s="1" t="n"/>
    </row>
    <row r="140">
      <c r="A140" s="1" t="n"/>
      <c r="B140" s="36" t="inlineStr">
        <is>
          <t>N.3 Coevolution and statistical models of families</t>
        </is>
      </c>
      <c r="C140" s="29">
        <f>COUNTIF('Progress Tracker'!$C$2:$C$3272,$B140)</f>
        <v/>
      </c>
      <c r="D140" s="29">
        <f>COUNTIFS('Progress Tracker'!$C$2:$C$3272,$B140,'Progress Tracker'!$I$2:$I$3272,"Done")</f>
        <v/>
      </c>
      <c r="E140" s="30">
        <f>IFERROR(D140/C140,0)</f>
        <v/>
      </c>
      <c r="F140" s="29">
        <f>ROUND(SUMIF('Progress Tracker'!$C$2:$C$3272,$B140,'Progress Tracker'!$G$2:$G$3272),1)</f>
        <v/>
      </c>
      <c r="G140" s="1" t="n"/>
    </row>
    <row r="141">
      <c r="A141" s="1" t="n"/>
      <c r="B141" s="36" t="inlineStr">
        <is>
          <t>O.1 The framework</t>
        </is>
      </c>
      <c r="C141" s="29">
        <f>COUNTIF('Progress Tracker'!$C$2:$C$3272,$B141)</f>
        <v/>
      </c>
      <c r="D141" s="29">
        <f>COUNTIFS('Progress Tracker'!$C$2:$C$3272,$B141,'Progress Tracker'!$I$2:$I$3272,"Done")</f>
        <v/>
      </c>
      <c r="E141" s="30">
        <f>IFERROR(D141/C141,0)</f>
        <v/>
      </c>
      <c r="F141" s="29">
        <f>ROUND(SUMIF('Progress Tracker'!$C$2:$C$3272,$B141,'Progress Tracker'!$G$2:$G$3272),1)</f>
        <v/>
      </c>
      <c r="G141" s="1" t="n"/>
    </row>
    <row r="142">
      <c r="A142" s="1" t="n"/>
      <c r="B142" s="36" t="inlineStr">
        <is>
          <t>O.2 Equivariant architectures for atoms</t>
        </is>
      </c>
      <c r="C142" s="29">
        <f>COUNTIF('Progress Tracker'!$C$2:$C$3272,$B142)</f>
        <v/>
      </c>
      <c r="D142" s="29">
        <f>COUNTIFS('Progress Tracker'!$C$2:$C$3272,$B142,'Progress Tracker'!$I$2:$I$3272,"Done")</f>
        <v/>
      </c>
      <c r="E142" s="30">
        <f>IFERROR(D142/C142,0)</f>
        <v/>
      </c>
      <c r="F142" s="29">
        <f>ROUND(SUMIF('Progress Tracker'!$C$2:$C$3272,$B142,'Progress Tracker'!$G$2:$G$3272),1)</f>
        <v/>
      </c>
      <c r="G142" s="1" t="n"/>
    </row>
    <row r="143">
      <c r="A143" s="1" t="n"/>
      <c r="B143" s="36" t="inlineStr">
        <is>
          <t>O.3 The challenge to the orthodoxy</t>
        </is>
      </c>
      <c r="C143" s="29">
        <f>COUNTIF('Progress Tracker'!$C$2:$C$3272,$B143)</f>
        <v/>
      </c>
      <c r="D143" s="29">
        <f>COUNTIFS('Progress Tracker'!$C$2:$C$3272,$B143,'Progress Tracker'!$I$2:$I$3272,"Done")</f>
        <v/>
      </c>
      <c r="E143" s="30">
        <f>IFERROR(D143/C143,0)</f>
        <v/>
      </c>
      <c r="F143" s="29">
        <f>ROUND(SUMIF('Progress Tracker'!$C$2:$C$3272,$B143,'Progress Tracker'!$G$2:$G$3272),1)</f>
        <v/>
      </c>
      <c r="G143" s="1" t="n"/>
    </row>
    <row r="144">
      <c r="A144" s="1" t="n"/>
      <c r="B144" s="36" t="inlineStr">
        <is>
          <t>P.1 The architecture, properly</t>
        </is>
      </c>
      <c r="C144" s="29">
        <f>COUNTIF('Progress Tracker'!$C$2:$C$3272,$B144)</f>
        <v/>
      </c>
      <c r="D144" s="29">
        <f>COUNTIFS('Progress Tracker'!$C$2:$C$3272,$B144,'Progress Tracker'!$I$2:$I$3272,"Done")</f>
        <v/>
      </c>
      <c r="E144" s="30">
        <f>IFERROR(D144/C144,0)</f>
        <v/>
      </c>
      <c r="F144" s="29">
        <f>ROUND(SUMIF('Progress Tracker'!$C$2:$C$3272,$B144,'Progress Tracker'!$G$2:$G$3272),1)</f>
        <v/>
      </c>
      <c r="G144" s="1" t="n"/>
    </row>
    <row r="145">
      <c r="A145" s="1" t="n"/>
      <c r="B145" s="36" t="inlineStr">
        <is>
          <t>The critical talks - watch these too</t>
        </is>
      </c>
      <c r="C145" s="29">
        <f>COUNTIF('Progress Tracker'!$C$2:$C$3272,$B145)</f>
        <v/>
      </c>
      <c r="D145" s="29">
        <f>COUNTIFS('Progress Tracker'!$C$2:$C$3272,$B145,'Progress Tracker'!$I$2:$I$3272,"Done")</f>
        <v/>
      </c>
      <c r="E145" s="30">
        <f>IFERROR(D145/C145,0)</f>
        <v/>
      </c>
      <c r="F145" s="29">
        <f>ROUND(SUMIF('Progress Tracker'!$C$2:$C$3272,$B145,'Progress Tracker'!$G$2:$G$3272),1)</f>
        <v/>
      </c>
      <c r="G145" s="1" t="n"/>
    </row>
    <row r="146">
      <c r="A146" s="1" t="n"/>
      <c r="B146" s="36" t="inlineStr">
        <is>
          <t>P.2 OpenFold - what retraining revealed</t>
        </is>
      </c>
      <c r="C146" s="29">
        <f>COUNTIF('Progress Tracker'!$C$2:$C$3272,$B146)</f>
        <v/>
      </c>
      <c r="D146" s="29">
        <f>COUNTIFS('Progress Tracker'!$C$2:$C$3272,$B146,'Progress Tracker'!$I$2:$I$3272,"Done")</f>
        <v/>
      </c>
      <c r="E146" s="30">
        <f>IFERROR(D146/C146,0)</f>
        <v/>
      </c>
      <c r="F146" s="29">
        <f>ROUND(SUMIF('Progress Tracker'!$C$2:$C$3272,$B146,'Progress Tracker'!$G$2:$G$3272),1)</f>
        <v/>
      </c>
      <c r="G146" s="1" t="n"/>
    </row>
    <row r="147">
      <c r="A147" s="1" t="n"/>
      <c r="B147" s="36" t="inlineStr">
        <is>
          <t>P.3 The RoseTTAFold line</t>
        </is>
      </c>
      <c r="C147" s="29">
        <f>COUNTIF('Progress Tracker'!$C$2:$C$3272,$B147)</f>
        <v/>
      </c>
      <c r="D147" s="29">
        <f>COUNTIFS('Progress Tracker'!$C$2:$C$3272,$B147,'Progress Tracker'!$I$2:$I$3272,"Done")</f>
        <v/>
      </c>
      <c r="E147" s="30">
        <f>IFERROR(D147/C147,0)</f>
        <v/>
      </c>
      <c r="F147" s="29">
        <f>ROUND(SUMIF('Progress Tracker'!$C$2:$C$3272,$B147,'Progress Tracker'!$G$2:$G$3272),1)</f>
        <v/>
      </c>
      <c r="G147" s="1" t="n"/>
    </row>
    <row r="148">
      <c r="A148" s="1" t="n"/>
      <c r="B148" s="36" t="inlineStr">
        <is>
          <t>P.4 AlphaFold3 and the co-folding era</t>
        </is>
      </c>
      <c r="C148" s="29">
        <f>COUNTIF('Progress Tracker'!$C$2:$C$3272,$B148)</f>
        <v/>
      </c>
      <c r="D148" s="29">
        <f>COUNTIFS('Progress Tracker'!$C$2:$C$3272,$B148,'Progress Tracker'!$I$2:$I$3272,"Done")</f>
        <v/>
      </c>
      <c r="E148" s="30">
        <f>IFERROR(D148/C148,0)</f>
        <v/>
      </c>
      <c r="F148" s="29">
        <f>ROUND(SUMIF('Progress Tracker'!$C$2:$C$3272,$B148,'Progress Tracker'!$G$2:$G$3272),1)</f>
        <v/>
      </c>
      <c r="G148" s="1" t="n"/>
    </row>
    <row r="149">
      <c r="A149" s="1" t="n"/>
      <c r="B149" s="36" t="inlineStr">
        <is>
          <t>P.5 Older lineages and single-sequence prediction</t>
        </is>
      </c>
      <c r="C149" s="29">
        <f>COUNTIF('Progress Tracker'!$C$2:$C$3272,$B149)</f>
        <v/>
      </c>
      <c r="D149" s="29">
        <f>COUNTIFS('Progress Tracker'!$C$2:$C$3272,$B149,'Progress Tracker'!$I$2:$I$3272,"Done")</f>
        <v/>
      </c>
      <c r="E149" s="30">
        <f>IFERROR(D149/C149,0)</f>
        <v/>
      </c>
      <c r="F149" s="29">
        <f>ROUND(SUMIF('Progress Tracker'!$C$2:$C$3272,$B149,'Progress Tracker'!$G$2:$G$3272),1)</f>
        <v/>
      </c>
      <c r="G149" s="1" t="n"/>
    </row>
    <row r="150">
      <c r="A150" s="1" t="n"/>
      <c r="B150" s="36" t="inlineStr">
        <is>
          <t>P.6 Conformational ensembles - the frontier</t>
        </is>
      </c>
      <c r="C150" s="29">
        <f>COUNTIF('Progress Tracker'!$C$2:$C$3272,$B150)</f>
        <v/>
      </c>
      <c r="D150" s="29">
        <f>COUNTIFS('Progress Tracker'!$C$2:$C$3272,$B150,'Progress Tracker'!$I$2:$I$3272,"Done")</f>
        <v/>
      </c>
      <c r="E150" s="30">
        <f>IFERROR(D150/C150,0)</f>
        <v/>
      </c>
      <c r="F150" s="29">
        <f>ROUND(SUMIF('Progress Tracker'!$C$2:$C$3272,$B150,'Progress Tracker'!$G$2:$G$3272),1)</f>
        <v/>
      </c>
      <c r="G150" s="1" t="n"/>
    </row>
    <row r="151">
      <c r="A151" s="1" t="n"/>
      <c r="B151" s="36" t="inlineStr">
        <is>
          <t>P.7 Co-folding, ligands, and the validity critique</t>
        </is>
      </c>
      <c r="C151" s="29">
        <f>COUNTIF('Progress Tracker'!$C$2:$C$3272,$B151)</f>
        <v/>
      </c>
      <c r="D151" s="29">
        <f>COUNTIFS('Progress Tracker'!$C$2:$C$3272,$B151,'Progress Tracker'!$I$2:$I$3272,"Done")</f>
        <v/>
      </c>
      <c r="E151" s="30">
        <f>IFERROR(D151/C151,0)</f>
        <v/>
      </c>
      <c r="F151" s="29">
        <f>ROUND(SUMIF('Progress Tracker'!$C$2:$C$3272,$B151,'Progress Tracker'!$G$2:$G$3272),1)</f>
        <v/>
      </c>
      <c r="G151" s="1" t="n"/>
    </row>
    <row r="152">
      <c r="A152" s="1" t="n"/>
      <c r="B152" s="36" t="inlineStr">
        <is>
          <t>P.8 Protein-peptide and specialist regimes</t>
        </is>
      </c>
      <c r="C152" s="29">
        <f>COUNTIF('Progress Tracker'!$C$2:$C$3272,$B152)</f>
        <v/>
      </c>
      <c r="D152" s="29">
        <f>COUNTIFS('Progress Tracker'!$C$2:$C$3272,$B152,'Progress Tracker'!$I$2:$I$3272,"Done")</f>
        <v/>
      </c>
      <c r="E152" s="30">
        <f>IFERROR(D152/C152,0)</f>
        <v/>
      </c>
      <c r="F152" s="29">
        <f>ROUND(SUMIF('Progress Tracker'!$C$2:$C$3272,$B152,'Progress Tracker'!$G$2:$G$3272),1)</f>
        <v/>
      </c>
      <c r="G152" s="1" t="n"/>
    </row>
    <row r="153">
      <c r="A153" s="1" t="n"/>
      <c r="B153" s="36" t="inlineStr">
        <is>
          <t>P.9 Where this goes next</t>
        </is>
      </c>
      <c r="C153" s="29">
        <f>COUNTIF('Progress Tracker'!$C$2:$C$3272,$B153)</f>
        <v/>
      </c>
      <c r="D153" s="29">
        <f>COUNTIFS('Progress Tracker'!$C$2:$C$3272,$B153,'Progress Tracker'!$I$2:$I$3272,"Done")</f>
        <v/>
      </c>
      <c r="E153" s="30">
        <f>IFERROR(D153/C153,0)</f>
        <v/>
      </c>
      <c r="F153" s="29">
        <f>ROUND(SUMIF('Progress Tracker'!$C$2:$C$3272,$B153,'Progress Tracker'!$G$2:$G$3272),1)</f>
        <v/>
      </c>
      <c r="G153" s="1" t="n"/>
    </row>
    <row r="154">
      <c r="A154" s="1" t="n"/>
      <c r="B154" s="36" t="inlineStr">
        <is>
          <t>Q.1 The ESM line</t>
        </is>
      </c>
      <c r="C154" s="29">
        <f>COUNTIF('Progress Tracker'!$C$2:$C$3272,$B154)</f>
        <v/>
      </c>
      <c r="D154" s="29">
        <f>COUNTIFS('Progress Tracker'!$C$2:$C$3272,$B154,'Progress Tracker'!$I$2:$I$3272,"Done")</f>
        <v/>
      </c>
      <c r="E154" s="30">
        <f>IFERROR(D154/C154,0)</f>
        <v/>
      </c>
      <c r="F154" s="29">
        <f>ROUND(SUMIF('Progress Tracker'!$C$2:$C$3272,$B154,'Progress Tracker'!$G$2:$G$3272),1)</f>
        <v/>
      </c>
      <c r="G154" s="1" t="n"/>
    </row>
    <row r="155">
      <c r="A155" s="1" t="n"/>
      <c r="B155" s="36" t="inlineStr">
        <is>
          <t>Q.2 Generative protein language models</t>
        </is>
      </c>
      <c r="C155" s="29">
        <f>COUNTIF('Progress Tracker'!$C$2:$C$3272,$B155)</f>
        <v/>
      </c>
      <c r="D155" s="29">
        <f>COUNTIFS('Progress Tracker'!$C$2:$C$3272,$B155,'Progress Tracker'!$I$2:$I$3272,"Done")</f>
        <v/>
      </c>
      <c r="E155" s="30">
        <f>IFERROR(D155/C155,0)</f>
        <v/>
      </c>
      <c r="F155" s="29">
        <f>ROUND(SUMIF('Progress Tracker'!$C$2:$C$3272,$B155,'Progress Tracker'!$G$2:$G$3272),1)</f>
        <v/>
      </c>
      <c r="G155" s="1" t="n"/>
    </row>
    <row r="156">
      <c r="A156" s="1" t="n"/>
      <c r="B156" s="36" t="inlineStr">
        <is>
          <t>Q.3 Fitness prediction and variant effects</t>
        </is>
      </c>
      <c r="C156" s="29">
        <f>COUNTIF('Progress Tracker'!$C$2:$C$3272,$B156)</f>
        <v/>
      </c>
      <c r="D156" s="29">
        <f>COUNTIFS('Progress Tracker'!$C$2:$C$3272,$B156,'Progress Tracker'!$I$2:$I$3272,"Done")</f>
        <v/>
      </c>
      <c r="E156" s="30">
        <f>IFERROR(D156/C156,0)</f>
        <v/>
      </c>
      <c r="F156" s="29">
        <f>ROUND(SUMIF('Progress Tracker'!$C$2:$C$3272,$B156,'Progress Tracker'!$G$2:$G$3272),1)</f>
        <v/>
      </c>
      <c r="G156" s="1" t="n"/>
    </row>
    <row r="157">
      <c r="A157" s="1" t="n"/>
      <c r="B157" s="36" t="inlineStr">
        <is>
          <t>Q.4 Interpretability of protein models</t>
        </is>
      </c>
      <c r="C157" s="29">
        <f>COUNTIF('Progress Tracker'!$C$2:$C$3272,$B157)</f>
        <v/>
      </c>
      <c r="D157" s="29">
        <f>COUNTIFS('Progress Tracker'!$C$2:$C$3272,$B157,'Progress Tracker'!$I$2:$I$3272,"Done")</f>
        <v/>
      </c>
      <c r="E157" s="30">
        <f>IFERROR(D157/C157,0)</f>
        <v/>
      </c>
      <c r="F157" s="29">
        <f>ROUND(SUMIF('Progress Tracker'!$C$2:$C$3272,$B157,'Progress Tracker'!$G$2:$G$3272),1)</f>
        <v/>
      </c>
      <c r="G157" s="1" t="n"/>
    </row>
    <row r="158">
      <c r="A158" s="1" t="n"/>
      <c r="B158" s="36" t="inlineStr">
        <is>
          <t>Q.5 Genomic and RNA language models</t>
        </is>
      </c>
      <c r="C158" s="29">
        <f>COUNTIF('Progress Tracker'!$C$2:$C$3272,$B158)</f>
        <v/>
      </c>
      <c r="D158" s="29">
        <f>COUNTIFS('Progress Tracker'!$C$2:$C$3272,$B158,'Progress Tracker'!$I$2:$I$3272,"Done")</f>
        <v/>
      </c>
      <c r="E158" s="30">
        <f>IFERROR(D158/C158,0)</f>
        <v/>
      </c>
      <c r="F158" s="29">
        <f>ROUND(SUMIF('Progress Tracker'!$C$2:$C$3272,$B158,'Progress Tracker'!$G$2:$G$3272),1)</f>
        <v/>
      </c>
      <c r="G158" s="1" t="n"/>
    </row>
    <row r="159">
      <c r="A159" s="1" t="n"/>
      <c r="B159" s="36" t="inlineStr">
        <is>
          <t>Q.6 Function prediction and search</t>
        </is>
      </c>
      <c r="C159" s="29">
        <f>COUNTIF('Progress Tracker'!$C$2:$C$3272,$B159)</f>
        <v/>
      </c>
      <c r="D159" s="29">
        <f>COUNTIFS('Progress Tracker'!$C$2:$C$3272,$B159,'Progress Tracker'!$I$2:$I$3272,"Done")</f>
        <v/>
      </c>
      <c r="E159" s="30">
        <f>IFERROR(D159/C159,0)</f>
        <v/>
      </c>
      <c r="F159" s="29">
        <f>ROUND(SUMIF('Progress Tracker'!$C$2:$C$3272,$B159,'Progress Tracker'!$G$2:$G$3272),1)</f>
        <v/>
      </c>
      <c r="G159" s="1" t="n"/>
    </row>
    <row r="160">
      <c r="A160" s="1" t="n"/>
      <c r="B160" s="36" t="inlineStr">
        <is>
          <t>R.1 Inverse folding and sequence design</t>
        </is>
      </c>
      <c r="C160" s="29">
        <f>COUNTIF('Progress Tracker'!$C$2:$C$3272,$B160)</f>
        <v/>
      </c>
      <c r="D160" s="29">
        <f>COUNTIFS('Progress Tracker'!$C$2:$C$3272,$B160,'Progress Tracker'!$I$2:$I$3272,"Done")</f>
        <v/>
      </c>
      <c r="E160" s="30">
        <f>IFERROR(D160/C160,0)</f>
        <v/>
      </c>
      <c r="F160" s="29">
        <f>ROUND(SUMIF('Progress Tracker'!$C$2:$C$3272,$B160,'Progress Tracker'!$G$2:$G$3272),1)</f>
        <v/>
      </c>
      <c r="G160" s="1" t="n"/>
    </row>
    <row r="161">
      <c r="A161" s="1" t="n"/>
      <c r="B161" s="36" t="inlineStr">
        <is>
          <t>The metric critique - watch immediately after Dauparas</t>
        </is>
      </c>
      <c r="C161" s="29">
        <f>COUNTIF('Progress Tracker'!$C$2:$C$3272,$B161)</f>
        <v/>
      </c>
      <c r="D161" s="29">
        <f>COUNTIFS('Progress Tracker'!$C$2:$C$3272,$B161,'Progress Tracker'!$I$2:$I$3272,"Done")</f>
        <v/>
      </c>
      <c r="E161" s="30">
        <f>IFERROR(D161/C161,0)</f>
        <v/>
      </c>
      <c r="F161" s="29">
        <f>ROUND(SUMIF('Progress Tracker'!$C$2:$C$3272,$B161,'Progress Tracker'!$G$2:$G$3272),1)</f>
        <v/>
      </c>
      <c r="G161" s="1" t="n"/>
    </row>
    <row r="162">
      <c r="A162" s="1" t="n"/>
      <c r="B162" s="36" t="inlineStr">
        <is>
          <t>R.2 Backbone generation</t>
        </is>
      </c>
      <c r="C162" s="29">
        <f>COUNTIF('Progress Tracker'!$C$2:$C$3272,$B162)</f>
        <v/>
      </c>
      <c r="D162" s="29">
        <f>COUNTIFS('Progress Tracker'!$C$2:$C$3272,$B162,'Progress Tracker'!$I$2:$I$3272,"Done")</f>
        <v/>
      </c>
      <c r="E162" s="30">
        <f>IFERROR(D162/C162,0)</f>
        <v/>
      </c>
      <c r="F162" s="29">
        <f>ROUND(SUMIF('Progress Tracker'!$C$2:$C$3272,$B162,'Progress Tracker'!$G$2:$G$3272),1)</f>
        <v/>
      </c>
      <c r="G162" s="1" t="n"/>
    </row>
    <row r="163">
      <c r="A163" s="1" t="n"/>
      <c r="B163" s="36" t="inlineStr">
        <is>
          <t>R.3 Hallucination and inverting predictors</t>
        </is>
      </c>
      <c r="C163" s="29">
        <f>COUNTIF('Progress Tracker'!$C$2:$C$3272,$B163)</f>
        <v/>
      </c>
      <c r="D163" s="29">
        <f>COUNTIFS('Progress Tracker'!$C$2:$C$3272,$B163,'Progress Tracker'!$I$2:$I$3272,"Done")</f>
        <v/>
      </c>
      <c r="E163" s="30">
        <f>IFERROR(D163/C163,0)</f>
        <v/>
      </c>
      <c r="F163" s="29">
        <f>ROUND(SUMIF('Progress Tracker'!$C$2:$C$3272,$B163,'Progress Tracker'!$G$2:$G$3272),1)</f>
        <v/>
      </c>
      <c r="G163" s="1" t="n"/>
    </row>
    <row r="164">
      <c r="A164" s="1" t="n"/>
      <c r="B164" s="36" t="inlineStr">
        <is>
          <t>R.4 Binder design - and the honest hit rates</t>
        </is>
      </c>
      <c r="C164" s="29">
        <f>COUNTIF('Progress Tracker'!$C$2:$C$3272,$B164)</f>
        <v/>
      </c>
      <c r="D164" s="29">
        <f>COUNTIFS('Progress Tracker'!$C$2:$C$3272,$B164,'Progress Tracker'!$I$2:$I$3272,"Done")</f>
        <v/>
      </c>
      <c r="E164" s="30">
        <f>IFERROR(D164/C164,0)</f>
        <v/>
      </c>
      <c r="F164" s="29">
        <f>ROUND(SUMIF('Progress Tracker'!$C$2:$C$3272,$B164,'Progress Tracker'!$G$2:$G$3272),1)</f>
        <v/>
      </c>
      <c r="G164" s="1" t="n"/>
    </row>
    <row r="165">
      <c r="A165" s="1" t="n"/>
      <c r="B165" s="36" t="inlineStr">
        <is>
          <t>The three corrective talks</t>
        </is>
      </c>
      <c r="C165" s="29">
        <f>COUNTIF('Progress Tracker'!$C$2:$C$3272,$B165)</f>
        <v/>
      </c>
      <c r="D165" s="29">
        <f>COUNTIFS('Progress Tracker'!$C$2:$C$3272,$B165,'Progress Tracker'!$I$2:$I$3272,"Done")</f>
        <v/>
      </c>
      <c r="E165" s="30">
        <f>IFERROR(D165/C165,0)</f>
        <v/>
      </c>
      <c r="F165" s="29">
        <f>ROUND(SUMIF('Progress Tracker'!$C$2:$C$3272,$B165,'Progress Tracker'!$G$2:$G$3272),1)</f>
        <v/>
      </c>
      <c r="G165" s="1" t="n"/>
    </row>
    <row r="166">
      <c r="A166" s="1" t="n"/>
      <c r="B166" s="36" t="inlineStr">
        <is>
          <t>R.5 Enzyme design - the field's most honest corner</t>
        </is>
      </c>
      <c r="C166" s="29">
        <f>COUNTIF('Progress Tracker'!$C$2:$C$3272,$B166)</f>
        <v/>
      </c>
      <c r="D166" s="29">
        <f>COUNTIFS('Progress Tracker'!$C$2:$C$3272,$B166,'Progress Tracker'!$I$2:$I$3272,"Done")</f>
        <v/>
      </c>
      <c r="E166" s="30">
        <f>IFERROR(D166/C166,0)</f>
        <v/>
      </c>
      <c r="F166" s="29">
        <f>ROUND(SUMIF('Progress Tracker'!$C$2:$C$3272,$B166,'Progress Tracker'!$G$2:$G$3272),1)</f>
        <v/>
      </c>
      <c r="G166" s="1" t="n"/>
    </row>
    <row r="167">
      <c r="A167" s="1" t="n"/>
      <c r="B167" s="36" t="inlineStr">
        <is>
          <t>R.6 Peptides and macrocycles</t>
        </is>
      </c>
      <c r="C167" s="29">
        <f>COUNTIF('Progress Tracker'!$C$2:$C$3272,$B167)</f>
        <v/>
      </c>
      <c r="D167" s="29">
        <f>COUNTIFS('Progress Tracker'!$C$2:$C$3272,$B167,'Progress Tracker'!$I$2:$I$3272,"Done")</f>
        <v/>
      </c>
      <c r="E167" s="30">
        <f>IFERROR(D167/C167,0)</f>
        <v/>
      </c>
      <c r="F167" s="29">
        <f>ROUND(SUMIF('Progress Tracker'!$C$2:$C$3272,$B167,'Progress Tracker'!$G$2:$G$3272),1)</f>
        <v/>
      </c>
      <c r="G167" s="1" t="n"/>
    </row>
    <row r="168">
      <c r="A168" s="1" t="n"/>
      <c r="B168" s="36" t="inlineStr">
        <is>
          <t>R.7 Antibodies and TCRs</t>
        </is>
      </c>
      <c r="C168" s="29">
        <f>COUNTIF('Progress Tracker'!$C$2:$C$3272,$B168)</f>
        <v/>
      </c>
      <c r="D168" s="29">
        <f>COUNTIFS('Progress Tracker'!$C$2:$C$3272,$B168,'Progress Tracker'!$I$2:$I$3272,"Done")</f>
        <v/>
      </c>
      <c r="E168" s="30">
        <f>IFERROR(D168/C168,0)</f>
        <v/>
      </c>
      <c r="F168" s="29">
        <f>ROUND(SUMIF('Progress Tracker'!$C$2:$C$3272,$B168,'Progress Tracker'!$G$2:$G$3272),1)</f>
        <v/>
      </c>
      <c r="G168" s="1" t="n"/>
    </row>
    <row r="169">
      <c r="A169" s="1" t="n"/>
      <c r="B169" s="36" t="inlineStr">
        <is>
          <t>R.8 Function, dynamics and the hard design problems</t>
        </is>
      </c>
      <c r="C169" s="29">
        <f>COUNTIF('Progress Tracker'!$C$2:$C$3272,$B169)</f>
        <v/>
      </c>
      <c r="D169" s="29">
        <f>COUNTIFS('Progress Tracker'!$C$2:$C$3272,$B169,'Progress Tracker'!$I$2:$I$3272,"Done")</f>
        <v/>
      </c>
      <c r="E169" s="30">
        <f>IFERROR(D169/C169,0)</f>
        <v/>
      </c>
      <c r="F169" s="29">
        <f>ROUND(SUMIF('Progress Tracker'!$C$2:$C$3272,$B169,'Progress Tracker'!$G$2:$G$3272),1)</f>
        <v/>
      </c>
      <c r="G169" s="1" t="n"/>
    </row>
    <row r="170">
      <c r="A170" s="1" t="n"/>
      <c r="B170" s="36" t="inlineStr">
        <is>
          <t>R.9 Protein-nucleic acid and co-design</t>
        </is>
      </c>
      <c r="C170" s="29">
        <f>COUNTIF('Progress Tracker'!$C$2:$C$3272,$B170)</f>
        <v/>
      </c>
      <c r="D170" s="29">
        <f>COUNTIFS('Progress Tracker'!$C$2:$C$3272,$B170,'Progress Tracker'!$I$2:$I$3272,"Done")</f>
        <v/>
      </c>
      <c r="E170" s="30">
        <f>IFERROR(D170/C170,0)</f>
        <v/>
      </c>
      <c r="F170" s="29">
        <f>ROUND(SUMIF('Progress Tracker'!$C$2:$C$3272,$B170,'Progress Tracker'!$G$2:$G$3272),1)</f>
        <v/>
      </c>
      <c r="G170" s="1" t="n"/>
    </row>
    <row r="171">
      <c r="A171" s="1" t="n"/>
      <c r="B171" s="36" t="inlineStr">
        <is>
          <t>R.10 The framing talks and the skeptics</t>
        </is>
      </c>
      <c r="C171" s="29">
        <f>COUNTIF('Progress Tracker'!$C$2:$C$3272,$B171)</f>
        <v/>
      </c>
      <c r="D171" s="29">
        <f>COUNTIFS('Progress Tracker'!$C$2:$C$3272,$B171,'Progress Tracker'!$I$2:$I$3272,"Done")</f>
        <v/>
      </c>
      <c r="E171" s="30">
        <f>IFERROR(D171/C171,0)</f>
        <v/>
      </c>
      <c r="F171" s="29">
        <f>ROUND(SUMIF('Progress Tracker'!$C$2:$C$3272,$B171,'Progress Tracker'!$G$2:$G$3272),1)</f>
        <v/>
      </c>
      <c r="G171" s="1" t="n"/>
    </row>
    <row r="172">
      <c r="A172" s="1" t="n"/>
      <c r="B172" s="36" t="inlineStr">
        <is>
          <t>S.1 The blind assessments</t>
        </is>
      </c>
      <c r="C172" s="29">
        <f>COUNTIF('Progress Tracker'!$C$2:$C$3272,$B172)</f>
        <v/>
      </c>
      <c r="D172" s="29">
        <f>COUNTIFS('Progress Tracker'!$C$2:$C$3272,$B172,'Progress Tracker'!$I$2:$I$3272,"Done")</f>
        <v/>
      </c>
      <c r="E172" s="30">
        <f>IFERROR(D172/C172,0)</f>
        <v/>
      </c>
      <c r="F172" s="29">
        <f>ROUND(SUMIF('Progress Tracker'!$C$2:$C$3272,$B172,'Progress Tracker'!$G$2:$G$3272),1)</f>
        <v/>
      </c>
      <c r="G172" s="1" t="n"/>
    </row>
    <row r="173">
      <c r="A173" s="1" t="n"/>
      <c r="B173" s="36" t="inlineStr">
        <is>
          <t>S.3 Statistics and experimental design</t>
        </is>
      </c>
      <c r="C173" s="29">
        <f>COUNTIF('Progress Tracker'!$C$2:$C$3272,$B173)</f>
        <v/>
      </c>
      <c r="D173" s="29">
        <f>COUNTIFS('Progress Tracker'!$C$2:$C$3272,$B173,'Progress Tracker'!$I$2:$I$3272,"Done")</f>
        <v/>
      </c>
      <c r="E173" s="30">
        <f>IFERROR(D173/C173,0)</f>
        <v/>
      </c>
      <c r="F173" s="29">
        <f>ROUND(SUMIF('Progress Tracker'!$C$2:$C$3272,$B173,'Progress Tracker'!$G$2:$G$3272),1)</f>
        <v/>
      </c>
      <c r="G173" s="1" t="n"/>
    </row>
    <row r="174">
      <c r="A174" s="1" t="n"/>
      <c r="B174" s="36" t="inlineStr">
        <is>
          <t>T.1 Rhiju Das, in his own words</t>
        </is>
      </c>
      <c r="C174" s="29">
        <f>COUNTIF('Progress Tracker'!$C$2:$C$3272,$B174)</f>
        <v/>
      </c>
      <c r="D174" s="29">
        <f>COUNTIFS('Progress Tracker'!$C$2:$C$3272,$B174,'Progress Tracker'!$I$2:$I$3272,"Done")</f>
        <v/>
      </c>
      <c r="E174" s="30">
        <f>IFERROR(D174/C174,0)</f>
        <v/>
      </c>
      <c r="F174" s="29">
        <f>ROUND(SUMIF('Progress Tracker'!$C$2:$C$3272,$B174,'Progress Tracker'!$G$2:$G$3272),1)</f>
        <v/>
      </c>
      <c r="G174" s="1" t="n"/>
    </row>
    <row r="175">
      <c r="A175" s="1" t="n"/>
      <c r="B175" s="36" t="inlineStr">
        <is>
          <t>T.2 Secondary structure prediction - the dynamic programming lineage</t>
        </is>
      </c>
      <c r="C175" s="29">
        <f>COUNTIF('Progress Tracker'!$C$2:$C$3272,$B175)</f>
        <v/>
      </c>
      <c r="D175" s="29">
        <f>COUNTIFS('Progress Tracker'!$C$2:$C$3272,$B175,'Progress Tracker'!$I$2:$I$3272,"Done")</f>
        <v/>
      </c>
      <c r="E175" s="30">
        <f>IFERROR(D175/C175,0)</f>
        <v/>
      </c>
      <c r="F175" s="29">
        <f>ROUND(SUMIF('Progress Tracker'!$C$2:$C$3272,$B175,'Progress Tracker'!$G$2:$G$3272),1)</f>
        <v/>
      </c>
      <c r="G175" s="1" t="n"/>
    </row>
    <row r="176">
      <c r="A176" s="1" t="n"/>
      <c r="B176" s="36" t="inlineStr">
        <is>
          <t>T.3 Thermodynamics and nearest-neighbour parameters</t>
        </is>
      </c>
      <c r="C176" s="29">
        <f>COUNTIF('Progress Tracker'!$C$2:$C$3272,$B176)</f>
        <v/>
      </c>
      <c r="D176" s="29">
        <f>COUNTIFS('Progress Tracker'!$C$2:$C$3272,$B176,'Progress Tracker'!$I$2:$I$3272,"Done")</f>
        <v/>
      </c>
      <c r="E176" s="30">
        <f>IFERROR(D176/C176,0)</f>
        <v/>
      </c>
      <c r="F176" s="29">
        <f>ROUND(SUMIF('Progress Tracker'!$C$2:$C$3272,$B176,'Progress Tracker'!$G$2:$G$3272),1)</f>
        <v/>
      </c>
      <c r="G176" s="1" t="n"/>
    </row>
    <row r="177">
      <c r="A177" s="1" t="n"/>
      <c r="B177" s="36" t="inlineStr">
        <is>
          <t>T.4 Chemical probing - what the data actually constrains</t>
        </is>
      </c>
      <c r="C177" s="29">
        <f>COUNTIF('Progress Tracker'!$C$2:$C$3272,$B177)</f>
        <v/>
      </c>
      <c r="D177" s="29">
        <f>COUNTIFS('Progress Tracker'!$C$2:$C$3272,$B177,'Progress Tracker'!$I$2:$I$3272,"Done")</f>
        <v/>
      </c>
      <c r="E177" s="30">
        <f>IFERROR(D177/C177,0)</f>
        <v/>
      </c>
      <c r="F177" s="29">
        <f>ROUND(SUMIF('Progress Tracker'!$C$2:$C$3272,$B177,'Progress Tracker'!$G$2:$G$3272),1)</f>
        <v/>
      </c>
      <c r="G177" s="1" t="n"/>
    </row>
    <row r="178">
      <c r="A178" s="1" t="n"/>
      <c r="B178" s="36" t="inlineStr">
        <is>
          <t>T.5 Ribozymes and catalytic RNA</t>
        </is>
      </c>
      <c r="C178" s="29">
        <f>COUNTIF('Progress Tracker'!$C$2:$C$3272,$B178)</f>
        <v/>
      </c>
      <c r="D178" s="29">
        <f>COUNTIFS('Progress Tracker'!$C$2:$C$3272,$B178,'Progress Tracker'!$I$2:$I$3272,"Done")</f>
        <v/>
      </c>
      <c r="E178" s="30">
        <f>IFERROR(D178/C178,0)</f>
        <v/>
      </c>
      <c r="F178" s="29">
        <f>ROUND(SUMIF('Progress Tracker'!$C$2:$C$3272,$B178,'Progress Tracker'!$G$2:$G$3272),1)</f>
        <v/>
      </c>
      <c r="G178" s="1" t="n"/>
    </row>
    <row r="179">
      <c r="A179" s="1" t="n"/>
      <c r="B179" s="36" t="inlineStr">
        <is>
          <t>T.6 Riboswitches and RNA regulation</t>
        </is>
      </c>
      <c r="C179" s="29">
        <f>COUNTIF('Progress Tracker'!$C$2:$C$3272,$B179)</f>
        <v/>
      </c>
      <c r="D179" s="29">
        <f>COUNTIFS('Progress Tracker'!$C$2:$C$3272,$B179,'Progress Tracker'!$I$2:$I$3272,"Done")</f>
        <v/>
      </c>
      <c r="E179" s="30">
        <f>IFERROR(D179/C179,0)</f>
        <v/>
      </c>
      <c r="F179" s="29">
        <f>ROUND(SUMIF('Progress Tracker'!$C$2:$C$3272,$B179,'Progress Tracker'!$G$2:$G$3272),1)</f>
        <v/>
      </c>
      <c r="G179" s="1" t="n"/>
    </row>
    <row r="180">
      <c r="A180" s="1" t="n"/>
      <c r="B180" s="36" t="inlineStr">
        <is>
          <t>T.7 Three-dimensional structure prediction</t>
        </is>
      </c>
      <c r="C180" s="29">
        <f>COUNTIF('Progress Tracker'!$C$2:$C$3272,$B180)</f>
        <v/>
      </c>
      <c r="D180" s="29">
        <f>COUNTIFS('Progress Tracker'!$C$2:$C$3272,$B180,'Progress Tracker'!$I$2:$I$3272,"Done")</f>
        <v/>
      </c>
      <c r="E180" s="30">
        <f>IFERROR(D180/C180,0)</f>
        <v/>
      </c>
      <c r="F180" s="29">
        <f>ROUND(SUMIF('Progress Tracker'!$C$2:$C$3272,$B180,'Progress Tracker'!$G$2:$G$3272),1)</f>
        <v/>
      </c>
      <c r="G180" s="1" t="n"/>
    </row>
    <row r="181">
      <c r="A181" s="1" t="n"/>
      <c r="B181" s="36" t="inlineStr">
        <is>
          <t>T.8 RNA design</t>
        </is>
      </c>
      <c r="C181" s="29">
        <f>COUNTIF('Progress Tracker'!$C$2:$C$3272,$B181)</f>
        <v/>
      </c>
      <c r="D181" s="29">
        <f>COUNTIFS('Progress Tracker'!$C$2:$C$3272,$B181,'Progress Tracker'!$I$2:$I$3272,"Done")</f>
        <v/>
      </c>
      <c r="E181" s="30">
        <f>IFERROR(D181/C181,0)</f>
        <v/>
      </c>
      <c r="F181" s="29">
        <f>ROUND(SUMIF('Progress Tracker'!$C$2:$C$3272,$B181,'Progress Tracker'!$G$2:$G$3272),1)</f>
        <v/>
      </c>
      <c r="G181" s="1" t="n"/>
    </row>
    <row r="182">
      <c r="A182" s="1" t="n"/>
      <c r="B182" s="36" t="inlineStr">
        <is>
          <t>T.9 Biophysics - the ion atmosphere</t>
        </is>
      </c>
      <c r="C182" s="29">
        <f>COUNTIF('Progress Tracker'!$C$2:$C$3272,$B182)</f>
        <v/>
      </c>
      <c r="D182" s="29">
        <f>COUNTIFS('Progress Tracker'!$C$2:$C$3272,$B182,'Progress Tracker'!$I$2:$I$3272,"Done")</f>
        <v/>
      </c>
      <c r="E182" s="30">
        <f>IFERROR(D182/C182,0)</f>
        <v/>
      </c>
      <c r="F182" s="29">
        <f>ROUND(SUMIF('Progress Tracker'!$C$2:$C$3272,$B182,'Progress Tracker'!$G$2:$G$3272),1)</f>
        <v/>
      </c>
      <c r="G182" s="1" t="n"/>
    </row>
    <row r="183">
      <c r="A183" s="1" t="n"/>
      <c r="B183" s="36" t="inlineStr">
        <is>
          <t>1. Core deep learning courses with full recorded lectures</t>
        </is>
      </c>
      <c r="C183" s="29">
        <f>COUNTIF('Progress Tracker'!$C$2:$C$3272,$B183)</f>
        <v/>
      </c>
      <c r="D183" s="29">
        <f>COUNTIFS('Progress Tracker'!$C$2:$C$3272,$B183,'Progress Tracker'!$I$2:$I$3272,"Done")</f>
        <v/>
      </c>
      <c r="E183" s="30">
        <f>IFERROR(D183/C183,0)</f>
        <v/>
      </c>
      <c r="F183" s="29">
        <f>ROUND(SUMIF('Progress Tracker'!$C$2:$C$3272,$B183,'Progress Tracker'!$G$2:$G$3272),1)</f>
        <v/>
      </c>
      <c r="G183" s="1" t="n"/>
    </row>
    <row r="184">
      <c r="A184" s="1" t="n"/>
      <c r="B184" s="36" t="inlineStr">
        <is>
          <t>2. Probabilistic ML and Bayesian methods</t>
        </is>
      </c>
      <c r="C184" s="29">
        <f>COUNTIF('Progress Tracker'!$C$2:$C$3272,$B184)</f>
        <v/>
      </c>
      <c r="D184" s="29">
        <f>COUNTIFS('Progress Tracker'!$C$2:$C$3272,$B184,'Progress Tracker'!$I$2:$I$3272,"Done")</f>
        <v/>
      </c>
      <c r="E184" s="30">
        <f>IFERROR(D184/C184,0)</f>
        <v/>
      </c>
      <c r="F184" s="29">
        <f>ROUND(SUMIF('Progress Tracker'!$C$2:$C$3272,$B184,'Progress Tracker'!$G$2:$G$3272),1)</f>
        <v/>
      </c>
      <c r="G184" s="1" t="n"/>
    </row>
    <row r="185">
      <c r="A185" s="1" t="n"/>
      <c r="B185" s="36" t="inlineStr">
        <is>
          <t>4. Diffusion models and flow matching</t>
        </is>
      </c>
      <c r="C185" s="29">
        <f>COUNTIF('Progress Tracker'!$C$2:$C$3272,$B185)</f>
        <v/>
      </c>
      <c r="D185" s="29">
        <f>COUNTIFS('Progress Tracker'!$C$2:$C$3272,$B185,'Progress Tracker'!$I$2:$I$3272,"Done")</f>
        <v/>
      </c>
      <c r="E185" s="30">
        <f>IFERROR(D185/C185,0)</f>
        <v/>
      </c>
      <c r="F185" s="29">
        <f>ROUND(SUMIF('Progress Tracker'!$C$2:$C$3272,$B185,'Progress Tracker'!$G$2:$G$3272),1)</f>
        <v/>
      </c>
      <c r="G185" s="1" t="n"/>
    </row>
    <row r="186">
      <c r="A186" s="1" t="n"/>
      <c r="B186" s="36" t="inlineStr">
        <is>
          <t>5. Transformers and attention in depth</t>
        </is>
      </c>
      <c r="C186" s="29">
        <f>COUNTIF('Progress Tracker'!$C$2:$C$3272,$B186)</f>
        <v/>
      </c>
      <c r="D186" s="29">
        <f>COUNTIFS('Progress Tracker'!$C$2:$C$3272,$B186,'Progress Tracker'!$I$2:$I$3272,"Done")</f>
        <v/>
      </c>
      <c r="E186" s="30">
        <f>IFERROR(D186/C186,0)</f>
        <v/>
      </c>
      <c r="F186" s="29">
        <f>ROUND(SUMIF('Progress Tracker'!$C$2:$C$3272,$B186,'Progress Tracker'!$G$2:$G$3272),1)</f>
        <v/>
      </c>
      <c r="G186" s="1" t="n"/>
    </row>
    <row r="187">
      <c r="A187" s="1" t="n"/>
      <c r="B187" s="36" t="inlineStr">
        <is>
          <t>6. Reinforcement learning and optimization for design</t>
        </is>
      </c>
      <c r="C187" s="29">
        <f>COUNTIF('Progress Tracker'!$C$2:$C$3272,$B187)</f>
        <v/>
      </c>
      <c r="D187" s="29">
        <f>COUNTIFS('Progress Tracker'!$C$2:$C$3272,$B187,'Progress Tracker'!$I$2:$I$3272,"Done")</f>
        <v/>
      </c>
      <c r="E187" s="30">
        <f>IFERROR(D187/C187,0)</f>
        <v/>
      </c>
      <c r="F187" s="29">
        <f>ROUND(SUMIF('Progress Tracker'!$C$2:$C$3272,$B187,'Progress Tracker'!$G$2:$G$3272),1)</f>
        <v/>
      </c>
      <c r="G187" s="1" t="n"/>
    </row>
    <row r="188">
      <c r="A188" s="1" t="n"/>
      <c r="B188" s="36" t="inlineStr">
        <is>
          <t>7. ML systems practicalities</t>
        </is>
      </c>
      <c r="C188" s="29">
        <f>COUNTIF('Progress Tracker'!$C$2:$C$3272,$B188)</f>
        <v/>
      </c>
      <c r="D188" s="29">
        <f>COUNTIFS('Progress Tracker'!$C$2:$C$3272,$B188,'Progress Tracker'!$I$2:$I$3272,"Done")</f>
        <v/>
      </c>
      <c r="E188" s="30">
        <f>IFERROR(D188/C188,0)</f>
        <v/>
      </c>
      <c r="F188" s="29">
        <f>ROUND(SUMIF('Progress Tracker'!$C$2:$C$3272,$B188,'Progress Tracker'!$G$2:$G$3272),1)</f>
        <v/>
      </c>
      <c r="G188" s="1" t="n"/>
    </row>
    <row r="189">
      <c r="A189" s="1" t="n"/>
      <c r="B189" s="36" t="inlineStr">
        <is>
          <t>1. Modern vision architectures - ViT, ConvNeXt, Swin, the convolution debate</t>
        </is>
      </c>
      <c r="C189" s="29">
        <f>COUNTIF('Progress Tracker'!$C$2:$C$3272,$B189)</f>
        <v/>
      </c>
      <c r="D189" s="29">
        <f>COUNTIFS('Progress Tracker'!$C$2:$C$3272,$B189,'Progress Tracker'!$I$2:$I$3272,"Done")</f>
        <v/>
      </c>
      <c r="E189" s="30">
        <f>IFERROR(D189/C189,0)</f>
        <v/>
      </c>
      <c r="F189" s="29">
        <f>ROUND(SUMIF('Progress Tracker'!$C$2:$C$3272,$B189,'Progress Tracker'!$G$2:$G$3272),1)</f>
        <v/>
      </c>
      <c r="G189" s="1" t="n"/>
    </row>
    <row r="190">
      <c r="A190" s="1" t="n"/>
      <c r="B190" s="36" t="inlineStr">
        <is>
          <t>2. Self-supervised visual learning - contrastive, clustering, masked, JEPA</t>
        </is>
      </c>
      <c r="C190" s="29">
        <f>COUNTIF('Progress Tracker'!$C$2:$C$3272,$B190)</f>
        <v/>
      </c>
      <c r="D190" s="29">
        <f>COUNTIFS('Progress Tracker'!$C$2:$C$3272,$B190,'Progress Tracker'!$I$2:$I$3272,"Done")</f>
        <v/>
      </c>
      <c r="E190" s="30">
        <f>IFERROR(D190/C190,0)</f>
        <v/>
      </c>
      <c r="F190" s="29">
        <f>ROUND(SUMIF('Progress Tracker'!$C$2:$C$3272,$B190,'Progress Tracker'!$G$2:$G$3272),1)</f>
        <v/>
      </c>
      <c r="G190" s="1" t="n"/>
    </row>
    <row r="191">
      <c r="A191" s="1" t="n"/>
      <c r="B191" s="36" t="inlineStr">
        <is>
          <t>3. Vision-language and multimodal</t>
        </is>
      </c>
      <c r="C191" s="29">
        <f>COUNTIF('Progress Tracker'!$C$2:$C$3272,$B191)</f>
        <v/>
      </c>
      <c r="D191" s="29">
        <f>COUNTIFS('Progress Tracker'!$C$2:$C$3272,$B191,'Progress Tracker'!$I$2:$I$3272,"Done")</f>
        <v/>
      </c>
      <c r="E191" s="30">
        <f>IFERROR(D191/C191,0)</f>
        <v/>
      </c>
      <c r="F191" s="29">
        <f>ROUND(SUMIF('Progress Tracker'!$C$2:$C$3272,$B191,'Progress Tracker'!$G$2:$G$3272),1)</f>
        <v/>
      </c>
      <c r="G191" s="1" t="n"/>
    </row>
    <row r="192">
      <c r="A192" s="1" t="n"/>
      <c r="B192" s="36" t="inlineStr">
        <is>
          <t>4. Segmentation, detection, dense prediction</t>
        </is>
      </c>
      <c r="C192" s="29">
        <f>COUNTIF('Progress Tracker'!$C$2:$C$3272,$B192)</f>
        <v/>
      </c>
      <c r="D192" s="29">
        <f>COUNTIFS('Progress Tracker'!$C$2:$C$3272,$B192,'Progress Tracker'!$I$2:$I$3272,"Done")</f>
        <v/>
      </c>
      <c r="E192" s="30">
        <f>IFERROR(D192/C192,0)</f>
        <v/>
      </c>
      <c r="F192" s="29">
        <f>ROUND(SUMIF('Progress Tracker'!$C$2:$C$3272,$B192,'Progress Tracker'!$G$2:$G$3272),1)</f>
        <v/>
      </c>
      <c r="G192" s="1" t="n"/>
    </row>
    <row r="193">
      <c r="A193" s="1" t="n"/>
      <c r="B193" s="36" t="inlineStr">
        <is>
          <t>5. Generative vision - GANs, diffusion, autoregressive, video, evaluation</t>
        </is>
      </c>
      <c r="C193" s="29">
        <f>COUNTIF('Progress Tracker'!$C$2:$C$3272,$B193)</f>
        <v/>
      </c>
      <c r="D193" s="29">
        <f>COUNTIFS('Progress Tracker'!$C$2:$C$3272,$B193,'Progress Tracker'!$I$2:$I$3272,"Done")</f>
        <v/>
      </c>
      <c r="E193" s="30">
        <f>IFERROR(D193/C193,0)</f>
        <v/>
      </c>
      <c r="F193" s="29">
        <f>ROUND(SUMIF('Progress Tracker'!$C$2:$C$3272,$B193,'Progress Tracker'!$G$2:$G$3272),1)</f>
        <v/>
      </c>
      <c r="G193" s="1" t="n"/>
    </row>
    <row r="194">
      <c r="A194" s="1" t="n"/>
      <c r="B194" s="36" t="inlineStr">
        <is>
          <t>6. 3D vision and geometry - directly transferable to molecular structure</t>
        </is>
      </c>
      <c r="C194" s="29">
        <f>COUNTIF('Progress Tracker'!$C$2:$C$3272,$B194)</f>
        <v/>
      </c>
      <c r="D194" s="29">
        <f>COUNTIFS('Progress Tracker'!$C$2:$C$3272,$B194,'Progress Tracker'!$I$2:$I$3272,"Done")</f>
        <v/>
      </c>
      <c r="E194" s="30">
        <f>IFERROR(D194/C194,0)</f>
        <v/>
      </c>
      <c r="F194" s="29">
        <f>ROUND(SUMIF('Progress Tracker'!$C$2:$C$3272,$B194,'Progress Tracker'!$G$2:$G$3272),1)</f>
        <v/>
      </c>
      <c r="G194" s="1" t="n"/>
    </row>
    <row r="195">
      <c r="A195" s="1" t="n"/>
      <c r="B195" s="36" t="inlineStr">
        <is>
          <t>7. Research seminars, keynotes, and research taste</t>
        </is>
      </c>
      <c r="C195" s="29">
        <f>COUNTIF('Progress Tracker'!$C$2:$C$3272,$B195)</f>
        <v/>
      </c>
      <c r="D195" s="29">
        <f>COUNTIFS('Progress Tracker'!$C$2:$C$3272,$B195,'Progress Tracker'!$I$2:$I$3272,"Done")</f>
        <v/>
      </c>
      <c r="E195" s="30">
        <f>IFERROR(D195/C195,0)</f>
        <v/>
      </c>
      <c r="F195" s="29">
        <f>ROUND(SUMIF('Progress Tracker'!$C$2:$C$3272,$B195,'Progress Tracker'!$G$2:$G$3272),1)</f>
        <v/>
      </c>
      <c r="G195" s="1" t="n"/>
    </row>
    <row r="196">
      <c r="A196" s="1" t="n"/>
      <c r="B196" s="36" t="inlineStr">
        <is>
          <t>8a. Stanford CS231n - Deep Learning for Computer Vision, Spring 2025 (18 lectures, Stanford Online</t>
        </is>
      </c>
      <c r="C196" s="29">
        <f>COUNTIF('Progress Tracker'!$C$2:$C$3272,$B196)</f>
        <v/>
      </c>
      <c r="D196" s="29">
        <f>COUNTIFS('Progress Tracker'!$C$2:$C$3272,$B196,'Progress Tracker'!$I$2:$I$3272,"Done")</f>
        <v/>
      </c>
      <c r="E196" s="30">
        <f>IFERROR(D196/C196,0)</f>
        <v/>
      </c>
      <c r="F196" s="29">
        <f>ROUND(SUMIF('Progress Tracker'!$C$2:$C$3272,$B196,'Progress Tracker'!$G$2:$G$3272),1)</f>
        <v/>
      </c>
      <c r="G196" s="1" t="n"/>
    </row>
    <row r="197">
      <c r="A197" s="1" t="n"/>
      <c r="B197" s="36" t="inlineStr">
        <is>
          <t>8b. University of Michigan EECS 498-007 / 598-005 - Deep Learning for Computer Vision (Justin Johnson), 22 lectures, Michigan Online</t>
        </is>
      </c>
      <c r="C197" s="29">
        <f>COUNTIF('Progress Tracker'!$C$2:$C$3272,$B197)</f>
        <v/>
      </c>
      <c r="D197" s="29">
        <f>COUNTIFS('Progress Tracker'!$C$2:$C$3272,$B197,'Progress Tracker'!$I$2:$I$3272,"Done")</f>
        <v/>
      </c>
      <c r="E197" s="30">
        <f>IFERROR(D197/C197,0)</f>
        <v/>
      </c>
      <c r="F197" s="29">
        <f>ROUND(SUMIF('Progress Tracker'!$C$2:$C$3272,$B197,'Progress Tracker'!$G$2:$G$3272),1)</f>
        <v/>
      </c>
      <c r="G197" s="1" t="n"/>
    </row>
    <row r="198">
      <c r="A198" s="1" t="n"/>
      <c r="B198" s="36" t="inlineStr">
        <is>
          <t>8c. Supplementary graduate courses (verified, enumerate individually as needed</t>
        </is>
      </c>
      <c r="C198" s="29">
        <f>COUNTIF('Progress Tracker'!$C$2:$C$3272,$B198)</f>
        <v/>
      </c>
      <c r="D198" s="29">
        <f>COUNTIFS('Progress Tracker'!$C$2:$C$3272,$B198,'Progress Tracker'!$I$2:$I$3272,"Done")</f>
        <v/>
      </c>
      <c r="E198" s="30">
        <f>IFERROR(D198/C198,0)</f>
        <v/>
      </c>
      <c r="F198" s="29">
        <f>ROUND(SUMIF('Progress Tracker'!$C$2:$C$3272,$B198,'Progress Tracker'!$G$2:$G$3272),1)</f>
        <v/>
      </c>
      <c r="G198" s="1" t="n"/>
    </row>
    <row r="199">
      <c r="A199" s="1" t="n"/>
      <c r="B199" s="36" t="inlineStr">
        <is>
          <t>D.4.1 State space models - the strongest single thread here</t>
        </is>
      </c>
      <c r="C199" s="29">
        <f>COUNTIF('Progress Tracker'!$C$2:$C$3272,$B199)</f>
        <v/>
      </c>
      <c r="D199" s="29">
        <f>COUNTIFS('Progress Tracker'!$C$2:$C$3272,$B199,'Progress Tracker'!$I$2:$I$3272,"Done")</f>
        <v/>
      </c>
      <c r="E199" s="30">
        <f>IFERROR(D199/C199,0)</f>
        <v/>
      </c>
      <c r="F199" s="29">
        <f>ROUND(SUMIF('Progress Tracker'!$C$2:$C$3272,$B199,'Progress Tracker'!$G$2:$G$3272),1)</f>
        <v/>
      </c>
      <c r="G199" s="1" t="n"/>
    </row>
    <row r="200">
      <c r="A200" s="1" t="n"/>
      <c r="B200" s="36" t="inlineStr">
        <is>
          <t>D.4.2 Linear attention and efficient attention</t>
        </is>
      </c>
      <c r="C200" s="29">
        <f>COUNTIF('Progress Tracker'!$C$2:$C$3272,$B200)</f>
        <v/>
      </c>
      <c r="D200" s="29">
        <f>COUNTIFS('Progress Tracker'!$C$2:$C$3272,$B200,'Progress Tracker'!$I$2:$I$3272,"Done")</f>
        <v/>
      </c>
      <c r="E200" s="30">
        <f>IFERROR(D200/C200,0)</f>
        <v/>
      </c>
      <c r="F200" s="29">
        <f>ROUND(SUMIF('Progress Tracker'!$C$2:$C$3272,$B200,'Progress Tracker'!$G$2:$G$3272),1)</f>
        <v/>
      </c>
      <c r="G200" s="1" t="n"/>
    </row>
    <row r="201">
      <c r="A201" s="1" t="n"/>
      <c r="B201" s="36" t="inlineStr">
        <is>
          <t>D.4.3 Positional encoding, normalization, tokenization</t>
        </is>
      </c>
      <c r="C201" s="29">
        <f>COUNTIF('Progress Tracker'!$C$2:$C$3272,$B201)</f>
        <v/>
      </c>
      <c r="D201" s="29">
        <f>COUNTIFS('Progress Tracker'!$C$2:$C$3272,$B201,'Progress Tracker'!$I$2:$I$3272,"Done")</f>
        <v/>
      </c>
      <c r="E201" s="30">
        <f>IFERROR(D201/C201,0)</f>
        <v/>
      </c>
      <c r="F201" s="29">
        <f>ROUND(SUMIF('Progress Tracker'!$C$2:$C$3272,$B201,'Progress Tracker'!$G$2:$G$3272),1)</f>
        <v/>
      </c>
      <c r="G201" s="1" t="n"/>
    </row>
    <row r="202">
      <c r="A202" s="1" t="n"/>
      <c r="B202" s="36" t="inlineStr">
        <is>
          <t>D.4.4 Mixture of experts</t>
        </is>
      </c>
      <c r="C202" s="29">
        <f>COUNTIF('Progress Tracker'!$C$2:$C$3272,$B202)</f>
        <v/>
      </c>
      <c r="D202" s="29">
        <f>COUNTIFS('Progress Tracker'!$C$2:$C$3272,$B202,'Progress Tracker'!$I$2:$I$3272,"Done")</f>
        <v/>
      </c>
      <c r="E202" s="30">
        <f>IFERROR(D202/C202,0)</f>
        <v/>
      </c>
      <c r="F202" s="29">
        <f>ROUND(SUMIF('Progress Tracker'!$C$2:$C$3272,$B202,'Progress Tracker'!$G$2:$G$3272),1)</f>
        <v/>
      </c>
      <c r="G202" s="1" t="n"/>
    </row>
    <row r="203">
      <c r="A203" s="1" t="n"/>
      <c r="B203" s="36" t="inlineStr">
        <is>
          <t>D.4.5 Long context</t>
        </is>
      </c>
      <c r="C203" s="29">
        <f>COUNTIF('Progress Tracker'!$C$2:$C$3272,$B203)</f>
        <v/>
      </c>
      <c r="D203" s="29">
        <f>COUNTIFS('Progress Tracker'!$C$2:$C$3272,$B203,'Progress Tracker'!$I$2:$I$3272,"Done")</f>
        <v/>
      </c>
      <c r="E203" s="30">
        <f>IFERROR(D203/C203,0)</f>
        <v/>
      </c>
      <c r="F203" s="29">
        <f>ROUND(SUMIF('Progress Tracker'!$C$2:$C$3272,$B203,'Progress Tracker'!$G$2:$G$3272),1)</f>
        <v/>
      </c>
      <c r="G203" s="1" t="n"/>
    </row>
    <row r="204">
      <c r="A204" s="1" t="n"/>
      <c r="B204" s="36" t="inlineStr">
        <is>
          <t>D.4.6 Diffusion language models</t>
        </is>
      </c>
      <c r="C204" s="29">
        <f>COUNTIF('Progress Tracker'!$C$2:$C$3272,$B204)</f>
        <v/>
      </c>
      <c r="D204" s="29">
        <f>COUNTIFS('Progress Tracker'!$C$2:$C$3272,$B204,'Progress Tracker'!$I$2:$I$3272,"Done")</f>
        <v/>
      </c>
      <c r="E204" s="30">
        <f>IFERROR(D204/C204,0)</f>
        <v/>
      </c>
      <c r="F204" s="29">
        <f>ROUND(SUMIF('Progress Tracker'!$C$2:$C$3272,$B204,'Progress Tracker'!$G$2:$G$3272),1)</f>
        <v/>
      </c>
      <c r="G204" s="1" t="n"/>
    </row>
    <row r="205">
      <c r="A205" s="1" t="n"/>
      <c r="B205" s="36" t="inlineStr">
        <is>
          <t>D.4.7 RWKV, Hyena, xLSTM - the other attention alternatives</t>
        </is>
      </c>
      <c r="C205" s="29">
        <f>COUNTIF('Progress Tracker'!$C$2:$C$3272,$B205)</f>
        <v/>
      </c>
      <c r="D205" s="29">
        <f>COUNTIFS('Progress Tracker'!$C$2:$C$3272,$B205,'Progress Tracker'!$I$2:$I$3272,"Done")</f>
        <v/>
      </c>
      <c r="E205" s="30">
        <f>IFERROR(D205/C205,0)</f>
        <v/>
      </c>
      <c r="F205" s="29">
        <f>ROUND(SUMIF('Progress Tracker'!$C$2:$C$3272,$B205,'Progress Tracker'!$G$2:$G$3272),1)</f>
        <v/>
      </c>
      <c r="G205" s="1" t="n"/>
    </row>
    <row r="206">
      <c r="A206" s="1" t="n"/>
      <c r="B206" s="36" t="inlineStr">
        <is>
          <t>D.5.1 FlashAttention and IO-aware algorithms</t>
        </is>
      </c>
      <c r="C206" s="29">
        <f>COUNTIF('Progress Tracker'!$C$2:$C$3272,$B206)</f>
        <v/>
      </c>
      <c r="D206" s="29">
        <f>COUNTIFS('Progress Tracker'!$C$2:$C$3272,$B206,'Progress Tracker'!$I$2:$I$3272,"Done")</f>
        <v/>
      </c>
      <c r="E206" s="30">
        <f>IFERROR(D206/C206,0)</f>
        <v/>
      </c>
      <c r="F206" s="29">
        <f>ROUND(SUMIF('Progress Tracker'!$C$2:$C$3272,$B206,'Progress Tracker'!$G$2:$G$3272),1)</f>
        <v/>
      </c>
      <c r="G206" s="1" t="n"/>
    </row>
    <row r="207">
      <c r="A207" s="1" t="n"/>
      <c r="B207" s="36" t="inlineStr">
        <is>
          <t>D.5.2 Parallelism and distributed training</t>
        </is>
      </c>
      <c r="C207" s="29">
        <f>COUNTIF('Progress Tracker'!$C$2:$C$3272,$B207)</f>
        <v/>
      </c>
      <c r="D207" s="29">
        <f>COUNTIFS('Progress Tracker'!$C$2:$C$3272,$B207,'Progress Tracker'!$I$2:$I$3272,"Done")</f>
        <v/>
      </c>
      <c r="E207" s="30">
        <f>IFERROR(D207/C207,0)</f>
        <v/>
      </c>
      <c r="F207" s="29">
        <f>ROUND(SUMIF('Progress Tracker'!$C$2:$C$3272,$B207,'Progress Tracker'!$G$2:$G$3272),1)</f>
        <v/>
      </c>
      <c r="G207" s="1" t="n"/>
    </row>
    <row r="208">
      <c r="A208" s="1" t="n"/>
      <c r="B208" s="36" t="inlineStr">
        <is>
          <t>D.5.3 Numerics, precision and optimizers</t>
        </is>
      </c>
      <c r="C208" s="29">
        <f>COUNTIF('Progress Tracker'!$C$2:$C$3272,$B208)</f>
        <v/>
      </c>
      <c r="D208" s="29">
        <f>COUNTIFS('Progress Tracker'!$C$2:$C$3272,$B208,'Progress Tracker'!$I$2:$I$3272,"Done")</f>
        <v/>
      </c>
      <c r="E208" s="30">
        <f>IFERROR(D208/C208,0)</f>
        <v/>
      </c>
      <c r="F208" s="29">
        <f>ROUND(SUMIF('Progress Tracker'!$C$2:$C$3272,$B208,'Progress Tracker'!$G$2:$G$3272),1)</f>
        <v/>
      </c>
      <c r="G208" s="1" t="n"/>
    </row>
    <row r="209">
      <c r="A209" s="1" t="n"/>
      <c r="B209" s="36" t="inlineStr">
        <is>
          <t>D.5.4 Scaling laws</t>
        </is>
      </c>
      <c r="C209" s="29">
        <f>COUNTIF('Progress Tracker'!$C$2:$C$3272,$B209)</f>
        <v/>
      </c>
      <c r="D209" s="29">
        <f>COUNTIFS('Progress Tracker'!$C$2:$C$3272,$B209,'Progress Tracker'!$I$2:$I$3272,"Done")</f>
        <v/>
      </c>
      <c r="E209" s="30">
        <f>IFERROR(D209/C209,0)</f>
        <v/>
      </c>
      <c r="F209" s="29">
        <f>ROUND(SUMIF('Progress Tracker'!$C$2:$C$3272,$B209,'Progress Tracker'!$G$2:$G$3272),1)</f>
        <v/>
      </c>
      <c r="G209" s="1" t="n"/>
    </row>
    <row r="210">
      <c r="A210" s="1" t="n"/>
      <c r="B210" s="36" t="inlineStr">
        <is>
          <t>D.5.5 Data - the chapter that transfers most cleanly</t>
        </is>
      </c>
      <c r="C210" s="29">
        <f>COUNTIF('Progress Tracker'!$C$2:$C$3272,$B210)</f>
        <v/>
      </c>
      <c r="D210" s="29">
        <f>COUNTIFS('Progress Tracker'!$C$2:$C$3272,$B210,'Progress Tracker'!$I$2:$I$3272,"Done")</f>
        <v/>
      </c>
      <c r="E210" s="30">
        <f>IFERROR(D210/C210,0)</f>
        <v/>
      </c>
      <c r="F210" s="29">
        <f>ROUND(SUMIF('Progress Tracker'!$C$2:$C$3272,$B210,'Progress Tracker'!$G$2:$G$3272),1)</f>
        <v/>
      </c>
      <c r="G210" s="1" t="n"/>
    </row>
    <row r="211">
      <c r="A211" s="1" t="n"/>
      <c r="B211" s="36" t="inlineStr">
        <is>
          <t>D.6.1 The mechanics, and the over-optimization result</t>
        </is>
      </c>
      <c r="C211" s="29">
        <f>COUNTIF('Progress Tracker'!$C$2:$C$3272,$B211)</f>
        <v/>
      </c>
      <c r="D211" s="29">
        <f>COUNTIFS('Progress Tracker'!$C$2:$C$3272,$B211,'Progress Tracker'!$I$2:$I$3272,"Done")</f>
        <v/>
      </c>
      <c r="E211" s="30">
        <f>IFERROR(D211/C211,0)</f>
        <v/>
      </c>
      <c r="F211" s="29">
        <f>ROUND(SUMIF('Progress Tracker'!$C$2:$C$3272,$B211,'Progress Tracker'!$G$2:$G$3272),1)</f>
        <v/>
      </c>
      <c r="G211" s="1" t="n"/>
    </row>
    <row r="212">
      <c r="A212" s="1" t="n"/>
      <c r="B212" s="36" t="inlineStr">
        <is>
          <t>D.6.2 The Post-Training Course - Nathan Lambert, AI2, 2026</t>
        </is>
      </c>
      <c r="C212" s="29">
        <f>COUNTIF('Progress Tracker'!$C$2:$C$3272,$B212)</f>
        <v/>
      </c>
      <c r="D212" s="29">
        <f>COUNTIFS('Progress Tracker'!$C$2:$C$3272,$B212,'Progress Tracker'!$I$2:$I$3272,"Done")</f>
        <v/>
      </c>
      <c r="E212" s="30">
        <f>IFERROR(D212/C212,0)</f>
        <v/>
      </c>
      <c r="F212" s="29">
        <f>ROUND(SUMIF('Progress Tracker'!$C$2:$C$3272,$B212,'Progress Tracker'!$G$2:$G$3272),1)</f>
        <v/>
      </c>
      <c r="G212" s="1" t="n"/>
    </row>
    <row r="213">
      <c r="A213" s="1" t="n"/>
      <c r="B213" s="36" t="inlineStr">
        <is>
          <t>D.6.3 DPO, PPO and the algorithmic debate</t>
        </is>
      </c>
      <c r="C213" s="29">
        <f>COUNTIF('Progress Tracker'!$C$2:$C$3272,$B213)</f>
        <v/>
      </c>
      <c r="D213" s="29">
        <f>COUNTIFS('Progress Tracker'!$C$2:$C$3272,$B213,'Progress Tracker'!$I$2:$I$3272,"Done")</f>
        <v/>
      </c>
      <c r="E213" s="30">
        <f>IFERROR(D213/C213,0)</f>
        <v/>
      </c>
      <c r="F213" s="29">
        <f>ROUND(SUMIF('Progress Tracker'!$C$2:$C$3272,$B213,'Progress Tracker'!$G$2:$G$3272),1)</f>
        <v/>
      </c>
      <c r="G213" s="1" t="n"/>
    </row>
    <row r="214">
      <c r="A214" s="1" t="n"/>
      <c r="B214" s="36" t="inlineStr">
        <is>
          <t>D.6.4 RLVR - reinforcement learning with verifiable rewards</t>
        </is>
      </c>
      <c r="C214" s="29">
        <f>COUNTIF('Progress Tracker'!$C$2:$C$3272,$B214)</f>
        <v/>
      </c>
      <c r="D214" s="29">
        <f>COUNTIFS('Progress Tracker'!$C$2:$C$3272,$B214,'Progress Tracker'!$I$2:$I$3272,"Done")</f>
        <v/>
      </c>
      <c r="E214" s="30">
        <f>IFERROR(D214/C214,0)</f>
        <v/>
      </c>
      <c r="F214" s="29">
        <f>ROUND(SUMIF('Progress Tracker'!$C$2:$C$3272,$B214,'Progress Tracker'!$G$2:$G$3272),1)</f>
        <v/>
      </c>
      <c r="G214" s="1" t="n"/>
    </row>
    <row r="215">
      <c r="A215" s="1" t="n"/>
      <c r="B215" s="36" t="inlineStr">
        <is>
          <t>D.6.5 Reward modeling, reward hacking and supervision</t>
        </is>
      </c>
      <c r="C215" s="29">
        <f>COUNTIF('Progress Tracker'!$C$2:$C$3272,$B215)</f>
        <v/>
      </c>
      <c r="D215" s="29">
        <f>COUNTIFS('Progress Tracker'!$C$2:$C$3272,$B215,'Progress Tracker'!$I$2:$I$3272,"Done")</f>
        <v/>
      </c>
      <c r="E215" s="30">
        <f>IFERROR(D215/C215,0)</f>
        <v/>
      </c>
      <c r="F215" s="29">
        <f>ROUND(SUMIF('Progress Tracker'!$C$2:$C$3272,$B215,'Progress Tracker'!$G$2:$G$3272),1)</f>
        <v/>
      </c>
      <c r="G215" s="1" t="n"/>
    </row>
    <row r="216">
      <c r="A216" s="1" t="n"/>
      <c r="B216" s="36" t="inlineStr">
        <is>
          <t>D.6.6 Distillation and synthetic data</t>
        </is>
      </c>
      <c r="C216" s="29">
        <f>COUNTIF('Progress Tracker'!$C$2:$C$3272,$B216)</f>
        <v/>
      </c>
      <c r="D216" s="29">
        <f>COUNTIFS('Progress Tracker'!$C$2:$C$3272,$B216,'Progress Tracker'!$I$2:$I$3272,"Done")</f>
        <v/>
      </c>
      <c r="E216" s="30">
        <f>IFERROR(D216/C216,0)</f>
        <v/>
      </c>
      <c r="F216" s="29">
        <f>ROUND(SUMIF('Progress Tracker'!$C$2:$C$3272,$B216,'Progress Tracker'!$G$2:$G$3272),1)</f>
        <v/>
      </c>
      <c r="G216" s="1" t="n"/>
    </row>
    <row r="217">
      <c r="A217" s="1" t="n"/>
      <c r="B217" s="36" t="inlineStr">
        <is>
          <t>D.7.1 Chain-of-thought and the theory behind it</t>
        </is>
      </c>
      <c r="C217" s="29">
        <f>COUNTIF('Progress Tracker'!$C$2:$C$3272,$B217)</f>
        <v/>
      </c>
      <c r="D217" s="29">
        <f>COUNTIFS('Progress Tracker'!$C$2:$C$3272,$B217,'Progress Tracker'!$I$2:$I$3272,"Done")</f>
        <v/>
      </c>
      <c r="E217" s="30">
        <f>IFERROR(D217/C217,0)</f>
        <v/>
      </c>
      <c r="F217" s="29">
        <f>ROUND(SUMIF('Progress Tracker'!$C$2:$C$3272,$B217,'Progress Tracker'!$G$2:$G$3272),1)</f>
        <v/>
      </c>
      <c r="G217" s="1" t="n"/>
    </row>
    <row r="218">
      <c r="A218" s="1" t="n"/>
      <c r="B218" s="36" t="inlineStr">
        <is>
          <t>D.7.2 Test-time scaling</t>
        </is>
      </c>
      <c r="C218" s="29">
        <f>COUNTIF('Progress Tracker'!$C$2:$C$3272,$B218)</f>
        <v/>
      </c>
      <c r="D218" s="29">
        <f>COUNTIFS('Progress Tracker'!$C$2:$C$3272,$B218,'Progress Tracker'!$I$2:$I$3272,"Done")</f>
        <v/>
      </c>
      <c r="E218" s="30">
        <f>IFERROR(D218/C218,0)</f>
        <v/>
      </c>
      <c r="F218" s="29">
        <f>ROUND(SUMIF('Progress Tracker'!$C$2:$C$3272,$B218,'Progress Tracker'!$G$2:$G$3272),1)</f>
        <v/>
      </c>
      <c r="G218" s="1" t="n"/>
    </row>
    <row r="219">
      <c r="A219" s="1" t="n"/>
      <c r="B219" s="36" t="inlineStr">
        <is>
          <t>D.7.3 The o1/R1 line</t>
        </is>
      </c>
      <c r="C219" s="29">
        <f>COUNTIF('Progress Tracker'!$C$2:$C$3272,$B219)</f>
        <v/>
      </c>
      <c r="D219" s="29">
        <f>COUNTIFS('Progress Tracker'!$C$2:$C$3272,$B219,'Progress Tracker'!$I$2:$I$3272,"Done")</f>
        <v/>
      </c>
      <c r="E219" s="30">
        <f>IFERROR(D219/C219,0)</f>
        <v/>
      </c>
      <c r="F219" s="29">
        <f>ROUND(SUMIF('Progress Tracker'!$C$2:$C$3272,$B219,'Progress Tracker'!$G$2:$G$3272),1)</f>
        <v/>
      </c>
      <c r="G219" s="1" t="n"/>
    </row>
    <row r="220">
      <c r="A220" s="1" t="n"/>
      <c r="B220" s="36" t="inlineStr">
        <is>
          <t>D.7.4 Process versus outcome supervision</t>
        </is>
      </c>
      <c r="C220" s="29">
        <f>COUNTIF('Progress Tracker'!$C$2:$C$3272,$B220)</f>
        <v/>
      </c>
      <c r="D220" s="29">
        <f>COUNTIFS('Progress Tracker'!$C$2:$C$3272,$B220,'Progress Tracker'!$I$2:$I$3272,"Done")</f>
        <v/>
      </c>
      <c r="E220" s="30">
        <f>IFERROR(D220/C220,0)</f>
        <v/>
      </c>
      <c r="F220" s="29">
        <f>ROUND(SUMIF('Progress Tracker'!$C$2:$C$3272,$B220,'Progress Tracker'!$G$2:$G$3272),1)</f>
        <v/>
      </c>
      <c r="G220" s="1" t="n"/>
    </row>
    <row r="221">
      <c r="A221" s="1" t="n"/>
      <c r="B221" s="36" t="inlineStr">
        <is>
          <t>D.7.5 In-context learning and induction heads</t>
        </is>
      </c>
      <c r="C221" s="29">
        <f>COUNTIF('Progress Tracker'!$C$2:$C$3272,$B221)</f>
        <v/>
      </c>
      <c r="D221" s="29">
        <f>COUNTIFS('Progress Tracker'!$C$2:$C$3272,$B221,'Progress Tracker'!$I$2:$I$3272,"Done")</f>
        <v/>
      </c>
      <c r="E221" s="30">
        <f>IFERROR(D221/C221,0)</f>
        <v/>
      </c>
      <c r="F221" s="29">
        <f>ROUND(SUMIF('Progress Tracker'!$C$2:$C$3272,$B221,'Progress Tracker'!$G$2:$G$3272),1)</f>
        <v/>
      </c>
      <c r="G221" s="1" t="n"/>
    </row>
    <row r="222">
      <c r="A222" s="1" t="n"/>
      <c r="B222" s="36" t="inlineStr">
        <is>
          <t>D.7.6 Emergence - and the argument about it</t>
        </is>
      </c>
      <c r="C222" s="29">
        <f>COUNTIF('Progress Tracker'!$C$2:$C$3272,$B222)</f>
        <v/>
      </c>
      <c r="D222" s="29">
        <f>COUNTIFS('Progress Tracker'!$C$2:$C$3272,$B222,'Progress Tracker'!$I$2:$I$3272,"Done")</f>
        <v/>
      </c>
      <c r="E222" s="30">
        <f>IFERROR(D222/C222,0)</f>
        <v/>
      </c>
      <c r="F222" s="29">
        <f>ROUND(SUMIF('Progress Tracker'!$C$2:$C$3272,$B222,'Progress Tracker'!$G$2:$G$3272),1)</f>
        <v/>
      </c>
      <c r="G222" s="1" t="n"/>
    </row>
    <row r="223">
      <c r="A223" s="1" t="n"/>
      <c r="B223" s="36" t="inlineStr">
        <is>
          <t>D.7.7 Is reasoning real? - the standing debate</t>
        </is>
      </c>
      <c r="C223" s="29">
        <f>COUNTIF('Progress Tracker'!$C$2:$C$3272,$B223)</f>
        <v/>
      </c>
      <c r="D223" s="29">
        <f>COUNTIFS('Progress Tracker'!$C$2:$C$3272,$B223,'Progress Tracker'!$I$2:$I$3272,"Done")</f>
        <v/>
      </c>
      <c r="E223" s="30">
        <f>IFERROR(D223/C223,0)</f>
        <v/>
      </c>
      <c r="F223" s="29">
        <f>ROUND(SUMIF('Progress Tracker'!$C$2:$C$3272,$B223,'Progress Tracker'!$G$2:$G$3272),1)</f>
        <v/>
      </c>
      <c r="G223" s="1" t="n"/>
    </row>
    <row r="224">
      <c r="A224" s="1" t="n"/>
      <c r="B224" s="36" t="inlineStr">
        <is>
          <t>1.1 The canonical lecture series</t>
        </is>
      </c>
      <c r="C224" s="29">
        <f>COUNTIF('Progress Tracker'!$C$2:$C$3272,$B224)</f>
        <v/>
      </c>
      <c r="D224" s="29">
        <f>COUNTIFS('Progress Tracker'!$C$2:$C$3272,$B224,'Progress Tracker'!$I$2:$I$3272,"Done")</f>
        <v/>
      </c>
      <c r="E224" s="30">
        <f>IFERROR(D224/C224,0)</f>
        <v/>
      </c>
      <c r="F224" s="29">
        <f>ROUND(SUMIF('Progress Tracker'!$C$2:$C$3272,$B224,'Progress Tracker'!$G$2:$G$3272),1)</f>
        <v/>
      </c>
      <c r="G224" s="1" t="n"/>
    </row>
    <row r="225">
      <c r="A225" s="1" t="n"/>
      <c r="B225" s="36" t="inlineStr">
        <is>
          <t>1.2 Implicit regularization and the implicit bias of gradient descent</t>
        </is>
      </c>
      <c r="C225" s="29">
        <f>COUNTIF('Progress Tracker'!$C$2:$C$3272,$B225)</f>
        <v/>
      </c>
      <c r="D225" s="29">
        <f>COUNTIFS('Progress Tracker'!$C$2:$C$3272,$B225,'Progress Tracker'!$I$2:$I$3272,"Done")</f>
        <v/>
      </c>
      <c r="E225" s="30">
        <f>IFERROR(D225/C225,0)</f>
        <v/>
      </c>
      <c r="F225" s="29">
        <f>ROUND(SUMIF('Progress Tracker'!$C$2:$C$3272,$B225,'Progress Tracker'!$G$2:$G$3272),1)</f>
        <v/>
      </c>
      <c r="G225" s="1" t="n"/>
    </row>
    <row r="226">
      <c r="A226" s="1" t="n"/>
      <c r="B226" s="36" t="inlineStr">
        <is>
          <t>1.3 Uniform convergence and its limits</t>
        </is>
      </c>
      <c r="C226" s="29">
        <f>COUNTIF('Progress Tracker'!$C$2:$C$3272,$B226)</f>
        <v/>
      </c>
      <c r="D226" s="29">
        <f>COUNTIFS('Progress Tracker'!$C$2:$C$3272,$B226,'Progress Tracker'!$I$2:$I$3272,"Done")</f>
        <v/>
      </c>
      <c r="E226" s="30">
        <f>IFERROR(D226/C226,0)</f>
        <v/>
      </c>
      <c r="F226" s="29">
        <f>ROUND(SUMIF('Progress Tracker'!$C$2:$C$3272,$B226,'Progress Tracker'!$G$2:$G$3272),1)</f>
        <v/>
      </c>
      <c r="G226" s="1" t="n"/>
    </row>
    <row r="227">
      <c r="A227" s="1" t="n"/>
      <c r="B227" s="36" t="inlineStr">
        <is>
          <t>1.4 Margin theory</t>
        </is>
      </c>
      <c r="C227" s="29">
        <f>COUNTIF('Progress Tracker'!$C$2:$C$3272,$B227)</f>
        <v/>
      </c>
      <c r="D227" s="29">
        <f>COUNTIFS('Progress Tracker'!$C$2:$C$3272,$B227,'Progress Tracker'!$I$2:$I$3272,"Done")</f>
        <v/>
      </c>
      <c r="E227" s="30">
        <f>IFERROR(D227/C227,0)</f>
        <v/>
      </c>
      <c r="F227" s="29">
        <f>ROUND(SUMIF('Progress Tracker'!$C$2:$C$3272,$B227,'Progress Tracker'!$G$2:$G$3272),1)</f>
        <v/>
      </c>
      <c r="G227" s="1" t="n"/>
    </row>
    <row r="228">
      <c r="A228" s="1" t="n"/>
      <c r="B228" s="36" t="inlineStr">
        <is>
          <t>1.5 PAC-Bayes for neural networks</t>
        </is>
      </c>
      <c r="C228" s="29">
        <f>COUNTIF('Progress Tracker'!$C$2:$C$3272,$B228)</f>
        <v/>
      </c>
      <c r="D228" s="29">
        <f>COUNTIFS('Progress Tracker'!$C$2:$C$3272,$B228,'Progress Tracker'!$I$2:$I$3272,"Done")</f>
        <v/>
      </c>
      <c r="E228" s="30">
        <f>IFERROR(D228/C228,0)</f>
        <v/>
      </c>
      <c r="F228" s="29">
        <f>ROUND(SUMIF('Progress Tracker'!$C$2:$C$3272,$B228,'Progress Tracker'!$G$2:$G$3272),1)</f>
        <v/>
      </c>
      <c r="G228" s="1" t="n"/>
    </row>
    <row r="229">
      <c r="A229" s="1" t="n"/>
      <c r="B229" s="36" t="inlineStr">
        <is>
          <t>1.6 Overparameterization, compression, and reality checks</t>
        </is>
      </c>
      <c r="C229" s="29">
        <f>COUNTIF('Progress Tracker'!$C$2:$C$3272,$B229)</f>
        <v/>
      </c>
      <c r="D229" s="29">
        <f>COUNTIFS('Progress Tracker'!$C$2:$C$3272,$B229,'Progress Tracker'!$I$2:$I$3272,"Done")</f>
        <v/>
      </c>
      <c r="E229" s="30">
        <f>IFERROR(D229/C229,0)</f>
        <v/>
      </c>
      <c r="F229" s="29">
        <f>ROUND(SUMIF('Progress Tracker'!$C$2:$C$3272,$B229,'Progress Tracker'!$G$2:$G$3272),1)</f>
        <v/>
      </c>
      <c r="G229" s="1" t="n"/>
    </row>
    <row r="230">
      <c r="A230" s="1" t="n"/>
      <c r="B230" s="36" t="inlineStr">
        <is>
          <t>DLT-2 Double descent, benign overfitting, interpolation</t>
        </is>
      </c>
      <c r="C230" s="29">
        <f>COUNTIF('Progress Tracker'!$C$2:$C$3272,$B230)</f>
        <v/>
      </c>
      <c r="D230" s="29">
        <f>COUNTIFS('Progress Tracker'!$C$2:$C$3272,$B230,'Progress Tracker'!$I$2:$I$3272,"Done")</f>
        <v/>
      </c>
      <c r="E230" s="30">
        <f>IFERROR(D230/C230,0)</f>
        <v/>
      </c>
      <c r="F230" s="29">
        <f>ROUND(SUMIF('Progress Tracker'!$C$2:$C$3272,$B230,'Progress Tracker'!$G$2:$G$3272),1)</f>
        <v/>
      </c>
      <c r="G230" s="1" t="n"/>
    </row>
    <row r="231">
      <c r="A231" s="1" t="n"/>
      <c r="B231" s="36" t="inlineStr">
        <is>
          <t>3.1 The NTK and the wide limit</t>
        </is>
      </c>
      <c r="C231" s="29">
        <f>COUNTIF('Progress Tracker'!$C$2:$C$3272,$B231)</f>
        <v/>
      </c>
      <c r="D231" s="29">
        <f>COUNTIFS('Progress Tracker'!$C$2:$C$3272,$B231,'Progress Tracker'!$I$2:$I$3272,"Done")</f>
        <v/>
      </c>
      <c r="E231" s="30">
        <f>IFERROR(D231/C231,0)</f>
        <v/>
      </c>
      <c r="F231" s="29">
        <f>ROUND(SUMIF('Progress Tracker'!$C$2:$C$3272,$B231,'Progress Tracker'!$G$2:$G$3272),1)</f>
        <v/>
      </c>
      <c r="G231" s="1" t="n"/>
    </row>
    <row r="232">
      <c r="A232" s="1" t="n"/>
      <c r="B232" s="36" t="inlineStr">
        <is>
          <t>3.2 Lazy training versus feature learning, and mean-field limits</t>
        </is>
      </c>
      <c r="C232" s="29">
        <f>COUNTIF('Progress Tracker'!$C$2:$C$3272,$B232)</f>
        <v/>
      </c>
      <c r="D232" s="29">
        <f>COUNTIFS('Progress Tracker'!$C$2:$C$3272,$B232,'Progress Tracker'!$I$2:$I$3272,"Done")</f>
        <v/>
      </c>
      <c r="E232" s="30">
        <f>IFERROR(D232/C232,0)</f>
        <v/>
      </c>
      <c r="F232" s="29">
        <f>ROUND(SUMIF('Progress Tracker'!$C$2:$C$3272,$B232,'Progress Tracker'!$G$2:$G$3272),1)</f>
        <v/>
      </c>
      <c r="G232" s="1" t="n"/>
    </row>
    <row r="233">
      <c r="A233" s="1" t="n"/>
      <c r="B233" s="36" t="inlineStr">
        <is>
          <t>3.3 Tensor Programs, muP, and the parametrization that actually matters</t>
        </is>
      </c>
      <c r="C233" s="29">
        <f>COUNTIF('Progress Tracker'!$C$2:$C$3272,$B233)</f>
        <v/>
      </c>
      <c r="D233" s="29">
        <f>COUNTIFS('Progress Tracker'!$C$2:$C$3272,$B233,'Progress Tracker'!$I$2:$I$3272,"Done")</f>
        <v/>
      </c>
      <c r="E233" s="30">
        <f>IFERROR(D233/C233,0)</f>
        <v/>
      </c>
      <c r="F233" s="29">
        <f>ROUND(SUMIF('Progress Tracker'!$C$2:$C$3272,$B233,'Progress Tracker'!$G$2:$G$3272),1)</f>
        <v/>
      </c>
      <c r="G233" s="1" t="n"/>
    </row>
    <row r="234">
      <c r="A234" s="1" t="n"/>
      <c r="B234" s="36" t="inlineStr">
        <is>
          <t>3.4 Finite-width corrections - the effective-theory programme</t>
        </is>
      </c>
      <c r="C234" s="29">
        <f>COUNTIF('Progress Tracker'!$C$2:$C$3272,$B234)</f>
        <v/>
      </c>
      <c r="D234" s="29">
        <f>COUNTIFS('Progress Tracker'!$C$2:$C$3272,$B234,'Progress Tracker'!$I$2:$I$3272,"Done")</f>
        <v/>
      </c>
      <c r="E234" s="30">
        <f>IFERROR(D234/C234,0)</f>
        <v/>
      </c>
      <c r="F234" s="29">
        <f>ROUND(SUMIF('Progress Tracker'!$C$2:$C$3272,$B234,'Progress Tracker'!$G$2:$G$3272),1)</f>
        <v/>
      </c>
      <c r="G234" s="1" t="n"/>
    </row>
    <row r="235">
      <c r="A235" s="1" t="n"/>
      <c r="B235" s="36" t="inlineStr">
        <is>
          <t>4.1 Edge of stability - the most important recent result</t>
        </is>
      </c>
      <c r="C235" s="29">
        <f>COUNTIF('Progress Tracker'!$C$2:$C$3272,$B235)</f>
        <v/>
      </c>
      <c r="D235" s="29">
        <f>COUNTIFS('Progress Tracker'!$C$2:$C$3272,$B235,'Progress Tracker'!$I$2:$I$3272,"Done")</f>
        <v/>
      </c>
      <c r="E235" s="30">
        <f>IFERROR(D235/C235,0)</f>
        <v/>
      </c>
      <c r="F235" s="29">
        <f>ROUND(SUMIF('Progress Tracker'!$C$2:$C$3272,$B235,'Progress Tracker'!$G$2:$G$3272),1)</f>
        <v/>
      </c>
      <c r="G235" s="1" t="n"/>
    </row>
    <row r="236">
      <c r="A236" s="1" t="n"/>
      <c r="B236" s="36" t="inlineStr">
        <is>
          <t>4.2 Loss landscape geometry and mode connectivity</t>
        </is>
      </c>
      <c r="C236" s="29">
        <f>COUNTIF('Progress Tracker'!$C$2:$C$3272,$B236)</f>
        <v/>
      </c>
      <c r="D236" s="29">
        <f>COUNTIFS('Progress Tracker'!$C$2:$C$3272,$B236,'Progress Tracker'!$I$2:$I$3272,"Done")</f>
        <v/>
      </c>
      <c r="E236" s="30">
        <f>IFERROR(D236/C236,0)</f>
        <v/>
      </c>
      <c r="F236" s="29">
        <f>ROUND(SUMIF('Progress Tracker'!$C$2:$C$3272,$B236,'Progress Tracker'!$G$2:$G$3272),1)</f>
        <v/>
      </c>
      <c r="G236" s="1" t="n"/>
    </row>
    <row r="237">
      <c r="A237" s="1" t="n"/>
      <c r="B237" s="36" t="inlineStr">
        <is>
          <t>4.3 Sharpness, flat minima, and implicit bias of SGD</t>
        </is>
      </c>
      <c r="C237" s="29">
        <f>COUNTIF('Progress Tracker'!$C$2:$C$3272,$B237)</f>
        <v/>
      </c>
      <c r="D237" s="29">
        <f>COUNTIFS('Progress Tracker'!$C$2:$C$3272,$B237,'Progress Tracker'!$I$2:$I$3272,"Done")</f>
        <v/>
      </c>
      <c r="E237" s="30">
        <f>IFERROR(D237/C237,0)</f>
        <v/>
      </c>
      <c r="F237" s="29">
        <f>ROUND(SUMIF('Progress Tracker'!$C$2:$C$3272,$B237,'Progress Tracker'!$G$2:$G$3272),1)</f>
        <v/>
      </c>
      <c r="G237" s="1" t="n"/>
    </row>
    <row r="238">
      <c r="A238" s="1" t="n"/>
      <c r="B238" s="36" t="inlineStr">
        <is>
          <t>4.4 Why Adam works, and the preconditioned-optimizer wave</t>
        </is>
      </c>
      <c r="C238" s="29">
        <f>COUNTIF('Progress Tracker'!$C$2:$C$3272,$B238)</f>
        <v/>
      </c>
      <c r="D238" s="29">
        <f>COUNTIFS('Progress Tracker'!$C$2:$C$3272,$B238,'Progress Tracker'!$I$2:$I$3272,"Done")</f>
        <v/>
      </c>
      <c r="E238" s="30">
        <f>IFERROR(D238/C238,0)</f>
        <v/>
      </c>
      <c r="F238" s="29">
        <f>ROUND(SUMIF('Progress Tracker'!$C$2:$C$3272,$B238,'Progress Tracker'!$G$2:$G$3272),1)</f>
        <v/>
      </c>
      <c r="G238" s="1" t="n"/>
    </row>
    <row r="239">
      <c r="A239" s="1" t="n"/>
      <c r="B239" s="36" t="inlineStr">
        <is>
          <t>4.5 Convergence theory for overparameterized networks</t>
        </is>
      </c>
      <c r="C239" s="29">
        <f>COUNTIF('Progress Tracker'!$C$2:$C$3272,$B239)</f>
        <v/>
      </c>
      <c r="D239" s="29">
        <f>COUNTIFS('Progress Tracker'!$C$2:$C$3272,$B239,'Progress Tracker'!$I$2:$I$3272,"Done")</f>
        <v/>
      </c>
      <c r="E239" s="30">
        <f>IFERROR(D239/C239,0)</f>
        <v/>
      </c>
      <c r="F239" s="29">
        <f>ROUND(SUMIF('Progress Tracker'!$C$2:$C$3272,$B239,'Progress Tracker'!$G$2:$G$3272),1)</f>
        <v/>
      </c>
      <c r="G239" s="1" t="n"/>
    </row>
    <row r="240">
      <c r="A240" s="1" t="n"/>
      <c r="B240" s="36" t="inlineStr">
        <is>
          <t>5.1 The empirical result and compute-optimal training</t>
        </is>
      </c>
      <c r="C240" s="29">
        <f>COUNTIF('Progress Tracker'!$C$2:$C$3272,$B240)</f>
        <v/>
      </c>
      <c r="D240" s="29">
        <f>COUNTIFS('Progress Tracker'!$C$2:$C$3272,$B240,'Progress Tracker'!$I$2:$I$3272,"Done")</f>
        <v/>
      </c>
      <c r="E240" s="30">
        <f>IFERROR(D240/C240,0)</f>
        <v/>
      </c>
      <c r="F240" s="29">
        <f>ROUND(SUMIF('Progress Tracker'!$C$2:$C$3272,$B240,'Progress Tracker'!$G$2:$G$3272),1)</f>
        <v/>
      </c>
      <c r="G240" s="1" t="n"/>
    </row>
    <row r="241">
      <c r="A241" s="1" t="n"/>
      <c r="B241" s="36" t="inlineStr">
        <is>
          <t>5.2 Deriving the exponents</t>
        </is>
      </c>
      <c r="C241" s="29">
        <f>COUNTIF('Progress Tracker'!$C$2:$C$3272,$B241)</f>
        <v/>
      </c>
      <c r="D241" s="29">
        <f>COUNTIFS('Progress Tracker'!$C$2:$C$3272,$B241,'Progress Tracker'!$I$2:$I$3272,"Done")</f>
        <v/>
      </c>
      <c r="E241" s="30">
        <f>IFERROR(D241/C241,0)</f>
        <v/>
      </c>
      <c r="F241" s="29">
        <f>ROUND(SUMIF('Progress Tracker'!$C$2:$C$3272,$B241,'Progress Tracker'!$G$2:$G$3272),1)</f>
        <v/>
      </c>
      <c r="G241" s="1" t="n"/>
    </row>
    <row r="242">
      <c r="A242" s="1" t="n"/>
      <c r="B242" s="36" t="inlineStr">
        <is>
          <t>5.3 Emergence - and whether it is real</t>
        </is>
      </c>
      <c r="C242" s="29">
        <f>COUNTIF('Progress Tracker'!$C$2:$C$3272,$B242)</f>
        <v/>
      </c>
      <c r="D242" s="29">
        <f>COUNTIFS('Progress Tracker'!$C$2:$C$3272,$B242,'Progress Tracker'!$I$2:$I$3272,"Done")</f>
        <v/>
      </c>
      <c r="E242" s="30">
        <f>IFERROR(D242/C242,0)</f>
        <v/>
      </c>
      <c r="F242" s="29">
        <f>ROUND(SUMIF('Progress Tracker'!$C$2:$C$3272,$B242,'Progress Tracker'!$G$2:$G$3272),1)</f>
        <v/>
      </c>
      <c r="G242" s="1" t="n"/>
    </row>
    <row r="243">
      <c r="A243" s="1" t="n"/>
      <c r="B243" s="36" t="inlineStr">
        <is>
          <t>6.1 Grokking and phase transitions in training</t>
        </is>
      </c>
      <c r="C243" s="29">
        <f>COUNTIF('Progress Tracker'!$C$2:$C$3272,$B243)</f>
        <v/>
      </c>
      <c r="D243" s="29">
        <f>COUNTIFS('Progress Tracker'!$C$2:$C$3272,$B243,'Progress Tracker'!$I$2:$I$3272,"Done")</f>
        <v/>
      </c>
      <c r="E243" s="30">
        <f>IFERROR(D243/C243,0)</f>
        <v/>
      </c>
      <c r="F243" s="29">
        <f>ROUND(SUMIF('Progress Tracker'!$C$2:$C$3272,$B243,'Progress Tracker'!$G$2:$G$3272),1)</f>
        <v/>
      </c>
      <c r="G243" s="1" t="n"/>
    </row>
    <row r="244">
      <c r="A244" s="1" t="n"/>
      <c r="B244" s="36" t="inlineStr">
        <is>
          <t>6.2 Induction heads and in-context learning theory</t>
        </is>
      </c>
      <c r="C244" s="29">
        <f>COUNTIF('Progress Tracker'!$C$2:$C$3272,$B244)</f>
        <v/>
      </c>
      <c r="D244" s="29">
        <f>COUNTIFS('Progress Tracker'!$C$2:$C$3272,$B244,'Progress Tracker'!$I$2:$I$3272,"Done")</f>
        <v/>
      </c>
      <c r="E244" s="30">
        <f>IFERROR(D244/C244,0)</f>
        <v/>
      </c>
      <c r="F244" s="29">
        <f>ROUND(SUMIF('Progress Tracker'!$C$2:$C$3272,$B244,'Progress Tracker'!$G$2:$G$3272),1)</f>
        <v/>
      </c>
      <c r="G244" s="1" t="n"/>
    </row>
    <row r="245">
      <c r="A245" s="1" t="n"/>
      <c r="B245" s="36" t="inlineStr">
        <is>
          <t>6.3 Memorization versus generalization</t>
        </is>
      </c>
      <c r="C245" s="29">
        <f>COUNTIF('Progress Tracker'!$C$2:$C$3272,$B245)</f>
        <v/>
      </c>
      <c r="D245" s="29">
        <f>COUNTIFS('Progress Tracker'!$C$2:$C$3272,$B245,'Progress Tracker'!$I$2:$I$3272,"Done")</f>
        <v/>
      </c>
      <c r="E245" s="30">
        <f>IFERROR(D245/C245,0)</f>
        <v/>
      </c>
      <c r="F245" s="29">
        <f>ROUND(SUMIF('Progress Tracker'!$C$2:$C$3272,$B245,'Progress Tracker'!$G$2:$G$3272),1)</f>
        <v/>
      </c>
      <c r="G245" s="1" t="n"/>
    </row>
    <row r="246">
      <c r="A246" s="1" t="n"/>
      <c r="B246" s="36" t="inlineStr">
        <is>
          <t>6.4 Lottery tickets, neural collapse, loss of plasticity</t>
        </is>
      </c>
      <c r="C246" s="29">
        <f>COUNTIF('Progress Tracker'!$C$2:$C$3272,$B246)</f>
        <v/>
      </c>
      <c r="D246" s="29">
        <f>COUNTIFS('Progress Tracker'!$C$2:$C$3272,$B246,'Progress Tracker'!$I$2:$I$3272,"Done")</f>
        <v/>
      </c>
      <c r="E246" s="30">
        <f>IFERROR(D246/C246,0)</f>
        <v/>
      </c>
      <c r="F246" s="29">
        <f>ROUND(SUMIF('Progress Tracker'!$C$2:$C$3272,$B246,'Progress Tracker'!$G$2:$G$3272),1)</f>
        <v/>
      </c>
      <c r="G246" s="1" t="n"/>
    </row>
    <row r="247">
      <c r="A247" s="1" t="n"/>
      <c r="B247" s="36" t="inlineStr">
        <is>
          <t>7.1 Universal approximation and approximation rates</t>
        </is>
      </c>
      <c r="C247" s="29">
        <f>COUNTIF('Progress Tracker'!$C$2:$C$3272,$B247)</f>
        <v/>
      </c>
      <c r="D247" s="29">
        <f>COUNTIFS('Progress Tracker'!$C$2:$C$3272,$B247,'Progress Tracker'!$I$2:$I$3272,"Done")</f>
        <v/>
      </c>
      <c r="E247" s="30">
        <f>IFERROR(D247/C247,0)</f>
        <v/>
      </c>
      <c r="F247" s="29">
        <f>ROUND(SUMIF('Progress Tracker'!$C$2:$C$3272,$B247,'Progress Tracker'!$G$2:$G$3272),1)</f>
        <v/>
      </c>
      <c r="G247" s="1" t="n"/>
    </row>
    <row r="248">
      <c r="A248" s="1" t="n"/>
      <c r="B248" s="36" t="inlineStr">
        <is>
          <t>7.2 Depth separation</t>
        </is>
      </c>
      <c r="C248" s="29">
        <f>COUNTIF('Progress Tracker'!$C$2:$C$3272,$B248)</f>
        <v/>
      </c>
      <c r="D248" s="29">
        <f>COUNTIFS('Progress Tracker'!$C$2:$C$3272,$B248,'Progress Tracker'!$I$2:$I$3272,"Done")</f>
        <v/>
      </c>
      <c r="E248" s="30">
        <f>IFERROR(D248/C248,0)</f>
        <v/>
      </c>
      <c r="F248" s="29">
        <f>ROUND(SUMIF('Progress Tracker'!$C$2:$C$3272,$B248,'Progress Tracker'!$G$2:$G$3272),1)</f>
        <v/>
      </c>
      <c r="G248" s="1" t="n"/>
    </row>
    <row r="249">
      <c r="A249" s="1" t="n"/>
      <c r="B249" s="36" t="inlineStr">
        <is>
          <t>7.3 What transformers can and cannot compute</t>
        </is>
      </c>
      <c r="C249" s="29">
        <f>COUNTIF('Progress Tracker'!$C$2:$C$3272,$B249)</f>
        <v/>
      </c>
      <c r="D249" s="29">
        <f>COUNTIFS('Progress Tracker'!$C$2:$C$3272,$B249,'Progress Tracker'!$I$2:$I$3272,"Done")</f>
        <v/>
      </c>
      <c r="E249" s="30">
        <f>IFERROR(D249/C249,0)</f>
        <v/>
      </c>
      <c r="F249" s="29">
        <f>ROUND(SUMIF('Progress Tracker'!$C$2:$C$3272,$B249,'Progress Tracker'!$G$2:$G$3272),1)</f>
        <v/>
      </c>
      <c r="G249" s="1" t="n"/>
    </row>
    <row r="250">
      <c r="A250" s="1" t="n"/>
      <c r="B250" s="36" t="inlineStr">
        <is>
          <t>7.4 Weisfeiler–Leman hierarchy and GNN expressivity</t>
        </is>
      </c>
      <c r="C250" s="29">
        <f>COUNTIF('Progress Tracker'!$C$2:$C$3272,$B250)</f>
        <v/>
      </c>
      <c r="D250" s="29">
        <f>COUNTIFS('Progress Tracker'!$C$2:$C$3272,$B250,'Progress Tracker'!$I$2:$I$3272,"Done")</f>
        <v/>
      </c>
      <c r="E250" s="30">
        <f>IFERROR(D250/C250,0)</f>
        <v/>
      </c>
      <c r="F250" s="29">
        <f>ROUND(SUMIF('Progress Tracker'!$C$2:$C$3272,$B250,'Progress Tracker'!$G$2:$G$3272),1)</f>
        <v/>
      </c>
      <c r="G250" s="1" t="n"/>
    </row>
    <row r="251">
      <c r="A251" s="1" t="n"/>
      <c r="B251" s="36" t="inlineStr">
        <is>
          <t>7.5 State space model theory</t>
        </is>
      </c>
      <c r="C251" s="29">
        <f>COUNTIF('Progress Tracker'!$C$2:$C$3272,$B251)</f>
        <v/>
      </c>
      <c r="D251" s="29">
        <f>COUNTIFS('Progress Tracker'!$C$2:$C$3272,$B251,'Progress Tracker'!$I$2:$I$3272,"Done")</f>
        <v/>
      </c>
      <c r="E251" s="30">
        <f>IFERROR(D251/C251,0)</f>
        <v/>
      </c>
      <c r="F251" s="29">
        <f>ROUND(SUMIF('Progress Tracker'!$C$2:$C$3272,$B251,'Progress Tracker'!$G$2:$G$3272),1)</f>
        <v/>
      </c>
      <c r="G251" s="1" t="n"/>
    </row>
    <row r="252">
      <c r="A252" s="1" t="n"/>
      <c r="B252" s="36" t="inlineStr">
        <is>
          <t>8.1 Stanford CS229M / STATS214 - Machine Learning Theory</t>
        </is>
      </c>
      <c r="C252" s="29">
        <f>COUNTIF('Progress Tracker'!$C$2:$C$3272,$B252)</f>
        <v/>
      </c>
      <c r="D252" s="29">
        <f>COUNTIFS('Progress Tracker'!$C$2:$C$3272,$B252,'Progress Tracker'!$I$2:$I$3272,"Done")</f>
        <v/>
      </c>
      <c r="E252" s="30">
        <f>IFERROR(D252/C252,0)</f>
        <v/>
      </c>
      <c r="F252" s="29">
        <f>ROUND(SUMIF('Progress Tracker'!$C$2:$C$3272,$B252,'Progress Tracker'!$G$2:$G$3272),1)</f>
        <v/>
      </c>
      <c r="G252" s="1" t="n"/>
    </row>
    <row r="253">
      <c r="A253" s="1" t="n"/>
      <c r="B253" s="36" t="inlineStr">
        <is>
          <t>8.2 MIT 9.520 / 6.860 - Statistical Learning Theory and Applications</t>
        </is>
      </c>
      <c r="C253" s="29">
        <f>COUNTIF('Progress Tracker'!$C$2:$C$3272,$B253)</f>
        <v/>
      </c>
      <c r="D253" s="29">
        <f>COUNTIFS('Progress Tracker'!$C$2:$C$3272,$B253,'Progress Tracker'!$I$2:$I$3272,"Done")</f>
        <v/>
      </c>
      <c r="E253" s="30">
        <f>IFERROR(D253/C253,0)</f>
        <v/>
      </c>
      <c r="F253" s="29">
        <f>ROUND(SUMIF('Progress Tracker'!$C$2:$C$3272,$B253,'Progress Tracker'!$G$2:$G$3272),1)</f>
        <v/>
      </c>
      <c r="G253" s="1" t="n"/>
    </row>
    <row r="254">
      <c r="A254" s="1" t="n"/>
      <c r="B254" s="36" t="inlineStr">
        <is>
          <t>8.3 Mathematics of Deep Learning (minicourse</t>
        </is>
      </c>
      <c r="C254" s="29">
        <f>COUNTIF('Progress Tracker'!$C$2:$C$3272,$B254)</f>
        <v/>
      </c>
      <c r="D254" s="29">
        <f>COUNTIFS('Progress Tracker'!$C$2:$C$3272,$B254,'Progress Tracker'!$I$2:$I$3272,"Done")</f>
        <v/>
      </c>
      <c r="E254" s="30">
        <f>IFERROR(D254/C254,0)</f>
        <v/>
      </c>
      <c r="F254" s="29">
        <f>ROUND(SUMIF('Progress Tracker'!$C$2:$C$3272,$B254,'Progress Tracker'!$G$2:$G$3272),1)</f>
        <v/>
      </c>
      <c r="G254" s="1" t="n"/>
    </row>
    <row r="255">
      <c r="A255" s="1" t="n"/>
      <c r="B255" s="36" t="inlineStr">
        <is>
          <t>8.4 Neural Network Theory (APS 2025 Summer School</t>
        </is>
      </c>
      <c r="C255" s="29">
        <f>COUNTIF('Progress Tracker'!$C$2:$C$3272,$B255)</f>
        <v/>
      </c>
      <c r="D255" s="29">
        <f>COUNTIFS('Progress Tracker'!$C$2:$C$3272,$B255,'Progress Tracker'!$I$2:$I$3272,"Done")</f>
        <v/>
      </c>
      <c r="E255" s="30">
        <f>IFERROR(D255/C255,0)</f>
        <v/>
      </c>
      <c r="F255" s="29">
        <f>ROUND(SUMIF('Progress Tracker'!$C$2:$C$3272,$B255,'Progress Tracker'!$G$2:$G$3272),1)</f>
        <v/>
      </c>
      <c r="G255" s="1" t="n"/>
    </row>
    <row r="256">
      <c r="A256" s="1" t="n"/>
      <c r="B256" s="36" t="inlineStr">
        <is>
          <t>8.5 Understanding Deep Learning lecture series</t>
        </is>
      </c>
      <c r="C256" s="29">
        <f>COUNTIF('Progress Tracker'!$C$2:$C$3272,$B256)</f>
        <v/>
      </c>
      <c r="D256" s="29">
        <f>COUNTIFS('Progress Tracker'!$C$2:$C$3272,$B256,'Progress Tracker'!$I$2:$I$3272,"Done")</f>
        <v/>
      </c>
      <c r="E256" s="30">
        <f>IFERROR(D256/C256,0)</f>
        <v/>
      </c>
      <c r="F256" s="29">
        <f>ROUND(SUMIF('Progress Tracker'!$C$2:$C$3272,$B256,'Progress Tracker'!$G$2:$G$3272),1)</f>
        <v/>
      </c>
      <c r="G256" s="1" t="n"/>
    </row>
    <row r="257">
      <c r="A257" s="1" t="n"/>
      <c r="B257" s="36" t="inlineStr">
        <is>
          <t>8.6 Francis Bach - optimization for machine learning</t>
        </is>
      </c>
      <c r="C257" s="29">
        <f>COUNTIF('Progress Tracker'!$C$2:$C$3272,$B257)</f>
        <v/>
      </c>
      <c r="D257" s="29">
        <f>COUNTIFS('Progress Tracker'!$C$2:$C$3272,$B257,'Progress Tracker'!$I$2:$I$3272,"Done")</f>
        <v/>
      </c>
      <c r="E257" s="30">
        <f>IFERROR(D257/C257,0)</f>
        <v/>
      </c>
      <c r="F257" s="29">
        <f>ROUND(SUMIF('Progress Tracker'!$C$2:$C$3272,$B257,'Progress Tracker'!$G$2:$G$3272),1)</f>
        <v/>
      </c>
      <c r="G257" s="1" t="n"/>
    </row>
    <row r="258">
      <c r="A258" s="1" t="n"/>
      <c r="B258" s="36" t="inlineStr">
        <is>
          <t>8.7 Princeton ORFE Deep Learning Theory Summer School</t>
        </is>
      </c>
      <c r="C258" s="29">
        <f>COUNTIF('Progress Tracker'!$C$2:$C$3272,$B258)</f>
        <v/>
      </c>
      <c r="D258" s="29">
        <f>COUNTIFS('Progress Tracker'!$C$2:$C$3272,$B258,'Progress Tracker'!$I$2:$I$3272,"Done")</f>
        <v/>
      </c>
      <c r="E258" s="30">
        <f>IFERROR(D258/C258,0)</f>
        <v/>
      </c>
      <c r="F258" s="29">
        <f>ROUND(SUMIF('Progress Tracker'!$C$2:$C$3272,$B258,'Progress Tracker'!$G$2:$G$3272),1)</f>
        <v/>
      </c>
      <c r="G258" s="1" t="n"/>
    </row>
    <row r="259">
      <c r="A259" s="1" t="n"/>
      <c r="B259" s="36" t="inlineStr">
        <is>
          <t>9.2 Simons: Deep Learning Theory Workshop and Summer School (August 1–5, 2022</t>
        </is>
      </c>
      <c r="C259" s="29">
        <f>COUNTIF('Progress Tracker'!$C$2:$C$3272,$B259)</f>
        <v/>
      </c>
      <c r="D259" s="29">
        <f>COUNTIFS('Progress Tracker'!$C$2:$C$3272,$B259,'Progress Tracker'!$I$2:$I$3272,"Done")</f>
        <v/>
      </c>
      <c r="E259" s="30">
        <f>IFERROR(D259/C259,0)</f>
        <v/>
      </c>
      <c r="F259" s="29">
        <f>ROUND(SUMIF('Progress Tracker'!$C$2:$C$3272,$B259,'Progress Tracker'!$G$2:$G$3272),1)</f>
        <v/>
      </c>
      <c r="G259" s="1" t="n"/>
    </row>
    <row r="260">
      <c r="A260" s="1" t="n"/>
      <c r="B260" s="36" t="inlineStr">
        <is>
          <t>9.3 Simons: Modern Paradigms in Generalization (Fall 2024</t>
        </is>
      </c>
      <c r="C260" s="29">
        <f>COUNTIF('Progress Tracker'!$C$2:$C$3272,$B260)</f>
        <v/>
      </c>
      <c r="D260" s="29">
        <f>COUNTIFS('Progress Tracker'!$C$2:$C$3272,$B260,'Progress Tracker'!$I$2:$I$3272,"Done")</f>
        <v/>
      </c>
      <c r="E260" s="30">
        <f>IFERROR(D260/C260,0)</f>
        <v/>
      </c>
      <c r="F260" s="29">
        <f>ROUND(SUMIF('Progress Tracker'!$C$2:$C$3272,$B260,'Progress Tracker'!$G$2:$G$3272),1)</f>
        <v/>
      </c>
      <c r="G260" s="1" t="n"/>
    </row>
    <row r="261">
      <c r="A261" s="1" t="n"/>
      <c r="B261" s="36" t="inlineStr">
        <is>
          <t>9.4 Simons: Special Year on Large Language Models and Transformers (2023–2024</t>
        </is>
      </c>
      <c r="C261" s="29">
        <f>COUNTIF('Progress Tracker'!$C$2:$C$3272,$B261)</f>
        <v/>
      </c>
      <c r="D261" s="29">
        <f>COUNTIFS('Progress Tracker'!$C$2:$C$3272,$B261,'Progress Tracker'!$I$2:$I$3272,"Done")</f>
        <v/>
      </c>
      <c r="E261" s="30">
        <f>IFERROR(D261/C261,0)</f>
        <v/>
      </c>
      <c r="F261" s="29">
        <f>ROUND(SUMIF('Progress Tracker'!$C$2:$C$3272,$B261,'Progress Tracker'!$G$2:$G$3272),1)</f>
        <v/>
      </c>
      <c r="G261" s="1" t="n"/>
    </row>
    <row r="262">
      <c r="A262" s="1" t="n"/>
      <c r="B262" s="36" t="inlineStr">
        <is>
          <t>9.5 Simons: Graph Learning Meets Theoretical Computer Science (2025</t>
        </is>
      </c>
      <c r="C262" s="29">
        <f>COUNTIF('Progress Tracker'!$C$2:$C$3272,$B262)</f>
        <v/>
      </c>
      <c r="D262" s="29">
        <f>COUNTIFS('Progress Tracker'!$C$2:$C$3272,$B262,'Progress Tracker'!$I$2:$I$3272,"Done")</f>
        <v/>
      </c>
      <c r="E262" s="30">
        <f>IFERROR(D262/C262,0)</f>
        <v/>
      </c>
      <c r="F262" s="29">
        <f>ROUND(SUMIF('Progress Tracker'!$C$2:$C$3272,$B262,'Progress Tracker'!$G$2:$G$3272),1)</f>
        <v/>
      </c>
      <c r="G262" s="1" t="n"/>
    </row>
    <row r="263">
      <c r="A263" s="1" t="n"/>
      <c r="B263" s="36" t="inlineStr">
        <is>
          <t>9.6 Simons: Theoretical Foundations - From the Early Days of Neural Networks to the Modern Deep Learning Era</t>
        </is>
      </c>
      <c r="C263" s="29">
        <f>COUNTIF('Progress Tracker'!$C$2:$C$3272,$B263)</f>
        <v/>
      </c>
      <c r="D263" s="29">
        <f>COUNTIFS('Progress Tracker'!$C$2:$C$3272,$B263,'Progress Tracker'!$I$2:$I$3272,"Done")</f>
        <v/>
      </c>
      <c r="E263" s="30">
        <f>IFERROR(D263/C263,0)</f>
        <v/>
      </c>
      <c r="F263" s="29">
        <f>ROUND(SUMIF('Progress Tracker'!$C$2:$C$3272,$B263,'Progress Tracker'!$G$2:$G$3272),1)</f>
        <v/>
      </c>
      <c r="G263" s="1" t="n"/>
    </row>
    <row r="264">
      <c r="A264" s="1" t="n"/>
      <c r="B264" s="36" t="inlineStr">
        <is>
          <t>9.7 IAS: Special Year on Optimization, Statistics, and Theoretical Machine Learning (2019–2020</t>
        </is>
      </c>
      <c r="C264" s="29">
        <f>COUNTIF('Progress Tracker'!$C$2:$C$3272,$B264)</f>
        <v/>
      </c>
      <c r="D264" s="29">
        <f>COUNTIFS('Progress Tracker'!$C$2:$C$3272,$B264,'Progress Tracker'!$I$2:$I$3272,"Done")</f>
        <v/>
      </c>
      <c r="E264" s="30">
        <f>IFERROR(D264/C264,0)</f>
        <v/>
      </c>
      <c r="F264" s="29">
        <f>ROUND(SUMIF('Progress Tracker'!$C$2:$C$3272,$B264,'Progress Tracker'!$G$2:$G$3272),1)</f>
        <v/>
      </c>
      <c r="G264" s="1" t="n"/>
    </row>
    <row r="265">
      <c r="A265" s="1" t="n"/>
      <c r="B265" s="36" t="inlineStr">
        <is>
          <t>1. Mechanistic interpretability</t>
        </is>
      </c>
      <c r="C265" s="29">
        <f>COUNTIF('Progress Tracker'!$C$2:$C$3272,$B265)</f>
        <v/>
      </c>
      <c r="D265" s="29">
        <f>COUNTIFS('Progress Tracker'!$C$2:$C$3272,$B265,'Progress Tracker'!$I$2:$I$3272,"Done")</f>
        <v/>
      </c>
      <c r="E265" s="30">
        <f>IFERROR(D265/C265,0)</f>
        <v/>
      </c>
      <c r="F265" s="29">
        <f>ROUND(SUMIF('Progress Tracker'!$C$2:$C$3272,$B265,'Progress Tracker'!$G$2:$G$3272),1)</f>
        <v/>
      </c>
      <c r="G265" s="1" t="n"/>
    </row>
    <row r="266">
      <c r="A266" s="1" t="n"/>
      <c r="B266" s="36" t="inlineStr">
        <is>
          <t>2. Representation analysis</t>
        </is>
      </c>
      <c r="C266" s="29">
        <f>COUNTIF('Progress Tracker'!$C$2:$C$3272,$B266)</f>
        <v/>
      </c>
      <c r="D266" s="29">
        <f>COUNTIFS('Progress Tracker'!$C$2:$C$3272,$B266,'Progress Tracker'!$I$2:$I$3272,"Done")</f>
        <v/>
      </c>
      <c r="E266" s="30">
        <f>IFERROR(D266/C266,0)</f>
        <v/>
      </c>
      <c r="F266" s="29">
        <f>ROUND(SUMIF('Progress Tracker'!$C$2:$C$3272,$B266,'Progress Tracker'!$G$2:$G$3272),1)</f>
        <v/>
      </c>
      <c r="G266" s="1" t="n"/>
    </row>
    <row r="267">
      <c r="A267" s="1" t="n"/>
      <c r="B267" s="36" t="inlineStr">
        <is>
          <t>3. Classical interpretability and attribution</t>
        </is>
      </c>
      <c r="C267" s="29">
        <f>COUNTIF('Progress Tracker'!$C$2:$C$3272,$B267)</f>
        <v/>
      </c>
      <c r="D267" s="29">
        <f>COUNTIFS('Progress Tracker'!$C$2:$C$3272,$B267,'Progress Tracker'!$I$2:$I$3272,"Done")</f>
        <v/>
      </c>
      <c r="E267" s="30">
        <f>IFERROR(D267/C267,0)</f>
        <v/>
      </c>
      <c r="F267" s="29">
        <f>ROUND(SUMIF('Progress Tracker'!$C$2:$C$3272,$B267,'Progress Tracker'!$G$2:$G$3272),1)</f>
        <v/>
      </c>
      <c r="G267" s="1" t="n"/>
    </row>
    <row r="268">
      <c r="A268" s="1" t="n"/>
      <c r="B268" s="36" t="inlineStr">
        <is>
          <t>4. Science of model behavior</t>
        </is>
      </c>
      <c r="C268" s="29">
        <f>COUNTIF('Progress Tracker'!$C$2:$C$3272,$B268)</f>
        <v/>
      </c>
      <c r="D268" s="29">
        <f>COUNTIFS('Progress Tracker'!$C$2:$C$3272,$B268,'Progress Tracker'!$I$2:$I$3272,"Done")</f>
        <v/>
      </c>
      <c r="E268" s="30">
        <f>IFERROR(D268/C268,0)</f>
        <v/>
      </c>
      <c r="F268" s="29">
        <f>ROUND(SUMIF('Progress Tracker'!$C$2:$C$3272,$B268,'Progress Tracker'!$G$2:$G$3272),1)</f>
        <v/>
      </c>
      <c r="G268" s="1" t="n"/>
    </row>
    <row r="269">
      <c r="A269" s="1" t="n"/>
      <c r="B269" s="36" t="inlineStr">
        <is>
          <t>5. Evaluation as a science</t>
        </is>
      </c>
      <c r="C269" s="29">
        <f>COUNTIF('Progress Tracker'!$C$2:$C$3272,$B269)</f>
        <v/>
      </c>
      <c r="D269" s="29">
        <f>COUNTIFS('Progress Tracker'!$C$2:$C$3272,$B269,'Progress Tracker'!$I$2:$I$3272,"Done")</f>
        <v/>
      </c>
      <c r="E269" s="30">
        <f>IFERROR(D269/C269,0)</f>
        <v/>
      </c>
      <c r="F269" s="29">
        <f>ROUND(SUMIF('Progress Tracker'!$C$2:$C$3272,$B269,'Progress Tracker'!$G$2:$G$3272),1)</f>
        <v/>
      </c>
      <c r="G269" s="1" t="n"/>
    </row>
    <row r="270">
      <c r="A270" s="1" t="n"/>
      <c r="B270" s="36" t="inlineStr">
        <is>
          <t>6. NeuroAI and biological inspiration</t>
        </is>
      </c>
      <c r="C270" s="29">
        <f>COUNTIF('Progress Tracker'!$C$2:$C$3272,$B270)</f>
        <v/>
      </c>
      <c r="D270" s="29">
        <f>COUNTIFS('Progress Tracker'!$C$2:$C$3272,$B270,'Progress Tracker'!$I$2:$I$3272,"Done")</f>
        <v/>
      </c>
      <c r="E270" s="30">
        <f>IFERROR(D270/C270,0)</f>
        <v/>
      </c>
      <c r="F270" s="29">
        <f>ROUND(SUMIF('Progress Tracker'!$C$2:$C$3272,$B270,'Progress Tracker'!$G$2:$G$3272),1)</f>
        <v/>
      </c>
      <c r="G270" s="1" t="n"/>
    </row>
    <row r="271">
      <c r="A271" s="1" t="n"/>
      <c r="B271" s="36" t="inlineStr">
        <is>
          <t>7. Technical AI safety research</t>
        </is>
      </c>
      <c r="C271" s="29">
        <f>COUNTIF('Progress Tracker'!$C$2:$C$3272,$B271)</f>
        <v/>
      </c>
      <c r="D271" s="29">
        <f>COUNTIFS('Progress Tracker'!$C$2:$C$3272,$B271,'Progress Tracker'!$I$2:$I$3272,"Done")</f>
        <v/>
      </c>
      <c r="E271" s="30">
        <f>IFERROR(D271/C271,0)</f>
        <v/>
      </c>
      <c r="F271" s="29">
        <f>ROUND(SUMIF('Progress Tracker'!$C$2:$C$3272,$B271,'Progress Tracker'!$G$2:$G$3272),1)</f>
        <v/>
      </c>
      <c r="G271" s="1" t="n"/>
    </row>
    <row r="272">
      <c r="A272" s="1" t="n"/>
      <c r="B272" s="36" t="inlineStr">
        <is>
          <t>E.4.1 Architecture fundamentals</t>
        </is>
      </c>
      <c r="C272" s="29">
        <f>COUNTIF('Progress Tracker'!$C$2:$C$3272,$B272)</f>
        <v/>
      </c>
      <c r="D272" s="29">
        <f>COUNTIFS('Progress Tracker'!$C$2:$C$3272,$B272,'Progress Tracker'!$I$2:$I$3272,"Done")</f>
        <v/>
      </c>
      <c r="E272" s="30">
        <f>IFERROR(D272/C272,0)</f>
        <v/>
      </c>
      <c r="F272" s="29">
        <f>ROUND(SUMIF('Progress Tracker'!$C$2:$C$3272,$B272,'Progress Tracker'!$G$2:$G$3272),1)</f>
        <v/>
      </c>
      <c r="G272" s="1" t="n"/>
    </row>
    <row r="273">
      <c r="A273" s="1" t="n"/>
      <c r="B273" s="36" t="inlineStr">
        <is>
          <t>The Stephen Jones sequence - and a caveat about where it lives</t>
        </is>
      </c>
      <c r="C273" s="29">
        <f>COUNTIF('Progress Tracker'!$C$2:$C$3272,$B273)</f>
        <v/>
      </c>
      <c r="D273" s="29">
        <f>COUNTIFS('Progress Tracker'!$C$2:$C$3272,$B273,'Progress Tracker'!$I$2:$I$3272,"Done")</f>
        <v/>
      </c>
      <c r="E273" s="30">
        <f>IFERROR(D273/C273,0)</f>
        <v/>
      </c>
      <c r="F273" s="29">
        <f>ROUND(SUMIF('Progress Tracker'!$C$2:$C$3272,$B273,'Progress Tracker'!$G$2:$G$3272),1)</f>
        <v/>
      </c>
      <c r="G273" s="1" t="n"/>
    </row>
    <row r="274">
      <c r="A274" s="1" t="n"/>
      <c r="B274" s="36" t="inlineStr">
        <is>
          <t>E.4.2 Programming Massively Parallel Processors - the complete course</t>
        </is>
      </c>
      <c r="C274" s="29">
        <f>COUNTIF('Progress Tracker'!$C$2:$C$3272,$B274)</f>
        <v/>
      </c>
      <c r="D274" s="29">
        <f>COUNTIFS('Progress Tracker'!$C$2:$C$3272,$B274,'Progress Tracker'!$I$2:$I$3272,"Done")</f>
        <v/>
      </c>
      <c r="E274" s="30">
        <f>IFERROR(D274/C274,0)</f>
        <v/>
      </c>
      <c r="F274" s="29">
        <f>ROUND(SUMIF('Progress Tracker'!$C$2:$C$3272,$B274,'Progress Tracker'!$G$2:$G$3272),1)</f>
        <v/>
      </c>
      <c r="G274" s="1" t="n"/>
    </row>
    <row r="275">
      <c r="A275" s="1" t="n"/>
      <c r="B275" s="36" t="inlineStr">
        <is>
          <t>E.4.3 GPU MODE - 116 lectures, enumerated</t>
        </is>
      </c>
      <c r="C275" s="29">
        <f>COUNTIF('Progress Tracker'!$C$2:$C$3272,$B275)</f>
        <v/>
      </c>
      <c r="D275" s="29">
        <f>COUNTIFS('Progress Tracker'!$C$2:$C$3272,$B275,'Progress Tracker'!$I$2:$I$3272,"Done")</f>
        <v/>
      </c>
      <c r="E275" s="30">
        <f>IFERROR(D275/C275,0)</f>
        <v/>
      </c>
      <c r="F275" s="29">
        <f>ROUND(SUMIF('Progress Tracker'!$C$2:$C$3272,$B275,'Progress Tracker'!$G$2:$G$3272),1)</f>
        <v/>
      </c>
      <c r="G275" s="1" t="n"/>
    </row>
    <row r="276">
      <c r="A276" s="1" t="n"/>
      <c r="B276" s="36" t="inlineStr">
        <is>
          <t>E.4.4 Triton</t>
        </is>
      </c>
      <c r="C276" s="29">
        <f>COUNTIF('Progress Tracker'!$C$2:$C$3272,$B276)</f>
        <v/>
      </c>
      <c r="D276" s="29">
        <f>COUNTIFS('Progress Tracker'!$C$2:$C$3272,$B276,'Progress Tracker'!$I$2:$I$3272,"Done")</f>
        <v/>
      </c>
      <c r="E276" s="30">
        <f>IFERROR(D276/C276,0)</f>
        <v/>
      </c>
      <c r="F276" s="29">
        <f>ROUND(SUMIF('Progress Tracker'!$C$2:$C$3272,$B276,'Progress Tracker'!$G$2:$G$3272),1)</f>
        <v/>
      </c>
      <c r="G276" s="1" t="n"/>
    </row>
    <row r="277">
      <c r="A277" s="1" t="n"/>
      <c r="B277" s="36" t="inlineStr">
        <is>
          <t>E.4.5 CUTLASS and CuTe</t>
        </is>
      </c>
      <c r="C277" s="29">
        <f>COUNTIF('Progress Tracker'!$C$2:$C$3272,$B277)</f>
        <v/>
      </c>
      <c r="D277" s="29">
        <f>COUNTIFS('Progress Tracker'!$C$2:$C$3272,$B277,'Progress Tracker'!$I$2:$I$3272,"Done")</f>
        <v/>
      </c>
      <c r="E277" s="30">
        <f>IFERROR(D277/C277,0)</f>
        <v/>
      </c>
      <c r="F277" s="29">
        <f>ROUND(SUMIF('Progress Tracker'!$C$2:$C$3272,$B277,'Progress Tracker'!$G$2:$G$3272),1)</f>
        <v/>
      </c>
      <c r="G277" s="1" t="n"/>
    </row>
    <row r="278">
      <c r="A278" s="1" t="n"/>
      <c r="B278" s="36" t="inlineStr">
        <is>
          <t>E.4.6 Profiling - finding the actual bottleneck</t>
        </is>
      </c>
      <c r="C278" s="29">
        <f>COUNTIF('Progress Tracker'!$C$2:$C$3272,$B278)</f>
        <v/>
      </c>
      <c r="D278" s="29">
        <f>COUNTIFS('Progress Tracker'!$C$2:$C$3272,$B278,'Progress Tracker'!$I$2:$I$3272,"Done")</f>
        <v/>
      </c>
      <c r="E278" s="30">
        <f>IFERROR(D278/C278,0)</f>
        <v/>
      </c>
      <c r="F278" s="29">
        <f>ROUND(SUMIF('Progress Tracker'!$C$2:$C$3272,$B278,'Progress Tracker'!$G$2:$G$3272),1)</f>
        <v/>
      </c>
      <c r="G278" s="1" t="n"/>
    </row>
    <row r="279">
      <c r="A279" s="1" t="n"/>
      <c r="B279" s="36" t="inlineStr">
        <is>
          <t>E.4.7 PyTorch internals and compilers</t>
        </is>
      </c>
      <c r="C279" s="29">
        <f>COUNTIF('Progress Tracker'!$C$2:$C$3272,$B279)</f>
        <v/>
      </c>
      <c r="D279" s="29">
        <f>COUNTIFS('Progress Tracker'!$C$2:$C$3272,$B279,'Progress Tracker'!$I$2:$I$3272,"Done")</f>
        <v/>
      </c>
      <c r="E279" s="30">
        <f>IFERROR(D279/C279,0)</f>
        <v/>
      </c>
      <c r="F279" s="29">
        <f>ROUND(SUMIF('Progress Tracker'!$C$2:$C$3272,$B279,'Progress Tracker'!$G$2:$G$3272),1)</f>
        <v/>
      </c>
      <c r="G279" s="1" t="n"/>
    </row>
    <row r="280">
      <c r="A280" s="1" t="n"/>
      <c r="B280" s="36" t="inlineStr">
        <is>
          <t>E.4.8 Numerics and determinism</t>
        </is>
      </c>
      <c r="C280" s="29">
        <f>COUNTIF('Progress Tracker'!$C$2:$C$3272,$B280)</f>
        <v/>
      </c>
      <c r="D280" s="29">
        <f>COUNTIFS('Progress Tracker'!$C$2:$C$3272,$B280,'Progress Tracker'!$I$2:$I$3272,"Done")</f>
        <v/>
      </c>
      <c r="E280" s="30">
        <f>IFERROR(D280/C280,0)</f>
        <v/>
      </c>
      <c r="F280" s="29">
        <f>ROUND(SUMIF('Progress Tracker'!$C$2:$C$3272,$B280,'Progress Tracker'!$G$2:$G$3272),1)</f>
        <v/>
      </c>
      <c r="G280" s="1" t="n"/>
    </row>
    <row r="281">
      <c r="A281" s="1" t="n"/>
      <c r="B281" s="36" t="inlineStr">
        <is>
          <t>E.4.9 Multi-GPU and collectives</t>
        </is>
      </c>
      <c r="C281" s="29">
        <f>COUNTIF('Progress Tracker'!$C$2:$C$3272,$B281)</f>
        <v/>
      </c>
      <c r="D281" s="29">
        <f>COUNTIFS('Progress Tracker'!$C$2:$C$3272,$B281,'Progress Tracker'!$I$2:$I$3272,"Done")</f>
        <v/>
      </c>
      <c r="E281" s="30">
        <f>IFERROR(D281/C281,0)</f>
        <v/>
      </c>
      <c r="F281" s="29">
        <f>ROUND(SUMIF('Progress Tracker'!$C$2:$C$3272,$B281,'Progress Tracker'!$G$2:$G$3272),1)</f>
        <v/>
      </c>
      <c r="G281" s="1" t="n"/>
    </row>
    <row r="282">
      <c r="A282" s="1" t="n"/>
      <c r="B282" s="36" t="inlineStr">
        <is>
          <t>E.5.1 TPU architecture</t>
        </is>
      </c>
      <c r="C282" s="29">
        <f>COUNTIF('Progress Tracker'!$C$2:$C$3272,$B282)</f>
        <v/>
      </c>
      <c r="D282" s="29">
        <f>COUNTIFS('Progress Tracker'!$C$2:$C$3272,$B282,'Progress Tracker'!$I$2:$I$3272,"Done")</f>
        <v/>
      </c>
      <c r="E282" s="30">
        <f>IFERROR(D282/C282,0)</f>
        <v/>
      </c>
      <c r="F282" s="29">
        <f>ROUND(SUMIF('Progress Tracker'!$C$2:$C$3272,$B282,'Progress Tracker'!$G$2:$G$3272),1)</f>
        <v/>
      </c>
      <c r="G282" s="1" t="n"/>
    </row>
    <row r="283">
      <c r="A283" s="1" t="n"/>
      <c r="B283" s="36" t="inlineStr">
        <is>
          <t>E.5.2 XLA, MLIR and the compiler layer</t>
        </is>
      </c>
      <c r="C283" s="29">
        <f>COUNTIF('Progress Tracker'!$C$2:$C$3272,$B283)</f>
        <v/>
      </c>
      <c r="D283" s="29">
        <f>COUNTIFS('Progress Tracker'!$C$2:$C$3272,$B283,'Progress Tracker'!$I$2:$I$3272,"Done")</f>
        <v/>
      </c>
      <c r="E283" s="30">
        <f>IFERROR(D283/C283,0)</f>
        <v/>
      </c>
      <c r="F283" s="29">
        <f>ROUND(SUMIF('Progress Tracker'!$C$2:$C$3272,$B283,'Progress Tracker'!$G$2:$G$3272),1)</f>
        <v/>
      </c>
      <c r="G283" s="1" t="n"/>
    </row>
    <row r="284">
      <c r="A284" s="1" t="n"/>
      <c r="B284" s="36" t="inlineStr">
        <is>
          <t>E.5.3 JAX, and JAX for molecular simulation</t>
        </is>
      </c>
      <c r="C284" s="29">
        <f>COUNTIF('Progress Tracker'!$C$2:$C$3272,$B284)</f>
        <v/>
      </c>
      <c r="D284" s="29">
        <f>COUNTIFS('Progress Tracker'!$C$2:$C$3272,$B284,'Progress Tracker'!$I$2:$I$3272,"Done")</f>
        <v/>
      </c>
      <c r="E284" s="30">
        <f>IFERROR(D284/C284,0)</f>
        <v/>
      </c>
      <c r="F284" s="29">
        <f>ROUND(SUMIF('Progress Tracker'!$C$2:$C$3272,$B284,'Progress Tracker'!$G$2:$G$3272),1)</f>
        <v/>
      </c>
      <c r="G284" s="1" t="n"/>
    </row>
    <row r="285">
      <c r="A285" s="1" t="n"/>
      <c r="B285" s="36" t="inlineStr">
        <is>
          <t>E.5.4 The codesign argument, and four answers to it</t>
        </is>
      </c>
      <c r="C285" s="29">
        <f>COUNTIF('Progress Tracker'!$C$2:$C$3272,$B285)</f>
        <v/>
      </c>
      <c r="D285" s="29">
        <f>COUNTIFS('Progress Tracker'!$C$2:$C$3272,$B285,'Progress Tracker'!$I$2:$I$3272,"Done")</f>
        <v/>
      </c>
      <c r="E285" s="30">
        <f>IFERROR(D285/C285,0)</f>
        <v/>
      </c>
      <c r="F285" s="29">
        <f>ROUND(SUMIF('Progress Tracker'!$C$2:$C$3272,$B285,'Progress Tracker'!$G$2:$G$3272),1)</f>
        <v/>
      </c>
      <c r="G285" s="1" t="n"/>
    </row>
    <row r="286">
      <c r="A286" s="1" t="n"/>
      <c r="B286" s="36" t="inlineStr">
        <is>
          <t>E.5.5 Anton - the biology codesign result</t>
        </is>
      </c>
      <c r="C286" s="29">
        <f>COUNTIF('Progress Tracker'!$C$2:$C$3272,$B286)</f>
        <v/>
      </c>
      <c r="D286" s="29">
        <f>COUNTIFS('Progress Tracker'!$C$2:$C$3272,$B286,'Progress Tracker'!$I$2:$I$3272,"Done")</f>
        <v/>
      </c>
      <c r="E286" s="30">
        <f>IFERROR(D286/C286,0)</f>
        <v/>
      </c>
      <c r="F286" s="29">
        <f>ROUND(SUMIF('Progress Tracker'!$C$2:$C$3272,$B286,'Progress Tracker'!$G$2:$G$3272),1)</f>
        <v/>
      </c>
      <c r="G286" s="1" t="n"/>
    </row>
    <row r="287">
      <c r="A287" s="1" t="n"/>
      <c r="B287" s="36" t="inlineStr">
        <is>
          <t>E.5.6 FPGAs and reconfigurable computing</t>
        </is>
      </c>
      <c r="C287" s="29">
        <f>COUNTIF('Progress Tracker'!$C$2:$C$3272,$B287)</f>
        <v/>
      </c>
      <c r="D287" s="29">
        <f>COUNTIFS('Progress Tracker'!$C$2:$C$3272,$B287,'Progress Tracker'!$I$2:$I$3272,"Done")</f>
        <v/>
      </c>
      <c r="E287" s="30">
        <f>IFERROR(D287/C287,0)</f>
        <v/>
      </c>
      <c r="F287" s="29">
        <f>ROUND(SUMIF('Progress Tracker'!$C$2:$C$3272,$B287,'Progress Tracker'!$G$2:$G$3272),1)</f>
        <v/>
      </c>
      <c r="G287" s="1" t="n"/>
    </row>
    <row r="288">
      <c r="A288" s="1" t="n"/>
      <c r="B288" s="36" t="inlineStr">
        <is>
          <t>E.6.1 GROMACS internals and performance</t>
        </is>
      </c>
      <c r="C288" s="29">
        <f>COUNTIF('Progress Tracker'!$C$2:$C$3272,$B288)</f>
        <v/>
      </c>
      <c r="D288" s="29">
        <f>COUNTIFS('Progress Tracker'!$C$2:$C$3272,$B288,'Progress Tracker'!$I$2:$I$3272,"Done")</f>
        <v/>
      </c>
      <c r="E288" s="30">
        <f>IFERROR(D288/C288,0)</f>
        <v/>
      </c>
      <c r="F288" s="29">
        <f>ROUND(SUMIF('Progress Tracker'!$C$2:$C$3272,$B288,'Progress Tracker'!$G$2:$G$3272),1)</f>
        <v/>
      </c>
      <c r="G288" s="1" t="n"/>
    </row>
    <row r="289">
      <c r="A289" s="1" t="n"/>
      <c r="B289" s="36" t="inlineStr">
        <is>
          <t>E.6.2 OpenMM, NAMD, LAMMPS</t>
        </is>
      </c>
      <c r="C289" s="29">
        <f>COUNTIF('Progress Tracker'!$C$2:$C$3272,$B289)</f>
        <v/>
      </c>
      <c r="D289" s="29">
        <f>COUNTIFS('Progress Tracker'!$C$2:$C$3272,$B289,'Progress Tracker'!$I$2:$I$3272,"Done")</f>
        <v/>
      </c>
      <c r="E289" s="30">
        <f>IFERROR(D289/C289,0)</f>
        <v/>
      </c>
      <c r="F289" s="29">
        <f>ROUND(SUMIF('Progress Tracker'!$C$2:$C$3272,$B289,'Progress Tracker'!$G$2:$G$3272),1)</f>
        <v/>
      </c>
      <c r="G289" s="1" t="n"/>
    </row>
    <row r="290">
      <c r="A290" s="1" t="n"/>
      <c r="B290" s="36" t="inlineStr">
        <is>
          <t>E.6.3 The algorithms that make MD fast</t>
        </is>
      </c>
      <c r="C290" s="29">
        <f>COUNTIF('Progress Tracker'!$C$2:$C$3272,$B290)</f>
        <v/>
      </c>
      <c r="D290" s="29">
        <f>COUNTIFS('Progress Tracker'!$C$2:$C$3272,$B290,'Progress Tracker'!$I$2:$I$3272,"Done")</f>
        <v/>
      </c>
      <c r="E290" s="30">
        <f>IFERROR(D290/C290,0)</f>
        <v/>
      </c>
      <c r="F290" s="29">
        <f>ROUND(SUMIF('Progress Tracker'!$C$2:$C$3272,$B290,'Progress Tracker'!$G$2:$G$3272),1)</f>
        <v/>
      </c>
      <c r="G290" s="1" t="n"/>
    </row>
    <row r="291">
      <c r="A291" s="1" t="n"/>
      <c r="B291" s="36" t="inlineStr">
        <is>
          <t>E.6.4 HPC fundamentals</t>
        </is>
      </c>
      <c r="C291" s="29">
        <f>COUNTIF('Progress Tracker'!$C$2:$C$3272,$B291)</f>
        <v/>
      </c>
      <c r="D291" s="29">
        <f>COUNTIFS('Progress Tracker'!$C$2:$C$3272,$B291,'Progress Tracker'!$I$2:$I$3272,"Done")</f>
        <v/>
      </c>
      <c r="E291" s="30">
        <f>IFERROR(D291/C291,0)</f>
        <v/>
      </c>
      <c r="F291" s="29">
        <f>ROUND(SUMIF('Progress Tracker'!$C$2:$C$3272,$B291,'Progress Tracker'!$G$2:$G$3272),1)</f>
        <v/>
      </c>
      <c r="G291" s="1" t="n"/>
    </row>
    <row r="292">
      <c r="A292" s="1" t="n"/>
      <c r="B292" s="36" t="inlineStr">
        <is>
          <t>E.6.5 MIT 6.172 - Performance Engineering of Software Systems</t>
        </is>
      </c>
      <c r="C292" s="29">
        <f>COUNTIF('Progress Tracker'!$C$2:$C$3272,$B292)</f>
        <v/>
      </c>
      <c r="D292" s="29">
        <f>COUNTIFS('Progress Tracker'!$C$2:$C$3272,$B292,'Progress Tracker'!$I$2:$I$3272,"Done")</f>
        <v/>
      </c>
      <c r="E292" s="30">
        <f>IFERROR(D292/C292,0)</f>
        <v/>
      </c>
      <c r="F292" s="29">
        <f>ROUND(SUMIF('Progress Tracker'!$C$2:$C$3272,$B292,'Progress Tracker'!$G$2:$G$3272),1)</f>
        <v/>
      </c>
      <c r="G292" s="1" t="n"/>
    </row>
    <row r="293">
      <c r="A293" s="1" t="n"/>
      <c r="B293" s="36" t="inlineStr">
        <is>
          <t>E.6.6 Scientific software engineering and fleet operations</t>
        </is>
      </c>
      <c r="C293" s="29">
        <f>COUNTIF('Progress Tracker'!$C$2:$C$3272,$B293)</f>
        <v/>
      </c>
      <c r="D293" s="29">
        <f>COUNTIFS('Progress Tracker'!$C$2:$C$3272,$B293,'Progress Tracker'!$I$2:$I$3272,"Done")</f>
        <v/>
      </c>
      <c r="E293" s="30">
        <f>IFERROR(D293/C293,0)</f>
        <v/>
      </c>
      <c r="F293" s="29">
        <f>ROUND(SUMIF('Progress Tracker'!$C$2:$C$3272,$B293,'Progress Tracker'!$G$2:$G$3272),1)</f>
        <v/>
      </c>
      <c r="G293" s="1" t="n"/>
    </row>
    <row r="294">
      <c r="A294" s="1" t="n"/>
      <c r="B294" s="36" t="inlineStr">
        <is>
          <t>E.6.7 Exascale, and what actually scaled</t>
        </is>
      </c>
      <c r="C294" s="29">
        <f>COUNTIF('Progress Tracker'!$C$2:$C$3272,$B294)</f>
        <v/>
      </c>
      <c r="D294" s="29">
        <f>COUNTIFS('Progress Tracker'!$C$2:$C$3272,$B294,'Progress Tracker'!$I$2:$I$3272,"Done")</f>
        <v/>
      </c>
      <c r="E294" s="30">
        <f>IFERROR(D294/C294,0)</f>
        <v/>
      </c>
      <c r="F294" s="29">
        <f>ROUND(SUMIF('Progress Tracker'!$C$2:$C$3272,$B294,'Progress Tracker'!$G$2:$G$3272),1)</f>
        <v/>
      </c>
      <c r="G294" s="1" t="n"/>
    </row>
    <row r="295">
      <c r="A295" s="1" t="n"/>
      <c r="B295" s="36" t="inlineStr">
        <is>
          <t>E.7.1 AlphaFold, OpenFold and what training actually costs</t>
        </is>
      </c>
      <c r="C295" s="29">
        <f>COUNTIF('Progress Tracker'!$C$2:$C$3272,$B295)</f>
        <v/>
      </c>
      <c r="D295" s="29">
        <f>COUNTIFS('Progress Tracker'!$C$2:$C$3272,$B295,'Progress Tracker'!$I$2:$I$3272,"Done")</f>
        <v/>
      </c>
      <c r="E295" s="30">
        <f>IFERROR(D295/C295,0)</f>
        <v/>
      </c>
      <c r="F295" s="29">
        <f>ROUND(SUMIF('Progress Tracker'!$C$2:$C$3272,$B295,'Progress Tracker'!$G$2:$G$3272),1)</f>
        <v/>
      </c>
      <c r="G295" s="1" t="n"/>
    </row>
    <row r="296">
      <c r="A296" s="1" t="n"/>
      <c r="B296" s="36" t="inlineStr">
        <is>
          <t>E.7.2 Triangle attention - the memory wall nobody has written about</t>
        </is>
      </c>
      <c r="C296" s="29">
        <f>COUNTIF('Progress Tracker'!$C$2:$C$3272,$B296)</f>
        <v/>
      </c>
      <c r="D296" s="29">
        <f>COUNTIFS('Progress Tracker'!$C$2:$C$3272,$B296,'Progress Tracker'!$I$2:$I$3272,"Done")</f>
        <v/>
      </c>
      <c r="E296" s="30">
        <f>IFERROR(D296/C296,0)</f>
        <v/>
      </c>
      <c r="F296" s="29">
        <f>ROUND(SUMIF('Progress Tracker'!$C$2:$C$3272,$B296,'Progress Tracker'!$G$2:$G$3272),1)</f>
        <v/>
      </c>
      <c r="G296" s="1" t="n"/>
    </row>
    <row r="297">
      <c r="A297" s="1" t="n"/>
      <c r="B297" s="36" t="inlineStr">
        <is>
          <t>E.7.3 Equivariant-network performance</t>
        </is>
      </c>
      <c r="C297" s="29">
        <f>COUNTIF('Progress Tracker'!$C$2:$C$3272,$B297)</f>
        <v/>
      </c>
      <c r="D297" s="29">
        <f>COUNTIFS('Progress Tracker'!$C$2:$C$3272,$B297,'Progress Tracker'!$I$2:$I$3272,"Done")</f>
        <v/>
      </c>
      <c r="E297" s="30">
        <f>IFERROR(D297/C297,0)</f>
        <v/>
      </c>
      <c r="F297" s="29">
        <f>ROUND(SUMIF('Progress Tracker'!$C$2:$C$3272,$B297,'Progress Tracker'!$G$2:$G$3272),1)</f>
        <v/>
      </c>
      <c r="G297" s="1" t="n"/>
    </row>
    <row r="298">
      <c r="A298" s="1" t="n"/>
      <c r="B298" s="36" t="inlineStr">
        <is>
          <t>E.7.4 Interatomic potential inference at scale</t>
        </is>
      </c>
      <c r="C298" s="29">
        <f>COUNTIF('Progress Tracker'!$C$2:$C$3272,$B298)</f>
        <v/>
      </c>
      <c r="D298" s="29">
        <f>COUNTIFS('Progress Tracker'!$C$2:$C$3272,$B298,'Progress Tracker'!$I$2:$I$3272,"Done")</f>
        <v/>
      </c>
      <c r="E298" s="30">
        <f>IFERROR(D298/C298,0)</f>
        <v/>
      </c>
      <c r="F298" s="29">
        <f>ROUND(SUMIF('Progress Tracker'!$C$2:$C$3272,$B298,'Progress Tracker'!$G$2:$G$3272),1)</f>
        <v/>
      </c>
      <c r="G298" s="1" t="n"/>
    </row>
    <row r="299">
      <c r="A299" s="1" t="n"/>
      <c r="B299" s="36" t="inlineStr">
        <is>
          <t>E.7.5 Serving, batching and memory</t>
        </is>
      </c>
      <c r="C299" s="29">
        <f>COUNTIF('Progress Tracker'!$C$2:$C$3272,$B299)</f>
        <v/>
      </c>
      <c r="D299" s="29">
        <f>COUNTIFS('Progress Tracker'!$C$2:$C$3272,$B299,'Progress Tracker'!$I$2:$I$3272,"Done")</f>
        <v/>
      </c>
      <c r="E299" s="30">
        <f>IFERROR(D299/C299,0)</f>
        <v/>
      </c>
      <c r="F299" s="29">
        <f>ROUND(SUMIF('Progress Tracker'!$C$2:$C$3272,$B299,'Progress Tracker'!$G$2:$G$3272),1)</f>
        <v/>
      </c>
      <c r="G299" s="1" t="n"/>
    </row>
    <row r="300">
      <c r="A300" s="1" t="n"/>
      <c r="B300" s="36" t="inlineStr">
        <is>
          <t>E.7.6 The data pipeline - where the time actually goes</t>
        </is>
      </c>
      <c r="C300" s="29">
        <f>COUNTIF('Progress Tracker'!$C$2:$C$3272,$B300)</f>
        <v/>
      </c>
      <c r="D300" s="29">
        <f>COUNTIFS('Progress Tracker'!$C$2:$C$3272,$B300,'Progress Tracker'!$I$2:$I$3272,"Done")</f>
        <v/>
      </c>
      <c r="E300" s="30">
        <f>IFERROR(D300/C300,0)</f>
        <v/>
      </c>
      <c r="F300" s="29">
        <f>ROUND(SUMIF('Progress Tracker'!$C$2:$C$3272,$B300,'Progress Tracker'!$G$2:$G$3272),1)</f>
        <v/>
      </c>
      <c r="G300" s="1" t="n"/>
    </row>
    <row r="301">
      <c r="A301" s="1" t="n"/>
      <c r="B301" s="36" t="inlineStr">
        <is>
          <t>C.6 Choosing problems</t>
        </is>
      </c>
      <c r="C301" s="29">
        <f>COUNTIF('Progress Tracker'!$C$2:$C$3272,$B301)</f>
        <v/>
      </c>
      <c r="D301" s="29">
        <f>COUNTIFS('Progress Tracker'!$C$2:$C$3272,$B301,'Progress Tracker'!$I$2:$I$3272,"Done")</f>
        <v/>
      </c>
      <c r="E301" s="30">
        <f>IFERROR(D301/C301,0)</f>
        <v/>
      </c>
      <c r="F301" s="29">
        <f>ROUND(SUMIF('Progress Tracker'!$C$2:$C$3272,$B301,'Progress Tracker'!$G$2:$G$3272),1)</f>
        <v/>
      </c>
      <c r="G301" s="1" t="n"/>
    </row>
    <row r="302">
      <c r="A302" s="1" t="n"/>
      <c r="B302" s="36" t="inlineStr">
        <is>
          <t>C.7 Writing</t>
        </is>
      </c>
      <c r="C302" s="29">
        <f>COUNTIF('Progress Tracker'!$C$2:$C$3272,$B302)</f>
        <v/>
      </c>
      <c r="D302" s="29">
        <f>COUNTIFS('Progress Tracker'!$C$2:$C$3272,$B302,'Progress Tracker'!$I$2:$I$3272,"Done")</f>
        <v/>
      </c>
      <c r="E302" s="30">
        <f>IFERROR(D302/C302,0)</f>
        <v/>
      </c>
      <c r="F302" s="29">
        <f>ROUND(SUMIF('Progress Tracker'!$C$2:$C$3272,$B302,'Progress Tracker'!$G$2:$G$3272),1)</f>
        <v/>
      </c>
      <c r="G302" s="1" t="n"/>
    </row>
    <row r="303">
      <c r="A303" s="1" t="n"/>
      <c r="B303" s="36" t="inlineStr">
        <is>
          <t>C.8 Talks and posters</t>
        </is>
      </c>
      <c r="C303" s="29">
        <f>COUNTIF('Progress Tracker'!$C$2:$C$3272,$B303)</f>
        <v/>
      </c>
      <c r="D303" s="29">
        <f>COUNTIFS('Progress Tracker'!$C$2:$C$3272,$B303,'Progress Tracker'!$I$2:$I$3272,"Done")</f>
        <v/>
      </c>
      <c r="E303" s="30">
        <f>IFERROR(D303/C303,0)</f>
        <v/>
      </c>
      <c r="F303" s="29">
        <f>ROUND(SUMIF('Progress Tracker'!$C$2:$C$3272,$B303,'Progress Tracker'!$G$2:$G$3272),1)</f>
        <v/>
      </c>
      <c r="G303" s="1" t="n"/>
    </row>
    <row r="304">
      <c r="A304" s="1" t="n"/>
      <c r="B304" s="36" t="inlineStr">
        <is>
          <t>C.9 Refereeing</t>
        </is>
      </c>
      <c r="C304" s="29">
        <f>COUNTIF('Progress Tracker'!$C$2:$C$3272,$B304)</f>
        <v/>
      </c>
      <c r="D304" s="29">
        <f>COUNTIFS('Progress Tracker'!$C$2:$C$3272,$B304,'Progress Tracker'!$I$2:$I$3272,"Done")</f>
        <v/>
      </c>
      <c r="E304" s="30">
        <f>IFERROR(D304/C304,0)</f>
        <v/>
      </c>
      <c r="F304" s="29">
        <f>ROUND(SUMIF('Progress Tracker'!$C$2:$C$3272,$B304,'Progress Tracker'!$G$2:$G$3272),1)</f>
        <v/>
      </c>
      <c r="G304" s="1" t="n"/>
    </row>
    <row r="305">
      <c r="A305" s="1" t="n"/>
      <c r="B305" s="36" t="inlineStr">
        <is>
          <t>C.10 Reproducibility and not fooling yourself</t>
        </is>
      </c>
      <c r="C305" s="29">
        <f>COUNTIF('Progress Tracker'!$C$2:$C$3272,$B305)</f>
        <v/>
      </c>
      <c r="D305" s="29">
        <f>COUNTIFS('Progress Tracker'!$C$2:$C$3272,$B305,'Progress Tracker'!$I$2:$I$3272,"Done")</f>
        <v/>
      </c>
      <c r="E305" s="30">
        <f>IFERROR(D305/C305,0)</f>
        <v/>
      </c>
      <c r="F305" s="29">
        <f>ROUND(SUMIF('Progress Tracker'!$C$2:$C$3272,$B305,'Progress Tracker'!$G$2:$G$3272),1)</f>
        <v/>
      </c>
      <c r="G305" s="1" t="n"/>
    </row>
    <row r="306">
      <c r="A306" s="1" t="n"/>
      <c r="B306" s="36" t="inlineStr">
        <is>
          <t>C.11 Statistics and inference hygiene</t>
        </is>
      </c>
      <c r="C306" s="29">
        <f>COUNTIF('Progress Tracker'!$C$2:$C$3272,$B306)</f>
        <v/>
      </c>
      <c r="D306" s="29">
        <f>COUNTIFS('Progress Tracker'!$C$2:$C$3272,$B306,'Progress Tracker'!$I$2:$I$3272,"Done")</f>
        <v/>
      </c>
      <c r="E306" s="30">
        <f>IFERROR(D306/C306,0)</f>
        <v/>
      </c>
      <c r="F306" s="29">
        <f>ROUND(SUMIF('Progress Tracker'!$C$2:$C$3272,$B306,'Progress Tracker'!$G$2:$G$3272),1)</f>
        <v/>
      </c>
      <c r="G306" s="1" t="n"/>
    </row>
    <row r="307">
      <c r="A307" s="1" t="n"/>
      <c r="B307" s="36" t="inlineStr">
        <is>
          <t>C.12 Software, grants and career</t>
        </is>
      </c>
      <c r="C307" s="29">
        <f>COUNTIF('Progress Tracker'!$C$2:$C$3272,$B307)</f>
        <v/>
      </c>
      <c r="D307" s="29">
        <f>COUNTIFS('Progress Tracker'!$C$2:$C$3272,$B307,'Progress Tracker'!$I$2:$I$3272,"Done")</f>
        <v/>
      </c>
      <c r="E307" s="30">
        <f>IFERROR(D307/C307,0)</f>
        <v/>
      </c>
      <c r="F307" s="29">
        <f>ROUND(SUMIF('Progress Tracker'!$C$2:$C$3272,$B307,'Progress Tracker'!$G$2:$G$3272),1)</f>
        <v/>
      </c>
      <c r="G307" s="1" t="n"/>
    </row>
    <row r="308">
      <c r="A308" s="1" t="n"/>
      <c r="B308" s="36" t="inlineStr">
        <is>
          <t>2022</t>
        </is>
      </c>
      <c r="C308" s="29">
        <f>COUNTIF('Progress Tracker'!$C$2:$C$3272,$B308)</f>
        <v/>
      </c>
      <c r="D308" s="29">
        <f>COUNTIFS('Progress Tracker'!$C$2:$C$3272,$B308,'Progress Tracker'!$I$2:$I$3272,"Done")</f>
        <v/>
      </c>
      <c r="E308" s="30">
        <f>IFERROR(D308/C308,0)</f>
        <v/>
      </c>
      <c r="F308" s="29">
        <f>ROUND(SUMIF('Progress Tracker'!$C$2:$C$3272,$B308,'Progress Tracker'!$G$2:$G$3272),1)</f>
        <v/>
      </c>
      <c r="G308" s="1" t="n"/>
    </row>
    <row r="309">
      <c r="A309" s="1" t="n"/>
      <c r="B309" s="36" t="inlineStr">
        <is>
          <t>2023</t>
        </is>
      </c>
      <c r="C309" s="29">
        <f>COUNTIF('Progress Tracker'!$C$2:$C$3272,$B309)</f>
        <v/>
      </c>
      <c r="D309" s="29">
        <f>COUNTIFS('Progress Tracker'!$C$2:$C$3272,$B309,'Progress Tracker'!$I$2:$I$3272,"Done")</f>
        <v/>
      </c>
      <c r="E309" s="30">
        <f>IFERROR(D309/C309,0)</f>
        <v/>
      </c>
      <c r="F309" s="29">
        <f>ROUND(SUMIF('Progress Tracker'!$C$2:$C$3272,$B309,'Progress Tracker'!$G$2:$G$3272),1)</f>
        <v/>
      </c>
      <c r="G309" s="1" t="n"/>
    </row>
    <row r="310">
      <c r="A310" s="1" t="n"/>
      <c r="B310" s="36" t="inlineStr">
        <is>
          <t>2024</t>
        </is>
      </c>
      <c r="C310" s="29">
        <f>COUNTIF('Progress Tracker'!$C$2:$C$3272,$B310)</f>
        <v/>
      </c>
      <c r="D310" s="29">
        <f>COUNTIFS('Progress Tracker'!$C$2:$C$3272,$B310,'Progress Tracker'!$I$2:$I$3272,"Done")</f>
        <v/>
      </c>
      <c r="E310" s="30">
        <f>IFERROR(D310/C310,0)</f>
        <v/>
      </c>
      <c r="F310" s="29">
        <f>ROUND(SUMIF('Progress Tracker'!$C$2:$C$3272,$B310,'Progress Tracker'!$G$2:$G$3272),1)</f>
        <v/>
      </c>
      <c r="G310" s="1" t="n"/>
    </row>
    <row r="311">
      <c r="A311" s="1" t="n"/>
      <c r="B311" s="36" t="inlineStr">
        <is>
          <t>2025</t>
        </is>
      </c>
      <c r="C311" s="29">
        <f>COUNTIF('Progress Tracker'!$C$2:$C$3272,$B311)</f>
        <v/>
      </c>
      <c r="D311" s="29">
        <f>COUNTIFS('Progress Tracker'!$C$2:$C$3272,$B311,'Progress Tracker'!$I$2:$I$3272,"Done")</f>
        <v/>
      </c>
      <c r="E311" s="30">
        <f>IFERROR(D311/C311,0)</f>
        <v/>
      </c>
      <c r="F311" s="29">
        <f>ROUND(SUMIF('Progress Tracker'!$C$2:$C$3272,$B311,'Progress Tracker'!$G$2:$G$3272),1)</f>
        <v/>
      </c>
      <c r="G311" s="1" t="n"/>
    </row>
    <row r="312">
      <c r="A312" s="1" t="n"/>
      <c r="B312" s="36" t="inlineStr">
        <is>
          <t>2026 - posted but not on the schedule page</t>
        </is>
      </c>
      <c r="C312" s="29">
        <f>COUNTIF('Progress Tracker'!$C$2:$C$3272,$B312)</f>
        <v/>
      </c>
      <c r="D312" s="29">
        <f>COUNTIFS('Progress Tracker'!$C$2:$C$3272,$B312,'Progress Tracker'!$I$2:$I$3272,"Done")</f>
        <v/>
      </c>
      <c r="E312" s="30">
        <f>IFERROR(D312/C312,0)</f>
        <v/>
      </c>
      <c r="F312" s="29">
        <f>ROUND(SUMIF('Progress Tracker'!$C$2:$C$3272,$B312,'Progress Tracker'!$G$2:$G$3272),1)</f>
        <v/>
      </c>
      <c r="G312" s="1" t="n"/>
    </row>
    <row r="313">
      <c r="A313" s="1" t="n"/>
      <c r="B313" s="36" t="inlineStr">
        <is>
          <t>ML4PE Early Career Seminar Series - 15 talks</t>
        </is>
      </c>
      <c r="C313" s="29">
        <f>COUNTIF('Progress Tracker'!$C$2:$C$3272,$B313)</f>
        <v/>
      </c>
      <c r="D313" s="29">
        <f>COUNTIFS('Progress Tracker'!$C$2:$C$3272,$B313,'Progress Tracker'!$I$2:$I$3272,"Done")</f>
        <v/>
      </c>
      <c r="E313" s="30">
        <f>IFERROR(D313/C313,0)</f>
        <v/>
      </c>
      <c r="F313" s="29">
        <f>ROUND(SUMIF('Progress Tracker'!$C$2:$C$3272,$B313,'Progress Tracker'!$G$2:$G$3272),1)</f>
        <v/>
      </c>
      <c r="G313" s="1" t="n"/>
    </row>
    <row r="314">
      <c r="A314" s="1" t="n"/>
      <c r="B314" s="36" t="inlineStr">
        <is>
          <t>2026</t>
        </is>
      </c>
      <c r="C314" s="29">
        <f>COUNTIF('Progress Tracker'!$C$2:$C$3272,$B314)</f>
        <v/>
      </c>
      <c r="D314" s="29">
        <f>COUNTIFS('Progress Tracker'!$C$2:$C$3272,$B314,'Progress Tracker'!$I$2:$I$3272,"Done")</f>
        <v/>
      </c>
      <c r="E314" s="30">
        <f>IFERROR(D314/C314,0)</f>
        <v/>
      </c>
      <c r="F314" s="29">
        <f>ROUND(SUMIF('Progress Tracker'!$C$2:$C$3272,$B314,'Progress Tracker'!$G$2:$G$3272),1)</f>
        <v/>
      </c>
      <c r="G314" s="1" t="n"/>
    </row>
    <row r="315">
      <c r="A315" s="1" t="n"/>
      <c r="B315" s="36" t="inlineStr">
        <is>
          <t>2021</t>
        </is>
      </c>
      <c r="C315" s="29">
        <f>COUNTIF('Progress Tracker'!$C$2:$C$3272,$B315)</f>
        <v/>
      </c>
      <c r="D315" s="29">
        <f>COUNTIFS('Progress Tracker'!$C$2:$C$3272,$B315,'Progress Tracker'!$I$2:$I$3272,"Done")</f>
        <v/>
      </c>
      <c r="E315" s="30">
        <f>IFERROR(D315/C315,0)</f>
        <v/>
      </c>
      <c r="F315" s="29">
        <f>ROUND(SUMIF('Progress Tracker'!$C$2:$C$3272,$B315,'Progress Tracker'!$G$2:$G$3272),1)</f>
        <v/>
      </c>
      <c r="G315" s="1" t="n"/>
    </row>
    <row r="316">
      <c r="A316" s="1" t="n"/>
      <c r="B316" s="36" t="inlineStr">
        <is>
          <t>ML for Protein Design Bootcamp (2026) - 13 videos</t>
        </is>
      </c>
      <c r="C316" s="29">
        <f>COUNTIF('Progress Tracker'!$C$2:$C$3272,$B316)</f>
        <v/>
      </c>
      <c r="D316" s="29">
        <f>COUNTIFS('Progress Tracker'!$C$2:$C$3272,$B316,'Progress Tracker'!$I$2:$I$3272,"Done")</f>
        <v/>
      </c>
      <c r="E316" s="30">
        <f>IFERROR(D316/C316,0)</f>
        <v/>
      </c>
      <c r="F316" s="29">
        <f>ROUND(SUMIF('Progress Tracker'!$C$2:$C$3272,$B316,'Progress Tracker'!$G$2:$G$3272),1)</f>
        <v/>
      </c>
      <c r="G316" s="1" t="n"/>
    </row>
    <row r="317">
      <c r="A317" s="1" t="n"/>
      <c r="B317" s="36" t="inlineStr">
        <is>
          <t>ML Methods for Protein Modeling (2025) - 18 videos</t>
        </is>
      </c>
      <c r="C317" s="29">
        <f>COUNTIF('Progress Tracker'!$C$2:$C$3272,$B317)</f>
        <v/>
      </c>
      <c r="D317" s="29">
        <f>COUNTIFS('Progress Tracker'!$C$2:$C$3272,$B317,'Progress Tracker'!$I$2:$I$3272,"Done")</f>
        <v/>
      </c>
      <c r="E317" s="30">
        <f>IFERROR(D317/C317,0)</f>
        <v/>
      </c>
      <c r="F317" s="29">
        <f>ROUND(SUMIF('Progress Tracker'!$C$2:$C$3272,$B317,'Progress Tracker'!$G$2:$G$3272),1)</f>
        <v/>
      </c>
      <c r="G317" s="1" t="n"/>
    </row>
    <row r="318">
      <c r="A318" s="1" t="n"/>
      <c r="B318" s="36" t="inlineStr">
        <is>
          <t>RaMP Bootcamp 2023 - 12 videos (the PyRosetta core</t>
        </is>
      </c>
      <c r="C318" s="29">
        <f>COUNTIF('Progress Tracker'!$C$2:$C$3272,$B318)</f>
        <v/>
      </c>
      <c r="D318" s="29">
        <f>COUNTIFS('Progress Tracker'!$C$2:$C$3272,$B318,'Progress Tracker'!$I$2:$I$3272,"Done")</f>
        <v/>
      </c>
      <c r="E318" s="30">
        <f>IFERROR(D318/C318,0)</f>
        <v/>
      </c>
      <c r="F318" s="29">
        <f>ROUND(SUMIF('Progress Tracker'!$C$2:$C$3272,$B318,'Progress Tracker'!$G$2:$G$3272),1)</f>
        <v/>
      </c>
      <c r="G318" s="1" t="n"/>
    </row>
    <row r="319">
      <c r="A319" s="1" t="n"/>
      <c r="B319" s="36" t="inlineStr">
        <is>
          <t>Rosetta++ Bootcamp (2026) - 20 videos</t>
        </is>
      </c>
      <c r="C319" s="29">
        <f>COUNTIF('Progress Tracker'!$C$2:$C$3272,$B319)</f>
        <v/>
      </c>
      <c r="D319" s="29">
        <f>COUNTIFS('Progress Tracker'!$C$2:$C$3272,$B319,'Progress Tracker'!$I$2:$I$3272,"Done")</f>
        <v/>
      </c>
      <c r="E319" s="30">
        <f>IFERROR(D319/C319,0)</f>
        <v/>
      </c>
      <c r="F319" s="29">
        <f>ROUND(SUMIF('Progress Tracker'!$C$2:$C$3272,$B319,'Progress Tracker'!$G$2:$G$3272),1)</f>
        <v/>
      </c>
      <c r="G319" s="1" t="n"/>
    </row>
    <row r="320">
      <c r="A320" s="1" t="n"/>
      <c r="B320" s="36" t="inlineStr">
        <is>
          <t>Protein Design Workflows - 14 videos</t>
        </is>
      </c>
      <c r="C320" s="29">
        <f>COUNTIF('Progress Tracker'!$C$2:$C$3272,$B320)</f>
        <v/>
      </c>
      <c r="D320" s="29">
        <f>COUNTIFS('Progress Tracker'!$C$2:$C$3272,$B320,'Progress Tracker'!$I$2:$I$3272,"Done")</f>
        <v/>
      </c>
      <c r="E320" s="30">
        <f>IFERROR(D320/C320,0)</f>
        <v/>
      </c>
      <c r="F320" s="29">
        <f>ROUND(SUMIF('Progress Tracker'!$C$2:$C$3272,$B320,'Progress Tracker'!$G$2:$G$3272),1)</f>
        <v/>
      </c>
      <c r="G320" s="1" t="n"/>
    </row>
    <row r="321">
      <c r="A321" s="1" t="n"/>
      <c r="B321" s="36" t="inlineStr">
        <is>
          <t>Designing Protein-Protein Interactions (2025) - 8 videos</t>
        </is>
      </c>
      <c r="C321" s="29">
        <f>COUNTIF('Progress Tracker'!$C$2:$C$3272,$B321)</f>
        <v/>
      </c>
      <c r="D321" s="29">
        <f>COUNTIFS('Progress Tracker'!$C$2:$C$3272,$B321,'Progress Tracker'!$I$2:$I$3272,"Done")</f>
        <v/>
      </c>
      <c r="E321" s="30">
        <f>IFERROR(D321/C321,0)</f>
        <v/>
      </c>
      <c r="F321" s="29">
        <f>ROUND(SUMIF('Progress Tracker'!$C$2:$C$3272,$B321,'Progress Tracker'!$G$2:$G$3272),1)</f>
        <v/>
      </c>
      <c r="G321" s="1" t="n"/>
    </row>
    <row r="322">
      <c r="A322" s="1" t="n"/>
      <c r="B322" s="36" t="inlineStr">
        <is>
          <t>Tech Tea Time - 9 videos</t>
        </is>
      </c>
      <c r="C322" s="29">
        <f>COUNTIF('Progress Tracker'!$C$2:$C$3272,$B322)</f>
        <v/>
      </c>
      <c r="D322" s="29">
        <f>COUNTIFS('Progress Tracker'!$C$2:$C$3272,$B322,'Progress Tracker'!$I$2:$I$3272,"Done")</f>
        <v/>
      </c>
      <c r="E322" s="30">
        <f>IFERROR(D322/C322,0)</f>
        <v/>
      </c>
      <c r="F322" s="29">
        <f>ROUND(SUMIF('Progress Tracker'!$C$2:$C$3272,$B322,'Progress Tracker'!$G$2:$G$3272),1)</f>
        <v/>
      </c>
      <c r="G322" s="1" t="n"/>
    </row>
    <row r="323">
      <c r="A323" s="1" t="n"/>
      <c r="B323" s="36" t="inlineStr">
        <is>
          <t>Guided Tutorials - 5 videos</t>
        </is>
      </c>
      <c r="C323" s="29">
        <f>COUNTIF('Progress Tracker'!$C$2:$C$3272,$B323)</f>
        <v/>
      </c>
      <c r="D323" s="29">
        <f>COUNTIFS('Progress Tracker'!$C$2:$C$3272,$B323,'Progress Tracker'!$I$2:$I$3272,"Done")</f>
        <v/>
      </c>
      <c r="E323" s="30">
        <f>IFERROR(D323/C323,0)</f>
        <v/>
      </c>
      <c r="F323" s="29">
        <f>ROUND(SUMIF('Progress Tracker'!$C$2:$C$3272,$B323,'Progress Tracker'!$G$2:$G$3272),1)</f>
        <v/>
      </c>
      <c r="G323" s="1" t="n"/>
    </row>
    <row r="324">
      <c r="A324" s="1" t="n"/>
      <c r="B324" s="36" t="inlineStr">
        <is>
          <t>Proteins, structure, molecular design</t>
        </is>
      </c>
      <c r="C324" s="29">
        <f>COUNTIF('Progress Tracker'!$C$2:$C$3272,$B324)</f>
        <v/>
      </c>
      <c r="D324" s="29">
        <f>COUNTIFS('Progress Tracker'!$C$2:$C$3272,$B324,'Progress Tracker'!$I$2:$I$3272,"Done")</f>
        <v/>
      </c>
      <c r="E324" s="30">
        <f>IFERROR(D324/C324,0)</f>
        <v/>
      </c>
      <c r="F324" s="29">
        <f>ROUND(SUMIF('Progress Tracker'!$C$2:$C$3272,$B324,'Progress Tracker'!$G$2:$G$3272),1)</f>
        <v/>
      </c>
      <c r="G324" s="1" t="n"/>
    </row>
    <row r="325">
      <c r="A325" s="1" t="n"/>
      <c r="B325" s="36" t="inlineStr">
        <is>
          <t>Statistical and generative-modeling methods</t>
        </is>
      </c>
      <c r="C325" s="29">
        <f>COUNTIF('Progress Tracker'!$C$2:$C$3272,$B325)</f>
        <v/>
      </c>
      <c r="D325" s="29">
        <f>COUNTIFS('Progress Tracker'!$C$2:$C$3272,$B325,'Progress Tracker'!$I$2:$I$3272,"Done")</f>
        <v/>
      </c>
      <c r="E325" s="30">
        <f>IFERROR(D325/C325,0)</f>
        <v/>
      </c>
      <c r="F325" s="29">
        <f>ROUND(SUMIF('Progress Tracker'!$C$2:$C$3272,$B325,'Progress Tracker'!$G$2:$G$3272),1)</f>
        <v/>
      </c>
      <c r="G325" s="1" t="n"/>
    </row>
    <row r="326">
      <c r="A326" s="1" t="n"/>
      <c r="B326" s="36" t="inlineStr">
        <is>
          <t>A.5 MLSB Workshop - 10 talks (complete</t>
        </is>
      </c>
      <c r="C326" s="29">
        <f>COUNTIF('Progress Tracker'!$C$2:$C$3272,$B326)</f>
        <v/>
      </c>
      <c r="D326" s="29">
        <f>COUNTIFS('Progress Tracker'!$C$2:$C$3272,$B326,'Progress Tracker'!$I$2:$I$3272,"Done")</f>
        <v/>
      </c>
      <c r="E326" s="30">
        <f>IFERROR(D326/C326,0)</f>
        <v/>
      </c>
      <c r="F326" s="29">
        <f>ROUND(SUMIF('Progress Tracker'!$C$2:$C$3272,$B326,'Progress Tracker'!$G$2:$G$3272),1)</f>
        <v/>
      </c>
      <c r="G326" s="1" t="n"/>
    </row>
    <row r="327">
      <c r="A327" s="1" t="n"/>
      <c r="B327" s="36" t="inlineStr">
        <is>
          <t>MLCB 2024 - the protein and genomics core</t>
        </is>
      </c>
      <c r="C327" s="29">
        <f>COUNTIF('Progress Tracker'!$C$2:$C$3272,$B327)</f>
        <v/>
      </c>
      <c r="D327" s="29">
        <f>COUNTIFS('Progress Tracker'!$C$2:$C$3272,$B327,'Progress Tracker'!$I$2:$I$3272,"Done")</f>
        <v/>
      </c>
      <c r="E327" s="30">
        <f>IFERROR(D327/C327,0)</f>
        <v/>
      </c>
      <c r="F327" s="29">
        <f>ROUND(SUMIF('Progress Tracker'!$C$2:$C$3272,$B327,'Progress Tracker'!$G$2:$G$3272),1)</f>
        <v/>
      </c>
      <c r="G327" s="1" t="n"/>
    </row>
    <row r="328">
      <c r="A328" s="1" t="n"/>
      <c r="B328" s="36" t="inlineStr">
        <is>
          <t>MLCB 2023 - selected full talks</t>
        </is>
      </c>
      <c r="C328" s="29">
        <f>COUNTIF('Progress Tracker'!$C$2:$C$3272,$B328)</f>
        <v/>
      </c>
      <c r="D328" s="29">
        <f>COUNTIFS('Progress Tracker'!$C$2:$C$3272,$B328,'Progress Tracker'!$I$2:$I$3272,"Done")</f>
        <v/>
      </c>
      <c r="E328" s="30">
        <f>IFERROR(D328/C328,0)</f>
        <v/>
      </c>
      <c r="F328" s="29">
        <f>ROUND(SUMIF('Progress Tracker'!$C$2:$C$3272,$B328,'Progress Tracker'!$G$2:$G$3272),1)</f>
        <v/>
      </c>
      <c r="G328" s="1" t="n"/>
    </row>
    <row r="329">
      <c r="A329" s="1" t="n"/>
      <c r="B329" s="36" t="inlineStr">
        <is>
          <t>MLCB 2019 - the early-method talks that aged well</t>
        </is>
      </c>
      <c r="C329" s="29">
        <f>COUNTIF('Progress Tracker'!$C$2:$C$3272,$B329)</f>
        <v/>
      </c>
      <c r="D329" s="29">
        <f>COUNTIFS('Progress Tracker'!$C$2:$C$3272,$B329,'Progress Tracker'!$I$2:$I$3272,"Done")</f>
        <v/>
      </c>
      <c r="E329" s="30">
        <f>IFERROR(D329/C329,0)</f>
        <v/>
      </c>
      <c r="F329" s="29">
        <f>ROUND(SUMIF('Progress Tracker'!$C$2:$C$3272,$B329,'Progress Tracker'!$G$2:$G$3272),1)</f>
        <v/>
      </c>
      <c r="G329" s="1" t="n"/>
    </row>
    <row r="330">
      <c r="A330" s="1" t="n"/>
      <c r="B330" s="36" t="inlineStr">
        <is>
          <t>The channel itself</t>
        </is>
      </c>
      <c r="C330" s="29">
        <f>COUNTIF('Progress Tracker'!$C$2:$C$3272,$B330)</f>
        <v/>
      </c>
      <c r="D330" s="29">
        <f>COUNTIFS('Progress Tracker'!$C$2:$C$3272,$B330,'Progress Tracker'!$I$2:$I$3272,"Done")</f>
        <v/>
      </c>
      <c r="E330" s="30">
        <f>IFERROR(D330/C330,0)</f>
        <v/>
      </c>
      <c r="F330" s="29">
        <f>ROUND(SUMIF('Progress Tracker'!$C$2:$C$3272,$B330,'Progress Tracker'!$G$2:$G$3272),1)</f>
        <v/>
      </c>
      <c r="G330" s="1" t="n"/>
    </row>
    <row r="331">
      <c r="A331" s="1" t="n"/>
      <c r="B331" s="36" t="inlineStr">
        <is>
          <t>Introductory and IPD TV</t>
        </is>
      </c>
      <c r="C331" s="29">
        <f>COUNTIF('Progress Tracker'!$C$2:$C$3272,$B331)</f>
        <v/>
      </c>
      <c r="D331" s="29">
        <f>COUNTIFS('Progress Tracker'!$C$2:$C$3272,$B331,'Progress Tracker'!$I$2:$I$3272,"Done")</f>
        <v/>
      </c>
      <c r="E331" s="30">
        <f>IFERROR(D331/C331,0)</f>
        <v/>
      </c>
      <c r="F331" s="29">
        <f>ROUND(SUMIF('Progress Tracker'!$C$2:$C$3272,$B331,'Progress Tracker'!$G$2:$G$3272),1)</f>
        <v/>
      </c>
      <c r="G331" s="1" t="n"/>
    </row>
    <row r="332">
      <c r="A332" s="1" t="n"/>
      <c r="B332" s="36" t="inlineStr">
        <is>
          <t>Rosetta Bootcamp, Seattle, January 2016 - 8 videos</t>
        </is>
      </c>
      <c r="C332" s="29">
        <f>COUNTIF('Progress Tracker'!$C$2:$C$3272,$B332)</f>
        <v/>
      </c>
      <c r="D332" s="29">
        <f>COUNTIFS('Progress Tracker'!$C$2:$C$3272,$B332,'Progress Tracker'!$I$2:$I$3272,"Done")</f>
        <v/>
      </c>
      <c r="E332" s="30">
        <f>IFERROR(D332/C332,0)</f>
        <v/>
      </c>
      <c r="F332" s="29">
        <f>ROUND(SUMIF('Progress Tracker'!$C$2:$C$3272,$B332,'Progress Tracker'!$G$2:$G$3272),1)</f>
        <v/>
      </c>
      <c r="G332" s="1" t="n"/>
    </row>
    <row r="333">
      <c r="A333" s="1" t="n"/>
      <c r="B333" s="36" t="inlineStr">
        <is>
          <t>Structure prediction, design and biomolecular foundation models</t>
        </is>
      </c>
      <c r="C333" s="29">
        <f>COUNTIF('Progress Tracker'!$C$2:$C$3272,$B333)</f>
        <v/>
      </c>
      <c r="D333" s="29">
        <f>COUNTIFS('Progress Tracker'!$C$2:$C$3272,$B333,'Progress Tracker'!$I$2:$I$3272,"Done")</f>
        <v/>
      </c>
      <c r="E333" s="30">
        <f>IFERROR(D333/C333,0)</f>
        <v/>
      </c>
      <c r="F333" s="29">
        <f>ROUND(SUMIF('Progress Tracker'!$C$2:$C$3272,$B333,'Progress Tracker'!$G$2:$G$3272),1)</f>
        <v/>
      </c>
      <c r="G333" s="1" t="n"/>
    </row>
    <row r="334">
      <c r="A334" s="1" t="n"/>
      <c r="B334" s="36" t="inlineStr">
        <is>
          <t>Simulation, force fields, coarse-graining and sampling</t>
        </is>
      </c>
      <c r="C334" s="29">
        <f>COUNTIF('Progress Tracker'!$C$2:$C$3272,$B334)</f>
        <v/>
      </c>
      <c r="D334" s="29">
        <f>COUNTIFS('Progress Tracker'!$C$2:$C$3272,$B334,'Progress Tracker'!$I$2:$I$3272,"Done")</f>
        <v/>
      </c>
      <c r="E334" s="30">
        <f>IFERROR(D334/C334,0)</f>
        <v/>
      </c>
      <c r="F334" s="29">
        <f>ROUND(SUMIF('Progress Tracker'!$C$2:$C$3272,$B334,'Progress Tracker'!$G$2:$G$3272),1)</f>
        <v/>
      </c>
      <c r="G334" s="1" t="n"/>
    </row>
    <row r="335">
      <c r="A335" s="1" t="n"/>
      <c r="B335" s="36" t="inlineStr">
        <is>
          <t>Docking, chemistry and generative molecular design</t>
        </is>
      </c>
      <c r="C335" s="29">
        <f>COUNTIF('Progress Tracker'!$C$2:$C$3272,$B335)</f>
        <v/>
      </c>
      <c r="D335" s="29">
        <f>COUNTIFS('Progress Tracker'!$C$2:$C$3272,$B335,'Progress Tracker'!$I$2:$I$3272,"Done")</f>
        <v/>
      </c>
      <c r="E335" s="30">
        <f>IFERROR(D335/C335,0)</f>
        <v/>
      </c>
      <c r="F335" s="29">
        <f>ROUND(SUMIF('Progress Tracker'!$C$2:$C$3272,$B335,'Progress Tracker'!$G$2:$G$3272),1)</f>
        <v/>
      </c>
      <c r="G335" s="1" t="n"/>
    </row>
    <row r="336">
      <c r="A336" s="1" t="n"/>
      <c r="B336" s="36" t="inlineStr">
        <is>
          <t>Nucleic acids and genome-scale</t>
        </is>
      </c>
      <c r="C336" s="29">
        <f>COUNTIF('Progress Tracker'!$C$2:$C$3272,$B336)</f>
        <v/>
      </c>
      <c r="D336" s="29">
        <f>COUNTIFS('Progress Tracker'!$C$2:$C$3272,$B336,'Progress Tracker'!$I$2:$I$3272,"Done")</f>
        <v/>
      </c>
      <c r="E336" s="30">
        <f>IFERROR(D336/C336,0)</f>
        <v/>
      </c>
      <c r="F336" s="29">
        <f>ROUND(SUMIF('Progress Tracker'!$C$2:$C$3272,$B336,'Progress Tracker'!$G$2:$G$3272),1)</f>
        <v/>
      </c>
      <c r="G336" s="1" t="n"/>
    </row>
    <row r="337">
      <c r="A337" s="1" t="n"/>
      <c r="B337" s="36" t="inlineStr">
        <is>
          <t>ML4DD Summer School 2024 - 13 sessions</t>
        </is>
      </c>
      <c r="C337" s="29">
        <f>COUNTIF('Progress Tracker'!$C$2:$C$3272,$B337)</f>
        <v/>
      </c>
      <c r="D337" s="29">
        <f>COUNTIFS('Progress Tracker'!$C$2:$C$3272,$B337,'Progress Tracker'!$I$2:$I$3272,"Done")</f>
        <v/>
      </c>
      <c r="E337" s="30">
        <f>IFERROR(D337/C337,0)</f>
        <v/>
      </c>
      <c r="F337" s="29">
        <f>ROUND(SUMIF('Progress Tracker'!$C$2:$C$3272,$B337,'Progress Tracker'!$G$2:$G$3272),1)</f>
        <v/>
      </c>
      <c r="G337" s="1" t="n"/>
    </row>
    <row r="338">
      <c r="A338" s="1" t="n"/>
      <c r="B338" s="36" t="inlineStr">
        <is>
          <t>B.1 Jeffrey Gray - Computational Protein Structure Prediction and Design (JHU 540.414/614</t>
        </is>
      </c>
      <c r="C338" s="29">
        <f>COUNTIF('Progress Tracker'!$C$2:$C$3272,$B338)</f>
        <v/>
      </c>
      <c r="D338" s="29">
        <f>COUNTIFS('Progress Tracker'!$C$2:$C$3272,$B338,'Progress Tracker'!$I$2:$I$3272,"Done")</f>
        <v/>
      </c>
      <c r="E338" s="30">
        <f>IFERROR(D338/C338,0)</f>
        <v/>
      </c>
      <c r="F338" s="29">
        <f>ROUND(SUMIF('Progress Tracker'!$C$2:$C$3272,$B338,'Progress Tracker'!$G$2:$G$3272),1)</f>
        <v/>
      </c>
      <c r="G338" s="1" t="n"/>
    </row>
    <row r="339">
      <c r="A339" s="1" t="n"/>
      <c r="B339" s="36" t="inlineStr">
        <is>
          <t>B.2 Erik Lindahl - Biophysical Chemistry / Molecular Biophysics</t>
        </is>
      </c>
      <c r="C339" s="29">
        <f>COUNTIF('Progress Tracker'!$C$2:$C$3272,$B339)</f>
        <v/>
      </c>
      <c r="D339" s="29">
        <f>COUNTIFS('Progress Tracker'!$C$2:$C$3272,$B339,'Progress Tracker'!$I$2:$I$3272,"Done")</f>
        <v/>
      </c>
      <c r="E339" s="30">
        <f>IFERROR(D339/C339,0)</f>
        <v/>
      </c>
      <c r="F339" s="29">
        <f>ROUND(SUMIF('Progress Tracker'!$C$2:$C$3272,$B339,'Progress Tracker'!$G$2:$G$3272),1)</f>
        <v/>
      </c>
      <c r="G339" s="1" t="n"/>
    </row>
    <row r="340">
      <c r="A340" s="1" t="n"/>
      <c r="B340" s="36" t="inlineStr">
        <is>
          <t>B.3 PLUMED Masterclass - 43 videos</t>
        </is>
      </c>
      <c r="C340" s="29">
        <f>COUNTIF('Progress Tracker'!$C$2:$C$3272,$B340)</f>
        <v/>
      </c>
      <c r="D340" s="29">
        <f>COUNTIFS('Progress Tracker'!$C$2:$C$3272,$B340,'Progress Tracker'!$I$2:$I$3272,"Done")</f>
        <v/>
      </c>
      <c r="E340" s="30">
        <f>IFERROR(D340/C340,0)</f>
        <v/>
      </c>
      <c r="F340" s="29">
        <f>ROUND(SUMIF('Progress Tracker'!$C$2:$C$3272,$B340,'Progress Tracker'!$G$2:$G$3272),1)</f>
        <v/>
      </c>
      <c r="G340" s="1" t="n"/>
    </row>
    <row r="341">
      <c r="A341" s="1" t="n"/>
      <c r="B341" s="36" t="inlineStr">
        <is>
          <t>B.4 Workshop on Free Energy, Kinetics and MSM in Drug Design, 2018 - 43 videos</t>
        </is>
      </c>
      <c r="C341" s="29">
        <f>COUNTIF('Progress Tracker'!$C$2:$C$3272,$B341)</f>
        <v/>
      </c>
      <c r="D341" s="29">
        <f>COUNTIFS('Progress Tracker'!$C$2:$C$3272,$B341,'Progress Tracker'!$I$2:$I$3272,"Done")</f>
        <v/>
      </c>
      <c r="E341" s="30">
        <f>IFERROR(D341/C341,0)</f>
        <v/>
      </c>
      <c r="F341" s="29">
        <f>ROUND(SUMIF('Progress Tracker'!$C$2:$C$3272,$B341,'Progress Tracker'!$G$2:$G$3272),1)</f>
        <v/>
      </c>
      <c r="G341" s="1" t="n"/>
    </row>
    <row r="342">
      <c r="A342" s="1" t="n"/>
      <c r="B342" s="36" t="inlineStr">
        <is>
          <t>B.5 AMMI Geometric Deep Learning, 2nd edition (2022</t>
        </is>
      </c>
      <c r="C342" s="29">
        <f>COUNTIF('Progress Tracker'!$C$2:$C$3272,$B342)</f>
        <v/>
      </c>
      <c r="D342" s="29">
        <f>COUNTIFS('Progress Tracker'!$C$2:$C$3272,$B342,'Progress Tracker'!$I$2:$I$3272,"Done")</f>
        <v/>
      </c>
      <c r="E342" s="30">
        <f>IFERROR(D342/C342,0)</f>
        <v/>
      </c>
      <c r="F342" s="29">
        <f>ROUND(SUMIF('Progress Tracker'!$C$2:$C$3272,$B342,'Progress Tracker'!$G$2:$G$3272),1)</f>
        <v/>
      </c>
      <c r="G342" s="1" t="n"/>
    </row>
    <row r="343">
      <c r="A343" s="1" t="n"/>
      <c r="B343" s="36" t="inlineStr">
        <is>
          <t>B.6 Erik Bekkers - Group Equivariant Deep Learning (UvA 2022), 21 videos</t>
        </is>
      </c>
      <c r="C343" s="29">
        <f>COUNTIF('Progress Tracker'!$C$2:$C$3272,$B343)</f>
        <v/>
      </c>
      <c r="D343" s="29">
        <f>COUNTIFS('Progress Tracker'!$C$2:$C$3272,$B343,'Progress Tracker'!$I$2:$I$3272,"Done")</f>
        <v/>
      </c>
      <c r="E343" s="30">
        <f>IFERROR(D343/C343,0)</f>
        <v/>
      </c>
      <c r="F343" s="29">
        <f>ROUND(SUMIF('Progress Tracker'!$C$2:$C$3272,$B343,'Progress Tracker'!$G$2:$G$3272),1)</f>
        <v/>
      </c>
      <c r="G343" s="1" t="n"/>
    </row>
    <row r="344">
      <c r="A344" s="1" t="n"/>
      <c r="B344" s="36" t="inlineStr">
        <is>
          <t>B.7 Stanford CS224W - Machine Learning with Graphs (2021), 60 videos</t>
        </is>
      </c>
      <c r="C344" s="29">
        <f>COUNTIF('Progress Tracker'!$C$2:$C$3272,$B344)</f>
        <v/>
      </c>
      <c r="D344" s="29">
        <f>COUNTIFS('Progress Tracker'!$C$2:$C$3272,$B344,'Progress Tracker'!$I$2:$I$3272,"Done")</f>
        <v/>
      </c>
      <c r="E344" s="30">
        <f>IFERROR(D344/C344,0)</f>
        <v/>
      </c>
      <c r="F344" s="29">
        <f>ROUND(SUMIF('Progress Tracker'!$C$2:$C$3272,$B344,'Progress Tracker'!$G$2:$G$3272),1)</f>
        <v/>
      </c>
      <c r="G344" s="1" t="n"/>
    </row>
    <row r="345">
      <c r="A345" s="1" t="n"/>
      <c r="B345" s="36" t="inlineStr">
        <is>
          <t>B.8 Stanford CS236 - Deep Generative Models (Autumn 2023), 18 lectures</t>
        </is>
      </c>
      <c r="C345" s="29">
        <f>COUNTIF('Progress Tracker'!$C$2:$C$3272,$B345)</f>
        <v/>
      </c>
      <c r="D345" s="29">
        <f>COUNTIFS('Progress Tracker'!$C$2:$C$3272,$B345,'Progress Tracker'!$I$2:$I$3272,"Done")</f>
        <v/>
      </c>
      <c r="E345" s="30">
        <f>IFERROR(D345/C345,0)</f>
        <v/>
      </c>
      <c r="F345" s="29">
        <f>ROUND(SUMIF('Progress Tracker'!$C$2:$C$3272,$B345,'Progress Tracker'!$G$2:$G$3272),1)</f>
        <v/>
      </c>
      <c r="G345" s="1" t="n"/>
    </row>
    <row r="346">
      <c r="A346" s="1" t="n"/>
      <c r="B346" s="36" t="inlineStr">
        <is>
          <t>B.9 WESTPA - weighted ensemble</t>
        </is>
      </c>
      <c r="C346" s="29">
        <f>COUNTIF('Progress Tracker'!$C$2:$C$3272,$B346)</f>
        <v/>
      </c>
      <c r="D346" s="29">
        <f>COUNTIFS('Progress Tracker'!$C$2:$C$3272,$B346,'Progress Tracker'!$I$2:$I$3272,"Done")</f>
        <v/>
      </c>
      <c r="E346" s="30">
        <f>IFERROR(D346/C346,0)</f>
        <v/>
      </c>
      <c r="F346" s="29">
        <f>ROUND(SUMIF('Progress Tracker'!$C$2:$C$3272,$B346,'Progress Tracker'!$G$2:$G$3272),1)</f>
        <v/>
      </c>
      <c r="G346" s="1" t="n"/>
    </row>
    <row r="347">
      <c r="A347" s="1" t="n"/>
      <c r="B347" s="36" t="inlineStr">
        <is>
          <t>B.10 PyEMMA and Markov state models - 29 videos</t>
        </is>
      </c>
      <c r="C347" s="29">
        <f>COUNTIF('Progress Tracker'!$C$2:$C$3272,$B347)</f>
        <v/>
      </c>
      <c r="D347" s="29">
        <f>COUNTIFS('Progress Tracker'!$C$2:$C$3272,$B347,'Progress Tracker'!$I$2:$I$3272,"Done")</f>
        <v/>
      </c>
      <c r="E347" s="30">
        <f>IFERROR(D347/C347,0)</f>
        <v/>
      </c>
      <c r="F347" s="29">
        <f>ROUND(SUMIF('Progress Tracker'!$C$2:$C$3272,$B347,'Progress Tracker'!$G$2:$G$3272),1)</f>
        <v/>
      </c>
      <c r="G347" s="1" t="n"/>
    </row>
  </sheetData>
  <conditionalFormatting sqref="E17:E22">
    <cfRule type="cellIs" priority="1" operator="greaterThan" dxfId="4">
      <formula>0.999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1"/>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66" customWidth="1" min="3" max="3"/>
    <col width="30" customWidth="1" min="4" max="4"/>
    <col width="10" customWidth="1" min="5" max="5"/>
    <col width="13" customWidth="1" min="6" max="6"/>
    <col width="11" customWidth="1" min="7" max="7"/>
  </cols>
  <sheetData>
    <row r="1">
      <c r="A1" s="2" t="inlineStr">
        <is>
          <t>The core path</t>
        </is>
      </c>
      <c r="B1" s="1" t="n"/>
      <c r="C1" s="1" t="n"/>
      <c r="D1" s="1" t="n"/>
      <c r="E1" s="1" t="n"/>
      <c r="F1" s="1" t="n"/>
      <c r="G1" s="1" t="n"/>
    </row>
    <row r="2">
      <c r="A2" s="3" t="inlineStr">
        <is>
          <t>The flagged essentials from the foundations, the classical and learned prediction families, design, benchmarking and performance. If you do nothing else, do these.</t>
        </is>
      </c>
      <c r="B2" s="1" t="n"/>
      <c r="C2" s="1" t="n"/>
      <c r="D2" s="1" t="n"/>
      <c r="E2" s="1" t="n"/>
      <c r="F2" s="1" t="n"/>
      <c r="G2" s="1" t="n"/>
    </row>
    <row r="3">
      <c r="A3" s="1" t="n"/>
      <c r="B3" s="1" t="n"/>
      <c r="C3" s="1" t="n"/>
      <c r="D3" s="1" t="n"/>
      <c r="E3" s="1" t="n"/>
      <c r="F3" s="1" t="n"/>
      <c r="G3" s="1" t="n"/>
    </row>
    <row r="4" ht="28" customHeight="1">
      <c r="A4" s="7" t="inlineStr">
        <is>
          <t>#</t>
        </is>
      </c>
      <c r="B4" s="7" t="inlineStr">
        <is>
          <t>Section</t>
        </is>
      </c>
      <c r="C4" s="7" t="inlineStr">
        <is>
          <t>Title</t>
        </is>
      </c>
      <c r="D4" s="7" t="inlineStr">
        <is>
          <t>Speaker / host</t>
        </is>
      </c>
      <c r="E4" s="7" t="inlineStr">
        <is>
          <t>Duration</t>
        </is>
      </c>
      <c r="F4" s="7" t="inlineStr">
        <is>
          <t>Status</t>
        </is>
      </c>
      <c r="G4" s="7" t="inlineStr">
        <is>
          <t>Watch</t>
        </is>
      </c>
    </row>
    <row r="5">
      <c r="A5" s="11" t="n">
        <v>1</v>
      </c>
      <c r="B5" s="10" t="inlineStr">
        <is>
          <t>B.2.2 V. Balakrishnan - Physical Applications of Stochastic Processes</t>
        </is>
      </c>
      <c r="C5" s="10" t="inlineStr">
        <is>
          <t>Langevin dynamics (Part 1</t>
        </is>
      </c>
      <c r="D5" s="10" t="inlineStr"/>
      <c r="E5" s="11" t="inlineStr">
        <is>
          <t>57:53</t>
        </is>
      </c>
      <c r="F5" s="11" t="inlineStr">
        <is>
          <t>Not started</t>
        </is>
      </c>
      <c r="G5" s="14" t="inlineStr">
        <is>
          <t>▶ watch</t>
        </is>
      </c>
    </row>
    <row r="6">
      <c r="A6" s="11" t="n">
        <v>2</v>
      </c>
      <c r="B6" s="10" t="inlineStr">
        <is>
          <t>B.2.2 V. Balakrishnan - Physical Applications of Stochastic Processes</t>
        </is>
      </c>
      <c r="C6" s="10" t="inlineStr">
        <is>
          <t>Langevin dynamics (Part 2</t>
        </is>
      </c>
      <c r="D6" s="10" t="inlineStr"/>
      <c r="E6" s="11" t="inlineStr">
        <is>
          <t>51:46</t>
        </is>
      </c>
      <c r="F6" s="11" t="inlineStr">
        <is>
          <t>Not started</t>
        </is>
      </c>
      <c r="G6" s="14" t="inlineStr">
        <is>
          <t>▶ watch</t>
        </is>
      </c>
    </row>
    <row r="7">
      <c r="A7" s="11" t="n">
        <v>3</v>
      </c>
      <c r="B7" s="10" t="inlineStr">
        <is>
          <t>B.2.2 V. Balakrishnan - Physical Applications of Stochastic Processes</t>
        </is>
      </c>
      <c r="C7" s="10" t="inlineStr">
        <is>
          <t>Langevin dynamics (Part 3</t>
        </is>
      </c>
      <c r="D7" s="10" t="inlineStr"/>
      <c r="E7" s="11" t="inlineStr">
        <is>
          <t>58:39</t>
        </is>
      </c>
      <c r="F7" s="11" t="inlineStr">
        <is>
          <t>Not started</t>
        </is>
      </c>
      <c r="G7" s="14" t="inlineStr">
        <is>
          <t>▶ watch</t>
        </is>
      </c>
    </row>
    <row r="8">
      <c r="A8" s="11" t="n">
        <v>4</v>
      </c>
      <c r="B8" s="10" t="inlineStr">
        <is>
          <t>B.2.2 V. Balakrishnan - Physical Applications of Stochastic Processes</t>
        </is>
      </c>
      <c r="C8" s="10" t="inlineStr">
        <is>
          <t>Langevin dynamics (Part 4</t>
        </is>
      </c>
      <c r="D8" s="10" t="inlineStr"/>
      <c r="E8" s="11" t="inlineStr">
        <is>
          <t>57:15</t>
        </is>
      </c>
      <c r="F8" s="11" t="inlineStr">
        <is>
          <t>Not started</t>
        </is>
      </c>
      <c r="G8" s="14" t="inlineStr">
        <is>
          <t>▶ watch</t>
        </is>
      </c>
    </row>
    <row r="9">
      <c r="A9" s="11" t="n">
        <v>5</v>
      </c>
      <c r="B9" s="10" t="inlineStr">
        <is>
          <t>B.2.2 V. Balakrishnan - Physical Applications of Stochastic Processes</t>
        </is>
      </c>
      <c r="C9" s="10" t="inlineStr">
        <is>
          <t>Itô and Fokker-Planck equations for diffusion processes</t>
        </is>
      </c>
      <c r="D9" s="10" t="inlineStr"/>
      <c r="E9" s="11" t="inlineStr">
        <is>
          <t>47:42</t>
        </is>
      </c>
      <c r="F9" s="11" t="inlineStr">
        <is>
          <t>Not started</t>
        </is>
      </c>
      <c r="G9" s="14" t="inlineStr">
        <is>
          <t>▶ watch</t>
        </is>
      </c>
    </row>
    <row r="10">
      <c r="A10" s="11" t="n">
        <v>6</v>
      </c>
      <c r="B10" s="10" t="inlineStr">
        <is>
          <t>B.2.2 V. Balakrishnan - Physical Applications of Stochastic Processes</t>
        </is>
      </c>
      <c r="C10" s="10" t="inlineStr">
        <is>
          <t>First passage time (Part 1</t>
        </is>
      </c>
      <c r="D10" s="10" t="inlineStr"/>
      <c r="E10" s="11" t="inlineStr">
        <is>
          <t>59:50</t>
        </is>
      </c>
      <c r="F10" s="11" t="inlineStr">
        <is>
          <t>Not started</t>
        </is>
      </c>
      <c r="G10" s="14" t="inlineStr">
        <is>
          <t>▶ watch</t>
        </is>
      </c>
    </row>
    <row r="11">
      <c r="A11" s="11" t="n">
        <v>7</v>
      </c>
      <c r="B11" s="10" t="inlineStr">
        <is>
          <t>B.2.2 V. Balakrishnan - Physical Applications of Stochastic Processes</t>
        </is>
      </c>
      <c r="C11" s="10" t="inlineStr">
        <is>
          <t>First passage time (Part 2</t>
        </is>
      </c>
      <c r="D11" s="10" t="inlineStr"/>
      <c r="E11" s="11" t="inlineStr">
        <is>
          <t>1:03:14</t>
        </is>
      </c>
      <c r="F11" s="11" t="inlineStr">
        <is>
          <t>Not started</t>
        </is>
      </c>
      <c r="G11" s="14" t="inlineStr">
        <is>
          <t>▶ watch</t>
        </is>
      </c>
    </row>
    <row r="12">
      <c r="A12" s="11" t="n">
        <v>8</v>
      </c>
      <c r="B12" s="10" t="inlineStr">
        <is>
          <t>B.2.3 V. Balakrishnan - Nonequilibrium Statistical Mechanics</t>
        </is>
      </c>
      <c r="C12" s="10" t="inlineStr">
        <is>
          <t>Linear response theory (Part 1</t>
        </is>
      </c>
      <c r="D12" s="10" t="inlineStr"/>
      <c r="E12" s="11" t="inlineStr">
        <is>
          <t>47:55</t>
        </is>
      </c>
      <c r="F12" s="11" t="inlineStr">
        <is>
          <t>Not started</t>
        </is>
      </c>
      <c r="G12" s="14" t="inlineStr">
        <is>
          <t>▶ watch</t>
        </is>
      </c>
    </row>
    <row r="13">
      <c r="A13" s="11" t="n">
        <v>9</v>
      </c>
      <c r="B13" s="10" t="inlineStr">
        <is>
          <t>B.2.3 V. Balakrishnan - Nonequilibrium Statistical Mechanics</t>
        </is>
      </c>
      <c r="C13" s="10" t="inlineStr">
        <is>
          <t>Fokker-Planck equations (Part 1</t>
        </is>
      </c>
      <c r="D13" s="10" t="inlineStr"/>
      <c r="E13" s="11" t="inlineStr">
        <is>
          <t>50:22</t>
        </is>
      </c>
      <c r="F13" s="11" t="inlineStr">
        <is>
          <t>Not started</t>
        </is>
      </c>
      <c r="G13" s="14" t="inlineStr">
        <is>
          <t>▶ watch</t>
        </is>
      </c>
    </row>
    <row r="14">
      <c r="A14" s="11" t="n">
        <v>10</v>
      </c>
      <c r="B14" s="10" t="inlineStr">
        <is>
          <t>B.2.3 V. Balakrishnan - Nonequilibrium Statistical Mechanics</t>
        </is>
      </c>
      <c r="C14" s="10" t="inlineStr">
        <is>
          <t>The generalized Langevin equation (Part 1</t>
        </is>
      </c>
      <c r="D14" s="10" t="inlineStr"/>
      <c r="E14" s="11" t="inlineStr">
        <is>
          <t>1:00:14</t>
        </is>
      </c>
      <c r="F14" s="11" t="inlineStr">
        <is>
          <t>Not started</t>
        </is>
      </c>
      <c r="G14" s="14" t="inlineStr">
        <is>
          <t>▶ watch</t>
        </is>
      </c>
    </row>
    <row r="15">
      <c r="A15" s="11" t="n">
        <v>11</v>
      </c>
      <c r="B15" s="10" t="inlineStr">
        <is>
          <t>B.2.3 V. Balakrishnan - Nonequilibrium Statistical Mechanics</t>
        </is>
      </c>
      <c r="C15" s="10" t="inlineStr">
        <is>
          <t>The Wiener process (standard Brownian motion</t>
        </is>
      </c>
      <c r="D15" s="10" t="inlineStr"/>
      <c r="E15" s="11" t="inlineStr">
        <is>
          <t>1:03:10</t>
        </is>
      </c>
      <c r="F15" s="11" t="inlineStr">
        <is>
          <t>Not started</t>
        </is>
      </c>
      <c r="G15" s="14" t="inlineStr">
        <is>
          <t>▶ watch</t>
        </is>
      </c>
    </row>
    <row r="16">
      <c r="A16" s="11" t="n">
        <v>12</v>
      </c>
      <c r="B16" s="10" t="inlineStr">
        <is>
          <t>B.2.5 Statistical honesty: the Zuckerman thread</t>
        </is>
      </c>
      <c r="C16" s="10" t="inlineStr">
        <is>
          <t>Introduction to Weighted Ensemble Simulation</t>
        </is>
      </c>
      <c r="D16" s="10" t="inlineStr">
        <is>
          <t>video, 31 min</t>
        </is>
      </c>
      <c r="E16" s="11" t="inlineStr">
        <is>
          <t>31:14</t>
        </is>
      </c>
      <c r="F16" s="11" t="inlineStr">
        <is>
          <t>Not started</t>
        </is>
      </c>
      <c r="G16" s="14" t="inlineStr">
        <is>
          <t>▶ watch</t>
        </is>
      </c>
    </row>
    <row r="17">
      <c r="A17" s="11" t="n">
        <v>13</v>
      </c>
      <c r="B17" s="10" t="inlineStr">
        <is>
          <t>B.2.5 Statistical honesty: the Zuckerman thread</t>
        </is>
      </c>
      <c r="C17" s="10" t="inlineStr">
        <is>
          <t>Recent Advances in Weighted Ensemble Simulation</t>
        </is>
      </c>
      <c r="D17" s="10" t="inlineStr">
        <is>
          <t>video, 36 min</t>
        </is>
      </c>
      <c r="E17" s="11" t="inlineStr">
        <is>
          <t>35:59</t>
        </is>
      </c>
      <c r="F17" s="11" t="inlineStr">
        <is>
          <t>Not started</t>
        </is>
      </c>
      <c r="G17" s="14" t="inlineStr">
        <is>
          <t>▶ watch</t>
        </is>
      </c>
    </row>
    <row r="18">
      <c r="A18" s="11" t="n">
        <v>14</v>
      </c>
      <c r="B18" s="10" t="inlineStr">
        <is>
          <t>B.2.5 Statistical honesty: the Zuckerman thread</t>
        </is>
      </c>
      <c r="C18" s="10" t="inlineStr">
        <is>
          <t>Simple trajectory physics for path sampling and improving Markov models</t>
        </is>
      </c>
      <c r="D18" s="10" t="inlineStr">
        <is>
          <t>video, 33 min</t>
        </is>
      </c>
      <c r="E18" s="11" t="inlineStr">
        <is>
          <t>30:27</t>
        </is>
      </c>
      <c r="F18" s="11" t="inlineStr">
        <is>
          <t>Not started</t>
        </is>
      </c>
      <c r="G18" s="14" t="inlineStr">
        <is>
          <t>▶ watch</t>
        </is>
      </c>
    </row>
    <row r="19">
      <c r="A19" s="11" t="n">
        <v>15</v>
      </c>
      <c r="B19" s="10" t="inlineStr">
        <is>
          <t>B.3.8 Large-scale data, search, and complexity</t>
        </is>
      </c>
      <c r="C19" s="10" t="inlineStr">
        <is>
          <t>Quincey Koziol (HDF Group / LBNL</t>
        </is>
      </c>
      <c r="D19" s="10" t="inlineStr">
        <is>
          <t>Introduction to HDF5</t>
        </is>
      </c>
      <c r="E19" s="11" t="inlineStr">
        <is>
          <t>1:17:10</t>
        </is>
      </c>
      <c r="F19" s="11" t="inlineStr">
        <is>
          <t>Not started</t>
        </is>
      </c>
      <c r="G19" s="14" t="inlineStr">
        <is>
          <t>▶ watch</t>
        </is>
      </c>
    </row>
    <row r="20">
      <c r="A20" s="11" t="n">
        <v>16</v>
      </c>
      <c r="B20" s="10" t="inlineStr">
        <is>
          <t>B.3.8 Large-scale data, search, and complexity</t>
        </is>
      </c>
      <c r="C20" s="10" t="inlineStr">
        <is>
          <t>Quincey Koziol</t>
        </is>
      </c>
      <c r="D20" s="10" t="inlineStr">
        <is>
          <t>Parallel HDF5</t>
        </is>
      </c>
      <c r="E20" s="11" t="inlineStr">
        <is>
          <t>40:01</t>
        </is>
      </c>
      <c r="F20" s="11" t="inlineStr">
        <is>
          <t>Not started</t>
        </is>
      </c>
      <c r="G20" s="14" t="inlineStr">
        <is>
          <t>▶ watch</t>
        </is>
      </c>
    </row>
    <row r="21">
      <c r="A21" s="11" t="n">
        <v>17</v>
      </c>
      <c r="B21" s="10" t="inlineStr">
        <is>
          <t>B.3.8 Large-scale data, search, and complexity</t>
        </is>
      </c>
      <c r="C21" s="10" t="inlineStr">
        <is>
          <t>Quincey Koziol</t>
        </is>
      </c>
      <c r="D21" s="10" t="inlineStr">
        <is>
          <t>Scalable HDF5</t>
        </is>
      </c>
      <c r="E21" s="11" t="inlineStr">
        <is>
          <t>1:13:42</t>
        </is>
      </c>
      <c r="F21" s="11" t="inlineStr">
        <is>
          <t>Not started</t>
        </is>
      </c>
      <c r="G21" s="14" t="inlineStr">
        <is>
          <t>▶ watch</t>
        </is>
      </c>
    </row>
    <row r="22">
      <c r="A22" s="11" t="n">
        <v>18</v>
      </c>
      <c r="B22" s="10" t="inlineStr">
        <is>
          <t>B.3.8 Large-scale data, search, and complexity</t>
        </is>
      </c>
      <c r="C22" s="10" t="inlineStr">
        <is>
          <t>Billion-scale Approximate Nearest Neighbor Search</t>
        </is>
      </c>
      <c r="D22" s="10" t="inlineStr">
        <is>
          <t>Yusuke Matsui (CVPR 2020 tutorial</t>
        </is>
      </c>
      <c r="E22" s="11" t="inlineStr">
        <is>
          <t>47:36</t>
        </is>
      </c>
      <c r="F22" s="11" t="inlineStr">
        <is>
          <t>Not started</t>
        </is>
      </c>
      <c r="G22" s="14" t="inlineStr">
        <is>
          <t>▶ watch</t>
        </is>
      </c>
    </row>
    <row r="23">
      <c r="A23" s="11" t="n">
        <v>19</v>
      </c>
      <c r="B23" s="10" t="inlineStr">
        <is>
          <t>B.4.3 Protein structure and folding</t>
        </is>
      </c>
      <c r="C23" s="10" t="inlineStr">
        <is>
          <t>IPD lecture 1: Intro + review of protein structure (41:06</t>
        </is>
      </c>
      <c r="D23" s="10" t="inlineStr"/>
      <c r="E23" s="11" t="inlineStr">
        <is>
          <t>41:06</t>
        </is>
      </c>
      <c r="F23" s="11" t="inlineStr">
        <is>
          <t>Not started</t>
        </is>
      </c>
      <c r="G23" s="14" t="inlineStr">
        <is>
          <t>▶ watch</t>
        </is>
      </c>
    </row>
    <row r="24">
      <c r="A24" s="11" t="n">
        <v>20</v>
      </c>
      <c r="B24" s="10" t="inlineStr">
        <is>
          <t>B.4.3 Protein structure and folding</t>
        </is>
      </c>
      <c r="C24" s="10" t="inlineStr">
        <is>
          <t>IPD lecture 2: Protein Geometry (1:09:31</t>
        </is>
      </c>
      <c r="D24" s="10" t="inlineStr"/>
      <c r="E24" s="11" t="inlineStr">
        <is>
          <t>1:09:31</t>
        </is>
      </c>
      <c r="F24" s="11" t="inlineStr">
        <is>
          <t>Not started</t>
        </is>
      </c>
      <c r="G24" s="14" t="inlineStr">
        <is>
          <t>▶ watch</t>
        </is>
      </c>
    </row>
    <row r="25">
      <c r="A25" s="11" t="n">
        <v>21</v>
      </c>
      <c r="B25" s="10" t="inlineStr">
        <is>
          <t>B.1 Foundations - the integrator, the thermostat, the box</t>
        </is>
      </c>
      <c r="C25" s="10" t="inlineStr">
        <is>
          <t>Rosetta: Refining structures with minimization and Monte Carlo</t>
        </is>
      </c>
      <c r="D25" s="10" t="inlineStr">
        <is>
          <t>RosettaCommons</t>
        </is>
      </c>
      <c r="E25" s="11" t="inlineStr">
        <is>
          <t>39:13</t>
        </is>
      </c>
      <c r="F25" s="11" t="inlineStr">
        <is>
          <t>Not started</t>
        </is>
      </c>
      <c r="G25" s="14" t="inlineStr">
        <is>
          <t>▶ watch</t>
        </is>
      </c>
    </row>
    <row r="26">
      <c r="A26" s="11" t="n">
        <v>22</v>
      </c>
      <c r="B26" s="10" t="inlineStr">
        <is>
          <t>B.2 Anton and the long-timescale program</t>
        </is>
      </c>
      <c r="C26" s="10" t="inlineStr">
        <is>
          <t>Large-scale conformational transition in a membrane transporter</t>
        </is>
      </c>
      <c r="D26" s="10" t="inlineStr">
        <is>
          <t>Trebesch / Fakharzadeh, Tajkhorshid lab (Broad MIA</t>
        </is>
      </c>
      <c r="E26" s="11" t="inlineStr">
        <is>
          <t>1:34:25</t>
        </is>
      </c>
      <c r="F26" s="11" t="inlineStr">
        <is>
          <t>Not started</t>
        </is>
      </c>
      <c r="G26" s="14" t="inlineStr">
        <is>
          <t>▶ watch</t>
        </is>
      </c>
    </row>
    <row r="27">
      <c r="A27" s="11" t="n">
        <v>23</v>
      </c>
      <c r="B27" s="10" t="inlineStr">
        <is>
          <t>B.3 Force fields in practice - and the parts that are wrong</t>
        </is>
      </c>
      <c r="C27" s="10" t="inlineStr">
        <is>
          <t>Benchmark and Critical Evaluation for ML Force Fields</t>
        </is>
      </c>
      <c r="D27" s="10" t="inlineStr">
        <is>
          <t>Xiang Fu (Valence</t>
        </is>
      </c>
      <c r="E27" s="11" t="inlineStr">
        <is>
          <t>1:00:38</t>
        </is>
      </c>
      <c r="F27" s="11" t="inlineStr">
        <is>
          <t>Not started</t>
        </is>
      </c>
      <c r="G27" s="14" t="inlineStr">
        <is>
          <t>▶ watch</t>
        </is>
      </c>
    </row>
    <row r="28">
      <c r="A28" s="11" t="n">
        <v>24</v>
      </c>
      <c r="B28" s="10" t="inlineStr">
        <is>
          <t>B.3 Force fields in practice - and the parts that are wrong</t>
        </is>
      </c>
      <c r="C28" s="10" t="inlineStr">
        <is>
          <t>Improving Speed and Accuracy of NN Interatomic Potentials</t>
        </is>
      </c>
      <c r="D28" s="10" t="inlineStr">
        <is>
          <t>Valence</t>
        </is>
      </c>
      <c r="E28" s="11" t="inlineStr">
        <is>
          <t>54:24</t>
        </is>
      </c>
      <c r="F28" s="11" t="inlineStr">
        <is>
          <t>Not started</t>
        </is>
      </c>
      <c r="G28" s="14" t="inlineStr">
        <is>
          <t>▶ watch</t>
        </is>
      </c>
    </row>
    <row r="29">
      <c r="A29" s="11" t="n">
        <v>25</v>
      </c>
      <c r="B29" s="10" t="inlineStr">
        <is>
          <t>B.3 Force fields in practice - and the parts that are wrong</t>
        </is>
      </c>
      <c r="C29" s="10" t="inlineStr">
        <is>
          <t>Allegro: Local Equivariant Representations for Large-Scale Dynamics</t>
        </is>
      </c>
      <c r="D29" s="10" t="inlineStr">
        <is>
          <t>Musaelian (Harvard, Valence</t>
        </is>
      </c>
      <c r="E29" s="11" t="inlineStr">
        <is>
          <t>1:09:17</t>
        </is>
      </c>
      <c r="F29" s="11" t="inlineStr">
        <is>
          <t>Not started</t>
        </is>
      </c>
      <c r="G29" s="14" t="inlineStr">
        <is>
          <t>▶ watch</t>
        </is>
      </c>
    </row>
    <row r="30">
      <c r="A30" s="11" t="n">
        <v>26</v>
      </c>
      <c r="B30" s="10" t="inlineStr">
        <is>
          <t>B.3 Force fields in practice - and the parts that are wrong</t>
        </is>
      </c>
      <c r="C30" s="10" t="inlineStr">
        <is>
          <t>Learning QM Using Embedding, Symmetric Polynomials and Composition</t>
        </is>
      </c>
      <c r="D30" s="10" t="inlineStr">
        <is>
          <t>Gábor Csányi (Valence</t>
        </is>
      </c>
      <c r="E30" s="11" t="inlineStr">
        <is>
          <t>38:34</t>
        </is>
      </c>
      <c r="F30" s="11" t="inlineStr">
        <is>
          <t>Not started</t>
        </is>
      </c>
      <c r="G30" s="14" t="inlineStr">
        <is>
          <t>▶ watch</t>
        </is>
      </c>
    </row>
    <row r="31">
      <c r="A31" s="11" t="n">
        <v>27</v>
      </c>
      <c r="B31" s="10" t="inlineStr">
        <is>
          <t>B.3 Force fields in practice - and the parts that are wrong</t>
        </is>
      </c>
      <c r="C31" s="10" t="inlineStr">
        <is>
          <t>Learning ML Interatomic Potentials</t>
        </is>
      </c>
      <c r="D31" s="10" t="inlineStr">
        <is>
          <t>De Fabritiis (ML4DD</t>
        </is>
      </c>
      <c r="E31" s="11" t="inlineStr">
        <is>
          <t>51:39</t>
        </is>
      </c>
      <c r="F31" s="11" t="inlineStr">
        <is>
          <t>Not started</t>
        </is>
      </c>
      <c r="G31" s="14" t="inlineStr">
        <is>
          <t>▶ watch</t>
        </is>
      </c>
    </row>
    <row r="32">
      <c r="A32" s="11" t="n">
        <v>28</v>
      </c>
      <c r="B32" s="10" t="inlineStr">
        <is>
          <t>B.3 Force fields in practice - and the parts that are wrong</t>
        </is>
      </c>
      <c r="C32" s="10" t="inlineStr">
        <is>
          <t>Orb-v3: atomistic simulation at scale</t>
        </is>
      </c>
      <c r="D32" s="10" t="inlineStr">
        <is>
          <t>Duignan &amp; Vandenhaute (Valence</t>
        </is>
      </c>
      <c r="E32" s="11" t="inlineStr">
        <is>
          <t>1:13:35</t>
        </is>
      </c>
      <c r="F32" s="11" t="inlineStr">
        <is>
          <t>Not started</t>
        </is>
      </c>
      <c r="G32" s="14" t="inlineStr">
        <is>
          <t>▶ watch</t>
        </is>
      </c>
    </row>
    <row r="33">
      <c r="A33" s="11" t="n">
        <v>29</v>
      </c>
      <c r="B33" s="10" t="inlineStr">
        <is>
          <t>B.3 Force fields in practice - and the parts that are wrong</t>
        </is>
      </c>
      <c r="C33" s="10" t="inlineStr">
        <is>
          <t>Transformers Discover Molecular Structure Without Graph Priors</t>
        </is>
      </c>
      <c r="D33" s="10" t="inlineStr">
        <is>
          <t>Kreiman (Berkeley, Valence</t>
        </is>
      </c>
      <c r="E33" s="11" t="inlineStr">
        <is>
          <t>1:04:09</t>
        </is>
      </c>
      <c r="F33" s="11" t="inlineStr">
        <is>
          <t>Not started</t>
        </is>
      </c>
      <c r="G33" s="14" t="inlineStr">
        <is>
          <t>▶ watch</t>
        </is>
      </c>
    </row>
    <row r="34">
      <c r="A34" s="11" t="n">
        <v>30</v>
      </c>
      <c r="B34" s="10" t="inlineStr">
        <is>
          <t>B.3 Force fields in practice - and the parts that are wrong</t>
        </is>
      </c>
      <c r="C34" s="10" t="inlineStr">
        <is>
          <t>Stability-Aware Boltzmann Estimator (StABlE) Training</t>
        </is>
      </c>
      <c r="D34" s="10" t="inlineStr">
        <is>
          <t>Sanjeev Raja (Valence</t>
        </is>
      </c>
      <c r="E34" s="11" t="inlineStr">
        <is>
          <t>1:22:10</t>
        </is>
      </c>
      <c r="F34" s="11" t="inlineStr">
        <is>
          <t>Not started</t>
        </is>
      </c>
      <c r="G34" s="14" t="inlineStr">
        <is>
          <t>▶ watch</t>
        </is>
      </c>
    </row>
    <row r="35">
      <c r="A35" s="11" t="n">
        <v>31</v>
      </c>
      <c r="B35" s="10" t="inlineStr">
        <is>
          <t>B.3 Force fields in practice - and the parts that are wrong</t>
        </is>
      </c>
      <c r="C35" s="10" t="inlineStr">
        <is>
          <t>AquaGen: generative models at MD precision on thousands of atoms</t>
        </is>
      </c>
      <c r="D35" s="10" t="inlineStr">
        <is>
          <t>Valence</t>
        </is>
      </c>
      <c r="E35" s="11" t="inlineStr">
        <is>
          <t>1:16:27</t>
        </is>
      </c>
      <c r="F35" s="11" t="inlineStr">
        <is>
          <t>Not started</t>
        </is>
      </c>
      <c r="G35" s="14" t="inlineStr">
        <is>
          <t>▶ watch</t>
        </is>
      </c>
    </row>
    <row r="36">
      <c r="A36" s="11" t="n">
        <v>32</v>
      </c>
      <c r="B36" s="10" t="inlineStr">
        <is>
          <t>B.4 Running MD correctly - the practitioner layer</t>
        </is>
      </c>
      <c r="C36" s="10" t="inlineStr">
        <is>
          <t>BioExcel Building Blocks: interoperable simulation workflows</t>
        </is>
      </c>
      <c r="D36" s="10" t="inlineStr">
        <is>
          <t>RosettaCommons Workflows</t>
        </is>
      </c>
      <c r="E36" s="11" t="inlineStr">
        <is>
          <t>36:36</t>
        </is>
      </c>
      <c r="F36" s="11" t="inlineStr">
        <is>
          <t>Not started</t>
        </is>
      </c>
      <c r="G36" s="14" t="inlineStr">
        <is>
          <t>▶ watch</t>
        </is>
      </c>
    </row>
    <row r="37">
      <c r="A37" s="11" t="n">
        <v>33</v>
      </c>
      <c r="B37" s="10" t="inlineStr">
        <is>
          <t>E.4 ΔΔG of mutation and protein stability</t>
        </is>
      </c>
      <c r="C37" s="10" t="inlineStr">
        <is>
          <t>ThermoMPNN tutorial (RosettaCommons, 42:39</t>
        </is>
      </c>
      <c r="D37" s="10" t="inlineStr">
        <is>
          <t>ThermoMPNN</t>
        </is>
      </c>
      <c r="E37" s="11" t="inlineStr">
        <is>
          <t>42:39</t>
        </is>
      </c>
      <c r="F37" s="11" t="inlineStr">
        <is>
          <t>Not started</t>
        </is>
      </c>
      <c r="G37" s="14" t="inlineStr">
        <is>
          <t>▶ watch</t>
        </is>
      </c>
    </row>
    <row r="38">
      <c r="A38" s="11" t="n">
        <v>34</v>
      </c>
      <c r="B38" s="10" t="inlineStr">
        <is>
          <t>E.4 ΔΔG of mutation and protein stability</t>
        </is>
      </c>
      <c r="C38" s="10" t="inlineStr">
        <is>
          <t>Mega-scale stability (Tsuboyama, ML4PE, 50:57</t>
        </is>
      </c>
      <c r="D38" s="10" t="inlineStr">
        <is>
          <t>Stability at scale</t>
        </is>
      </c>
      <c r="E38" s="11" t="inlineStr">
        <is>
          <t>50:57</t>
        </is>
      </c>
      <c r="F38" s="11" t="inlineStr">
        <is>
          <t>Not started</t>
        </is>
      </c>
      <c r="G38" s="14" t="inlineStr">
        <is>
          <t>▶ watch</t>
        </is>
      </c>
    </row>
    <row r="39">
      <c r="A39" s="11" t="n">
        <v>35</v>
      </c>
      <c r="B39" s="10" t="inlineStr">
        <is>
          <t>E.4 ΔΔG of mutation and protein stability</t>
        </is>
      </c>
      <c r="C39" s="10" t="inlineStr">
        <is>
          <t>Antibody ΔΔG data requirements (Hummer, BPDMC, 1:14:43</t>
        </is>
      </c>
      <c r="D39" s="10" t="inlineStr">
        <is>
          <t>Alissa Hummer (Oxford</t>
        </is>
      </c>
      <c r="E39" s="11" t="inlineStr">
        <is>
          <t>1:14:43</t>
        </is>
      </c>
      <c r="F39" s="11" t="inlineStr">
        <is>
          <t>Not started</t>
        </is>
      </c>
      <c r="G39" s="14" t="inlineStr">
        <is>
          <t>▶ watch</t>
        </is>
      </c>
    </row>
    <row r="40">
      <c r="A40" s="11" t="n">
        <v>36</v>
      </c>
      <c r="B40" s="10" t="inlineStr">
        <is>
          <t>E.4.1 Architecture fundamentals</t>
        </is>
      </c>
      <c r="C40" s="10" t="inlineStr">
        <is>
          <t>GPU Programming Fundamentals + ThunderKittens</t>
        </is>
      </c>
      <c r="D40" s="10" t="inlineStr">
        <is>
          <t>Brandon (Anthropic) &amp; Arora (Stanford</t>
        </is>
      </c>
      <c r="E40" s="11" t="inlineStr">
        <is>
          <t>2:39:22</t>
        </is>
      </c>
      <c r="F40" s="11" t="inlineStr">
        <is>
          <t>Not started</t>
        </is>
      </c>
      <c r="G40" s="14" t="inlineStr">
        <is>
          <t>▶ watch</t>
        </is>
      </c>
    </row>
    <row r="41">
      <c r="A41" s="11" t="n">
        <v>37</v>
      </c>
      <c r="B41" s="10" t="inlineStr">
        <is>
          <t>E.4.1 Architecture fundamentals</t>
        </is>
      </c>
      <c r="C41" s="10" t="inlineStr">
        <is>
          <t>Jack Choquette (H100 chief architect</t>
        </is>
      </c>
      <c r="D41" s="10" t="inlineStr">
        <is>
          <t>Nvidia's H100 GPU (Stanford Seminar</t>
        </is>
      </c>
      <c r="E41" s="11" t="inlineStr">
        <is>
          <t>50:05</t>
        </is>
      </c>
      <c r="F41" s="11" t="inlineStr">
        <is>
          <t>Not started</t>
        </is>
      </c>
      <c r="G41" s="14" t="inlineStr">
        <is>
          <t>▶ watch</t>
        </is>
      </c>
    </row>
    <row r="42">
      <c r="A42" s="11" t="n">
        <v>38</v>
      </c>
      <c r="B42" s="10" t="inlineStr">
        <is>
          <t>E.4.1 Architecture fundamentals</t>
        </is>
      </c>
      <c r="C42" s="10" t="inlineStr">
        <is>
          <t>Computer Architecture Lecture 26: GPU Programming</t>
        </is>
      </c>
      <c r="D42" s="10" t="inlineStr">
        <is>
          <t>Onur Mutlu (ETH</t>
        </is>
      </c>
      <c r="E42" s="11" t="inlineStr">
        <is>
          <t>2:32:38</t>
        </is>
      </c>
      <c r="F42" s="11" t="inlineStr">
        <is>
          <t>Not started</t>
        </is>
      </c>
      <c r="G42" s="14" t="inlineStr">
        <is>
          <t>▶ watch</t>
        </is>
      </c>
    </row>
    <row r="43">
      <c r="A43" s="11" t="n">
        <v>39</v>
      </c>
      <c r="B43" s="10" t="inlineStr">
        <is>
          <t>E.4.1 Architecture fundamentals</t>
        </is>
      </c>
      <c r="C43" s="10" t="inlineStr">
        <is>
          <t>HetSys Lecture 5: GPU Performance Considerations</t>
        </is>
      </c>
      <c r="D43" s="10" t="inlineStr">
        <is>
          <t>ETH Zürich</t>
        </is>
      </c>
      <c r="E43" s="11" t="inlineStr">
        <is>
          <t>1:23:30</t>
        </is>
      </c>
      <c r="F43" s="11" t="inlineStr">
        <is>
          <t>Not started</t>
        </is>
      </c>
      <c r="G43" s="14" t="inlineStr">
        <is>
          <t>▶ watch</t>
        </is>
      </c>
    </row>
    <row r="44">
      <c r="A44" s="11" t="n">
        <v>40</v>
      </c>
      <c r="B44" s="10" t="inlineStr">
        <is>
          <t>E.4.1 Architecture fundamentals</t>
        </is>
      </c>
      <c r="C44" s="10" t="inlineStr">
        <is>
          <t>Introduction to SASS and GPU Microarchitecture</t>
        </is>
      </c>
      <c r="D44" s="10" t="inlineStr">
        <is>
          <t>Arun Demeure</t>
        </is>
      </c>
      <c r="E44" s="11" t="inlineStr">
        <is>
          <t>1:50:40</t>
        </is>
      </c>
      <c r="F44" s="11" t="inlineStr">
        <is>
          <t>Not started</t>
        </is>
      </c>
      <c r="G44" s="14" t="inlineStr">
        <is>
          <t>▶ watch</t>
        </is>
      </c>
    </row>
    <row r="45">
      <c r="A45" s="11" t="n">
        <v>41</v>
      </c>
      <c r="B45" s="10" t="inlineStr">
        <is>
          <t>E.4.1 Architecture fundamentals</t>
        </is>
      </c>
      <c r="C45" s="10" t="inlineStr">
        <is>
          <t>The One-Decade Task: Putting std::atomic in CUDA</t>
        </is>
      </c>
      <c r="D45" s="10" t="inlineStr">
        <is>
          <t>Olivier Giroux (NVIDIA memory-model architect</t>
        </is>
      </c>
      <c r="E45" s="11" t="inlineStr">
        <is>
          <t>1:05:38</t>
        </is>
      </c>
      <c r="F45" s="11" t="inlineStr">
        <is>
          <t>Not started</t>
        </is>
      </c>
      <c r="G45" s="14" t="inlineStr">
        <is>
          <t>▶ watch</t>
        </is>
      </c>
    </row>
    <row r="46">
      <c r="A46" s="11" t="n">
        <v>42</v>
      </c>
      <c r="B46" s="10" t="inlineStr">
        <is>
          <t>E.4.1 Architecture fundamentals</t>
        </is>
      </c>
      <c r="C46" s="10" t="inlineStr">
        <is>
          <t>Hardware for Deep Learning (Hot Chips keynote</t>
        </is>
      </c>
      <c r="D46" s="10" t="inlineStr">
        <is>
          <t>Bill Dally (NVIDIA Chief Scientist</t>
        </is>
      </c>
      <c r="E46" s="11" t="inlineStr">
        <is>
          <t>1:05:28</t>
        </is>
      </c>
      <c r="F46" s="11" t="inlineStr">
        <is>
          <t>Not started</t>
        </is>
      </c>
      <c r="G46" s="14" t="inlineStr">
        <is>
          <t>▶ watch</t>
        </is>
      </c>
    </row>
    <row r="47">
      <c r="A47" s="11" t="n">
        <v>43</v>
      </c>
      <c r="B47" s="10" t="inlineStr">
        <is>
          <t>E.4.1 Architecture fundamentals</t>
        </is>
      </c>
      <c r="C47" s="10" t="inlineStr">
        <is>
          <t>What is the Hardware Lottery? (MLSys #15</t>
        </is>
      </c>
      <c r="D47" s="10" t="inlineStr">
        <is>
          <t>Sara Hooker (Google Brain</t>
        </is>
      </c>
      <c r="E47" s="11" t="inlineStr">
        <is>
          <t>1:00:24</t>
        </is>
      </c>
      <c r="F47" s="11" t="inlineStr">
        <is>
          <t>Not started</t>
        </is>
      </c>
      <c r="G47" s="14" t="inlineStr">
        <is>
          <t>▶ watch</t>
        </is>
      </c>
    </row>
    <row r="48">
      <c r="A48" s="11" t="n">
        <v>44</v>
      </c>
      <c r="B48" s="10" t="inlineStr">
        <is>
          <t>E.4.1 Architecture fundamentals</t>
        </is>
      </c>
      <c r="C48" s="10" t="inlineStr">
        <is>
          <t>A Performance Engineer's Guide to NVIDIA Blackwell GPUs</t>
        </is>
      </c>
      <c r="D48" s="10" t="inlineStr">
        <is>
          <t>Chris Sullivan (NVIDIA</t>
        </is>
      </c>
      <c r="E48" s="11" t="inlineStr">
        <is>
          <t>35:17</t>
        </is>
      </c>
      <c r="F48" s="11" t="inlineStr">
        <is>
          <t>Not started</t>
        </is>
      </c>
      <c r="G48" s="14" t="inlineStr">
        <is>
          <t>▶ watch</t>
        </is>
      </c>
    </row>
    <row r="49">
      <c r="A49" s="11" t="n">
        <v>45</v>
      </c>
      <c r="B49" s="10" t="inlineStr">
        <is>
          <t>E.4.1 Architecture fundamentals</t>
        </is>
      </c>
      <c r="C49" s="10" t="inlineStr">
        <is>
          <t>GPU optimization workshop (OpenAI, NVIDIA, PyTorch</t>
        </is>
      </c>
      <c r="D49" s="10" t="inlineStr">
        <is>
          <t>Saroufim, Chetlur, Tillet</t>
        </is>
      </c>
      <c r="E49" s="11" t="inlineStr">
        <is>
          <t>2:33:53</t>
        </is>
      </c>
      <c r="F49" s="11" t="inlineStr">
        <is>
          <t>Not started</t>
        </is>
      </c>
      <c r="G49" s="14" t="inlineStr">
        <is>
          <t>▶ watch</t>
        </is>
      </c>
    </row>
    <row r="50">
      <c r="A50" s="11" t="n">
        <v>46</v>
      </c>
      <c r="B50" s="10" t="inlineStr">
        <is>
          <t>E.4.2 Programming Massively Parallel Processors - the complete course</t>
        </is>
      </c>
      <c r="C50" s="10" t="inlineStr">
        <is>
          <t>GPU Architecture</t>
        </is>
      </c>
      <c r="D50" s="10" t="inlineStr"/>
      <c r="E50" s="11" t="inlineStr">
        <is>
          <t>1:23:57</t>
        </is>
      </c>
      <c r="F50" s="11" t="inlineStr">
        <is>
          <t>Not started</t>
        </is>
      </c>
      <c r="G50" s="14" t="inlineStr">
        <is>
          <t>▶ watch</t>
        </is>
      </c>
    </row>
    <row r="51">
      <c r="A51" s="11" t="n">
        <v>47</v>
      </c>
      <c r="B51" s="10" t="inlineStr">
        <is>
          <t>E.4.2 Programming Massively Parallel Processors - the complete course</t>
        </is>
      </c>
      <c r="C51" s="10" t="inlineStr">
        <is>
          <t>Memory and Tiling</t>
        </is>
      </c>
      <c r="D51" s="10" t="inlineStr"/>
      <c r="E51" s="11" t="inlineStr">
        <is>
          <t>1:24:26</t>
        </is>
      </c>
      <c r="F51" s="11" t="inlineStr">
        <is>
          <t>Not started</t>
        </is>
      </c>
      <c r="G51" s="14" t="inlineStr">
        <is>
          <t>▶ watch</t>
        </is>
      </c>
    </row>
    <row r="52">
      <c r="A52" s="11" t="n">
        <v>48</v>
      </c>
      <c r="B52" s="10" t="inlineStr">
        <is>
          <t>E.4.2 Programming Massively Parallel Processors - the complete course</t>
        </is>
      </c>
      <c r="C52" s="10" t="inlineStr">
        <is>
          <t>Performance Considerations</t>
        </is>
      </c>
      <c r="D52" s="10" t="inlineStr"/>
      <c r="E52" s="11" t="inlineStr">
        <is>
          <t>1:08:05</t>
        </is>
      </c>
      <c r="F52" s="11" t="inlineStr">
        <is>
          <t>Not started</t>
        </is>
      </c>
      <c r="G52" s="14" t="inlineStr">
        <is>
          <t>▶ watch</t>
        </is>
      </c>
    </row>
    <row r="53">
      <c r="A53" s="11" t="n">
        <v>49</v>
      </c>
      <c r="B53" s="10" t="inlineStr">
        <is>
          <t>E.4.2 Programming Massively Parallel Processors - the complete course</t>
        </is>
      </c>
      <c r="C53" s="10" t="inlineStr">
        <is>
          <t>Profiling</t>
        </is>
      </c>
      <c r="D53" s="10" t="inlineStr"/>
      <c r="E53" s="11" t="inlineStr">
        <is>
          <t>1:00:59</t>
        </is>
      </c>
      <c r="F53" s="11" t="inlineStr">
        <is>
          <t>Not started</t>
        </is>
      </c>
      <c r="G53" s="14" t="inlineStr">
        <is>
          <t>▶ watch</t>
        </is>
      </c>
    </row>
    <row r="54">
      <c r="A54" s="11" t="n">
        <v>50</v>
      </c>
      <c r="B54" s="10" t="inlineStr">
        <is>
          <t>E.4.2 Programming Massively Parallel Processors - the complete course</t>
        </is>
      </c>
      <c r="C54" s="10" t="inlineStr">
        <is>
          <t>Intra-Warp Synchronization</t>
        </is>
      </c>
      <c r="D54" s="10" t="inlineStr"/>
      <c r="E54" s="11" t="inlineStr">
        <is>
          <t>1:04:26</t>
        </is>
      </c>
      <c r="F54" s="11" t="inlineStr">
        <is>
          <t>Not started</t>
        </is>
      </c>
      <c r="G54" s="14" t="inlineStr">
        <is>
          <t>▶ watch</t>
        </is>
      </c>
    </row>
    <row r="55">
      <c r="A55" s="11" t="n">
        <v>51</v>
      </c>
      <c r="B55" s="10" t="inlineStr">
        <is>
          <t>E.4.2 Programming Massively Parallel Processors - the complete course</t>
        </is>
      </c>
      <c r="C55" s="10" t="inlineStr">
        <is>
          <t>Advanced Optimizations for Matrix Multiplication (2026</t>
        </is>
      </c>
      <c r="D55" s="10" t="inlineStr"/>
      <c r="E55" s="11" t="inlineStr">
        <is>
          <t>1:23:11</t>
        </is>
      </c>
      <c r="F55" s="11" t="inlineStr">
        <is>
          <t>Not started</t>
        </is>
      </c>
      <c r="G55" s="14" t="inlineStr">
        <is>
          <t>▶ watch</t>
        </is>
      </c>
    </row>
    <row r="56">
      <c r="A56" s="11" t="n">
        <v>52</v>
      </c>
      <c r="B56" s="10" t="inlineStr">
        <is>
          <t>E.4.2 Programming Massively Parallel Processors - the complete course</t>
        </is>
      </c>
      <c r="C56" s="10" t="inlineStr">
        <is>
          <t>L3 Thread Coarsening and Register Tiling</t>
        </is>
      </c>
      <c r="D56" s="10" t="inlineStr"/>
      <c r="E56" s="11" t="inlineStr"/>
      <c r="F56" s="11" t="inlineStr">
        <is>
          <t>Not started</t>
        </is>
      </c>
      <c r="G56" s="14" t="inlineStr">
        <is>
          <t>▶ watch</t>
        </is>
      </c>
    </row>
    <row r="57">
      <c r="A57" s="11" t="n">
        <v>53</v>
      </c>
      <c r="B57" s="10" t="inlineStr">
        <is>
          <t>E.4.2 Programming Massively Parallel Processors - the complete course</t>
        </is>
      </c>
      <c r="C57" s="10" t="inlineStr">
        <is>
          <t>L3 Thread Coarsening and Register Tiling</t>
        </is>
      </c>
      <c r="D57" s="10" t="inlineStr"/>
      <c r="E57" s="11" t="inlineStr"/>
      <c r="F57" s="11" t="inlineStr">
        <is>
          <t>Not started</t>
        </is>
      </c>
      <c r="G57" s="14" t="inlineStr">
        <is>
          <t>▶ watch</t>
        </is>
      </c>
    </row>
    <row r="58">
      <c r="A58" s="11" t="n">
        <v>54</v>
      </c>
      <c r="B58" s="10" t="inlineStr">
        <is>
          <t>E.4.2 Programming Massively Parallel Processors - the complete course</t>
        </is>
      </c>
      <c r="C58" s="10" t="inlineStr">
        <is>
          <t>L3 Thread Coarsening and Register Tiling</t>
        </is>
      </c>
      <c r="D58" s="10" t="inlineStr"/>
      <c r="E58" s="11" t="inlineStr"/>
      <c r="F58" s="11" t="inlineStr">
        <is>
          <t>Not started</t>
        </is>
      </c>
      <c r="G58" s="14" t="inlineStr">
        <is>
          <t>▶ watch</t>
        </is>
      </c>
    </row>
    <row r="59">
      <c r="A59" s="11" t="n">
        <v>55</v>
      </c>
      <c r="B59" s="10" t="inlineStr">
        <is>
          <t>E.4.3 GPU MODE - 116 lectures, enumerated</t>
        </is>
      </c>
      <c r="C59" s="10" t="inlineStr">
        <is>
          <t>How to profile CUDA kernels in PyTorch</t>
        </is>
      </c>
      <c r="D59" s="10" t="inlineStr">
        <is>
          <t>Mark Saroufim</t>
        </is>
      </c>
      <c r="E59" s="11" t="inlineStr">
        <is>
          <t>56:13</t>
        </is>
      </c>
      <c r="F59" s="11" t="inlineStr">
        <is>
          <t>Not started</t>
        </is>
      </c>
      <c r="G59" s="14" t="inlineStr">
        <is>
          <t>▶ watch</t>
        </is>
      </c>
    </row>
    <row r="60">
      <c r="A60" s="11" t="n">
        <v>56</v>
      </c>
      <c r="B60" s="10" t="inlineStr">
        <is>
          <t>E.4.3 GPU MODE - 116 lectures, enumerated</t>
        </is>
      </c>
      <c r="C60" s="10" t="inlineStr">
        <is>
          <t>Recap Ch. 1–3, PMPP book</t>
        </is>
      </c>
      <c r="D60" s="10" t="inlineStr">
        <is>
          <t>Andreas Köpf</t>
        </is>
      </c>
      <c r="E60" s="11" t="inlineStr">
        <is>
          <t>52:26</t>
        </is>
      </c>
      <c r="F60" s="11" t="inlineStr">
        <is>
          <t>Not started</t>
        </is>
      </c>
      <c r="G60" s="14" t="inlineStr">
        <is>
          <t>▶ watch</t>
        </is>
      </c>
    </row>
    <row r="61">
      <c r="A61" s="11" t="n">
        <v>57</v>
      </c>
      <c r="B61" s="10" t="inlineStr">
        <is>
          <t>E.4.3 GPU MODE - 116 lectures, enumerated</t>
        </is>
      </c>
      <c r="C61" s="10" t="inlineStr">
        <is>
          <t>Getting Started With CUDA for Python Programmers</t>
        </is>
      </c>
      <c r="D61" s="10" t="inlineStr">
        <is>
          <t>Jeremy Howard</t>
        </is>
      </c>
      <c r="E61" s="11" t="inlineStr">
        <is>
          <t>1:17:56</t>
        </is>
      </c>
      <c r="F61" s="11" t="inlineStr">
        <is>
          <t>Not started</t>
        </is>
      </c>
      <c r="G61" s="14" t="inlineStr">
        <is>
          <t>▶ watch</t>
        </is>
      </c>
    </row>
    <row r="62">
      <c r="A62" s="11" t="n">
        <v>58</v>
      </c>
      <c r="B62" s="10" t="inlineStr">
        <is>
          <t>E.4.3 GPU MODE - 116 lectures, enumerated</t>
        </is>
      </c>
      <c r="C62" s="10" t="inlineStr">
        <is>
          <t>Compute and Memory Basics</t>
        </is>
      </c>
      <c r="D62" s="10" t="inlineStr">
        <is>
          <t>Thomas Viehmann</t>
        </is>
      </c>
      <c r="E62" s="11" t="inlineStr">
        <is>
          <t>56:55</t>
        </is>
      </c>
      <c r="F62" s="11" t="inlineStr">
        <is>
          <t>Not started</t>
        </is>
      </c>
      <c r="G62" s="14" t="inlineStr">
        <is>
          <t>▶ watch</t>
        </is>
      </c>
    </row>
    <row r="63">
      <c r="A63" s="11" t="n">
        <v>59</v>
      </c>
      <c r="B63" s="10" t="inlineStr">
        <is>
          <t>E.4.3 GPU MODE - 116 lectures, enumerated</t>
        </is>
      </c>
      <c r="C63" s="10" t="inlineStr">
        <is>
          <t>Going Further with CUDA for Python Programmers</t>
        </is>
      </c>
      <c r="D63" s="10" t="inlineStr">
        <is>
          <t>Jeremy Howard</t>
        </is>
      </c>
      <c r="E63" s="11" t="inlineStr">
        <is>
          <t>1:17:34</t>
        </is>
      </c>
      <c r="F63" s="11" t="inlineStr">
        <is>
          <t>Not started</t>
        </is>
      </c>
      <c r="G63" s="14" t="inlineStr">
        <is>
          <t>▶ watch</t>
        </is>
      </c>
    </row>
    <row r="64">
      <c r="A64" s="11" t="n">
        <v>60</v>
      </c>
      <c r="B64" s="10" t="inlineStr">
        <is>
          <t>E.4.3 GPU MODE - 116 lectures, enumerated</t>
        </is>
      </c>
      <c r="C64" s="10" t="inlineStr">
        <is>
          <t>Advanced Quantization</t>
        </is>
      </c>
      <c r="D64" s="10" t="inlineStr">
        <is>
          <t>Charles Hernandez</t>
        </is>
      </c>
      <c r="E64" s="11" t="inlineStr">
        <is>
          <t>1:23:26</t>
        </is>
      </c>
      <c r="F64" s="11" t="inlineStr">
        <is>
          <t>Not started</t>
        </is>
      </c>
      <c r="G64" s="14" t="inlineStr">
        <is>
          <t>▶ watch</t>
        </is>
      </c>
    </row>
    <row r="65">
      <c r="A65" s="11" t="n">
        <v>61</v>
      </c>
      <c r="B65" s="10" t="inlineStr">
        <is>
          <t>E.4.3 GPU MODE - 116 lectures, enumerated</t>
        </is>
      </c>
      <c r="C65" s="10" t="inlineStr">
        <is>
          <t>CUDA Performance Checklist</t>
        </is>
      </c>
      <c r="D65" s="10" t="inlineStr">
        <is>
          <t>Mark Saroufim</t>
        </is>
      </c>
      <c r="E65" s="11" t="inlineStr">
        <is>
          <t>1:08:10</t>
        </is>
      </c>
      <c r="F65" s="11" t="inlineStr">
        <is>
          <t>Not started</t>
        </is>
      </c>
      <c r="G65" s="14" t="inlineStr">
        <is>
          <t>▶ watch</t>
        </is>
      </c>
    </row>
    <row r="66">
      <c r="A66" s="11" t="n">
        <v>62</v>
      </c>
      <c r="B66" s="10" t="inlineStr">
        <is>
          <t>E.4.3 GPU MODE - 116 lectures, enumerated</t>
        </is>
      </c>
      <c r="C66" s="10" t="inlineStr">
        <is>
          <t>Mark Saroufim</t>
        </is>
      </c>
      <c r="D66" s="10" t="inlineStr">
        <is>
          <t>Reductions</t>
        </is>
      </c>
      <c r="E66" s="11" t="inlineStr">
        <is>
          <t>46:42</t>
        </is>
      </c>
      <c r="F66" s="11" t="inlineStr">
        <is>
          <t>Not started</t>
        </is>
      </c>
      <c r="G66" s="14" t="inlineStr">
        <is>
          <t>▶ watch</t>
        </is>
      </c>
    </row>
    <row r="67">
      <c r="A67" s="11" t="n">
        <v>63</v>
      </c>
      <c r="B67" s="10" t="inlineStr">
        <is>
          <t>E.4.3 GPU MODE - 116 lectures, enumerated</t>
        </is>
      </c>
      <c r="C67" s="10" t="inlineStr">
        <is>
          <t>Jesse Cai</t>
        </is>
      </c>
      <c r="D67" s="10" t="inlineStr">
        <is>
          <t>Sparsity</t>
        </is>
      </c>
      <c r="E67" s="11" t="inlineStr">
        <is>
          <t>56:43</t>
        </is>
      </c>
      <c r="F67" s="11" t="inlineStr">
        <is>
          <t>Not started</t>
        </is>
      </c>
      <c r="G67" s="14" t="inlineStr">
        <is>
          <t>▶ watch</t>
        </is>
      </c>
    </row>
    <row r="68">
      <c r="A68" s="11" t="n">
        <v>64</v>
      </c>
      <c r="B68" s="10" t="inlineStr">
        <is>
          <t>E.4.3 GPU MODE - 116 lectures, enumerated</t>
        </is>
      </c>
      <c r="C68" s="10" t="inlineStr">
        <is>
          <t>A Practitioner's Guide to Triton</t>
        </is>
      </c>
      <c r="D68" s="10" t="inlineStr">
        <is>
          <t>Umer Adil</t>
        </is>
      </c>
      <c r="E68" s="11" t="inlineStr">
        <is>
          <t>1:21:43</t>
        </is>
      </c>
      <c r="F68" s="11" t="inlineStr">
        <is>
          <t>Not started</t>
        </is>
      </c>
      <c r="G68" s="14" t="inlineStr">
        <is>
          <t>▶ watch</t>
        </is>
      </c>
    </row>
    <row r="69">
      <c r="A69" s="11" t="n">
        <v>65</v>
      </c>
      <c r="B69" s="10" t="inlineStr">
        <is>
          <t>E.4.3 GPU MODE - 116 lectures, enumerated</t>
        </is>
      </c>
      <c r="C69" s="10" t="inlineStr">
        <is>
          <t>Eric Auld</t>
        </is>
      </c>
      <c r="D69" s="10" t="inlineStr">
        <is>
          <t>CUTLASS</t>
        </is>
      </c>
      <c r="E69" s="11" t="inlineStr">
        <is>
          <t>1:34:24</t>
        </is>
      </c>
      <c r="F69" s="11" t="inlineStr">
        <is>
          <t>Not started</t>
        </is>
      </c>
      <c r="G69" s="14" t="inlineStr">
        <is>
          <t>▶ watch</t>
        </is>
      </c>
    </row>
    <row r="70">
      <c r="A70" s="11" t="n">
        <v>66</v>
      </c>
      <c r="B70" s="10" t="inlineStr">
        <is>
          <t>E.4.3 GPU MODE - 116 lectures, enumerated</t>
        </is>
      </c>
      <c r="C70" s="10" t="inlineStr">
        <is>
          <t>On-Hands Profiling</t>
        </is>
      </c>
      <c r="D70" s="10" t="inlineStr">
        <is>
          <t>Taylor Robie</t>
        </is>
      </c>
      <c r="E70" s="11" t="inlineStr">
        <is>
          <t>55:41</t>
        </is>
      </c>
      <c r="F70" s="11" t="inlineStr">
        <is>
          <t>Not started</t>
        </is>
      </c>
      <c r="G70" s="14" t="inlineStr">
        <is>
          <t>▶ watch</t>
        </is>
      </c>
    </row>
    <row r="71">
      <c r="A71" s="11" t="n">
        <v>67</v>
      </c>
      <c r="B71" s="10" t="inlineStr">
        <is>
          <t>E.4.3 GPU MODE - 116 lectures, enumerated</t>
        </is>
      </c>
      <c r="C71" s="10" t="inlineStr">
        <is>
          <t>GPU Collective Communication (NCCL</t>
        </is>
      </c>
      <c r="D71" s="10" t="inlineStr">
        <is>
          <t>Dan Johnson</t>
        </is>
      </c>
      <c r="E71" s="11" t="inlineStr">
        <is>
          <t>59:43</t>
        </is>
      </c>
      <c r="F71" s="11" t="inlineStr">
        <is>
          <t>Not started</t>
        </is>
      </c>
      <c r="G71" s="14" t="inlineStr">
        <is>
          <t>▶ watch</t>
        </is>
      </c>
    </row>
    <row r="72">
      <c r="A72" s="11" t="n">
        <v>68</v>
      </c>
      <c r="B72" s="10" t="inlineStr">
        <is>
          <t>E.4.3 GPU MODE - 116 lectures, enumerated</t>
        </is>
      </c>
      <c r="C72" s="10" t="inlineStr">
        <is>
          <t>Fusing Kernels</t>
        </is>
      </c>
      <c r="D72" s="10" t="inlineStr">
        <is>
          <t>Kapil Sharma</t>
        </is>
      </c>
      <c r="E72" s="11" t="inlineStr">
        <is>
          <t>1:23:22</t>
        </is>
      </c>
      <c r="F72" s="11" t="inlineStr">
        <is>
          <t>Not started</t>
        </is>
      </c>
      <c r="G72" s="14" t="inlineStr">
        <is>
          <t>▶ watch</t>
        </is>
      </c>
    </row>
    <row r="73">
      <c r="A73" s="11" t="n">
        <v>69</v>
      </c>
      <c r="B73" s="10" t="inlineStr">
        <is>
          <t>E.4.3 GPU MODE - 116 lectures, enumerated</t>
        </is>
      </c>
      <c r="C73" s="10" t="inlineStr">
        <is>
          <t>Thakkar &amp; Ramani (NVIDIA</t>
        </is>
      </c>
      <c r="D73" s="10" t="inlineStr">
        <is>
          <t>Tensor Cores</t>
        </is>
      </c>
      <c r="E73" s="11" t="inlineStr">
        <is>
          <t>1:47:50</t>
        </is>
      </c>
      <c r="F73" s="11" t="inlineStr">
        <is>
          <t>Not started</t>
        </is>
      </c>
      <c r="G73" s="14" t="inlineStr">
        <is>
          <t>▶ watch</t>
        </is>
      </c>
    </row>
    <row r="74">
      <c r="A74" s="11" t="n">
        <v>70</v>
      </c>
      <c r="B74" s="10" t="inlineStr">
        <is>
          <t>E.4.3 GPU MODE - 116 lectures, enumerated</t>
        </is>
      </c>
      <c r="C74" s="10" t="inlineStr">
        <is>
          <t>Liger Kernel - Efficient Triton Kernels</t>
        </is>
      </c>
      <c r="D74" s="10" t="inlineStr">
        <is>
          <t>Byron Hsu</t>
        </is>
      </c>
      <c r="E74" s="11" t="inlineStr">
        <is>
          <t>1:11:27</t>
        </is>
      </c>
      <c r="F74" s="11" t="inlineStr">
        <is>
          <t>Not started</t>
        </is>
      </c>
      <c r="G74" s="14" t="inlineStr">
        <is>
          <t>▶ watch</t>
        </is>
      </c>
    </row>
    <row r="75">
      <c r="A75" s="11" t="n">
        <v>71</v>
      </c>
      <c r="B75" s="10" t="inlineStr">
        <is>
          <t>E.4.3 GPU MODE - 116 lectures, enumerated</t>
        </is>
      </c>
      <c r="C75" s="10" t="inlineStr">
        <is>
          <t>Triton Internals</t>
        </is>
      </c>
      <c r="D75" s="10" t="inlineStr">
        <is>
          <t>Kapil Sharma</t>
        </is>
      </c>
      <c r="E75" s="11" t="inlineStr">
        <is>
          <t>1:04:49</t>
        </is>
      </c>
      <c r="F75" s="11" t="inlineStr">
        <is>
          <t>Not started</t>
        </is>
      </c>
      <c r="G75" s="14" t="inlineStr">
        <is>
          <t>▶ watch</t>
        </is>
      </c>
    </row>
    <row r="76">
      <c r="A76" s="11" t="n">
        <v>72</v>
      </c>
      <c r="B76" s="10" t="inlineStr">
        <is>
          <t>E.4.3 GPU MODE - 116 lectures, enumerated</t>
        </is>
      </c>
      <c r="C76" s="10" t="inlineStr">
        <is>
          <t>Quantized Training</t>
        </is>
      </c>
      <c r="D76" s="10" t="inlineStr">
        <is>
          <t>Thien Tran</t>
        </is>
      </c>
      <c r="E76" s="11" t="inlineStr">
        <is>
          <t>1:16:40</t>
        </is>
      </c>
      <c r="F76" s="11" t="inlineStr">
        <is>
          <t>Not started</t>
        </is>
      </c>
      <c r="G76" s="14" t="inlineStr">
        <is>
          <t>▶ watch</t>
        </is>
      </c>
    </row>
    <row r="77">
      <c r="A77" s="11" t="n">
        <v>73</v>
      </c>
      <c r="B77" s="10" t="inlineStr">
        <is>
          <t>E.4.3 GPU MODE - 116 lectures, enumerated</t>
        </is>
      </c>
      <c r="C77" s="10" t="inlineStr">
        <is>
          <t>Lei Wang (MSRA</t>
        </is>
      </c>
      <c r="D77" s="10" t="inlineStr">
        <is>
          <t>BitBLAS</t>
        </is>
      </c>
      <c r="E77" s="11" t="inlineStr">
        <is>
          <t>1:01:48</t>
        </is>
      </c>
      <c r="F77" s="11" t="inlineStr">
        <is>
          <t>Not started</t>
        </is>
      </c>
      <c r="G77" s="14" t="inlineStr">
        <is>
          <t>▶ watch</t>
        </is>
      </c>
    </row>
    <row r="78">
      <c r="A78" s="11" t="n">
        <v>74</v>
      </c>
      <c r="B78" s="10" t="inlineStr">
        <is>
          <t>E.4.3 GPU MODE - 116 lectures, enumerated</t>
        </is>
      </c>
      <c r="C78" s="10" t="inlineStr">
        <is>
          <t>Low-Bit Triton Kernels</t>
        </is>
      </c>
      <c r="D78" s="10" t="inlineStr">
        <is>
          <t>Hicham Badri</t>
        </is>
      </c>
      <c r="E78" s="11" t="inlineStr">
        <is>
          <t>1:45:31</t>
        </is>
      </c>
      <c r="F78" s="11" t="inlineStr">
        <is>
          <t>Not started</t>
        </is>
      </c>
      <c r="G78" s="14" t="inlineStr">
        <is>
          <t>▶ watch</t>
        </is>
      </c>
    </row>
    <row r="79">
      <c r="A79" s="11" t="n">
        <v>75</v>
      </c>
      <c r="B79" s="10" t="inlineStr">
        <is>
          <t>E.4.3 GPU MODE - 116 lectures, enumerated</t>
        </is>
      </c>
      <c r="C79" s="10" t="inlineStr">
        <is>
          <t>TorchTitan (FSDP2 / DTensor internals</t>
        </is>
      </c>
      <c r="D79" s="10" t="inlineStr">
        <is>
          <t>Saroufim &amp; Liu</t>
        </is>
      </c>
      <c r="E79" s="11" t="inlineStr">
        <is>
          <t>1:23:38</t>
        </is>
      </c>
      <c r="F79" s="11" t="inlineStr">
        <is>
          <t>Not started</t>
        </is>
      </c>
      <c r="G79" s="14" t="inlineStr">
        <is>
          <t>▶ watch</t>
        </is>
      </c>
    </row>
    <row r="80">
      <c r="A80" s="11" t="n">
        <v>76</v>
      </c>
      <c r="B80" s="10" t="inlineStr">
        <is>
          <t>E.4.3 GPU MODE - 116 lectures, enumerated</t>
        </is>
      </c>
      <c r="C80" s="10" t="inlineStr">
        <is>
          <t>CUDA Docs for Humans</t>
        </is>
      </c>
      <c r="D80" s="10" t="inlineStr">
        <is>
          <t>Charles Frye (Modal</t>
        </is>
      </c>
      <c r="E80" s="11" t="inlineStr">
        <is>
          <t>51:07</t>
        </is>
      </c>
      <c r="F80" s="11" t="inlineStr">
        <is>
          <t>Not started</t>
        </is>
      </c>
      <c r="G80" s="14" t="inlineStr">
        <is>
          <t>▶ watch</t>
        </is>
      </c>
    </row>
    <row r="81">
      <c r="A81" s="11" t="n">
        <v>77</v>
      </c>
      <c r="B81" s="10" t="inlineStr">
        <is>
          <t>E.4.3 GPU MODE - 116 lectures, enumerated</t>
        </is>
      </c>
      <c r="C81" s="10" t="inlineStr">
        <is>
          <t>int8 Tensor-Core Matmul for Turing</t>
        </is>
      </c>
      <c r="D81" s="10" t="inlineStr">
        <is>
          <t>Erik Schultheis</t>
        </is>
      </c>
      <c r="E81" s="11" t="inlineStr">
        <is>
          <t>1:17:11</t>
        </is>
      </c>
      <c r="F81" s="11" t="inlineStr">
        <is>
          <t>Not started</t>
        </is>
      </c>
      <c r="G81" s="14" t="inlineStr">
        <is>
          <t>▶ watch</t>
        </is>
      </c>
    </row>
    <row r="82">
      <c r="A82" s="11" t="n">
        <v>78</v>
      </c>
      <c r="B82" s="10" t="inlineStr">
        <is>
          <t>E.4.3 GPU MODE - 116 lectures, enumerated</t>
        </is>
      </c>
      <c r="C82" s="10" t="inlineStr">
        <is>
          <t>NVIDIA Profiling (2h deep dive</t>
        </is>
      </c>
      <c r="D82" s="10" t="inlineStr">
        <is>
          <t>NVIDIA tools engineers</t>
        </is>
      </c>
      <c r="E82" s="11" t="inlineStr">
        <is>
          <t>2:07:16</t>
        </is>
      </c>
      <c r="F82" s="11" t="inlineStr">
        <is>
          <t>Not started</t>
        </is>
      </c>
      <c r="G82" s="14" t="inlineStr">
        <is>
          <t>▶ watch</t>
        </is>
      </c>
    </row>
    <row r="83">
      <c r="A83" s="11" t="n">
        <v>79</v>
      </c>
      <c r="B83" s="10" t="inlineStr">
        <is>
          <t>E.4.3 GPU MODE - 116 lectures, enumerated</t>
        </is>
      </c>
      <c r="C83" s="10" t="inlineStr">
        <is>
          <t>Outperforming cuBLAS on H100</t>
        </is>
      </c>
      <c r="D83" s="10" t="inlineStr">
        <is>
          <t>pranjalssh</t>
        </is>
      </c>
      <c r="E83" s="11" t="inlineStr">
        <is>
          <t>1:16:01</t>
        </is>
      </c>
      <c r="F83" s="11" t="inlineStr">
        <is>
          <t>Not started</t>
        </is>
      </c>
      <c r="G83" s="14" t="inlineStr">
        <is>
          <t>▶ watch</t>
        </is>
      </c>
    </row>
    <row r="84">
      <c r="A84" s="11" t="n">
        <v>80</v>
      </c>
      <c r="B84" s="10" t="inlineStr">
        <is>
          <t>E.4.3 GPU MODE - 116 lectures, enumerated</t>
        </is>
      </c>
      <c r="C84" s="10" t="inlineStr">
        <is>
          <t>Distributed GEMM</t>
        </is>
      </c>
      <c r="D84" s="10" t="inlineStr">
        <is>
          <t>Ali Hassani</t>
        </is>
      </c>
      <c r="E84" s="11" t="inlineStr">
        <is>
          <t>1:27:29</t>
        </is>
      </c>
      <c r="F84" s="11" t="inlineStr">
        <is>
          <t>Not started</t>
        </is>
      </c>
      <c r="G84" s="14" t="inlineStr">
        <is>
          <t>▶ watch</t>
        </is>
      </c>
    </row>
    <row r="85">
      <c r="A85" s="11" t="n">
        <v>81</v>
      </c>
      <c r="B85" s="10" t="inlineStr">
        <is>
          <t>E.4.3 GPU MODE - 116 lectures, enumerated</t>
        </is>
      </c>
      <c r="C85" s="10" t="inlineStr">
        <is>
          <t>torch.compile Q&amp;A</t>
        </is>
      </c>
      <c r="D85" s="10" t="inlineStr">
        <is>
          <t>Richard Zou (Meta</t>
        </is>
      </c>
      <c r="E85" s="11" t="inlineStr">
        <is>
          <t>1:26:51</t>
        </is>
      </c>
      <c r="F85" s="11" t="inlineStr">
        <is>
          <t>Not started</t>
        </is>
      </c>
      <c r="G85" s="14" t="inlineStr">
        <is>
          <t>▶ watch</t>
        </is>
      </c>
    </row>
    <row r="86">
      <c r="A86" s="11" t="n">
        <v>82</v>
      </c>
      <c r="B86" s="10" t="inlineStr">
        <is>
          <t>E.4.3 GPU MODE - 116 lectures, enumerated</t>
        </is>
      </c>
      <c r="C86" s="10" t="inlineStr">
        <is>
          <t>Georgii Evtushenko (NVIDIA</t>
        </is>
      </c>
      <c r="D86" s="10" t="inlineStr">
        <is>
          <t>Kernel Benchmarking Tales</t>
        </is>
      </c>
      <c r="E86" s="11" t="inlineStr">
        <is>
          <t>1:07:57</t>
        </is>
      </c>
      <c r="F86" s="11" t="inlineStr">
        <is>
          <t>Not started</t>
        </is>
      </c>
      <c r="G86" s="14" t="inlineStr">
        <is>
          <t>▶ watch</t>
        </is>
      </c>
    </row>
    <row r="87">
      <c r="A87" s="11" t="n">
        <v>83</v>
      </c>
      <c r="B87" s="10" t="inlineStr">
        <is>
          <t>E.4.3 GPU MODE - 116 lectures, enumerated</t>
        </is>
      </c>
      <c r="C87" s="10" t="inlineStr">
        <is>
          <t>Cris Cecka (NVIDIA, CuTe architect</t>
        </is>
      </c>
      <c r="D87" s="10" t="inlineStr">
        <is>
          <t>CuTe</t>
        </is>
      </c>
      <c r="E87" s="11" t="inlineStr">
        <is>
          <t>1:24:33</t>
        </is>
      </c>
      <c r="F87" s="11" t="inlineStr">
        <is>
          <t>Not started</t>
        </is>
      </c>
      <c r="G87" s="14" t="inlineStr">
        <is>
          <t>▶ watch</t>
        </is>
      </c>
    </row>
    <row r="88">
      <c r="A88" s="11" t="n">
        <v>84</v>
      </c>
      <c r="B88" s="10" t="inlineStr">
        <is>
          <t>E.4.3 GPU MODE - 116 lectures, enumerated</t>
        </is>
      </c>
      <c r="C88" s="10" t="inlineStr">
        <is>
          <t>Disaggregated LLM Inference</t>
        </is>
      </c>
      <c r="D88" s="10" t="inlineStr">
        <is>
          <t>Junda Chen</t>
        </is>
      </c>
      <c r="E88" s="11" t="inlineStr">
        <is>
          <t>1:15:19</t>
        </is>
      </c>
      <c r="F88" s="11" t="inlineStr">
        <is>
          <t>Not started</t>
        </is>
      </c>
      <c r="G88" s="14" t="inlineStr">
        <is>
          <t>▶ watch</t>
        </is>
      </c>
    </row>
    <row r="89">
      <c r="A89" s="11" t="n">
        <v>85</v>
      </c>
      <c r="B89" s="10" t="inlineStr">
        <is>
          <t>E.4.3 GPU MODE - 116 lectures, enumerated</t>
        </is>
      </c>
      <c r="C89" s="10" t="inlineStr">
        <is>
          <t>Optimizing Linear Attention</t>
        </is>
      </c>
      <c r="D89" s="10" t="inlineStr">
        <is>
          <t>Songlin Yang (MIT</t>
        </is>
      </c>
      <c r="E89" s="11" t="inlineStr">
        <is>
          <t>1:07:39</t>
        </is>
      </c>
      <c r="F89" s="11" t="inlineStr">
        <is>
          <t>Not started</t>
        </is>
      </c>
      <c r="G89" s="14" t="inlineStr">
        <is>
          <t>▶ watch</t>
        </is>
      </c>
    </row>
    <row r="90">
      <c r="A90" s="11" t="n">
        <v>86</v>
      </c>
      <c r="B90" s="10" t="inlineStr">
        <is>
          <t>E.4.3 GPU MODE - 116 lectures, enumerated</t>
        </is>
      </c>
      <c r="C90" s="10" t="inlineStr">
        <is>
          <t>Markus Hrywniak (NVIDIA</t>
        </is>
      </c>
      <c r="D90" s="10" t="inlineStr">
        <is>
          <t>Multi-GPU Programming</t>
        </is>
      </c>
      <c r="E90" s="11" t="inlineStr">
        <is>
          <t>1:15:23</t>
        </is>
      </c>
      <c r="F90" s="11" t="inlineStr">
        <is>
          <t>Not started</t>
        </is>
      </c>
      <c r="G90" s="14" t="inlineStr">
        <is>
          <t>▶ watch</t>
        </is>
      </c>
    </row>
    <row r="91">
      <c r="A91" s="11" t="n">
        <v>87</v>
      </c>
      <c r="B91" s="10" t="inlineStr">
        <is>
          <t>E.4.3 GPU MODE - 116 lectures, enumerated</t>
        </is>
      </c>
      <c r="C91" s="10" t="inlineStr">
        <is>
          <t>Jeff Hammond (NVIDIA</t>
        </is>
      </c>
      <c r="D91" s="10" t="inlineStr">
        <is>
          <t>NCCL and NVSHMEM</t>
        </is>
      </c>
      <c r="E91" s="11" t="inlineStr">
        <is>
          <t>1:40:43</t>
        </is>
      </c>
      <c r="F91" s="11" t="inlineStr">
        <is>
          <t>Not started</t>
        </is>
      </c>
      <c r="G91" s="14" t="inlineStr">
        <is>
          <t>▶ watch</t>
        </is>
      </c>
    </row>
    <row r="92">
      <c r="A92" s="11" t="n">
        <v>88</v>
      </c>
      <c r="B92" s="10" t="inlineStr">
        <is>
          <t>E.4.3 GPU MODE - 116 lectures, enumerated</t>
        </is>
      </c>
      <c r="C92" s="10" t="inlineStr">
        <is>
          <t>Landscape of GPU-Centric Communication</t>
        </is>
      </c>
      <c r="D92" s="10" t="inlineStr">
        <is>
          <t>Didem Unat (Koç</t>
        </is>
      </c>
      <c r="E92" s="11" t="inlineStr">
        <is>
          <t>1:00:07</t>
        </is>
      </c>
      <c r="F92" s="11" t="inlineStr">
        <is>
          <t>Not started</t>
        </is>
      </c>
      <c r="G92" s="14" t="inlineStr">
        <is>
          <t>▶ watch</t>
        </is>
      </c>
    </row>
    <row r="93">
      <c r="A93" s="11" t="n">
        <v>89</v>
      </c>
      <c r="B93" s="10" t="inlineStr">
        <is>
          <t>E.4.3 GPU MODE - 116 lectures, enumerated</t>
        </is>
      </c>
      <c r="C93" s="10" t="inlineStr">
        <is>
          <t>Quartet - 4-bit Training</t>
        </is>
      </c>
      <c r="D93" s="10" t="inlineStr">
        <is>
          <t>Castro &amp; Panferov (ISTA</t>
        </is>
      </c>
      <c r="E93" s="11" t="inlineStr">
        <is>
          <t>1:09:11</t>
        </is>
      </c>
      <c r="F93" s="11" t="inlineStr">
        <is>
          <t>Not started</t>
        </is>
      </c>
      <c r="G93" s="14" t="inlineStr">
        <is>
          <t>▶ watch</t>
        </is>
      </c>
    </row>
    <row r="94">
      <c r="A94" s="11" t="n">
        <v>90</v>
      </c>
      <c r="B94" s="10" t="inlineStr">
        <is>
          <t>E.4.3 GPU MODE - 116 lectures, enumerated</t>
        </is>
      </c>
      <c r="C94" s="10" t="inlineStr">
        <is>
          <t>PCCL - Fault-Tolerant Collectives</t>
        </is>
      </c>
      <c r="D94" s="10" t="inlineStr">
        <is>
          <t>mike64t</t>
        </is>
      </c>
      <c r="E94" s="11" t="inlineStr">
        <is>
          <t>1:05:23</t>
        </is>
      </c>
      <c r="F94" s="11" t="inlineStr">
        <is>
          <t>Not started</t>
        </is>
      </c>
      <c r="G94" s="14" t="inlineStr">
        <is>
          <t>▶ watch</t>
        </is>
      </c>
    </row>
    <row r="95">
      <c r="A95" s="11" t="n">
        <v>91</v>
      </c>
      <c r="B95" s="10" t="inlineStr">
        <is>
          <t>E.4.3 GPU MODE - 116 lectures, enumerated</t>
        </is>
      </c>
      <c r="C95" s="10" t="inlineStr">
        <is>
          <t>ScaleML] Quantization in Large Models</t>
        </is>
      </c>
      <c r="D95" s="10" t="inlineStr">
        <is>
          <t>Chris De Sa (Cornell</t>
        </is>
      </c>
      <c r="E95" s="11" t="inlineStr">
        <is>
          <t>1:18:26</t>
        </is>
      </c>
      <c r="F95" s="11" t="inlineStr">
        <is>
          <t>Not started</t>
        </is>
      </c>
      <c r="G95" s="14" t="inlineStr">
        <is>
          <t>▶ watch</t>
        </is>
      </c>
    </row>
    <row r="96">
      <c r="A96" s="11" t="n">
        <v>92</v>
      </c>
      <c r="B96" s="10" t="inlineStr">
        <is>
          <t>E.4.3 GPU MODE - 116 lectures, enumerated</t>
        </is>
      </c>
      <c r="C96" s="10" t="inlineStr">
        <is>
          <t>Domain-Specific Languages for GPU Kernels</t>
        </is>
      </c>
      <c r="D96" s="10" t="inlineStr">
        <is>
          <t>Tri Dao</t>
        </is>
      </c>
      <c r="E96" s="11" t="inlineStr">
        <is>
          <t>23:39</t>
        </is>
      </c>
      <c r="F96" s="11" t="inlineStr">
        <is>
          <t>Not started</t>
        </is>
      </c>
      <c r="G96" s="14" t="inlineStr">
        <is>
          <t>▶ watch</t>
        </is>
      </c>
    </row>
    <row r="97">
      <c r="A97" s="11" t="n">
        <v>93</v>
      </c>
      <c r="B97" s="10" t="inlineStr">
        <is>
          <t>E.4.3 GPU MODE - 116 lectures, enumerated</t>
        </is>
      </c>
      <c r="C97" s="10" t="inlineStr">
        <is>
          <t>Iris - Multi-GPU Programming in Triton</t>
        </is>
      </c>
      <c r="D97" s="10" t="inlineStr">
        <is>
          <t>Awad, Osama, Potter (AMD</t>
        </is>
      </c>
      <c r="E97" s="11" t="inlineStr">
        <is>
          <t>1:16:38</t>
        </is>
      </c>
      <c r="F97" s="11" t="inlineStr">
        <is>
          <t>Not started</t>
        </is>
      </c>
      <c r="G97" s="14" t="inlineStr">
        <is>
          <t>▶ watch</t>
        </is>
      </c>
    </row>
    <row r="98">
      <c r="A98" s="11" t="n">
        <v>94</v>
      </c>
      <c r="B98" s="10" t="inlineStr">
        <is>
          <t>E.4.3 GPU MODE - 116 lectures, enumerated</t>
        </is>
      </c>
      <c r="C98" s="10" t="inlineStr">
        <is>
          <t>Helion - A High-Level DSL for ML Kernels</t>
        </is>
      </c>
      <c r="D98" s="10" t="inlineStr">
        <is>
          <t>Ansel, Ulgen, Feng (Meta</t>
        </is>
      </c>
      <c r="E98" s="11" t="inlineStr">
        <is>
          <t>1:06:20</t>
        </is>
      </c>
      <c r="F98" s="11" t="inlineStr">
        <is>
          <t>Not started</t>
        </is>
      </c>
      <c r="G98" s="14" t="inlineStr">
        <is>
          <t>▶ watch</t>
        </is>
      </c>
    </row>
    <row r="99">
      <c r="A99" s="11" t="n">
        <v>95</v>
      </c>
      <c r="B99" s="10" t="inlineStr">
        <is>
          <t>E.4.3 GPU MODE - 116 lectures, enumerated</t>
        </is>
      </c>
      <c r="C99" s="10" t="inlineStr">
        <is>
          <t>Paulius Micikevicius (NVIDIA</t>
        </is>
      </c>
      <c r="D99" s="10" t="inlineStr">
        <is>
          <t>Numerics and AI</t>
        </is>
      </c>
      <c r="E99" s="11" t="inlineStr">
        <is>
          <t>2:39:09</t>
        </is>
      </c>
      <c r="F99" s="11" t="inlineStr">
        <is>
          <t>Not started</t>
        </is>
      </c>
      <c r="G99" s="14" t="inlineStr">
        <is>
          <t>▶ watch</t>
        </is>
      </c>
    </row>
    <row r="100">
      <c r="A100" s="11" t="n">
        <v>96</v>
      </c>
      <c r="B100" s="10" t="inlineStr">
        <is>
          <t>E.4.3 GPU MODE - 116 lectures, enumerated</t>
        </is>
      </c>
      <c r="C100" s="10" t="inlineStr">
        <is>
          <t>Getting Started with CuTe DSL</t>
        </is>
      </c>
      <c r="D100" s="10" t="inlineStr">
        <is>
          <t>Vicki Wang (NVIDIA</t>
        </is>
      </c>
      <c r="E100" s="11" t="inlineStr">
        <is>
          <t>1:13:19</t>
        </is>
      </c>
      <c r="F100" s="11" t="inlineStr">
        <is>
          <t>Not started</t>
        </is>
      </c>
      <c r="G100" s="14" t="inlineStr">
        <is>
          <t>▶ watch</t>
        </is>
      </c>
    </row>
    <row r="101">
      <c r="A101" s="11" t="n">
        <v>97</v>
      </c>
      <c r="B101" s="10" t="inlineStr">
        <is>
          <t>E.4.3 GPU MODE - 116 lectures, enumerated</t>
        </is>
      </c>
      <c r="C101" s="10" t="inlineStr">
        <is>
          <t>Low-Latency Communication Kernels with NVSHMEM</t>
        </is>
      </c>
      <c r="D101" s="10" t="inlineStr">
        <is>
          <t>Prajwal Singhania</t>
        </is>
      </c>
      <c r="E101" s="11" t="inlineStr">
        <is>
          <t>1:07:07</t>
        </is>
      </c>
      <c r="F101" s="11" t="inlineStr">
        <is>
          <t>Not started</t>
        </is>
      </c>
      <c r="G101" s="14" t="inlineStr">
        <is>
          <t>▶ watch</t>
        </is>
      </c>
    </row>
    <row r="102">
      <c r="A102" s="11" t="n">
        <v>98</v>
      </c>
      <c r="B102" s="10" t="inlineStr">
        <is>
          <t>E.4.3 GPU MODE - 116 lectures, enumerated</t>
        </is>
      </c>
      <c r="C102" s="10" t="inlineStr">
        <is>
          <t>Amini &amp; Roesch (NVIDIA</t>
        </is>
      </c>
      <c r="D102" s="10" t="inlineStr">
        <is>
          <t>cuTile</t>
        </is>
      </c>
      <c r="E102" s="11" t="inlineStr">
        <is>
          <t>1:43:31</t>
        </is>
      </c>
      <c r="F102" s="11" t="inlineStr">
        <is>
          <t>Not started</t>
        </is>
      </c>
      <c r="G102" s="14" t="inlineStr">
        <is>
          <t>▶ watch</t>
        </is>
      </c>
    </row>
    <row r="103">
      <c r="A103" s="11" t="n">
        <v>99</v>
      </c>
      <c r="B103" s="10" t="inlineStr">
        <is>
          <t>E.4.3 GPU MODE - 116 lectures, enumerated</t>
        </is>
      </c>
      <c r="C103" s="10" t="inlineStr">
        <is>
          <t>TLX - Triton-Like Simplicity, Peak Performance</t>
        </is>
      </c>
      <c r="D103" s="10" t="inlineStr">
        <is>
          <t>Hongtao Yu (Meta</t>
        </is>
      </c>
      <c r="E103" s="11" t="inlineStr">
        <is>
          <t>1:29:58</t>
        </is>
      </c>
      <c r="F103" s="11" t="inlineStr">
        <is>
          <t>Not started</t>
        </is>
      </c>
      <c r="G103" s="14" t="inlineStr">
        <is>
          <t>▶ watch</t>
        </is>
      </c>
    </row>
    <row r="104">
      <c r="A104" s="11" t="n">
        <v>100</v>
      </c>
      <c r="B104" s="10" t="inlineStr">
        <is>
          <t>E.4.3 GPU MODE - 116 lectures, enumerated</t>
        </is>
      </c>
      <c r="C104" s="10" t="inlineStr">
        <is>
          <t>William Hu (Stanford</t>
        </is>
      </c>
      <c r="D104" s="10" t="inlineStr">
        <is>
          <t>HipKittens</t>
        </is>
      </c>
      <c r="E104" s="11" t="inlineStr">
        <is>
          <t>1:25:05</t>
        </is>
      </c>
      <c r="F104" s="11" t="inlineStr">
        <is>
          <t>Not started</t>
        </is>
      </c>
      <c r="G104" s="14" t="inlineStr">
        <is>
          <t>▶ watch</t>
        </is>
      </c>
    </row>
    <row r="105">
      <c r="A105" s="11" t="n">
        <v>101</v>
      </c>
      <c r="B105" s="10" t="inlineStr">
        <is>
          <t>E.4.3 GPU MODE - 116 lectures, enumerated</t>
        </is>
      </c>
      <c r="C105" s="10" t="inlineStr">
        <is>
          <t>GPU Observability</t>
        </is>
      </c>
      <c r="D105" s="10" t="inlineStr">
        <is>
          <t>Yusheng Zheng</t>
        </is>
      </c>
      <c r="E105" s="11" t="inlineStr">
        <is>
          <t>46:53</t>
        </is>
      </c>
      <c r="F105" s="11" t="inlineStr">
        <is>
          <t>Not started</t>
        </is>
      </c>
      <c r="G105" s="14" t="inlineStr">
        <is>
          <t>▶ watch</t>
        </is>
      </c>
    </row>
    <row r="106">
      <c r="A106" s="11" t="n">
        <v>102</v>
      </c>
      <c r="B106" s="10" t="inlineStr">
        <is>
          <t>E.4.3 GPU MODE - 116 lectures, enumerated</t>
        </is>
      </c>
      <c r="C106" s="10" t="inlineStr">
        <is>
          <t>Learning CUTLASS the Hard Way</t>
        </is>
      </c>
      <c r="D106" s="10" t="inlineStr">
        <is>
          <t>Kapil Sharma</t>
        </is>
      </c>
      <c r="E106" s="11" t="inlineStr">
        <is>
          <t>1:11:17</t>
        </is>
      </c>
      <c r="F106" s="11" t="inlineStr">
        <is>
          <t>Not started</t>
        </is>
      </c>
      <c r="G106" s="14" t="inlineStr">
        <is>
          <t>▶ watch</t>
        </is>
      </c>
    </row>
    <row r="107">
      <c r="A107" s="11" t="n">
        <v>103</v>
      </c>
      <c r="B107" s="10" t="inlineStr">
        <is>
          <t>E.4.3 GPU MODE - 116 lectures, enumerated</t>
        </is>
      </c>
      <c r="C107" s="10" t="inlineStr">
        <is>
          <t>Panferov &amp; Schultheis</t>
        </is>
      </c>
      <c r="D107" s="10" t="inlineStr">
        <is>
          <t>★102</t>
        </is>
      </c>
      <c r="E107" s="11" t="inlineStr">
        <is>
          <t>1:47:17</t>
        </is>
      </c>
      <c r="F107" s="11" t="inlineStr">
        <is>
          <t>Not started</t>
        </is>
      </c>
      <c r="G107" s="14" t="inlineStr">
        <is>
          <t>▶ watch</t>
        </is>
      </c>
    </row>
    <row r="108">
      <c r="A108" s="11" t="n">
        <v>104</v>
      </c>
      <c r="B108" s="10" t="inlineStr">
        <is>
          <t>E.4.3 GPU MODE - 116 lectures, enumerated</t>
        </is>
      </c>
      <c r="C108" s="10" t="inlineStr">
        <is>
          <t>CuTe Layout Algebra and its Category-Theoretic Interpretation</t>
        </is>
      </c>
      <c r="D108" s="10" t="inlineStr">
        <is>
          <t>Carlisle &amp; Jay Shah</t>
        </is>
      </c>
      <c r="E108" s="11" t="inlineStr">
        <is>
          <t>2:33:57</t>
        </is>
      </c>
      <c r="F108" s="11" t="inlineStr">
        <is>
          <t>Not started</t>
        </is>
      </c>
      <c r="G108" s="14" t="inlineStr">
        <is>
          <t>▶ watch</t>
        </is>
      </c>
    </row>
    <row r="109">
      <c r="A109" s="11" t="n">
        <v>105</v>
      </c>
      <c r="B109" s="10" t="inlineStr">
        <is>
          <t>E.4.3 GPU MODE - 116 lectures, enumerated</t>
        </is>
      </c>
      <c r="C109" s="10" t="inlineStr">
        <is>
          <t>Gluon and Linear Layouts</t>
        </is>
      </c>
      <c r="D109" s="10" t="inlineStr">
        <is>
          <t>★104</t>
        </is>
      </c>
      <c r="E109" s="11" t="inlineStr">
        <is>
          <t>1:57:57</t>
        </is>
      </c>
      <c r="F109" s="11" t="inlineStr">
        <is>
          <t>Not started</t>
        </is>
      </c>
      <c r="G109" s="14" t="inlineStr">
        <is>
          <t>▶ watch</t>
        </is>
      </c>
    </row>
    <row r="110">
      <c r="A110" s="11" t="n">
        <v>106</v>
      </c>
      <c r="B110" s="10" t="inlineStr">
        <is>
          <t>E.4.3 GPU MODE - 116 lectures, enumerated</t>
        </is>
      </c>
      <c r="C110" s="10" t="inlineStr">
        <is>
          <t>cuDNN mxfp8 Attention</t>
        </is>
      </c>
      <c r="D110" s="10" t="inlineStr">
        <is>
          <t>★105</t>
        </is>
      </c>
      <c r="E110" s="11" t="inlineStr">
        <is>
          <t>1:00:18</t>
        </is>
      </c>
      <c r="F110" s="11" t="inlineStr">
        <is>
          <t>Not started</t>
        </is>
      </c>
      <c r="G110" s="14" t="inlineStr">
        <is>
          <t>▶ watch</t>
        </is>
      </c>
    </row>
    <row r="111">
      <c r="A111" s="11" t="n">
        <v>107</v>
      </c>
      <c r="B111" s="10" t="inlineStr">
        <is>
          <t>E.4.3 GPU MODE - 116 lectures, enumerated</t>
        </is>
      </c>
      <c r="C111" s="10" t="inlineStr">
        <is>
          <t>Hugging Face Kernels</t>
        </is>
      </c>
      <c r="D111" s="10" t="inlineStr">
        <is>
          <t>de Kok &amp; Holz (HF</t>
        </is>
      </c>
      <c r="E111" s="11" t="inlineStr">
        <is>
          <t>1:28:19</t>
        </is>
      </c>
      <c r="F111" s="11" t="inlineStr">
        <is>
          <t>Not started</t>
        </is>
      </c>
      <c r="G111" s="14" t="inlineStr">
        <is>
          <t>▶ watch</t>
        </is>
      </c>
    </row>
    <row r="112">
      <c r="A112" s="11" t="n">
        <v>108</v>
      </c>
      <c r="B112" s="10" t="inlineStr">
        <is>
          <t>E.4.3 GPU MODE - 116 lectures, enumerated</t>
        </is>
      </c>
      <c r="C112" s="10" t="inlineStr">
        <is>
          <t>The 4-Bitter Lesson - NVFP4 RL stability</t>
        </is>
      </c>
      <c r="D112" s="10" t="inlineStr">
        <is>
          <t>Ziang Li</t>
        </is>
      </c>
      <c r="E112" s="11" t="inlineStr">
        <is>
          <t>1:01:27</t>
        </is>
      </c>
      <c r="F112" s="11" t="inlineStr">
        <is>
          <t>Not started</t>
        </is>
      </c>
      <c r="G112" s="14" t="inlineStr">
        <is>
          <t>▶ watch</t>
        </is>
      </c>
    </row>
    <row r="113">
      <c r="A113" s="11" t="n">
        <v>109</v>
      </c>
      <c r="B113" s="10" t="inlineStr">
        <is>
          <t>E.4.3 GPU MODE - 116 lectures, enumerated</t>
        </is>
      </c>
      <c r="C113" s="10" t="inlineStr">
        <is>
          <t>Production Megakernels for Real-World Inference</t>
        </is>
      </c>
      <c r="D113" s="10" t="inlineStr">
        <is>
          <t>Joe Fioti</t>
        </is>
      </c>
      <c r="E113" s="11" t="inlineStr">
        <is>
          <t>58:05</t>
        </is>
      </c>
      <c r="F113" s="11" t="inlineStr">
        <is>
          <t>Not started</t>
        </is>
      </c>
      <c r="G113" s="14" t="inlineStr">
        <is>
          <t>▶ watch</t>
        </is>
      </c>
    </row>
    <row r="114">
      <c r="A114" s="11" t="n">
        <v>110</v>
      </c>
      <c r="B114" s="10" t="inlineStr">
        <is>
          <t>E.4.3 GPU MODE - 116 lectures, enumerated</t>
        </is>
      </c>
      <c r="C114" s="10" t="inlineStr">
        <is>
          <t>Near Speed-of-Light GPU Collectives</t>
        </is>
      </c>
      <c r="D114" s="10" t="inlineStr">
        <is>
          <t>★113</t>
        </is>
      </c>
      <c r="E114" s="11" t="inlineStr">
        <is>
          <t>52:53</t>
        </is>
      </c>
      <c r="F114" s="11" t="inlineStr">
        <is>
          <t>Not started</t>
        </is>
      </c>
      <c r="G114" s="14" t="inlineStr">
        <is>
          <t>▶ watch</t>
        </is>
      </c>
    </row>
    <row r="115">
      <c r="A115" s="11" t="n">
        <v>111</v>
      </c>
      <c r="B115" s="10" t="inlineStr">
        <is>
          <t>E.4.3 GPU MODE - 116 lectures, enumerated</t>
        </is>
      </c>
      <c r="C115" s="10" t="inlineStr">
        <is>
          <t>Cris Cecka with Saroufim</t>
        </is>
      </c>
      <c r="D115" s="10" t="inlineStr">
        <is>
          <t>★114</t>
        </is>
      </c>
      <c r="E115" s="11" t="inlineStr">
        <is>
          <t>1:44:03</t>
        </is>
      </c>
      <c r="F115" s="11" t="inlineStr">
        <is>
          <t>Not started</t>
        </is>
      </c>
      <c r="G115" s="14" t="inlineStr">
        <is>
          <t>▶ watch</t>
        </is>
      </c>
    </row>
    <row r="116">
      <c r="A116" s="11" t="n">
        <v>112</v>
      </c>
      <c r="B116" s="10" t="inlineStr">
        <is>
          <t>E.4.4 Triton</t>
        </is>
      </c>
      <c r="C116" s="10" t="inlineStr">
        <is>
          <t>Maximizing Kernel Development Productivity Under Performance Constraints</t>
        </is>
      </c>
      <c r="D116" s="10" t="inlineStr"/>
      <c r="E116" s="11" t="inlineStr">
        <is>
          <t>22:02</t>
        </is>
      </c>
      <c r="F116" s="11" t="inlineStr">
        <is>
          <t>Not started</t>
        </is>
      </c>
      <c r="G116" s="14" t="inlineStr">
        <is>
          <t>▶ watch</t>
        </is>
      </c>
    </row>
    <row r="117">
      <c r="A117" s="11" t="n">
        <v>113</v>
      </c>
      <c r="B117" s="10" t="inlineStr">
        <is>
          <t>E.4.4 Triton</t>
        </is>
      </c>
      <c r="C117" s="10" t="inlineStr">
        <is>
          <t>Control</t>
        </is>
      </c>
      <c r="D117" s="10" t="inlineStr"/>
      <c r="E117" s="11" t="inlineStr"/>
      <c r="F117" s="11" t="inlineStr">
        <is>
          <t>Not started</t>
        </is>
      </c>
      <c r="G117" s="14" t="inlineStr">
        <is>
          <t>▶ watch</t>
        </is>
      </c>
    </row>
    <row r="118">
      <c r="A118" s="11" t="n">
        <v>114</v>
      </c>
      <c r="B118" s="10" t="inlineStr">
        <is>
          <t>E.4.4 Triton</t>
        </is>
      </c>
      <c r="C118" s="10" t="inlineStr">
        <is>
          <t>Proton - Portable Performance Profiling</t>
        </is>
      </c>
      <c r="D118" s="10" t="inlineStr"/>
      <c r="E118" s="11" t="inlineStr"/>
      <c r="F118" s="11" t="inlineStr">
        <is>
          <t>Not started</t>
        </is>
      </c>
      <c r="G118" s="14" t="inlineStr">
        <is>
          <t>▶ watch</t>
        </is>
      </c>
    </row>
    <row r="119">
      <c r="A119" s="11" t="n">
        <v>115</v>
      </c>
      <c r="B119" s="10" t="inlineStr">
        <is>
          <t>E.4.4 Triton</t>
        </is>
      </c>
      <c r="C119" s="10" t="inlineStr">
        <is>
          <t>Proton - Portable Performance Profiling</t>
        </is>
      </c>
      <c r="D119" s="10" t="inlineStr"/>
      <c r="E119" s="11" t="inlineStr"/>
      <c r="F119" s="11" t="inlineStr">
        <is>
          <t>Not started</t>
        </is>
      </c>
      <c r="G119" s="14" t="inlineStr">
        <is>
          <t>▶ watch</t>
        </is>
      </c>
    </row>
    <row r="120">
      <c r="A120" s="11" t="n">
        <v>116</v>
      </c>
      <c r="B120" s="10" t="inlineStr">
        <is>
          <t>E.4.4 Triton</t>
        </is>
      </c>
      <c r="C120" s="10" t="inlineStr">
        <is>
          <t>Triton on AMD</t>
        </is>
      </c>
      <c r="D120" s="10" t="inlineStr"/>
      <c r="E120" s="11" t="inlineStr"/>
      <c r="F120" s="11" t="inlineStr">
        <is>
          <t>Not started</t>
        </is>
      </c>
      <c r="G120" s="14" t="inlineStr">
        <is>
          <t>▶ watch</t>
        </is>
      </c>
    </row>
    <row r="121">
      <c r="A121" s="11" t="n">
        <v>117</v>
      </c>
      <c r="B121" s="10" t="inlineStr">
        <is>
          <t>E.4.4 Triton</t>
        </is>
      </c>
      <c r="C121" s="10" t="inlineStr">
        <is>
          <t>Triton-distributed</t>
        </is>
      </c>
      <c r="D121" s="10" t="inlineStr"/>
      <c r="E121" s="11" t="inlineStr"/>
      <c r="F121" s="11" t="inlineStr">
        <is>
          <t>Not started</t>
        </is>
      </c>
      <c r="G121" s="14" t="inlineStr">
        <is>
          <t>▶ watch</t>
        </is>
      </c>
    </row>
    <row r="122">
      <c r="A122" s="11" t="n">
        <v>118</v>
      </c>
      <c r="B122" s="10" t="inlineStr">
        <is>
          <t>E.4.4 Triton</t>
        </is>
      </c>
      <c r="C122" s="10" t="inlineStr">
        <is>
          <t>Proton / Interpreter</t>
        </is>
      </c>
      <c r="D122" s="10" t="inlineStr"/>
      <c r="E122" s="11" t="inlineStr"/>
      <c r="F122" s="11" t="inlineStr">
        <is>
          <t>Not started</t>
        </is>
      </c>
      <c r="G122" s="14" t="inlineStr">
        <is>
          <t>▶ watch</t>
        </is>
      </c>
    </row>
    <row r="123">
      <c r="A123" s="11" t="n">
        <v>119</v>
      </c>
      <c r="B123" s="10" t="inlineStr">
        <is>
          <t>E.4.4 Triton</t>
        </is>
      </c>
      <c r="C123" s="10" t="inlineStr">
        <is>
          <t>Pipelining Persistent Kernels</t>
        </is>
      </c>
      <c r="D123" s="10" t="inlineStr"/>
      <c r="E123" s="11" t="inlineStr"/>
      <c r="F123" s="11" t="inlineStr">
        <is>
          <t>Not started</t>
        </is>
      </c>
      <c r="G123" s="14" t="inlineStr">
        <is>
          <t>▶ watch</t>
        </is>
      </c>
    </row>
    <row r="124">
      <c r="A124" s="11" t="n">
        <v>120</v>
      </c>
      <c r="B124" s="10" t="inlineStr">
        <is>
          <t>E.4.4 Triton</t>
        </is>
      </c>
      <c r="C124" s="10" t="inlineStr">
        <is>
          <t>Pipelining Persistent Kernels</t>
        </is>
      </c>
      <c r="D124" s="10" t="inlineStr"/>
      <c r="E124" s="11" t="inlineStr"/>
      <c r="F124" s="11" t="inlineStr">
        <is>
          <t>Not started</t>
        </is>
      </c>
      <c r="G124" s="14" t="inlineStr">
        <is>
          <t>▶ watch</t>
        </is>
      </c>
    </row>
    <row r="125">
      <c r="A125" s="11" t="n">
        <v>121</v>
      </c>
      <c r="B125" s="10" t="inlineStr">
        <is>
          <t>E.4.4 Triton</t>
        </is>
      </c>
      <c r="C125" s="10" t="inlineStr">
        <is>
          <t>Pipelining Persistent Kernels</t>
        </is>
      </c>
      <c r="D125" s="10" t="inlineStr"/>
      <c r="E125" s="11" t="inlineStr"/>
      <c r="F125" s="11" t="inlineStr">
        <is>
          <t>Not started</t>
        </is>
      </c>
      <c r="G125" s="14" t="inlineStr">
        <is>
          <t>▶ watch</t>
        </is>
      </c>
    </row>
    <row r="126">
      <c r="A126" s="11" t="n">
        <v>122</v>
      </c>
      <c r="B126" s="10" t="inlineStr">
        <is>
          <t>E.4.5 CUTLASS and CuTe</t>
        </is>
      </c>
      <c r="C126" s="10" t="inlineStr">
        <is>
          <t>Zero to Hero: Programming Hopper Tensor Core with MLIR's NVGPU Dialect</t>
        </is>
      </c>
      <c r="D126" s="10" t="inlineStr">
        <is>
          <t>Guray Ozen (NVIDIA</t>
        </is>
      </c>
      <c r="E126" s="11" t="inlineStr">
        <is>
          <t>42:26</t>
        </is>
      </c>
      <c r="F126" s="11" t="inlineStr">
        <is>
          <t>Not started</t>
        </is>
      </c>
      <c r="G126" s="14" t="inlineStr">
        <is>
          <t>▶ watch</t>
        </is>
      </c>
    </row>
    <row r="127">
      <c r="A127" s="11" t="n">
        <v>123</v>
      </c>
      <c r="B127" s="10" t="inlineStr">
        <is>
          <t>E.4.6 Profiling - finding the actual bottleneck</t>
        </is>
      </c>
      <c r="C127" s="10" t="inlineStr">
        <is>
          <t>(see curriculum section)</t>
        </is>
      </c>
      <c r="D127" s="10" t="inlineStr">
        <is>
          <t>NHR@FAU</t>
        </is>
      </c>
      <c r="E127" s="11" t="inlineStr">
        <is>
          <t>18:37</t>
        </is>
      </c>
      <c r="F127" s="11" t="inlineStr">
        <is>
          <t>Not started</t>
        </is>
      </c>
      <c r="G127" s="14" t="inlineStr">
        <is>
          <t>▶ watch</t>
        </is>
      </c>
    </row>
    <row r="128">
      <c r="A128" s="11" t="n">
        <v>124</v>
      </c>
      <c r="B128" s="10" t="inlineStr">
        <is>
          <t>E.4.6 Profiling - finding the actual bottleneck</t>
        </is>
      </c>
      <c r="C128" s="10" t="inlineStr">
        <is>
          <t>Pennycook, Yang and Deslippe on performance portability and empirical ceilings</t>
        </is>
      </c>
      <c r="D128" s="10" t="inlineStr"/>
      <c r="E128" s="11" t="inlineStr">
        <is>
          <t>1:07:12</t>
        </is>
      </c>
      <c r="F128" s="11" t="inlineStr">
        <is>
          <t>Not started</t>
        </is>
      </c>
      <c r="G128" s="14" t="inlineStr">
        <is>
          <t>▶ watch</t>
        </is>
      </c>
    </row>
    <row r="129">
      <c r="A129" s="11" t="n">
        <v>125</v>
      </c>
      <c r="B129" s="10" t="inlineStr">
        <is>
          <t>E.4.6 Profiling - finding the actual bottleneck</t>
        </is>
      </c>
      <c r="C129" s="10" t="inlineStr">
        <is>
          <t>SOL analysis in Nsight Compute</t>
        </is>
      </c>
      <c r="D129" s="10" t="inlineStr"/>
      <c r="E129" s="11" t="inlineStr">
        <is>
          <t>1:07:12</t>
        </is>
      </c>
      <c r="F129" s="11" t="inlineStr">
        <is>
          <t>Not started</t>
        </is>
      </c>
      <c r="G129" s="14" t="inlineStr">
        <is>
          <t>▶ watch</t>
        </is>
      </c>
    </row>
    <row r="130">
      <c r="A130" s="11" t="n">
        <v>126</v>
      </c>
      <c r="B130" s="10" t="inlineStr">
        <is>
          <t>E.4.6 Profiling - finding the actual bottleneck</t>
        </is>
      </c>
      <c r="C130" s="10" t="inlineStr">
        <is>
          <t>SOL analysis in Nsight Compute</t>
        </is>
      </c>
      <c r="D130" s="10" t="inlineStr"/>
      <c r="E130" s="11" t="inlineStr"/>
      <c r="F130" s="11" t="inlineStr">
        <is>
          <t>Not started</t>
        </is>
      </c>
      <c r="G130" s="14" t="inlineStr">
        <is>
          <t>▶ watch</t>
        </is>
      </c>
    </row>
    <row r="131">
      <c r="A131" s="11" t="n">
        <v>127</v>
      </c>
      <c r="B131" s="10" t="inlineStr">
        <is>
          <t>E.4.6 Profiling - finding the actual bottleneck</t>
        </is>
      </c>
      <c r="C131" s="10" t="inlineStr">
        <is>
          <t>HPCToolkit</t>
        </is>
      </c>
      <c r="D131" s="10" t="inlineStr"/>
      <c r="E131" s="11" t="inlineStr"/>
      <c r="F131" s="11" t="inlineStr">
        <is>
          <t>Not started</t>
        </is>
      </c>
      <c r="G131" s="14" t="inlineStr">
        <is>
          <t>▶ watch</t>
        </is>
      </c>
    </row>
    <row r="132">
      <c r="A132" s="11" t="n">
        <v>128</v>
      </c>
      <c r="B132" s="10" t="inlineStr">
        <is>
          <t>E.4.7 PyTorch internals and compilers</t>
        </is>
      </c>
      <c r="C132" s="10" t="inlineStr">
        <is>
          <t>FlexAttention</t>
        </is>
      </c>
      <c r="D132" s="10" t="inlineStr"/>
      <c r="E132" s="11" t="inlineStr"/>
      <c r="F132" s="11" t="inlineStr">
        <is>
          <t>Not started</t>
        </is>
      </c>
      <c r="G132" s="14" t="inlineStr">
        <is>
          <t>▶ watch</t>
        </is>
      </c>
    </row>
    <row r="133">
      <c r="A133" s="11" t="n">
        <v>129</v>
      </c>
      <c r="B133" s="10" t="inlineStr">
        <is>
          <t>E.4.7 PyTorch internals and compilers</t>
        </is>
      </c>
      <c r="C133" s="10" t="inlineStr">
        <is>
          <t>FlexAttention</t>
        </is>
      </c>
      <c r="D133" s="10" t="inlineStr"/>
      <c r="E133" s="11" t="inlineStr"/>
      <c r="F133" s="11" t="inlineStr">
        <is>
          <t>Not started</t>
        </is>
      </c>
      <c r="G133" s="14" t="inlineStr">
        <is>
          <t>▶ watch</t>
        </is>
      </c>
    </row>
    <row r="134">
      <c r="A134" s="11" t="n">
        <v>130</v>
      </c>
      <c r="B134" s="10" t="inlineStr">
        <is>
          <t>E.4.7 PyTorch internals and compilers</t>
        </is>
      </c>
      <c r="C134" s="10" t="inlineStr">
        <is>
          <t>a real debugging session inside the CUDA caching allocator's private mempool</t>
        </is>
      </c>
      <c r="D134" s="10" t="inlineStr"/>
      <c r="E134" s="11" t="inlineStr">
        <is>
          <t>46:37</t>
        </is>
      </c>
      <c r="F134" s="11" t="inlineStr">
        <is>
          <t>Not started</t>
        </is>
      </c>
      <c r="G134" s="14" t="inlineStr">
        <is>
          <t>▶ watch</t>
        </is>
      </c>
    </row>
    <row r="135">
      <c r="A135" s="11" t="n">
        <v>131</v>
      </c>
      <c r="B135" s="10" t="inlineStr">
        <is>
          <t>E.4.7 PyTorch internals and compilers</t>
        </is>
      </c>
      <c r="C135" s="10" t="inlineStr">
        <is>
          <t>Inside torch.compile Guards: How They Work, What They Cost</t>
        </is>
      </c>
      <c r="D135" s="10" t="inlineStr"/>
      <c r="E135" s="11" t="inlineStr"/>
      <c r="F135" s="11" t="inlineStr">
        <is>
          <t>Not started</t>
        </is>
      </c>
      <c r="G135" s="14" t="inlineStr">
        <is>
          <t>▶ watch</t>
        </is>
      </c>
    </row>
    <row r="136">
      <c r="A136" s="11" t="n">
        <v>132</v>
      </c>
      <c r="B136" s="10" t="inlineStr">
        <is>
          <t>E.4.7 PyTorch internals and compilers</t>
        </is>
      </c>
      <c r="C136" s="10" t="inlineStr">
        <is>
          <t>CUTLASS backend for Inductor</t>
        </is>
      </c>
      <c r="D136" s="10" t="inlineStr"/>
      <c r="E136" s="11" t="inlineStr"/>
      <c r="F136" s="11" t="inlineStr">
        <is>
          <t>Not started</t>
        </is>
      </c>
      <c r="G136" s="14" t="inlineStr">
        <is>
          <t>▶ watch</t>
        </is>
      </c>
    </row>
    <row r="137">
      <c r="A137" s="11" t="n">
        <v>133</v>
      </c>
      <c r="B137" s="10" t="inlineStr">
        <is>
          <t>E.4.7 PyTorch internals and compilers</t>
        </is>
      </c>
      <c r="C137" s="10" t="inlineStr">
        <is>
          <t>CUDAGraph in a Partial Graph World</t>
        </is>
      </c>
      <c r="D137" s="10" t="inlineStr"/>
      <c r="E137" s="11" t="inlineStr"/>
      <c r="F137" s="11" t="inlineStr">
        <is>
          <t>Not started</t>
        </is>
      </c>
      <c r="G137" s="14" t="inlineStr">
        <is>
          <t>▶ watch</t>
        </is>
      </c>
    </row>
    <row r="138">
      <c r="A138" s="11" t="n">
        <v>134</v>
      </c>
      <c r="B138" s="10" t="inlineStr">
        <is>
          <t>E.4.8 Numerics and determinism</t>
        </is>
      </c>
      <c r="C138" s="10" t="inlineStr">
        <is>
          <t>Deep Learning Determinism</t>
        </is>
      </c>
      <c r="D138" s="10" t="inlineStr">
        <is>
          <t>Duncan Riach (NVIDIA</t>
        </is>
      </c>
      <c r="E138" s="11" t="inlineStr">
        <is>
          <t>37:38</t>
        </is>
      </c>
      <c r="F138" s="11" t="inlineStr">
        <is>
          <t>Not started</t>
        </is>
      </c>
      <c r="G138" s="14" t="inlineStr">
        <is>
          <t>▶ watch</t>
        </is>
      </c>
    </row>
    <row r="139">
      <c r="A139" s="11" t="n">
        <v>135</v>
      </c>
      <c r="B139" s="10" t="inlineStr">
        <is>
          <t>E.4.8 Numerics and determinism</t>
        </is>
      </c>
      <c r="C139" s="10" t="inlineStr">
        <is>
          <t>Numerical Stability at Extreme Scale and Low Precisions (ICM 2022</t>
        </is>
      </c>
      <c r="D139" s="10" t="inlineStr">
        <is>
          <t>Nicholas Higham (Manchester</t>
        </is>
      </c>
      <c r="E139" s="11" t="inlineStr">
        <is>
          <t>44:30</t>
        </is>
      </c>
      <c r="F139" s="11" t="inlineStr">
        <is>
          <t>Not started</t>
        </is>
      </c>
      <c r="G139" s="14" t="inlineStr">
        <is>
          <t>▶ watch</t>
        </is>
      </c>
    </row>
    <row r="140">
      <c r="A140" s="11" t="n">
        <v>136</v>
      </c>
      <c r="B140" s="10" t="inlineStr">
        <is>
          <t>E.4.8 Numerics and determinism</t>
        </is>
      </c>
      <c r="C140" s="10" t="inlineStr">
        <is>
          <t>DGEMM on Integer Tensor Cores (the Ozaki scheme</t>
        </is>
      </c>
      <c r="D140" s="10" t="inlineStr">
        <is>
          <t>NHR@FAU</t>
        </is>
      </c>
      <c r="E140" s="11" t="inlineStr">
        <is>
          <t>35:15</t>
        </is>
      </c>
      <c r="F140" s="11" t="inlineStr">
        <is>
          <t>Not started</t>
        </is>
      </c>
      <c r="G140" s="14" t="inlineStr">
        <is>
          <t>▶ watch</t>
        </is>
      </c>
    </row>
    <row r="141">
      <c r="A141" s="11" t="n">
        <v>137</v>
      </c>
      <c r="B141" s="10" t="inlineStr">
        <is>
          <t>E.4.9 Multi-GPU and collectives</t>
        </is>
      </c>
      <c r="C141" s="10" t="inlineStr">
        <is>
          <t>Multi-GPU Programming</t>
        </is>
      </c>
      <c r="D141" s="10" t="inlineStr"/>
      <c r="E141" s="11" t="inlineStr">
        <is>
          <t>1:15:23</t>
        </is>
      </c>
      <c r="F141" s="11" t="inlineStr">
        <is>
          <t>Not started</t>
        </is>
      </c>
      <c r="G141" s="14" t="inlineStr">
        <is>
          <t>▶ watch</t>
        </is>
      </c>
    </row>
    <row r="142">
      <c r="A142" s="11" t="n">
        <v>138</v>
      </c>
      <c r="B142" s="10" t="inlineStr">
        <is>
          <t>E.4.9 Multi-GPU and collectives</t>
        </is>
      </c>
      <c r="C142" s="10" t="inlineStr">
        <is>
          <t>HOTI keynote on accelerator clusters</t>
        </is>
      </c>
      <c r="D142" s="10" t="inlineStr"/>
      <c r="E142" s="11" t="inlineStr">
        <is>
          <t>41:06</t>
        </is>
      </c>
      <c r="F142" s="11" t="inlineStr">
        <is>
          <t>Not started</t>
        </is>
      </c>
      <c r="G142" s="14" t="inlineStr">
        <is>
          <t>▶ watch</t>
        </is>
      </c>
    </row>
    <row r="143">
      <c r="A143" s="11" t="n">
        <v>139</v>
      </c>
      <c r="B143" s="10" t="inlineStr">
        <is>
          <t>E.6.1 GROMACS internals and performance</t>
        </is>
      </c>
      <c r="C143" s="10" t="inlineStr">
        <is>
          <t>Peeking into the black box of GROMACS performance</t>
        </is>
      </c>
      <c r="D143" s="10" t="inlineStr">
        <is>
          <t>Alekseenko &amp; Páll (KTH</t>
        </is>
      </c>
      <c r="E143" s="11" t="inlineStr">
        <is>
          <t>59:43</t>
        </is>
      </c>
      <c r="F143" s="11" t="inlineStr">
        <is>
          <t>Not started</t>
        </is>
      </c>
      <c r="G143" s="14" t="inlineStr">
        <is>
          <t>▶ watch</t>
        </is>
      </c>
    </row>
    <row r="144">
      <c r="A144" s="11" t="n">
        <v>140</v>
      </c>
      <c r="B144" s="10" t="inlineStr">
        <is>
          <t>E.6.1 GROMACS internals and performance</t>
        </is>
      </c>
      <c r="C144" s="10" t="inlineStr">
        <is>
          <t>Improvements in the GROMACS heterogeneous parallelization</t>
        </is>
      </c>
      <c r="D144" s="10" t="inlineStr">
        <is>
          <t>Szilárd Páll (KTH</t>
        </is>
      </c>
      <c r="E144" s="11" t="inlineStr">
        <is>
          <t>54:09</t>
        </is>
      </c>
      <c r="F144" s="11" t="inlineStr">
        <is>
          <t>Not started</t>
        </is>
      </c>
      <c r="G144" s="14" t="inlineStr">
        <is>
          <t>▶ watch</t>
        </is>
      </c>
    </row>
    <row r="145">
      <c r="A145" s="11" t="n">
        <v>141</v>
      </c>
      <c r="B145" s="10" t="inlineStr">
        <is>
          <t>E.6.1 GROMACS internals and performance</t>
        </is>
      </c>
      <c r="C145" s="10" t="inlineStr">
        <is>
          <t>Getting good performance in GROMACS</t>
        </is>
      </c>
      <c r="D145" s="10" t="inlineStr">
        <is>
          <t>Berk Hess (KTH</t>
        </is>
      </c>
      <c r="E145" s="11" t="inlineStr">
        <is>
          <t>17:41</t>
        </is>
      </c>
      <c r="F145" s="11" t="inlineStr">
        <is>
          <t>Not started</t>
        </is>
      </c>
      <c r="G145" s="14" t="inlineStr">
        <is>
          <t>▶ watch</t>
        </is>
      </c>
    </row>
    <row r="146">
      <c r="A146" s="11" t="n">
        <v>142</v>
      </c>
      <c r="B146" s="10" t="inlineStr">
        <is>
          <t>E.6.1 GROMACS internals and performance</t>
        </is>
      </c>
      <c r="C146" s="10" t="inlineStr">
        <is>
          <t>NB-LIB - a performance portable force/energy library</t>
        </is>
      </c>
      <c r="D146" s="10" t="inlineStr">
        <is>
          <t>Jordan (KTH) &amp; Keller (CSCS</t>
        </is>
      </c>
      <c r="E146" s="11" t="inlineStr">
        <is>
          <t>53:15</t>
        </is>
      </c>
      <c r="F146" s="11" t="inlineStr">
        <is>
          <t>Not started</t>
        </is>
      </c>
      <c r="G146" s="14" t="inlineStr">
        <is>
          <t>▶ watch</t>
        </is>
      </c>
    </row>
    <row r="147">
      <c r="A147" s="11" t="n">
        <v>143</v>
      </c>
      <c r="B147" s="10" t="inlineStr">
        <is>
          <t>E.6.1 GROMACS internals and performance</t>
        </is>
      </c>
      <c r="C147" s="10" t="inlineStr">
        <is>
          <t>What's new in GROMACS 2026</t>
        </is>
      </c>
      <c r="D147" s="10" t="inlineStr">
        <is>
          <t>Hess, Müllender, Miletic</t>
        </is>
      </c>
      <c r="E147" s="11" t="inlineStr">
        <is>
          <t>57:31</t>
        </is>
      </c>
      <c r="F147" s="11" t="inlineStr">
        <is>
          <t>Not started</t>
        </is>
      </c>
      <c r="G147" s="14" t="inlineStr">
        <is>
          <t>▶ watch</t>
        </is>
      </c>
    </row>
    <row r="148">
      <c r="A148" s="11" t="n">
        <v>144</v>
      </c>
      <c r="B148" s="10" t="inlineStr">
        <is>
          <t>E.6.2 OpenMM, NAMD, LAMMPS</t>
        </is>
      </c>
      <c r="C148" s="10" t="inlineStr">
        <is>
          <t>Introduction to the OpenMM API</t>
        </is>
      </c>
      <c r="D148" s="10" t="inlineStr">
        <is>
          <t>Simbios / Stanford</t>
        </is>
      </c>
      <c r="E148" s="11" t="inlineStr">
        <is>
          <t>44:21</t>
        </is>
      </c>
      <c r="F148" s="11" t="inlineStr">
        <is>
          <t>Not started</t>
        </is>
      </c>
      <c r="G148" s="14" t="inlineStr">
        <is>
          <t>▶ watch</t>
        </is>
      </c>
    </row>
    <row r="149">
      <c r="A149" s="11" t="n">
        <v>145</v>
      </c>
      <c r="B149" s="10" t="inlineStr">
        <is>
          <t>E.6.2 OpenMM, NAMD, LAMMPS</t>
        </is>
      </c>
      <c r="C149" s="10" t="inlineStr">
        <is>
          <t>Customizing Forces and Integrators with OpenMM</t>
        </is>
      </c>
      <c r="D149" s="10" t="inlineStr">
        <is>
          <t>Simbios / Stanford</t>
        </is>
      </c>
      <c r="E149" s="11" t="inlineStr">
        <is>
          <t>23:14</t>
        </is>
      </c>
      <c r="F149" s="11" t="inlineStr">
        <is>
          <t>Not started</t>
        </is>
      </c>
      <c r="G149" s="14" t="inlineStr">
        <is>
          <t>▶ watch</t>
        </is>
      </c>
    </row>
    <row r="150">
      <c r="A150" s="11" t="n">
        <v>146</v>
      </c>
      <c r="B150" s="10" t="inlineStr">
        <is>
          <t>E.6.2 OpenMM, NAMD, LAMMPS</t>
        </is>
      </c>
      <c r="C150" s="10" t="inlineStr">
        <is>
          <t>Validation of OpenMM</t>
        </is>
      </c>
      <c r="D150" s="10" t="inlineStr">
        <is>
          <t>Simbios / Stanford</t>
        </is>
      </c>
      <c r="E150" s="11" t="inlineStr">
        <is>
          <t>15:07</t>
        </is>
      </c>
      <c r="F150" s="11" t="inlineStr">
        <is>
          <t>Not started</t>
        </is>
      </c>
      <c r="G150" s="14" t="inlineStr">
        <is>
          <t>▶ watch</t>
        </is>
      </c>
    </row>
    <row r="151">
      <c r="A151" s="11" t="n">
        <v>147</v>
      </c>
      <c r="B151" s="10" t="inlineStr">
        <is>
          <t>E.6.2 OpenMM, NAMD, LAMMPS</t>
        </is>
      </c>
      <c r="C151" s="10" t="inlineStr">
        <is>
          <t>NAMD and Charm++: What You Should Know</t>
        </is>
      </c>
      <c r="D151" s="10" t="inlineStr">
        <is>
          <t>HPC-AI Advisory Council</t>
        </is>
      </c>
      <c r="E151" s="11" t="inlineStr">
        <is>
          <t>50:37</t>
        </is>
      </c>
      <c r="F151" s="11" t="inlineStr">
        <is>
          <t>Not started</t>
        </is>
      </c>
      <c r="G151" s="14" t="inlineStr">
        <is>
          <t>▶ watch</t>
        </is>
      </c>
    </row>
    <row r="152">
      <c r="A152" s="11" t="n">
        <v>148</v>
      </c>
      <c r="B152" s="10" t="inlineStr">
        <is>
          <t>E.6.2 OpenMM, NAMD, LAMMPS</t>
        </is>
      </c>
      <c r="C152" s="10" t="inlineStr">
        <is>
          <t>Experiences with Charm++ and NAMD on Summit</t>
        </is>
      </c>
      <c r="D152" s="10" t="inlineStr">
        <is>
          <t>Jim Phillips (UIUC</t>
        </is>
      </c>
      <c r="E152" s="11" t="inlineStr">
        <is>
          <t>23:25</t>
        </is>
      </c>
      <c r="F152" s="11" t="inlineStr">
        <is>
          <t>Not started</t>
        </is>
      </c>
      <c r="G152" s="14" t="inlineStr">
        <is>
          <t>▶ watch</t>
        </is>
      </c>
    </row>
    <row r="153">
      <c r="A153" s="11" t="n">
        <v>149</v>
      </c>
      <c r="B153" s="10" t="inlineStr">
        <is>
          <t>E.6.2 OpenMM, NAMD, LAMMPS</t>
        </is>
      </c>
      <c r="C153" s="10" t="inlineStr">
        <is>
          <t>Improving NAMD Performance on Multi-GPU Platforms</t>
        </is>
      </c>
      <c r="D153" s="10" t="inlineStr">
        <is>
          <t>David Hardy (UIUC</t>
        </is>
      </c>
      <c r="E153" s="11" t="inlineStr">
        <is>
          <t>31:28</t>
        </is>
      </c>
      <c r="F153" s="11" t="inlineStr">
        <is>
          <t>Not started</t>
        </is>
      </c>
      <c r="G153" s="14" t="inlineStr">
        <is>
          <t>▶ watch</t>
        </is>
      </c>
    </row>
    <row r="154">
      <c r="A154" s="11" t="n">
        <v>150</v>
      </c>
      <c r="B154" s="10" t="inlineStr">
        <is>
          <t>E.6.2 OpenMM, NAMD, LAMMPS</t>
        </is>
      </c>
      <c r="C154" s="10" t="inlineStr">
        <is>
          <t>NAMD on Heterogeneous Architectures (the GPU-resident redesign</t>
        </is>
      </c>
      <c r="D154" s="10" t="inlineStr">
        <is>
          <t>Charm++ Workshop</t>
        </is>
      </c>
      <c r="E154" s="11" t="inlineStr">
        <is>
          <t>33:00</t>
        </is>
      </c>
      <c r="F154" s="11" t="inlineStr">
        <is>
          <t>Not started</t>
        </is>
      </c>
      <c r="G154" s="14" t="inlineStr">
        <is>
          <t>▶ watch</t>
        </is>
      </c>
    </row>
    <row r="155">
      <c r="A155" s="11" t="n">
        <v>151</v>
      </c>
      <c r="B155" s="10" t="inlineStr">
        <is>
          <t>E.6.2 OpenMM, NAMD, LAMMPS</t>
        </is>
      </c>
      <c r="C155" s="10" t="inlineStr">
        <is>
          <t>Optimizing GPU Performance: the Chain Benchmark in LAMMPS</t>
        </is>
      </c>
      <c r="D155" s="10" t="inlineStr">
        <is>
          <t>Stan Moore (Sandia</t>
        </is>
      </c>
      <c r="E155" s="11" t="inlineStr">
        <is>
          <t>44:10</t>
        </is>
      </c>
      <c r="F155" s="11" t="inlineStr">
        <is>
          <t>Not started</t>
        </is>
      </c>
      <c r="G155" s="14" t="inlineStr">
        <is>
          <t>▶ watch</t>
        </is>
      </c>
    </row>
    <row r="156">
      <c r="A156" s="11" t="n">
        <v>152</v>
      </c>
      <c r="B156" s="10" t="inlineStr">
        <is>
          <t>E.6.3 The algorithms that make MD fast</t>
        </is>
      </c>
      <c r="C156" s="10" t="inlineStr">
        <is>
          <t>TCBG: GPU Particle-Grid Algorithms, Part 1</t>
        </is>
      </c>
      <c r="D156" s="10" t="inlineStr">
        <is>
          <t>PME on GPUs</t>
        </is>
      </c>
      <c r="E156" s="11" t="inlineStr">
        <is>
          <t>14:08</t>
        </is>
      </c>
      <c r="F156" s="11" t="inlineStr">
        <is>
          <t>Not started</t>
        </is>
      </c>
      <c r="G156" s="14" t="inlineStr">
        <is>
          <t>▶ watch</t>
        </is>
      </c>
    </row>
    <row r="157">
      <c r="A157" s="11" t="n">
        <v>153</v>
      </c>
      <c r="B157" s="10" t="inlineStr">
        <is>
          <t>E.6.3 The algorithms that make MD fast</t>
        </is>
      </c>
      <c r="C157" s="10" t="inlineStr">
        <is>
          <t>Periodic Coulomb Tree Method</t>
        </is>
      </c>
      <c r="D157" s="10" t="inlineStr">
        <is>
          <t>The PME scaling wall</t>
        </is>
      </c>
      <c r="E157" s="11" t="inlineStr">
        <is>
          <t>34:00</t>
        </is>
      </c>
      <c r="F157" s="11" t="inlineStr">
        <is>
          <t>Not started</t>
        </is>
      </c>
      <c r="G157" s="14" t="inlineStr">
        <is>
          <t>▶ watch</t>
        </is>
      </c>
    </row>
    <row r="158">
      <c r="A158" s="11" t="n">
        <v>154</v>
      </c>
      <c r="B158" s="10" t="inlineStr">
        <is>
          <t>E.6.3 The algorithms that make MD fast</t>
        </is>
      </c>
      <c r="C158" s="10" t="inlineStr">
        <is>
          <t>Hydrogen mass repartitioning</t>
        </is>
      </c>
      <c r="D158" s="10" t="inlineStr">
        <is>
          <t>HMR in GROMACS (hands-on</t>
        </is>
      </c>
      <c r="E158" s="11" t="inlineStr">
        <is>
          <t>14:45</t>
        </is>
      </c>
      <c r="F158" s="11" t="inlineStr">
        <is>
          <t>Not started</t>
        </is>
      </c>
      <c r="G158" s="14" t="inlineStr">
        <is>
          <t>▶ watch</t>
        </is>
      </c>
    </row>
    <row r="159">
      <c r="A159" s="11" t="n">
        <v>155</v>
      </c>
      <c r="B159" s="10" t="inlineStr">
        <is>
          <t>E.6.3 The algorithms that make MD fast</t>
        </is>
      </c>
      <c r="C159" s="10" t="inlineStr">
        <is>
          <t>Dynamic Load-Balancing for Particle Simulations</t>
        </is>
      </c>
      <c r="D159" s="10" t="inlineStr">
        <is>
          <t>Load balancing</t>
        </is>
      </c>
      <c r="E159" s="11" t="inlineStr">
        <is>
          <t>53:54</t>
        </is>
      </c>
      <c r="F159" s="11" t="inlineStr">
        <is>
          <t>Not started</t>
        </is>
      </c>
      <c r="G159" s="14" t="inlineStr">
        <is>
          <t>▶ watch</t>
        </is>
      </c>
    </row>
    <row r="160">
      <c r="A160" s="11" t="n">
        <v>156</v>
      </c>
      <c r="B160" s="10" t="inlineStr">
        <is>
          <t>E.6.4 HPC fundamentals</t>
        </is>
      </c>
      <c r="C160" s="10" t="inlineStr">
        <is>
          <t>ccNUMA and wavefront parallelization - first-touch, pinning</t>
        </is>
      </c>
      <c r="D160" s="10" t="inlineStr"/>
      <c r="E160" s="11" t="inlineStr">
        <is>
          <t>59:07</t>
        </is>
      </c>
      <c r="F160" s="11" t="inlineStr">
        <is>
          <t>Not started</t>
        </is>
      </c>
      <c r="G160" s="14" t="inlineStr">
        <is>
          <t>▶ watch</t>
        </is>
      </c>
    </row>
    <row r="161">
      <c r="A161" s="11" t="n">
        <v>157</v>
      </c>
      <c r="B161" s="10" t="inlineStr">
        <is>
          <t>E.6.4 HPC fundamentals</t>
        </is>
      </c>
      <c r="C161" s="10" t="inlineStr">
        <is>
          <t>Hybrid Programming with MPI and OpenMP</t>
        </is>
      </c>
      <c r="D161" s="10" t="inlineStr"/>
      <c r="E161" s="11" t="inlineStr">
        <is>
          <t>1:03:57</t>
        </is>
      </c>
      <c r="F161" s="11" t="inlineStr">
        <is>
          <t>Not started</t>
        </is>
      </c>
      <c r="G161" s="14" t="inlineStr">
        <is>
          <t>▶ watch</t>
        </is>
      </c>
    </row>
    <row r="162">
      <c r="A162" s="11" t="n">
        <v>158</v>
      </c>
      <c r="B162" s="10" t="inlineStr">
        <is>
          <t>E.6.4 HPC fundamentals</t>
        </is>
      </c>
      <c r="C162" s="10" t="inlineStr">
        <is>
          <t>Memory Bandwidth and System Balance in HPC Systems</t>
        </is>
      </c>
      <c r="D162" s="10" t="inlineStr">
        <is>
          <t>John McCalpin (TACC, author of STREAM</t>
        </is>
      </c>
      <c r="E162" s="11" t="inlineStr">
        <is>
          <t>1:07:58</t>
        </is>
      </c>
      <c r="F162" s="11" t="inlineStr">
        <is>
          <t>Not started</t>
        </is>
      </c>
      <c r="G162" s="14" t="inlineStr">
        <is>
          <t>▶ watch</t>
        </is>
      </c>
    </row>
    <row r="163">
      <c r="A163" s="11" t="n">
        <v>159</v>
      </c>
      <c r="B163" s="10" t="inlineStr">
        <is>
          <t>E.6.4 HPC fundamentals</t>
        </is>
      </c>
      <c r="C163" s="10" t="inlineStr">
        <is>
          <t>Main Memory Trends and Importance</t>
        </is>
      </c>
      <c r="D163" s="10" t="inlineStr">
        <is>
          <t>Onur Mutlu (ETH</t>
        </is>
      </c>
      <c r="E163" s="11" t="inlineStr">
        <is>
          <t>29:22</t>
        </is>
      </c>
      <c r="F163" s="11" t="inlineStr">
        <is>
          <t>Not started</t>
        </is>
      </c>
      <c r="G163" s="14" t="inlineStr">
        <is>
          <t>▶ watch</t>
        </is>
      </c>
    </row>
    <row r="164">
      <c r="A164" s="11" t="n">
        <v>160</v>
      </c>
      <c r="B164" s="10" t="inlineStr">
        <is>
          <t>E.6.4 HPC fundamentals</t>
        </is>
      </c>
      <c r="C164" s="10" t="inlineStr">
        <is>
          <t>Accelerating Genome Analysis - the memory wall on a biological workload</t>
        </is>
      </c>
      <c r="D164" s="10" t="inlineStr">
        <is>
          <t>Onur Mutlu (ETH</t>
        </is>
      </c>
      <c r="E164" s="11" t="inlineStr">
        <is>
          <t>2:12:22</t>
        </is>
      </c>
      <c r="F164" s="11" t="inlineStr">
        <is>
          <t>Not started</t>
        </is>
      </c>
      <c r="G164" s="14" t="inlineStr">
        <is>
          <t>▶ watch</t>
        </is>
      </c>
    </row>
    <row r="165">
      <c r="A165" s="11" t="n">
        <v>161</v>
      </c>
      <c r="B165" s="10" t="inlineStr">
        <is>
          <t>E.6.4 HPC fundamentals</t>
        </is>
      </c>
      <c r="C165" s="10" t="inlineStr">
        <is>
          <t>Matt Godbolt (Compiler Explorer</t>
        </is>
      </c>
      <c r="D165" s="10" t="inlineStr">
        <is>
          <t>Memory &amp; Caches</t>
        </is>
      </c>
      <c r="E165" s="11" t="inlineStr">
        <is>
          <t>1:11:20</t>
        </is>
      </c>
      <c r="F165" s="11" t="inlineStr">
        <is>
          <t>Not started</t>
        </is>
      </c>
      <c r="G165" s="14" t="inlineStr">
        <is>
          <t>▶ watch</t>
        </is>
      </c>
    </row>
    <row r="166">
      <c r="A166" s="11" t="n">
        <v>162</v>
      </c>
      <c r="B166" s="10" t="inlineStr">
        <is>
          <t>E.6.4 HPC fundamentals</t>
        </is>
      </c>
      <c r="C166" s="10" t="inlineStr">
        <is>
          <t>Beyond SMP - NUMA and GPU Programming</t>
        </is>
      </c>
      <c r="D166" s="10" t="inlineStr"/>
      <c r="E166" s="11" t="inlineStr"/>
      <c r="F166" s="11" t="inlineStr">
        <is>
          <t>Not started</t>
        </is>
      </c>
      <c r="G166" s="14" t="inlineStr">
        <is>
          <t>▶ watch</t>
        </is>
      </c>
    </row>
    <row r="167">
      <c r="A167" s="11" t="n">
        <v>163</v>
      </c>
      <c r="B167" s="10" t="inlineStr">
        <is>
          <t>E.6.4 HPC fundamentals</t>
        </is>
      </c>
      <c r="C167" s="10" t="inlineStr">
        <is>
          <t>How learning about GPUs actually made me good at computational science</t>
        </is>
      </c>
      <c r="D167" s="10" t="inlineStr"/>
      <c r="E167" s="11" t="inlineStr"/>
      <c r="F167" s="11" t="inlineStr">
        <is>
          <t>Not started</t>
        </is>
      </c>
      <c r="G167" s="14" t="inlineStr">
        <is>
          <t>▶ watch</t>
        </is>
      </c>
    </row>
    <row r="168">
      <c r="A168" s="11" t="n">
        <v>164</v>
      </c>
      <c r="B168" s="10" t="inlineStr">
        <is>
          <t>E.6.4 HPC fundamentals</t>
        </is>
      </c>
      <c r="C168" s="10" t="inlineStr">
        <is>
          <t>Mixed-precision arithmetic: hardware, algorithms and analysis</t>
        </is>
      </c>
      <c r="D168" s="10" t="inlineStr"/>
      <c r="E168" s="11" t="inlineStr"/>
      <c r="F168" s="11" t="inlineStr">
        <is>
          <t>Not started</t>
        </is>
      </c>
      <c r="G168" s="14" t="inlineStr">
        <is>
          <t>▶ watch</t>
        </is>
      </c>
    </row>
    <row r="169">
      <c r="A169" s="11" t="n">
        <v>165</v>
      </c>
      <c r="B169" s="10" t="inlineStr">
        <is>
          <t>E.6.5 MIT 6.172 - Performance Engineering of Software Systems</t>
        </is>
      </c>
      <c r="C169" s="10" t="inlineStr">
        <is>
          <t>BLAS Functionality</t>
        </is>
      </c>
      <c r="D169" s="10" t="inlineStr"/>
      <c r="E169" s="11" t="inlineStr"/>
      <c r="F169" s="11" t="inlineStr">
        <is>
          <t>Not started</t>
        </is>
      </c>
      <c r="G169" s="14" t="inlineStr">
        <is>
          <t>▶ watch</t>
        </is>
      </c>
    </row>
    <row r="170">
      <c r="A170" s="11" t="n">
        <v>166</v>
      </c>
      <c r="B170" s="10" t="inlineStr">
        <is>
          <t>E.6.6 Scientific software engineering and fleet operations</t>
        </is>
      </c>
      <c r="C170" s="10" t="inlineStr">
        <is>
          <t>Getting it Right: System Testing of Scientific Software</t>
        </is>
      </c>
      <c r="D170" s="10" t="inlineStr">
        <is>
          <t>IDEAS / ECP</t>
        </is>
      </c>
      <c r="E170" s="11" t="inlineStr">
        <is>
          <t>59:00</t>
        </is>
      </c>
      <c r="F170" s="11" t="inlineStr">
        <is>
          <t>Not started</t>
        </is>
      </c>
      <c r="G170" s="14" t="inlineStr">
        <is>
          <t>▶ watch</t>
        </is>
      </c>
    </row>
    <row r="171">
      <c r="A171" s="11" t="n">
        <v>167</v>
      </c>
      <c r="B171" s="10" t="inlineStr">
        <is>
          <t>E.6.6 Scientific software engineering and fleet operations</t>
        </is>
      </c>
      <c r="C171" s="10" t="inlineStr">
        <is>
          <t>Benchpark with Ramble - continuous benchmarking done properly</t>
        </is>
      </c>
      <c r="D171" s="10" t="inlineStr">
        <is>
          <t>LLNL</t>
        </is>
      </c>
      <c r="E171" s="11" t="inlineStr">
        <is>
          <t>2:34:02</t>
        </is>
      </c>
      <c r="F171" s="11" t="inlineStr">
        <is>
          <t>Not started</t>
        </is>
      </c>
      <c r="G171" s="14" t="inlineStr">
        <is>
          <t>▶ watch</t>
        </is>
      </c>
    </row>
    <row r="172">
      <c r="A172" s="11" t="n">
        <v>168</v>
      </c>
      <c r="B172" s="10" t="inlineStr">
        <is>
          <t>E.6.6 Scientific software engineering and fleet operations</t>
        </is>
      </c>
      <c r="C172" s="10" t="inlineStr">
        <is>
          <t>GROMACS: Testing and testing infrastructure</t>
        </is>
      </c>
      <c r="D172" s="10" t="inlineStr">
        <is>
          <t>BioExcel</t>
        </is>
      </c>
      <c r="E172" s="11" t="inlineStr">
        <is>
          <t>1:22:04</t>
        </is>
      </c>
      <c r="F172" s="11" t="inlineStr">
        <is>
          <t>Not started</t>
        </is>
      </c>
      <c r="G172" s="14" t="inlineStr">
        <is>
          <t>▶ watch</t>
        </is>
      </c>
    </row>
    <row r="173">
      <c r="A173" s="11" t="n">
        <v>169</v>
      </c>
      <c r="B173" s="10" t="inlineStr">
        <is>
          <t>E.6.6 Scientific software engineering and fleet operations</t>
        </is>
      </c>
      <c r="C173" s="10" t="inlineStr">
        <is>
          <t>Container solutions for HPC: Singularity/Apptainer</t>
        </is>
      </c>
      <c r="D173" s="10" t="inlineStr"/>
      <c r="E173" s="11" t="inlineStr"/>
      <c r="F173" s="11" t="inlineStr">
        <is>
          <t>Not started</t>
        </is>
      </c>
      <c r="G173" s="14" t="inlineStr">
        <is>
          <t>▶ watch</t>
        </is>
      </c>
    </row>
    <row r="174">
      <c r="A174" s="11" t="n">
        <v>170</v>
      </c>
      <c r="B174" s="10" t="inlineStr">
        <is>
          <t>E.6.6 Scientific software engineering and fleet operations</t>
        </is>
      </c>
      <c r="C174" s="10" t="inlineStr">
        <is>
          <t>Container solutions for HPC: Singularity/Apptainer</t>
        </is>
      </c>
      <c r="D174" s="10" t="inlineStr"/>
      <c r="E174" s="11" t="inlineStr"/>
      <c r="F174" s="11" t="inlineStr">
        <is>
          <t>Not started</t>
        </is>
      </c>
      <c r="G174" s="14" t="inlineStr">
        <is>
          <t>▶ watch</t>
        </is>
      </c>
    </row>
    <row r="175">
      <c r="A175" s="11" t="n">
        <v>171</v>
      </c>
      <c r="B175" s="10" t="inlineStr">
        <is>
          <t>E.6.6 Scientific software engineering and fleet operations</t>
        </is>
      </c>
      <c r="C175" s="10" t="inlineStr">
        <is>
          <t>Flux Framework - hierarchical scheduling</t>
        </is>
      </c>
      <c r="D175" s="10" t="inlineStr"/>
      <c r="E175" s="11" t="inlineStr"/>
      <c r="F175" s="11" t="inlineStr">
        <is>
          <t>Not started</t>
        </is>
      </c>
      <c r="G175" s="14" t="inlineStr">
        <is>
          <t>▶ watch</t>
        </is>
      </c>
    </row>
    <row r="176">
      <c r="A176" s="11" t="n">
        <v>172</v>
      </c>
      <c r="B176" s="10" t="inlineStr">
        <is>
          <t>E.6.6 Scientific software engineering and fleet operations</t>
        </is>
      </c>
      <c r="C176" s="10" t="inlineStr">
        <is>
          <t>Spack</t>
        </is>
      </c>
      <c r="D176" s="10" t="inlineStr"/>
      <c r="E176" s="11" t="inlineStr"/>
      <c r="F176" s="11" t="inlineStr">
        <is>
          <t>Not started</t>
        </is>
      </c>
      <c r="G176" s="14" t="inlineStr">
        <is>
          <t>▶ watch</t>
        </is>
      </c>
    </row>
    <row r="177">
      <c r="A177" s="11" t="n">
        <v>173</v>
      </c>
      <c r="B177" s="10" t="inlineStr">
        <is>
          <t>E.6.7 Exascale, and what actually scaled</t>
        </is>
      </c>
      <c r="C177" s="10" t="inlineStr">
        <is>
          <t>ECP Applications: Lessons Learned</t>
        </is>
      </c>
      <c r="D177" s="10" t="inlineStr"/>
      <c r="E177" s="11" t="inlineStr"/>
      <c r="F177" s="11" t="inlineStr">
        <is>
          <t>Not started</t>
        </is>
      </c>
      <c r="G177" s="14" t="inlineStr">
        <is>
          <t>▶ watch</t>
        </is>
      </c>
    </row>
    <row r="178">
      <c r="A178" s="11" t="n">
        <v>174</v>
      </c>
      <c r="B178" s="10" t="inlineStr">
        <is>
          <t>E.6.7 Exascale, and what actually scaled</t>
        </is>
      </c>
      <c r="C178" s="10" t="inlineStr">
        <is>
          <t>ECP Applications: Lessons Learned</t>
        </is>
      </c>
      <c r="D178" s="10" t="inlineStr"/>
      <c r="E178" s="11" t="inlineStr"/>
      <c r="F178" s="11" t="inlineStr">
        <is>
          <t>Not started</t>
        </is>
      </c>
      <c r="G178" s="14" t="inlineStr">
        <is>
          <t>▶ watch</t>
        </is>
      </c>
    </row>
    <row r="179">
      <c r="A179" s="11" t="n">
        <v>175</v>
      </c>
      <c r="B179" s="10" t="inlineStr">
        <is>
          <t>E.6.7 Exascale, and what actually scaled</t>
        </is>
      </c>
      <c r="C179" s="10" t="inlineStr">
        <is>
          <t>Performance of Particle Applications on Early Exascale Hardware</t>
        </is>
      </c>
      <c r="D179" s="10" t="inlineStr"/>
      <c r="E179" s="11" t="inlineStr"/>
      <c r="F179" s="11" t="inlineStr">
        <is>
          <t>Not started</t>
        </is>
      </c>
      <c r="G179" s="14" t="inlineStr">
        <is>
          <t>▶ watch</t>
        </is>
      </c>
    </row>
    <row r="180">
      <c r="A180" s="11" t="n">
        <v>176</v>
      </c>
      <c r="B180" s="10" t="inlineStr">
        <is>
          <t>E.6.7 Exascale, and what actually scaled</t>
        </is>
      </c>
      <c r="C180" s="10" t="inlineStr">
        <is>
          <t>Characterizing Performance Improvements in ECP Projects</t>
        </is>
      </c>
      <c r="D180" s="10" t="inlineStr"/>
      <c r="E180" s="11" t="inlineStr"/>
      <c r="F180" s="11" t="inlineStr">
        <is>
          <t>Not started</t>
        </is>
      </c>
      <c r="G180" s="14" t="inlineStr">
        <is>
          <t>▶ watch</t>
        </is>
      </c>
    </row>
    <row r="181">
      <c r="A181" s="11" t="n">
        <v>177</v>
      </c>
      <c r="B181" s="10" t="inlineStr">
        <is>
          <t>B.1 Jeffrey Gray - Computational Protein Structure Prediction and Design (JHU 540.414/614</t>
        </is>
      </c>
      <c r="C181" s="10" t="inlineStr">
        <is>
          <t>How Deep Learning is Changing Protein Structure Prediction and Design</t>
        </is>
      </c>
      <c r="D181" s="10" t="inlineStr"/>
      <c r="E181" s="11" t="inlineStr">
        <is>
          <t>1:10:38</t>
        </is>
      </c>
      <c r="F181" s="11" t="inlineStr">
        <is>
          <t>Not started</t>
        </is>
      </c>
      <c r="G181" s="14" t="inlineStr">
        <is>
          <t>▶ watch</t>
        </is>
      </c>
    </row>
    <row r="182">
      <c r="A182" s="11" t="n">
        <v>178</v>
      </c>
      <c r="B182" s="10" t="inlineStr">
        <is>
          <t>B.3 PLUMED Masterclass - 43 videos</t>
        </is>
      </c>
      <c r="C182" s="10" t="inlineStr">
        <is>
          <t>Statistical errors in MD (Tribello</t>
        </is>
      </c>
      <c r="D182" s="10" t="inlineStr"/>
      <c r="E182" s="11" t="inlineStr">
        <is>
          <t>42:11</t>
        </is>
      </c>
      <c r="F182" s="11" t="inlineStr">
        <is>
          <t>Not started</t>
        </is>
      </c>
      <c r="G182" s="14" t="inlineStr">
        <is>
          <t>▶ watch</t>
        </is>
      </c>
    </row>
    <row r="183">
      <c r="A183" s="11" t="n">
        <v>179</v>
      </c>
      <c r="B183" s="10" t="inlineStr">
        <is>
          <t>B.3 PLUMED Masterclass - 43 videos</t>
        </is>
      </c>
      <c r="C183" s="10" t="inlineStr">
        <is>
          <t>Statistical errors in MD (Tribello</t>
        </is>
      </c>
      <c r="D183" s="10" t="inlineStr"/>
      <c r="E183" s="11" t="inlineStr">
        <is>
          <t>42:11</t>
        </is>
      </c>
      <c r="F183" s="11" t="inlineStr">
        <is>
          <t>Not started</t>
        </is>
      </c>
      <c r="G183" s="14" t="inlineStr">
        <is>
          <t>▶ watch</t>
        </is>
      </c>
    </row>
    <row r="184">
      <c r="A184" s="11" t="n">
        <v>180</v>
      </c>
      <c r="B184" s="10" t="inlineStr">
        <is>
          <t>B.3 PLUMED Masterclass - 43 videos</t>
        </is>
      </c>
      <c r="C184" s="10" t="inlineStr">
        <is>
          <t>Umbrella sampling (Bussi</t>
        </is>
      </c>
      <c r="D184" s="10" t="inlineStr"/>
      <c r="E184" s="11" t="inlineStr">
        <is>
          <t>1:04:16</t>
        </is>
      </c>
      <c r="F184" s="11" t="inlineStr">
        <is>
          <t>Not started</t>
        </is>
      </c>
      <c r="G184" s="14" t="inlineStr">
        <is>
          <t>▶ watch</t>
        </is>
      </c>
    </row>
    <row r="185">
      <c r="A185" s="11" t="n">
        <v>181</v>
      </c>
      <c r="B185" s="10" t="inlineStr">
        <is>
          <t>B.3 PLUMED Masterclass - 43 videos</t>
        </is>
      </c>
      <c r="C185" s="10" t="inlineStr">
        <is>
          <t>Umbrella sampling (Bussi</t>
        </is>
      </c>
      <c r="D185" s="10" t="inlineStr"/>
      <c r="E185" s="11" t="inlineStr">
        <is>
          <t>1:04:16</t>
        </is>
      </c>
      <c r="F185" s="11" t="inlineStr">
        <is>
          <t>Not started</t>
        </is>
      </c>
      <c r="G185" s="14" t="inlineStr">
        <is>
          <t>▶ watch</t>
        </is>
      </c>
    </row>
    <row r="186">
      <c r="A186" s="11" t="n">
        <v>182</v>
      </c>
      <c r="B186" s="10" t="inlineStr">
        <is>
          <t>B.3 PLUMED Masterclass - 43 videos</t>
        </is>
      </c>
      <c r="C186" s="10" t="inlineStr">
        <is>
          <t>Metadynamics (Bonomi</t>
        </is>
      </c>
      <c r="D186" s="10" t="inlineStr"/>
      <c r="E186" s="11" t="inlineStr">
        <is>
          <t>45:31</t>
        </is>
      </c>
      <c r="F186" s="11" t="inlineStr">
        <is>
          <t>Not started</t>
        </is>
      </c>
      <c r="G186" s="14" t="inlineStr">
        <is>
          <t>▶ watch</t>
        </is>
      </c>
    </row>
    <row r="187">
      <c r="A187" s="11" t="n">
        <v>183</v>
      </c>
      <c r="B187" s="10" t="inlineStr">
        <is>
          <t>B.3 PLUMED Masterclass - 43 videos</t>
        </is>
      </c>
      <c r="C187" s="10" t="inlineStr">
        <is>
          <t>Metadynamics (Bonomi</t>
        </is>
      </c>
      <c r="D187" s="10" t="inlineStr"/>
      <c r="E187" s="11" t="inlineStr">
        <is>
          <t>45:31</t>
        </is>
      </c>
      <c r="F187" s="11" t="inlineStr">
        <is>
          <t>Not started</t>
        </is>
      </c>
      <c r="G187" s="14" t="inlineStr">
        <is>
          <t>▶ watch</t>
        </is>
      </c>
    </row>
    <row r="188">
      <c r="A188" s="11" t="n">
        <v>184</v>
      </c>
      <c r="B188" s="10" t="inlineStr">
        <is>
          <t>B.3 PLUMED Masterclass - 43 videos</t>
        </is>
      </c>
      <c r="C188" s="10" t="inlineStr">
        <is>
          <t>OPES (Invernizzi</t>
        </is>
      </c>
      <c r="D188" s="10" t="inlineStr"/>
      <c r="E188" s="11" t="inlineStr">
        <is>
          <t>58:17</t>
        </is>
      </c>
      <c r="F188" s="11" t="inlineStr">
        <is>
          <t>Not started</t>
        </is>
      </c>
      <c r="G188" s="14" t="inlineStr">
        <is>
          <t>▶ watch</t>
        </is>
      </c>
    </row>
    <row r="189">
      <c r="A189" s="11" t="n">
        <v>185</v>
      </c>
      <c r="B189" s="10" t="inlineStr">
        <is>
          <t>B.3 PLUMED Masterclass - 43 videos</t>
        </is>
      </c>
      <c r="C189" s="10" t="inlineStr">
        <is>
          <t>OPES (Invernizzi</t>
        </is>
      </c>
      <c r="D189" s="10" t="inlineStr"/>
      <c r="E189" s="11" t="inlineStr">
        <is>
          <t>58:17</t>
        </is>
      </c>
      <c r="F189" s="11" t="inlineStr">
        <is>
          <t>Not started</t>
        </is>
      </c>
      <c r="G189" s="14" t="inlineStr">
        <is>
          <t>▶ watch</t>
        </is>
      </c>
    </row>
    <row r="190">
      <c r="A190" s="11" t="n">
        <v>186</v>
      </c>
      <c r="B190" s="10" t="inlineStr">
        <is>
          <t>B.3 PLUMED Masterclass - 43 videos</t>
        </is>
      </c>
      <c r="C190" s="10" t="inlineStr">
        <is>
          <t>ML collective variables with PyTorch (Bonati</t>
        </is>
      </c>
      <c r="D190" s="10" t="inlineStr"/>
      <c r="E190" s="11" t="inlineStr">
        <is>
          <t>1:08:01</t>
        </is>
      </c>
      <c r="F190" s="11" t="inlineStr">
        <is>
          <t>Not started</t>
        </is>
      </c>
      <c r="G190" s="14" t="inlineStr">
        <is>
          <t>▶ watch</t>
        </is>
      </c>
    </row>
    <row r="191">
      <c r="A191" s="11" t="n">
        <v>187</v>
      </c>
      <c r="B191" s="10" t="inlineStr">
        <is>
          <t>B.3 PLUMED Masterclass - 43 videos</t>
        </is>
      </c>
      <c r="C191" s="10" t="inlineStr">
        <is>
          <t>ML collective variables with PyTorch (Bonati</t>
        </is>
      </c>
      <c r="D191" s="10" t="inlineStr"/>
      <c r="E191" s="11" t="inlineStr">
        <is>
          <t>1:08:01</t>
        </is>
      </c>
      <c r="F191" s="11" t="inlineStr">
        <is>
          <t>Not started</t>
        </is>
      </c>
      <c r="G191" s="14" t="inlineStr">
        <is>
          <t>▶ watch</t>
        </is>
      </c>
    </row>
    <row r="192">
      <c r="A192" s="11" t="n">
        <v>188</v>
      </c>
      <c r="B192" s="10" t="inlineStr">
        <is>
          <t>B.3 PLUMED Masterclass - 43 videos</t>
        </is>
      </c>
      <c r="C192" s="10" t="inlineStr">
        <is>
          <t>Information bottleneck / automated sampling (Tiwary</t>
        </is>
      </c>
      <c r="D192" s="10" t="inlineStr"/>
      <c r="E192" s="11" t="inlineStr">
        <is>
          <t>54:53</t>
        </is>
      </c>
      <c r="F192" s="11" t="inlineStr">
        <is>
          <t>Not started</t>
        </is>
      </c>
      <c r="G192" s="14" t="inlineStr">
        <is>
          <t>▶ watch</t>
        </is>
      </c>
    </row>
    <row r="193">
      <c r="A193" s="11" t="n">
        <v>189</v>
      </c>
      <c r="B193" s="10" t="inlineStr">
        <is>
          <t>B.3 PLUMED Masterclass - 43 videos</t>
        </is>
      </c>
      <c r="C193" s="10" t="inlineStr">
        <is>
          <t>Information bottleneck / automated sampling (Tiwary</t>
        </is>
      </c>
      <c r="D193" s="10" t="inlineStr"/>
      <c r="E193" s="11" t="inlineStr">
        <is>
          <t>54:53</t>
        </is>
      </c>
      <c r="F193" s="11" t="inlineStr">
        <is>
          <t>Not started</t>
        </is>
      </c>
      <c r="G193" s="14" t="inlineStr">
        <is>
          <t>▶ watch</t>
        </is>
      </c>
    </row>
    <row r="194">
      <c r="A194" s="11" t="n">
        <v>190</v>
      </c>
      <c r="B194" s="10" t="inlineStr">
        <is>
          <t>B.3 PLUMED Masterclass - 43 videos</t>
        </is>
      </c>
      <c r="C194" s="10" t="inlineStr">
        <is>
          <t>Path collective variables (Ensing</t>
        </is>
      </c>
      <c r="D194" s="10" t="inlineStr"/>
      <c r="E194" s="11" t="inlineStr">
        <is>
          <t>1:37:40</t>
        </is>
      </c>
      <c r="F194" s="11" t="inlineStr">
        <is>
          <t>Not started</t>
        </is>
      </c>
      <c r="G194" s="14" t="inlineStr">
        <is>
          <t>▶ watch</t>
        </is>
      </c>
    </row>
    <row r="195">
      <c r="A195" s="11" t="n">
        <v>191</v>
      </c>
      <c r="B195" s="10" t="inlineStr">
        <is>
          <t>B.3 PLUMED Masterclass - 43 videos</t>
        </is>
      </c>
      <c r="C195" s="10" t="inlineStr">
        <is>
          <t>Path collective variables (Ensing</t>
        </is>
      </c>
      <c r="D195" s="10" t="inlineStr"/>
      <c r="E195" s="11" t="inlineStr">
        <is>
          <t>1:37:40</t>
        </is>
      </c>
      <c r="F195" s="11" t="inlineStr">
        <is>
          <t>Not started</t>
        </is>
      </c>
      <c r="G195" s="14" t="inlineStr">
        <is>
          <t>▶ watch</t>
        </is>
      </c>
    </row>
    <row r="196">
      <c r="A196" s="11" t="n">
        <v>192</v>
      </c>
      <c r="B196" s="10" t="inlineStr">
        <is>
          <t>B.3 PLUMED Masterclass - 43 videos</t>
        </is>
      </c>
      <c r="C196" s="10" t="inlineStr">
        <is>
          <t>Bayesian cryo-EM integration into MD (Bonomi, Hoff</t>
        </is>
      </c>
      <c r="D196" s="10" t="inlineStr"/>
      <c r="E196" s="11" t="inlineStr">
        <is>
          <t>46:56</t>
        </is>
      </c>
      <c r="F196" s="11" t="inlineStr">
        <is>
          <t>Not started</t>
        </is>
      </c>
      <c r="G196" s="14" t="inlineStr">
        <is>
          <t>▶ watch</t>
        </is>
      </c>
    </row>
    <row r="197">
      <c r="A197" s="11" t="n">
        <v>193</v>
      </c>
      <c r="B197" s="10" t="inlineStr">
        <is>
          <t>B.3 PLUMED Masterclass - 43 videos</t>
        </is>
      </c>
      <c r="C197" s="10" t="inlineStr">
        <is>
          <t>Bayesian cryo-EM integration into MD (Bonomi, Hoff</t>
        </is>
      </c>
      <c r="D197" s="10" t="inlineStr"/>
      <c r="E197" s="11" t="inlineStr">
        <is>
          <t>46:56</t>
        </is>
      </c>
      <c r="F197" s="11" t="inlineStr">
        <is>
          <t>Not started</t>
        </is>
      </c>
      <c r="G197" s="14" t="inlineStr">
        <is>
          <t>▶ watch</t>
        </is>
      </c>
    </row>
    <row r="198">
      <c r="A198" s="11" t="n">
        <v>194</v>
      </c>
      <c r="B198" s="10" t="inlineStr">
        <is>
          <t>B.4 Workshop on Free Energy, Kinetics and MSM in Drug Design, 2018 - 43 videos</t>
        </is>
      </c>
      <c r="C198" s="10" t="inlineStr">
        <is>
          <t>Mark Murcko (keynote</t>
        </is>
      </c>
      <c r="D198" s="10" t="inlineStr">
        <is>
          <t>Michael Shirts</t>
        </is>
      </c>
      <c r="E198" s="11" t="inlineStr">
        <is>
          <t>31:11</t>
        </is>
      </c>
      <c r="F198" s="11" t="inlineStr">
        <is>
          <t>Not started</t>
        </is>
      </c>
      <c r="G198" s="14" t="inlineStr">
        <is>
          <t>▶ watch</t>
        </is>
      </c>
    </row>
    <row r="199">
      <c r="A199" s="11" t="n">
        <v>195</v>
      </c>
      <c r="B199" s="10" t="inlineStr">
        <is>
          <t>B.4 Workshop on Free Energy, Kinetics and MSM in Drug Design, 2018 - 43 videos</t>
        </is>
      </c>
      <c r="C199" s="10" t="inlineStr">
        <is>
          <t>Lucie Delemotte</t>
        </is>
      </c>
      <c r="D199" s="10" t="inlineStr">
        <is>
          <t>Frank Noé</t>
        </is>
      </c>
      <c r="E199" s="11" t="inlineStr">
        <is>
          <t>37:32</t>
        </is>
      </c>
      <c r="F199" s="11" t="inlineStr">
        <is>
          <t>Not started</t>
        </is>
      </c>
      <c r="G199" s="14" t="inlineStr">
        <is>
          <t>▶ watch</t>
        </is>
      </c>
    </row>
    <row r="200">
      <c r="A200" s="11" t="n">
        <v>196</v>
      </c>
      <c r="B200" s="10" t="inlineStr">
        <is>
          <t>B.4 Workshop on Free Energy, Kinetics and MSM in Drug Design, 2018 - 43 videos</t>
        </is>
      </c>
      <c r="C200" s="10" t="inlineStr">
        <is>
          <t>Pratyush Tiwary</t>
        </is>
      </c>
      <c r="D200" s="10" t="inlineStr">
        <is>
          <t>Greg Ross</t>
        </is>
      </c>
      <c r="E200" s="11" t="inlineStr">
        <is>
          <t>27:42</t>
        </is>
      </c>
      <c r="F200" s="11" t="inlineStr">
        <is>
          <t>Not started</t>
        </is>
      </c>
      <c r="G200" s="14" t="inlineStr">
        <is>
          <t>▶ watch</t>
        </is>
      </c>
    </row>
    <row r="201">
      <c r="A201" s="11" t="n">
        <v>197</v>
      </c>
      <c r="B201" s="10" t="inlineStr">
        <is>
          <t>B.4 Workshop on Free Energy, Kinetics and MSM in Drug Design, 2018 - 43 videos</t>
        </is>
      </c>
      <c r="C201" s="10" t="inlineStr">
        <is>
          <t>Pratyush Tiwary</t>
        </is>
      </c>
      <c r="D201" s="10" t="inlineStr">
        <is>
          <t>Greg Ross</t>
        </is>
      </c>
      <c r="E201" s="11" t="inlineStr">
        <is>
          <t>27:42</t>
        </is>
      </c>
      <c r="F201" s="11" t="inlineStr">
        <is>
          <t>Not started</t>
        </is>
      </c>
      <c r="G201" s="14" t="inlineStr">
        <is>
          <t>▶ watch</t>
        </is>
      </c>
    </row>
    <row r="202">
      <c r="A202" s="11" t="n">
        <v>198</v>
      </c>
      <c r="B202" s="10" t="inlineStr">
        <is>
          <t>B.4 Workshop on Free Energy, Kinetics and MSM in Drug Design, 2018 - 43 videos</t>
        </is>
      </c>
      <c r="C202" s="10" t="inlineStr">
        <is>
          <t>Cecilia Clementi</t>
        </is>
      </c>
      <c r="D202" s="10" t="inlineStr">
        <is>
          <t>David Koes</t>
        </is>
      </c>
      <c r="E202" s="11" t="inlineStr">
        <is>
          <t>30:33</t>
        </is>
      </c>
      <c r="F202" s="11" t="inlineStr">
        <is>
          <t>Not started</t>
        </is>
      </c>
      <c r="G202" s="14" t="inlineStr">
        <is>
          <t>▶ watch</t>
        </is>
      </c>
    </row>
    <row r="203">
      <c r="A203" s="11" t="n">
        <v>199</v>
      </c>
      <c r="B203" s="10" t="inlineStr">
        <is>
          <t>B.4 Workshop on Free Energy, Kinetics and MSM in Drug Design, 2018 - 43 videos</t>
        </is>
      </c>
      <c r="C203" s="10" t="inlineStr">
        <is>
          <t>Cecilia Clementi</t>
        </is>
      </c>
      <c r="D203" s="10" t="inlineStr">
        <is>
          <t>David Koes</t>
        </is>
      </c>
      <c r="E203" s="11" t="inlineStr">
        <is>
          <t>30:33</t>
        </is>
      </c>
      <c r="F203" s="11" t="inlineStr">
        <is>
          <t>Not started</t>
        </is>
      </c>
      <c r="G203" s="14" t="inlineStr">
        <is>
          <t>▶ watch</t>
        </is>
      </c>
    </row>
    <row r="204">
      <c r="A204" s="11" t="n">
        <v>200</v>
      </c>
      <c r="B204" s="10" t="inlineStr">
        <is>
          <t>B.4 Workshop on Free Energy, Kinetics and MSM in Drug Design, 2018 - 43 videos</t>
        </is>
      </c>
      <c r="C204" s="10" t="inlineStr">
        <is>
          <t>Israel Cabeza de Vaca</t>
        </is>
      </c>
      <c r="D204" s="10" t="inlineStr">
        <is>
          <t>Benoit Roux</t>
        </is>
      </c>
      <c r="E204" s="11" t="inlineStr">
        <is>
          <t>33:43</t>
        </is>
      </c>
      <c r="F204" s="11" t="inlineStr">
        <is>
          <t>Not started</t>
        </is>
      </c>
      <c r="G204" s="14" t="inlineStr">
        <is>
          <t>▶ watch</t>
        </is>
      </c>
    </row>
    <row r="205">
      <c r="A205" s="11" t="n">
        <v>201</v>
      </c>
      <c r="B205" s="10" t="inlineStr">
        <is>
          <t>B.4 Workshop on Free Energy, Kinetics and MSM in Drug Design, 2018 - 43 videos</t>
        </is>
      </c>
      <c r="C205" s="10" t="inlineStr">
        <is>
          <t>Lingle Wang (FEP+</t>
        </is>
      </c>
      <c r="D205" s="10" t="inlineStr">
        <is>
          <t>Léa El Khoury</t>
        </is>
      </c>
      <c r="E205" s="11" t="inlineStr">
        <is>
          <t>35:36</t>
        </is>
      </c>
      <c r="F205" s="11" t="inlineStr">
        <is>
          <t>Not started</t>
        </is>
      </c>
      <c r="G205" s="14" t="inlineStr">
        <is>
          <t>▶ watch</t>
        </is>
      </c>
    </row>
    <row r="206">
      <c r="A206" s="11" t="n">
        <v>202</v>
      </c>
      <c r="B206" s="10" t="inlineStr">
        <is>
          <t>B.4 Workshop on Free Energy, Kinetics and MSM in Drug Design, 2018 - 43 videos</t>
        </is>
      </c>
      <c r="C206" s="10" t="inlineStr">
        <is>
          <t>Christopher Bayly</t>
        </is>
      </c>
      <c r="D206" s="10" t="inlineStr">
        <is>
          <t>Greg Bowman</t>
        </is>
      </c>
      <c r="E206" s="11" t="inlineStr">
        <is>
          <t>33:23</t>
        </is>
      </c>
      <c r="F206" s="11" t="inlineStr">
        <is>
          <t>Not started</t>
        </is>
      </c>
      <c r="G206" s="14" t="inlineStr">
        <is>
          <t>▶ watch</t>
        </is>
      </c>
    </row>
    <row r="207">
      <c r="A207" s="11" t="n">
        <v>203</v>
      </c>
      <c r="B207" s="10" t="inlineStr">
        <is>
          <t>B.4 Workshop on Free Energy, Kinetics and MSM in Drug Design, 2018 - 43 videos</t>
        </is>
      </c>
      <c r="C207" s="10" t="inlineStr">
        <is>
          <t>Charlie Brooks</t>
        </is>
      </c>
      <c r="D207" s="10" t="inlineStr">
        <is>
          <t>Antonia Mey</t>
        </is>
      </c>
      <c r="E207" s="11" t="inlineStr">
        <is>
          <t>30:56</t>
        </is>
      </c>
      <c r="F207" s="11" t="inlineStr">
        <is>
          <t>Not started</t>
        </is>
      </c>
      <c r="G207" s="14" t="inlineStr">
        <is>
          <t>▶ watch</t>
        </is>
      </c>
    </row>
    <row r="208">
      <c r="A208" s="11" t="n">
        <v>204</v>
      </c>
      <c r="B208" s="10" t="inlineStr">
        <is>
          <t>B.4 Workshop on Free Energy, Kinetics and MSM in Drug Design, 2018 - 43 videos</t>
        </is>
      </c>
      <c r="C208" s="10" t="inlineStr">
        <is>
          <t>Chris Chipot</t>
        </is>
      </c>
      <c r="D208" s="10" t="inlineStr">
        <is>
          <t>Fabian Paul</t>
        </is>
      </c>
      <c r="E208" s="11" t="inlineStr">
        <is>
          <t>32:12</t>
        </is>
      </c>
      <c r="F208" s="11" t="inlineStr">
        <is>
          <t>Not started</t>
        </is>
      </c>
      <c r="G208" s="14" t="inlineStr">
        <is>
          <t>▶ watch</t>
        </is>
      </c>
    </row>
    <row r="209">
      <c r="A209" s="11" t="n">
        <v>205</v>
      </c>
      <c r="B209" s="10" t="inlineStr">
        <is>
          <t>B.4 Workshop on Free Energy, Kinetics and MSM in Drug Design, 2018 - 43 videos</t>
        </is>
      </c>
      <c r="C209" s="10" t="inlineStr">
        <is>
          <t>Chris Chipot</t>
        </is>
      </c>
      <c r="D209" s="10" t="inlineStr">
        <is>
          <t>Fabian Paul</t>
        </is>
      </c>
      <c r="E209" s="11" t="inlineStr">
        <is>
          <t>32:12</t>
        </is>
      </c>
      <c r="F209" s="11" t="inlineStr">
        <is>
          <t>Not started</t>
        </is>
      </c>
      <c r="G209" s="14" t="inlineStr">
        <is>
          <t>▶ watch</t>
        </is>
      </c>
    </row>
    <row r="210">
      <c r="A210" s="11" t="n">
        <v>206</v>
      </c>
      <c r="B210" s="10" t="inlineStr">
        <is>
          <t>B.4 Workshop on Free Energy, Kinetics and MSM in Drug Design, 2018 - 43 videos</t>
        </is>
      </c>
      <c r="C210" s="10" t="inlineStr">
        <is>
          <t>Jana Shen (constant-pH</t>
        </is>
      </c>
      <c r="D210" s="10" t="inlineStr">
        <is>
          <t>Justin Porter</t>
        </is>
      </c>
      <c r="E210" s="11" t="inlineStr">
        <is>
          <t>31:42</t>
        </is>
      </c>
      <c r="F210" s="11" t="inlineStr">
        <is>
          <t>Not started</t>
        </is>
      </c>
      <c r="G210" s="14" t="inlineStr">
        <is>
          <t>▶ watch</t>
        </is>
      </c>
    </row>
    <row r="211">
      <c r="A211" s="11" t="n">
        <v>207</v>
      </c>
      <c r="B211" s="10" t="inlineStr">
        <is>
          <t>B.4 Workshop on Free Energy, Kinetics and MSM in Drug Design, 2018 - 43 videos</t>
        </is>
      </c>
      <c r="C211" s="10" t="inlineStr">
        <is>
          <t>Jana Shen (constant-pH</t>
        </is>
      </c>
      <c r="D211" s="10" t="inlineStr">
        <is>
          <t>Justin Porter</t>
        </is>
      </c>
      <c r="E211" s="11" t="inlineStr">
        <is>
          <t>31:42</t>
        </is>
      </c>
      <c r="F211" s="11" t="inlineStr">
        <is>
          <t>Not started</t>
        </is>
      </c>
      <c r="G211" s="14" t="inlineStr">
        <is>
          <t>▶ watch</t>
        </is>
      </c>
    </row>
    <row r="212">
      <c r="A212" s="11" t="n">
        <v>208</v>
      </c>
      <c r="B212" s="10" t="inlineStr">
        <is>
          <t>B.4 Workshop on Free Energy, Kinetics and MSM in Drug Design, 2018 - 43 videos</t>
        </is>
      </c>
      <c r="C212" s="10" t="inlineStr">
        <is>
          <t>Rebecca Wade</t>
        </is>
      </c>
      <c r="D212" s="10" t="inlineStr">
        <is>
          <t>Zhifeng Jing</t>
        </is>
      </c>
      <c r="E212" s="11" t="inlineStr">
        <is>
          <t>32:26</t>
        </is>
      </c>
      <c r="F212" s="11" t="inlineStr">
        <is>
          <t>Not started</t>
        </is>
      </c>
      <c r="G212" s="14" t="inlineStr">
        <is>
          <t>▶ watch</t>
        </is>
      </c>
    </row>
    <row r="213">
      <c r="A213" s="11" t="n">
        <v>209</v>
      </c>
      <c r="B213" s="10" t="inlineStr">
        <is>
          <t>B.10 PyEMMA and Markov state models - 29 videos</t>
        </is>
      </c>
      <c r="C213" s="10" t="inlineStr">
        <is>
          <t>MSM theory</t>
        </is>
      </c>
      <c r="D213" s="10" t="inlineStr"/>
      <c r="E213" s="11" t="inlineStr">
        <is>
          <t>1:00:32</t>
        </is>
      </c>
      <c r="F213" s="11" t="inlineStr">
        <is>
          <t>Not started</t>
        </is>
      </c>
      <c r="G213" s="14" t="inlineStr">
        <is>
          <t>▶ watch</t>
        </is>
      </c>
    </row>
    <row r="214">
      <c r="A214" s="11" t="n">
        <v>210</v>
      </c>
      <c r="B214" s="10" t="inlineStr">
        <is>
          <t>B.10 PyEMMA and Markov state models - 29 videos</t>
        </is>
      </c>
      <c r="C214" s="10" t="inlineStr">
        <is>
          <t>MSM estimation</t>
        </is>
      </c>
      <c r="D214" s="10" t="inlineStr"/>
      <c r="E214" s="11" t="inlineStr">
        <is>
          <t>51:04</t>
        </is>
      </c>
      <c r="F214" s="11" t="inlineStr">
        <is>
          <t>Not started</t>
        </is>
      </c>
      <c r="G214" s="14" t="inlineStr">
        <is>
          <t>▶ watch</t>
        </is>
      </c>
    </row>
    <row r="215">
      <c r="A215" s="11" t="n">
        <v>211</v>
      </c>
      <c r="B215" s="10" t="inlineStr">
        <is>
          <t>B.10 PyEMMA and Markov state models - 29 videos</t>
        </is>
      </c>
      <c r="C215" s="10" t="inlineStr">
        <is>
          <t>Transition path theory</t>
        </is>
      </c>
      <c r="D215" s="10" t="inlineStr"/>
      <c r="E215" s="11" t="inlineStr">
        <is>
          <t>41:23</t>
        </is>
      </c>
      <c r="F215" s="11" t="inlineStr">
        <is>
          <t>Not started</t>
        </is>
      </c>
      <c r="G215" s="14" t="inlineStr">
        <is>
          <t>▶ watch</t>
        </is>
      </c>
    </row>
    <row r="216">
      <c r="A216" s="11" t="n">
        <v>212</v>
      </c>
      <c r="B216" s="10" t="inlineStr">
        <is>
          <t>B.10 PyEMMA and Markov state models - 29 videos</t>
        </is>
      </c>
      <c r="C216" s="10" t="inlineStr">
        <is>
          <t>MSM estimation and validation</t>
        </is>
      </c>
      <c r="D216" s="10" t="inlineStr"/>
      <c r="E216" s="11" t="inlineStr"/>
      <c r="F216" s="11" t="inlineStr">
        <is>
          <t>Not started</t>
        </is>
      </c>
      <c r="G216" s="14" t="inlineStr">
        <is>
          <t>▶ watch</t>
        </is>
      </c>
    </row>
    <row r="217">
      <c r="A217" s="11" t="n">
        <v>213</v>
      </c>
      <c r="B217" s="10" t="inlineStr">
        <is>
          <t>B.10 PyEMMA and Markov state models - 29 videos</t>
        </is>
      </c>
      <c r="C217" s="10" t="inlineStr">
        <is>
          <t>PCCA++ coarse graining</t>
        </is>
      </c>
      <c r="D217" s="10" t="inlineStr"/>
      <c r="E217" s="11" t="inlineStr"/>
      <c r="F217" s="11" t="inlineStr">
        <is>
          <t>Not started</t>
        </is>
      </c>
      <c r="G217" s="14" t="inlineStr">
        <is>
          <t>▶ watch</t>
        </is>
      </c>
    </row>
    <row r="218">
      <c r="A218" s="11" t="n">
        <v>214</v>
      </c>
      <c r="B218" s="10" t="inlineStr">
        <is>
          <t>B.10 PyEMMA and Markov state models - 29 videos</t>
        </is>
      </c>
      <c r="C218" s="10" t="inlineStr">
        <is>
          <t>VAMP score model selection</t>
        </is>
      </c>
      <c r="D218" s="10" t="inlineStr"/>
      <c r="E218" s="11" t="inlineStr"/>
      <c r="F218" s="11" t="inlineStr">
        <is>
          <t>Not started</t>
        </is>
      </c>
      <c r="G218" s="14" t="inlineStr">
        <is>
          <t>▶ watch</t>
        </is>
      </c>
    </row>
    <row r="219">
      <c r="A219" s="11" t="n">
        <v>215</v>
      </c>
      <c r="B219" s="10" t="inlineStr">
        <is>
          <t>B.10 PyEMMA and Markov state models - 29 videos</t>
        </is>
      </c>
      <c r="C219" s="10" t="inlineStr">
        <is>
          <t>VAMP score model selection</t>
        </is>
      </c>
      <c r="D219" s="10" t="inlineStr"/>
      <c r="E219" s="11" t="inlineStr"/>
      <c r="F219" s="11" t="inlineStr">
        <is>
          <t>Not started</t>
        </is>
      </c>
      <c r="G219" s="14" t="inlineStr">
        <is>
          <t>▶ watch</t>
        </is>
      </c>
    </row>
    <row r="220">
      <c r="A220" s="11" t="n">
        <v>216</v>
      </c>
      <c r="B220" s="10" t="inlineStr">
        <is>
          <t>B.10 PyEMMA and Markov state models - 29 videos</t>
        </is>
      </c>
      <c r="C220" s="10" t="inlineStr">
        <is>
          <t>VAMP theory</t>
        </is>
      </c>
      <c r="D220" s="10" t="inlineStr"/>
      <c r="E220" s="11" t="inlineStr"/>
      <c r="F220" s="11" t="inlineStr">
        <is>
          <t>Not started</t>
        </is>
      </c>
      <c r="G220" s="14" t="inlineStr">
        <is>
          <t>▶ watch</t>
        </is>
      </c>
    </row>
    <row r="221">
      <c r="A221" s="11" t="n">
        <v>217</v>
      </c>
      <c r="B221" s="10" t="inlineStr">
        <is>
          <t>B.10 PyEMMA and Markov state models - 29 videos</t>
        </is>
      </c>
      <c r="C221" s="10" t="inlineStr">
        <is>
          <t>VAMP theory</t>
        </is>
      </c>
      <c r="D221" s="10" t="inlineStr"/>
      <c r="E221" s="11" t="inlineStr"/>
      <c r="F221" s="11" t="inlineStr">
        <is>
          <t>Not started</t>
        </is>
      </c>
      <c r="G221" s="14" t="inlineStr">
        <is>
          <t>▶ watch</t>
        </is>
      </c>
    </row>
  </sheetData>
  <autoFilter ref="A4:G221"/>
  <mergeCells count="2">
    <mergeCell ref="A2:G2"/>
    <mergeCell ref="A1:G1"/>
  </mergeCells>
  <conditionalFormatting sqref="F5:F221">
    <cfRule type="cellIs" priority="1" operator="equal" dxfId="0">
      <formula>"Done"</formula>
    </cfRule>
  </conditionalFormatting>
  <dataValidations count="1">
    <dataValidation sqref="F5:F221" showDropDown="0" showInputMessage="0" showErrorMessage="0" allowBlank="1" type="list">
      <formula1>"Not started,Watching,Done,Skipped"</formula1>
    </dataValidation>
  </dataValidation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 xmlns:r="http://schemas.openxmlformats.org/officeDocument/2006/relationships" ref="G37" r:id="rId33"/>
    <hyperlink xmlns:r="http://schemas.openxmlformats.org/officeDocument/2006/relationships" ref="G38" r:id="rId34"/>
    <hyperlink xmlns:r="http://schemas.openxmlformats.org/officeDocument/2006/relationships" ref="G39" r:id="rId35"/>
    <hyperlink xmlns:r="http://schemas.openxmlformats.org/officeDocument/2006/relationships" ref="G40" r:id="rId36"/>
    <hyperlink xmlns:r="http://schemas.openxmlformats.org/officeDocument/2006/relationships" ref="G41" r:id="rId37"/>
    <hyperlink xmlns:r="http://schemas.openxmlformats.org/officeDocument/2006/relationships" ref="G42" r:id="rId38"/>
    <hyperlink xmlns:r="http://schemas.openxmlformats.org/officeDocument/2006/relationships" ref="G43" r:id="rId39"/>
    <hyperlink xmlns:r="http://schemas.openxmlformats.org/officeDocument/2006/relationships" ref="G44" r:id="rId40"/>
    <hyperlink xmlns:r="http://schemas.openxmlformats.org/officeDocument/2006/relationships" ref="G45" r:id="rId41"/>
    <hyperlink xmlns:r="http://schemas.openxmlformats.org/officeDocument/2006/relationships" ref="G46" r:id="rId42"/>
    <hyperlink xmlns:r="http://schemas.openxmlformats.org/officeDocument/2006/relationships" ref="G47" r:id="rId43"/>
    <hyperlink xmlns:r="http://schemas.openxmlformats.org/officeDocument/2006/relationships" ref="G48" r:id="rId44"/>
    <hyperlink xmlns:r="http://schemas.openxmlformats.org/officeDocument/2006/relationships" ref="G49" r:id="rId45"/>
    <hyperlink xmlns:r="http://schemas.openxmlformats.org/officeDocument/2006/relationships" ref="G50" r:id="rId46"/>
    <hyperlink xmlns:r="http://schemas.openxmlformats.org/officeDocument/2006/relationships" ref="G51" r:id="rId47"/>
    <hyperlink xmlns:r="http://schemas.openxmlformats.org/officeDocument/2006/relationships" ref="G52" r:id="rId48"/>
    <hyperlink xmlns:r="http://schemas.openxmlformats.org/officeDocument/2006/relationships" ref="G53" r:id="rId49"/>
    <hyperlink xmlns:r="http://schemas.openxmlformats.org/officeDocument/2006/relationships" ref="G54" r:id="rId50"/>
    <hyperlink xmlns:r="http://schemas.openxmlformats.org/officeDocument/2006/relationships" ref="G55" r:id="rId51"/>
    <hyperlink xmlns:r="http://schemas.openxmlformats.org/officeDocument/2006/relationships" ref="G56" r:id="rId52"/>
    <hyperlink xmlns:r="http://schemas.openxmlformats.org/officeDocument/2006/relationships" ref="G57" r:id="rId53"/>
    <hyperlink xmlns:r="http://schemas.openxmlformats.org/officeDocument/2006/relationships" ref="G58" r:id="rId54"/>
    <hyperlink xmlns:r="http://schemas.openxmlformats.org/officeDocument/2006/relationships" ref="G59" r:id="rId55"/>
    <hyperlink xmlns:r="http://schemas.openxmlformats.org/officeDocument/2006/relationships" ref="G60" r:id="rId56"/>
    <hyperlink xmlns:r="http://schemas.openxmlformats.org/officeDocument/2006/relationships" ref="G61" r:id="rId57"/>
    <hyperlink xmlns:r="http://schemas.openxmlformats.org/officeDocument/2006/relationships" ref="G62" r:id="rId58"/>
    <hyperlink xmlns:r="http://schemas.openxmlformats.org/officeDocument/2006/relationships" ref="G63" r:id="rId59"/>
    <hyperlink xmlns:r="http://schemas.openxmlformats.org/officeDocument/2006/relationships" ref="G64" r:id="rId60"/>
    <hyperlink xmlns:r="http://schemas.openxmlformats.org/officeDocument/2006/relationships" ref="G65" r:id="rId61"/>
    <hyperlink xmlns:r="http://schemas.openxmlformats.org/officeDocument/2006/relationships" ref="G66" r:id="rId62"/>
    <hyperlink xmlns:r="http://schemas.openxmlformats.org/officeDocument/2006/relationships" ref="G67" r:id="rId63"/>
    <hyperlink xmlns:r="http://schemas.openxmlformats.org/officeDocument/2006/relationships" ref="G68" r:id="rId64"/>
    <hyperlink xmlns:r="http://schemas.openxmlformats.org/officeDocument/2006/relationships" ref="G69" r:id="rId65"/>
    <hyperlink xmlns:r="http://schemas.openxmlformats.org/officeDocument/2006/relationships" ref="G70" r:id="rId66"/>
    <hyperlink xmlns:r="http://schemas.openxmlformats.org/officeDocument/2006/relationships" ref="G71" r:id="rId67"/>
    <hyperlink xmlns:r="http://schemas.openxmlformats.org/officeDocument/2006/relationships" ref="G72" r:id="rId68"/>
    <hyperlink xmlns:r="http://schemas.openxmlformats.org/officeDocument/2006/relationships" ref="G73" r:id="rId69"/>
    <hyperlink xmlns:r="http://schemas.openxmlformats.org/officeDocument/2006/relationships" ref="G74" r:id="rId70"/>
    <hyperlink xmlns:r="http://schemas.openxmlformats.org/officeDocument/2006/relationships" ref="G75" r:id="rId71"/>
    <hyperlink xmlns:r="http://schemas.openxmlformats.org/officeDocument/2006/relationships" ref="G76" r:id="rId72"/>
    <hyperlink xmlns:r="http://schemas.openxmlformats.org/officeDocument/2006/relationships" ref="G77" r:id="rId73"/>
    <hyperlink xmlns:r="http://schemas.openxmlformats.org/officeDocument/2006/relationships" ref="G78" r:id="rId74"/>
    <hyperlink xmlns:r="http://schemas.openxmlformats.org/officeDocument/2006/relationships" ref="G79" r:id="rId75"/>
    <hyperlink xmlns:r="http://schemas.openxmlformats.org/officeDocument/2006/relationships" ref="G80" r:id="rId76"/>
    <hyperlink xmlns:r="http://schemas.openxmlformats.org/officeDocument/2006/relationships" ref="G81" r:id="rId77"/>
    <hyperlink xmlns:r="http://schemas.openxmlformats.org/officeDocument/2006/relationships" ref="G82" r:id="rId78"/>
    <hyperlink xmlns:r="http://schemas.openxmlformats.org/officeDocument/2006/relationships" ref="G83" r:id="rId79"/>
    <hyperlink xmlns:r="http://schemas.openxmlformats.org/officeDocument/2006/relationships" ref="G84" r:id="rId80"/>
    <hyperlink xmlns:r="http://schemas.openxmlformats.org/officeDocument/2006/relationships" ref="G85" r:id="rId81"/>
    <hyperlink xmlns:r="http://schemas.openxmlformats.org/officeDocument/2006/relationships" ref="G86" r:id="rId82"/>
    <hyperlink xmlns:r="http://schemas.openxmlformats.org/officeDocument/2006/relationships" ref="G87" r:id="rId83"/>
    <hyperlink xmlns:r="http://schemas.openxmlformats.org/officeDocument/2006/relationships" ref="G88" r:id="rId84"/>
    <hyperlink xmlns:r="http://schemas.openxmlformats.org/officeDocument/2006/relationships" ref="G89" r:id="rId85"/>
    <hyperlink xmlns:r="http://schemas.openxmlformats.org/officeDocument/2006/relationships" ref="G90" r:id="rId86"/>
    <hyperlink xmlns:r="http://schemas.openxmlformats.org/officeDocument/2006/relationships" ref="G91" r:id="rId87"/>
    <hyperlink xmlns:r="http://schemas.openxmlformats.org/officeDocument/2006/relationships" ref="G92" r:id="rId88"/>
    <hyperlink xmlns:r="http://schemas.openxmlformats.org/officeDocument/2006/relationships" ref="G93" r:id="rId89"/>
    <hyperlink xmlns:r="http://schemas.openxmlformats.org/officeDocument/2006/relationships" ref="G94" r:id="rId90"/>
    <hyperlink xmlns:r="http://schemas.openxmlformats.org/officeDocument/2006/relationships" ref="G95" r:id="rId91"/>
    <hyperlink xmlns:r="http://schemas.openxmlformats.org/officeDocument/2006/relationships" ref="G96" r:id="rId92"/>
    <hyperlink xmlns:r="http://schemas.openxmlformats.org/officeDocument/2006/relationships" ref="G97" r:id="rId93"/>
    <hyperlink xmlns:r="http://schemas.openxmlformats.org/officeDocument/2006/relationships" ref="G98" r:id="rId94"/>
    <hyperlink xmlns:r="http://schemas.openxmlformats.org/officeDocument/2006/relationships" ref="G99" r:id="rId95"/>
    <hyperlink xmlns:r="http://schemas.openxmlformats.org/officeDocument/2006/relationships" ref="G100" r:id="rId96"/>
    <hyperlink xmlns:r="http://schemas.openxmlformats.org/officeDocument/2006/relationships" ref="G101" r:id="rId97"/>
    <hyperlink xmlns:r="http://schemas.openxmlformats.org/officeDocument/2006/relationships" ref="G102" r:id="rId98"/>
    <hyperlink xmlns:r="http://schemas.openxmlformats.org/officeDocument/2006/relationships" ref="G103" r:id="rId99"/>
    <hyperlink xmlns:r="http://schemas.openxmlformats.org/officeDocument/2006/relationships" ref="G104" r:id="rId100"/>
    <hyperlink xmlns:r="http://schemas.openxmlformats.org/officeDocument/2006/relationships" ref="G105" r:id="rId101"/>
    <hyperlink xmlns:r="http://schemas.openxmlformats.org/officeDocument/2006/relationships" ref="G106" r:id="rId102"/>
    <hyperlink xmlns:r="http://schemas.openxmlformats.org/officeDocument/2006/relationships" ref="G107" r:id="rId103"/>
    <hyperlink xmlns:r="http://schemas.openxmlformats.org/officeDocument/2006/relationships" ref="G108" r:id="rId104"/>
    <hyperlink xmlns:r="http://schemas.openxmlformats.org/officeDocument/2006/relationships" ref="G109" r:id="rId105"/>
    <hyperlink xmlns:r="http://schemas.openxmlformats.org/officeDocument/2006/relationships" ref="G110" r:id="rId106"/>
    <hyperlink xmlns:r="http://schemas.openxmlformats.org/officeDocument/2006/relationships" ref="G111" r:id="rId107"/>
    <hyperlink xmlns:r="http://schemas.openxmlformats.org/officeDocument/2006/relationships" ref="G112" r:id="rId108"/>
    <hyperlink xmlns:r="http://schemas.openxmlformats.org/officeDocument/2006/relationships" ref="G113" r:id="rId109"/>
    <hyperlink xmlns:r="http://schemas.openxmlformats.org/officeDocument/2006/relationships" ref="G114" r:id="rId110"/>
    <hyperlink xmlns:r="http://schemas.openxmlformats.org/officeDocument/2006/relationships" ref="G115" r:id="rId111"/>
    <hyperlink xmlns:r="http://schemas.openxmlformats.org/officeDocument/2006/relationships" ref="G116" r:id="rId112"/>
    <hyperlink xmlns:r="http://schemas.openxmlformats.org/officeDocument/2006/relationships" ref="G117" r:id="rId113"/>
    <hyperlink xmlns:r="http://schemas.openxmlformats.org/officeDocument/2006/relationships" ref="G118" r:id="rId114"/>
    <hyperlink xmlns:r="http://schemas.openxmlformats.org/officeDocument/2006/relationships" ref="G119" r:id="rId115"/>
    <hyperlink xmlns:r="http://schemas.openxmlformats.org/officeDocument/2006/relationships" ref="G120" r:id="rId116"/>
    <hyperlink xmlns:r="http://schemas.openxmlformats.org/officeDocument/2006/relationships" ref="G121" r:id="rId117"/>
    <hyperlink xmlns:r="http://schemas.openxmlformats.org/officeDocument/2006/relationships" ref="G122" r:id="rId118"/>
    <hyperlink xmlns:r="http://schemas.openxmlformats.org/officeDocument/2006/relationships" ref="G123" r:id="rId119"/>
    <hyperlink xmlns:r="http://schemas.openxmlformats.org/officeDocument/2006/relationships" ref="G124" r:id="rId120"/>
    <hyperlink xmlns:r="http://schemas.openxmlformats.org/officeDocument/2006/relationships" ref="G125" r:id="rId121"/>
    <hyperlink xmlns:r="http://schemas.openxmlformats.org/officeDocument/2006/relationships" ref="G126" r:id="rId122"/>
    <hyperlink xmlns:r="http://schemas.openxmlformats.org/officeDocument/2006/relationships" ref="G127" r:id="rId123"/>
    <hyperlink xmlns:r="http://schemas.openxmlformats.org/officeDocument/2006/relationships" ref="G128" r:id="rId124"/>
    <hyperlink xmlns:r="http://schemas.openxmlformats.org/officeDocument/2006/relationships" ref="G129" r:id="rId125"/>
    <hyperlink xmlns:r="http://schemas.openxmlformats.org/officeDocument/2006/relationships" ref="G130" r:id="rId126"/>
    <hyperlink xmlns:r="http://schemas.openxmlformats.org/officeDocument/2006/relationships" ref="G131" r:id="rId127"/>
    <hyperlink xmlns:r="http://schemas.openxmlformats.org/officeDocument/2006/relationships" ref="G132" r:id="rId128"/>
    <hyperlink xmlns:r="http://schemas.openxmlformats.org/officeDocument/2006/relationships" ref="G133" r:id="rId129"/>
    <hyperlink xmlns:r="http://schemas.openxmlformats.org/officeDocument/2006/relationships" ref="G134" r:id="rId130"/>
    <hyperlink xmlns:r="http://schemas.openxmlformats.org/officeDocument/2006/relationships" ref="G135" r:id="rId131"/>
    <hyperlink xmlns:r="http://schemas.openxmlformats.org/officeDocument/2006/relationships" ref="G136" r:id="rId132"/>
    <hyperlink xmlns:r="http://schemas.openxmlformats.org/officeDocument/2006/relationships" ref="G137" r:id="rId133"/>
    <hyperlink xmlns:r="http://schemas.openxmlformats.org/officeDocument/2006/relationships" ref="G138" r:id="rId134"/>
    <hyperlink xmlns:r="http://schemas.openxmlformats.org/officeDocument/2006/relationships" ref="G139" r:id="rId135"/>
    <hyperlink xmlns:r="http://schemas.openxmlformats.org/officeDocument/2006/relationships" ref="G140" r:id="rId136"/>
    <hyperlink xmlns:r="http://schemas.openxmlformats.org/officeDocument/2006/relationships" ref="G141" r:id="rId137"/>
    <hyperlink xmlns:r="http://schemas.openxmlformats.org/officeDocument/2006/relationships" ref="G142" r:id="rId138"/>
    <hyperlink xmlns:r="http://schemas.openxmlformats.org/officeDocument/2006/relationships" ref="G143" r:id="rId139"/>
    <hyperlink xmlns:r="http://schemas.openxmlformats.org/officeDocument/2006/relationships" ref="G144" r:id="rId140"/>
    <hyperlink xmlns:r="http://schemas.openxmlformats.org/officeDocument/2006/relationships" ref="G145" r:id="rId141"/>
    <hyperlink xmlns:r="http://schemas.openxmlformats.org/officeDocument/2006/relationships" ref="G146" r:id="rId142"/>
    <hyperlink xmlns:r="http://schemas.openxmlformats.org/officeDocument/2006/relationships" ref="G147" r:id="rId143"/>
    <hyperlink xmlns:r="http://schemas.openxmlformats.org/officeDocument/2006/relationships" ref="G148" r:id="rId144"/>
    <hyperlink xmlns:r="http://schemas.openxmlformats.org/officeDocument/2006/relationships" ref="G149" r:id="rId145"/>
    <hyperlink xmlns:r="http://schemas.openxmlformats.org/officeDocument/2006/relationships" ref="G150" r:id="rId146"/>
    <hyperlink xmlns:r="http://schemas.openxmlformats.org/officeDocument/2006/relationships" ref="G151" r:id="rId147"/>
    <hyperlink xmlns:r="http://schemas.openxmlformats.org/officeDocument/2006/relationships" ref="G152" r:id="rId148"/>
    <hyperlink xmlns:r="http://schemas.openxmlformats.org/officeDocument/2006/relationships" ref="G153" r:id="rId149"/>
    <hyperlink xmlns:r="http://schemas.openxmlformats.org/officeDocument/2006/relationships" ref="G154" r:id="rId150"/>
    <hyperlink xmlns:r="http://schemas.openxmlformats.org/officeDocument/2006/relationships" ref="G155" r:id="rId151"/>
    <hyperlink xmlns:r="http://schemas.openxmlformats.org/officeDocument/2006/relationships" ref="G156" r:id="rId152"/>
    <hyperlink xmlns:r="http://schemas.openxmlformats.org/officeDocument/2006/relationships" ref="G157" r:id="rId153"/>
    <hyperlink xmlns:r="http://schemas.openxmlformats.org/officeDocument/2006/relationships" ref="G158" r:id="rId154"/>
    <hyperlink xmlns:r="http://schemas.openxmlformats.org/officeDocument/2006/relationships" ref="G159" r:id="rId155"/>
    <hyperlink xmlns:r="http://schemas.openxmlformats.org/officeDocument/2006/relationships" ref="G160" r:id="rId156"/>
    <hyperlink xmlns:r="http://schemas.openxmlformats.org/officeDocument/2006/relationships" ref="G161" r:id="rId157"/>
    <hyperlink xmlns:r="http://schemas.openxmlformats.org/officeDocument/2006/relationships" ref="G162" r:id="rId158"/>
    <hyperlink xmlns:r="http://schemas.openxmlformats.org/officeDocument/2006/relationships" ref="G163" r:id="rId159"/>
    <hyperlink xmlns:r="http://schemas.openxmlformats.org/officeDocument/2006/relationships" ref="G164" r:id="rId160"/>
    <hyperlink xmlns:r="http://schemas.openxmlformats.org/officeDocument/2006/relationships" ref="G165" r:id="rId161"/>
    <hyperlink xmlns:r="http://schemas.openxmlformats.org/officeDocument/2006/relationships" ref="G166" r:id="rId162"/>
    <hyperlink xmlns:r="http://schemas.openxmlformats.org/officeDocument/2006/relationships" ref="G167" r:id="rId163"/>
    <hyperlink xmlns:r="http://schemas.openxmlformats.org/officeDocument/2006/relationships" ref="G168" r:id="rId164"/>
    <hyperlink xmlns:r="http://schemas.openxmlformats.org/officeDocument/2006/relationships" ref="G169" r:id="rId165"/>
    <hyperlink xmlns:r="http://schemas.openxmlformats.org/officeDocument/2006/relationships" ref="G170" r:id="rId166"/>
    <hyperlink xmlns:r="http://schemas.openxmlformats.org/officeDocument/2006/relationships" ref="G171" r:id="rId167"/>
    <hyperlink xmlns:r="http://schemas.openxmlformats.org/officeDocument/2006/relationships" ref="G172" r:id="rId168"/>
    <hyperlink xmlns:r="http://schemas.openxmlformats.org/officeDocument/2006/relationships" ref="G173" r:id="rId169"/>
    <hyperlink xmlns:r="http://schemas.openxmlformats.org/officeDocument/2006/relationships" ref="G174" r:id="rId170"/>
    <hyperlink xmlns:r="http://schemas.openxmlformats.org/officeDocument/2006/relationships" ref="G175" r:id="rId171"/>
    <hyperlink xmlns:r="http://schemas.openxmlformats.org/officeDocument/2006/relationships" ref="G176" r:id="rId172"/>
    <hyperlink xmlns:r="http://schemas.openxmlformats.org/officeDocument/2006/relationships" ref="G177" r:id="rId173"/>
    <hyperlink xmlns:r="http://schemas.openxmlformats.org/officeDocument/2006/relationships" ref="G178" r:id="rId174"/>
    <hyperlink xmlns:r="http://schemas.openxmlformats.org/officeDocument/2006/relationships" ref="G179" r:id="rId175"/>
    <hyperlink xmlns:r="http://schemas.openxmlformats.org/officeDocument/2006/relationships" ref="G180" r:id="rId176"/>
    <hyperlink xmlns:r="http://schemas.openxmlformats.org/officeDocument/2006/relationships" ref="G181" r:id="rId177"/>
    <hyperlink xmlns:r="http://schemas.openxmlformats.org/officeDocument/2006/relationships" ref="G182" r:id="rId178"/>
    <hyperlink xmlns:r="http://schemas.openxmlformats.org/officeDocument/2006/relationships" ref="G183" r:id="rId179"/>
    <hyperlink xmlns:r="http://schemas.openxmlformats.org/officeDocument/2006/relationships" ref="G184" r:id="rId180"/>
    <hyperlink xmlns:r="http://schemas.openxmlformats.org/officeDocument/2006/relationships" ref="G185" r:id="rId181"/>
    <hyperlink xmlns:r="http://schemas.openxmlformats.org/officeDocument/2006/relationships" ref="G186" r:id="rId182"/>
    <hyperlink xmlns:r="http://schemas.openxmlformats.org/officeDocument/2006/relationships" ref="G187" r:id="rId183"/>
    <hyperlink xmlns:r="http://schemas.openxmlformats.org/officeDocument/2006/relationships" ref="G188" r:id="rId184"/>
    <hyperlink xmlns:r="http://schemas.openxmlformats.org/officeDocument/2006/relationships" ref="G189" r:id="rId185"/>
    <hyperlink xmlns:r="http://schemas.openxmlformats.org/officeDocument/2006/relationships" ref="G190" r:id="rId186"/>
    <hyperlink xmlns:r="http://schemas.openxmlformats.org/officeDocument/2006/relationships" ref="G191" r:id="rId187"/>
    <hyperlink xmlns:r="http://schemas.openxmlformats.org/officeDocument/2006/relationships" ref="G192" r:id="rId188"/>
    <hyperlink xmlns:r="http://schemas.openxmlformats.org/officeDocument/2006/relationships" ref="G193" r:id="rId189"/>
    <hyperlink xmlns:r="http://schemas.openxmlformats.org/officeDocument/2006/relationships" ref="G194" r:id="rId190"/>
    <hyperlink xmlns:r="http://schemas.openxmlformats.org/officeDocument/2006/relationships" ref="G195" r:id="rId191"/>
    <hyperlink xmlns:r="http://schemas.openxmlformats.org/officeDocument/2006/relationships" ref="G196" r:id="rId192"/>
    <hyperlink xmlns:r="http://schemas.openxmlformats.org/officeDocument/2006/relationships" ref="G197" r:id="rId193"/>
    <hyperlink xmlns:r="http://schemas.openxmlformats.org/officeDocument/2006/relationships" ref="G198" r:id="rId194"/>
    <hyperlink xmlns:r="http://schemas.openxmlformats.org/officeDocument/2006/relationships" ref="G199" r:id="rId195"/>
    <hyperlink xmlns:r="http://schemas.openxmlformats.org/officeDocument/2006/relationships" ref="G200" r:id="rId196"/>
    <hyperlink xmlns:r="http://schemas.openxmlformats.org/officeDocument/2006/relationships" ref="G201" r:id="rId197"/>
    <hyperlink xmlns:r="http://schemas.openxmlformats.org/officeDocument/2006/relationships" ref="G202" r:id="rId198"/>
    <hyperlink xmlns:r="http://schemas.openxmlformats.org/officeDocument/2006/relationships" ref="G203" r:id="rId199"/>
    <hyperlink xmlns:r="http://schemas.openxmlformats.org/officeDocument/2006/relationships" ref="G204" r:id="rId200"/>
    <hyperlink xmlns:r="http://schemas.openxmlformats.org/officeDocument/2006/relationships" ref="G205" r:id="rId201"/>
    <hyperlink xmlns:r="http://schemas.openxmlformats.org/officeDocument/2006/relationships" ref="G206" r:id="rId202"/>
    <hyperlink xmlns:r="http://schemas.openxmlformats.org/officeDocument/2006/relationships" ref="G207" r:id="rId203"/>
    <hyperlink xmlns:r="http://schemas.openxmlformats.org/officeDocument/2006/relationships" ref="G208" r:id="rId204"/>
    <hyperlink xmlns:r="http://schemas.openxmlformats.org/officeDocument/2006/relationships" ref="G209" r:id="rId205"/>
    <hyperlink xmlns:r="http://schemas.openxmlformats.org/officeDocument/2006/relationships" ref="G210" r:id="rId206"/>
    <hyperlink xmlns:r="http://schemas.openxmlformats.org/officeDocument/2006/relationships" ref="G211" r:id="rId207"/>
    <hyperlink xmlns:r="http://schemas.openxmlformats.org/officeDocument/2006/relationships" ref="G212" r:id="rId208"/>
    <hyperlink xmlns:r="http://schemas.openxmlformats.org/officeDocument/2006/relationships" ref="G213" r:id="rId209"/>
    <hyperlink xmlns:r="http://schemas.openxmlformats.org/officeDocument/2006/relationships" ref="G214" r:id="rId210"/>
    <hyperlink xmlns:r="http://schemas.openxmlformats.org/officeDocument/2006/relationships" ref="G215" r:id="rId211"/>
    <hyperlink xmlns:r="http://schemas.openxmlformats.org/officeDocument/2006/relationships" ref="G216" r:id="rId212"/>
    <hyperlink xmlns:r="http://schemas.openxmlformats.org/officeDocument/2006/relationships" ref="G217" r:id="rId213"/>
    <hyperlink xmlns:r="http://schemas.openxmlformats.org/officeDocument/2006/relationships" ref="G218" r:id="rId214"/>
    <hyperlink xmlns:r="http://schemas.openxmlformats.org/officeDocument/2006/relationships" ref="G219" r:id="rId215"/>
    <hyperlink xmlns:r="http://schemas.openxmlformats.org/officeDocument/2006/relationships" ref="G220" r:id="rId216"/>
    <hyperlink xmlns:r="http://schemas.openxmlformats.org/officeDocument/2006/relationships" ref="G221" r:id="rId21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7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26" customWidth="1" min="3" max="3"/>
    <col width="46" customWidth="1" min="4" max="4"/>
    <col width="46" customWidth="1" min="5" max="5"/>
    <col width="54" customWidth="1" min="6" max="6"/>
    <col width="9" customWidth="1" min="7" max="7"/>
  </cols>
  <sheetData>
    <row r="1">
      <c r="A1" s="2" t="inlineStr">
        <is>
          <t>Watch this, then read that</t>
        </is>
      </c>
      <c r="B1" s="1" t="n"/>
      <c r="C1" s="1" t="n"/>
      <c r="D1" s="1" t="n"/>
      <c r="E1" s="1" t="n"/>
      <c r="F1" s="1" t="n"/>
      <c r="G1" s="1" t="n"/>
    </row>
    <row r="2">
      <c r="A2" s="3" t="inlineStr">
        <is>
          <t>The core study device. Watch the talk, read the paper it narrates, and write the gap between them. The question in the last column is what to hold while you do it.</t>
        </is>
      </c>
      <c r="B2" s="1" t="n"/>
      <c r="C2" s="1" t="n"/>
      <c r="D2" s="1" t="n"/>
      <c r="E2" s="1" t="n"/>
      <c r="F2" s="1" t="n"/>
      <c r="G2" s="1" t="n"/>
    </row>
    <row r="3">
      <c r="A3" s="1" t="n"/>
      <c r="B3" s="1" t="n"/>
      <c r="C3" s="1" t="n"/>
      <c r="D3" s="1" t="n"/>
      <c r="E3" s="1" t="n"/>
      <c r="F3" s="1" t="n"/>
      <c r="G3" s="1" t="n"/>
    </row>
    <row r="4" ht="28" customHeight="1">
      <c r="A4" s="7" t="inlineStr">
        <is>
          <t>#</t>
        </is>
      </c>
      <c r="B4" s="7" t="inlineStr">
        <is>
          <t>Part</t>
        </is>
      </c>
      <c r="C4" s="7" t="inlineStr">
        <is>
          <t>Section</t>
        </is>
      </c>
      <c r="D4" s="7" t="inlineStr">
        <is>
          <t>Watch this</t>
        </is>
      </c>
      <c r="E4" s="7" t="inlineStr">
        <is>
          <t>Then read this</t>
        </is>
      </c>
      <c r="F4" s="7" t="inlineStr">
        <is>
          <t>Hold this question</t>
        </is>
      </c>
      <c r="G4" s="7" t="inlineStr">
        <is>
          <t>Done</t>
        </is>
      </c>
    </row>
    <row r="5">
      <c r="A5" s="11" t="n">
        <v>1</v>
      </c>
      <c r="B5" s="8" t="inlineStr">
        <is>
          <t>Part I - Foundations</t>
        </is>
      </c>
      <c r="C5" s="10" t="inlineStr">
        <is>
          <t>B.1.5 Paired reading - Module B.1</t>
        </is>
      </c>
      <c r="D5" s="10" t="inlineStr">
        <is>
          <t>Strang 18.065 Lec 7 (Eckart-Young</t>
        </is>
      </c>
      <c r="E5" s="10" t="inlineStr">
        <is>
          <t>Any efficient-attention or memory-reduction paper for structure models</t>
        </is>
      </c>
      <c r="F5" s="10" t="inlineStr">
        <is>
          <t>Which block in a structure predictor is low-rank, and has anyone exploited it?</t>
        </is>
      </c>
      <c r="G5" s="11" t="inlineStr"/>
    </row>
    <row r="6">
      <c r="A6" s="11" t="n">
        <v>2</v>
      </c>
      <c r="B6" s="8" t="inlineStr">
        <is>
          <t>Part I - Foundations</t>
        </is>
      </c>
      <c r="C6" s="10" t="inlineStr">
        <is>
          <t>B.1.5 Paired reading - Module B.1</t>
        </is>
      </c>
      <c r="D6" s="10" t="inlineStr">
        <is>
          <t>Strang 18.065 Lec 34 (Procrustes</t>
        </is>
      </c>
      <c r="E6" s="10" t="inlineStr">
        <is>
          <t>Kabsch 1976</t>
        </is>
      </c>
      <c r="F6" s="10" t="inlineStr">
        <is>
          <t>Your RMSD calculation is solving a Procrustes problem. What does the SVD step do?</t>
        </is>
      </c>
      <c r="G6" s="11" t="inlineStr"/>
    </row>
    <row r="7">
      <c r="A7" s="11" t="n">
        <v>3</v>
      </c>
      <c r="B7" s="8" t="inlineStr">
        <is>
          <t>Part I - Foundations</t>
        </is>
      </c>
      <c r="C7" s="10" t="inlineStr">
        <is>
          <t>B.1.5 Paired reading - Module B.1</t>
        </is>
      </c>
      <c r="D7" s="10" t="inlineStr">
        <is>
          <t>Johnson &amp; Edelman 6.1 (adjoint ODE</t>
        </is>
      </c>
      <c r="E7" s="10" t="inlineStr">
        <is>
          <t>Chen et al. 2018, Neural Ordinary Differential Equations</t>
        </is>
      </c>
      <c r="F7" s="10" t="inlineStr">
        <is>
          <t>What is the memory cost of the adjoint method, and when is checkpointing better?</t>
        </is>
      </c>
      <c r="G7" s="11" t="inlineStr"/>
    </row>
    <row r="8">
      <c r="A8" s="11" t="n">
        <v>4</v>
      </c>
      <c r="B8" s="8" t="inlineStr">
        <is>
          <t>Part I - Foundations</t>
        </is>
      </c>
      <c r="C8" s="10" t="inlineStr">
        <is>
          <t>B.1.5 Paired reading - Module B.1</t>
        </is>
      </c>
      <c r="D8" s="10" t="inlineStr">
        <is>
          <t>Johnson &amp; Edelman 8.1 (eigenproblems</t>
        </is>
      </c>
      <c r="E8" s="10" t="inlineStr">
        <is>
          <t>Any normal-mode analysis paper</t>
        </is>
      </c>
      <c r="F8" s="10" t="inlineStr">
        <is>
          <t>Could you optimize a protein's normal-mode spectrum by gradient descent?</t>
        </is>
      </c>
      <c r="G8" s="11" t="inlineStr"/>
    </row>
    <row r="9">
      <c r="A9" s="11" t="n">
        <v>5</v>
      </c>
      <c r="B9" s="8" t="inlineStr">
        <is>
          <t>Part I - Foundations</t>
        </is>
      </c>
      <c r="C9" s="10" t="inlineStr">
        <is>
          <t>B.1.5 Paired reading - Module B.1</t>
        </is>
      </c>
      <c r="D9" s="10" t="inlineStr">
        <is>
          <t>Gallager 6.262 (Markov chains</t>
        </is>
      </c>
      <c r="E9" s="10" t="inlineStr">
        <is>
          <t>Prinz et al. 2011</t>
        </is>
      </c>
      <c r="F9" s="10" t="inlineStr">
        <is>
          <t>What must hold for a coarse-grained chain to remain Markovian?</t>
        </is>
      </c>
      <c r="G9" s="11" t="inlineStr"/>
    </row>
    <row r="10">
      <c r="A10" s="11" t="n">
        <v>6</v>
      </c>
      <c r="B10" s="8" t="inlineStr">
        <is>
          <t>Part I - Foundations</t>
        </is>
      </c>
      <c r="C10" s="10" t="inlineStr">
        <is>
          <t>B.1.5 Paired reading - Module B.1</t>
        </is>
      </c>
      <c r="D10" s="10" t="inlineStr">
        <is>
          <t>Rigollet 18.650</t>
        </is>
      </c>
      <c r="E10" s="10" t="inlineStr">
        <is>
          <t>Any design paper reporting a success rate</t>
        </is>
      </c>
      <c r="F10" s="10" t="inlineStr">
        <is>
          <t>What is the confidence interval on 3/50? Is it ever reported?</t>
        </is>
      </c>
      <c r="G10" s="11" t="inlineStr"/>
    </row>
    <row r="11">
      <c r="A11" s="11" t="n">
        <v>7</v>
      </c>
      <c r="B11" s="8" t="inlineStr">
        <is>
          <t>Part I - Foundations</t>
        </is>
      </c>
      <c r="C11" s="10" t="inlineStr">
        <is>
          <t>B.1.5 Paired reading - Module B.1</t>
        </is>
      </c>
      <c r="D11" s="10" t="inlineStr">
        <is>
          <t>McElreath, Statistical Rethinking</t>
        </is>
      </c>
      <c r="E11" s="10" t="inlineStr">
        <is>
          <t>Kapoor &amp; Narayanan 2023</t>
        </is>
      </c>
      <c r="F11" s="10" t="inlineStr">
        <is>
          <t>Draw the causal diagram for a design benchmark. Where does leakage enter?</t>
        </is>
      </c>
      <c r="G11" s="11" t="inlineStr"/>
    </row>
    <row r="12">
      <c r="A12" s="11" t="n">
        <v>8</v>
      </c>
      <c r="B12" s="8" t="inlineStr">
        <is>
          <t>Part I - Foundations</t>
        </is>
      </c>
      <c r="C12" s="10" t="inlineStr">
        <is>
          <t>B.1.5 Paired reading - Module B.1</t>
        </is>
      </c>
      <c r="D12" s="10" t="inlineStr">
        <is>
          <t>MacKay Lec 1–5</t>
        </is>
      </c>
      <c r="E12" s="10" t="inlineStr">
        <is>
          <t>Shannon 1948</t>
        </is>
      </c>
      <c r="F12" s="10" t="inlineStr">
        <is>
          <t>Perplexity measures compression. What would show the compression is biophysical?</t>
        </is>
      </c>
      <c r="G12" s="11" t="inlineStr"/>
    </row>
    <row r="13">
      <c r="A13" s="11" t="n">
        <v>9</v>
      </c>
      <c r="B13" s="8" t="inlineStr">
        <is>
          <t>Part I - Foundations</t>
        </is>
      </c>
      <c r="C13" s="10" t="inlineStr">
        <is>
          <t>B.1.5 Paired reading - Module B.1</t>
        </is>
      </c>
      <c r="D13" s="10" t="inlineStr">
        <is>
          <t>MacKay Lec 12–13</t>
        </is>
      </c>
      <c r="E13" s="10" t="inlineStr">
        <is>
          <t>Metropolis et al. 1953; Neal on slice sampling</t>
        </is>
      </c>
      <c r="F13" s="10" t="inlineStr">
        <is>
          <t>Detailed balance is sufficient, not necessary. What is necessary?</t>
        </is>
      </c>
      <c r="G13" s="11" t="inlineStr"/>
    </row>
    <row r="14">
      <c r="A14" s="11" t="n">
        <v>10</v>
      </c>
      <c r="B14" s="8" t="inlineStr">
        <is>
          <t>Part I - Foundations</t>
        </is>
      </c>
      <c r="C14" s="10" t="inlineStr">
        <is>
          <t>B.1.5 Paired reading - Module B.1</t>
        </is>
      </c>
      <c r="D14" s="10" t="inlineStr">
        <is>
          <t>Hennig, Probabilistic ML</t>
        </is>
      </c>
      <c r="E14" s="10" t="inlineStr">
        <is>
          <t>Guo et al., On calibration of modern neural networks</t>
        </is>
      </c>
      <c r="F14" s="10" t="inlineStr">
        <is>
          <t>Is pLDDT calibrated? Design the experiment that settles it.</t>
        </is>
      </c>
      <c r="G14" s="11" t="inlineStr"/>
    </row>
    <row r="15">
      <c r="A15" s="11" t="n">
        <v>11</v>
      </c>
      <c r="B15" s="8" t="inlineStr">
        <is>
          <t>Part I - Foundations</t>
        </is>
      </c>
      <c r="C15" s="10" t="inlineStr">
        <is>
          <t>B.2.7 Paired reading - Module B.2</t>
        </is>
      </c>
      <c r="D15" s="10" t="inlineStr">
        <is>
          <t>Kardar Units I–II</t>
        </is>
      </c>
      <c r="E15" s="10" t="inlineStr">
        <is>
          <t>Any text on ensemble equivalence</t>
        </is>
      </c>
      <c r="F15" s="10" t="inlineStr">
        <is>
          <t>When do canonical and microcanonical disagree, and does it ever matter for a protein?</t>
        </is>
      </c>
      <c r="G15" s="11" t="inlineStr"/>
    </row>
    <row r="16">
      <c r="A16" s="11" t="n">
        <v>12</v>
      </c>
      <c r="B16" s="8" t="inlineStr">
        <is>
          <t>Part I - Foundations</t>
        </is>
      </c>
      <c r="C16" s="10" t="inlineStr">
        <is>
          <t>B.2.7 Paired reading - Module B.2</t>
        </is>
      </c>
      <c r="D16" s="10" t="inlineStr">
        <is>
          <t>Kardar Unit IV</t>
        </is>
      </c>
      <c r="E16" s="10" t="inlineStr">
        <is>
          <t>Zwanzig 1954</t>
        </is>
      </c>
      <c r="F16" s="10" t="inlineStr">
        <is>
          <t>FEP is exact. Why does it fail in practice, and what quantity governs the failure?</t>
        </is>
      </c>
      <c r="G16" s="11" t="inlineStr"/>
    </row>
    <row r="17">
      <c r="A17" s="11" t="n">
        <v>13</v>
      </c>
      <c r="B17" s="8" t="inlineStr">
        <is>
          <t>Part I - Foundations</t>
        </is>
      </c>
      <c r="C17" s="10" t="inlineStr">
        <is>
          <t>B.2.7 Paired reading - Module B.2</t>
        </is>
      </c>
      <c r="D17" s="10" t="inlineStr">
        <is>
          <t>Kardar Unit V (interacting particles</t>
        </is>
      </c>
      <c r="E17" s="10" t="inlineStr">
        <is>
          <t>Any implicit-solvent or mean-field DCA paper</t>
        </is>
      </c>
      <c r="F17" s="10" t="inlineStr">
        <is>
          <t>Both are mean-field approximations. What exactly is being averaged over?</t>
        </is>
      </c>
      <c r="G17" s="11" t="inlineStr"/>
    </row>
    <row r="18">
      <c r="A18" s="11" t="n">
        <v>14</v>
      </c>
      <c r="B18" s="8" t="inlineStr">
        <is>
          <t>Part I - Foundations</t>
        </is>
      </c>
      <c r="C18" s="10" t="inlineStr">
        <is>
          <t>B.2.7 Paired reading - Module B.2</t>
        </is>
      </c>
      <c r="D18" s="10" t="inlineStr">
        <is>
          <t>Balakrishnan SP 12–16</t>
        </is>
      </c>
      <c r="E18" s="10" t="inlineStr">
        <is>
          <t>Any Langevin thermostat paper</t>
        </is>
      </c>
      <c r="F18" s="10" t="inlineStr">
        <is>
          <t>Which thermostats preserve correct dynamics, and which only the correct distribution?</t>
        </is>
      </c>
      <c r="G18" s="11" t="inlineStr"/>
    </row>
    <row r="19">
      <c r="A19" s="11" t="n">
        <v>15</v>
      </c>
      <c r="B19" s="8" t="inlineStr">
        <is>
          <t>Part I - Foundations</t>
        </is>
      </c>
      <c r="C19" s="10" t="inlineStr">
        <is>
          <t>B.2.7 Paired reading - Module B.2</t>
        </is>
      </c>
      <c r="D19" s="10" t="inlineStr">
        <is>
          <t>Balakrishnan SP 23–24</t>
        </is>
      </c>
      <c r="E19" s="10" t="inlineStr">
        <is>
          <t>Kramers 1940</t>
        </is>
      </c>
      <c r="F19" s="10" t="inlineStr">
        <is>
          <t>Derive the rate from first-passage theory. Where does the barrier height enter?</t>
        </is>
      </c>
      <c r="G19" s="11" t="inlineStr"/>
    </row>
    <row r="20">
      <c r="A20" s="11" t="n">
        <v>16</v>
      </c>
      <c r="B20" s="8" t="inlineStr">
        <is>
          <t>Part I - Foundations</t>
        </is>
      </c>
      <c r="C20" s="10" t="inlineStr">
        <is>
          <t>B.2.7 Paired reading - Module B.2</t>
        </is>
      </c>
      <c r="D20" s="10" t="inlineStr">
        <is>
          <t>Balakrishnan NESM 6–12</t>
        </is>
      </c>
      <c r="E20" s="10" t="inlineStr">
        <is>
          <t>Any Green-Kubo derivation</t>
        </is>
      </c>
      <c r="F20" s="10" t="inlineStr">
        <is>
          <t>Transport coefficients from equilibrium fluctuations - what is the protein analogue?</t>
        </is>
      </c>
      <c r="G20" s="11" t="inlineStr"/>
    </row>
    <row r="21">
      <c r="A21" s="11" t="n">
        <v>17</v>
      </c>
      <c r="B21" s="8" t="inlineStr">
        <is>
          <t>Part I - Foundations</t>
        </is>
      </c>
      <c r="C21" s="10" t="inlineStr">
        <is>
          <t>B.2.7 Paired reading - Module B.2</t>
        </is>
      </c>
      <c r="D21" s="10" t="inlineStr">
        <is>
          <t>Balakrishnan NESM 20–21</t>
        </is>
      </c>
      <c r="E21" s="10" t="inlineStr">
        <is>
          <t>Mori-Zwanzig formalism; any coarse-graining paper</t>
        </is>
      </c>
      <c r="F21" s="10" t="inlineStr">
        <is>
          <t>The memory kernel is what CG models discard. What does discarding it cost?</t>
        </is>
      </c>
      <c r="G21" s="11" t="inlineStr"/>
    </row>
    <row r="22">
      <c r="A22" s="11" t="n">
        <v>18</v>
      </c>
      <c r="B22" s="8" t="inlineStr">
        <is>
          <t>Part I - Foundations</t>
        </is>
      </c>
      <c r="C22" s="10" t="inlineStr">
        <is>
          <t>B.2.7 Paired reading - Module B.2</t>
        </is>
      </c>
      <c r="D22" s="10" t="inlineStr">
        <is>
          <t>Balakrishnan NESM 36</t>
        </is>
      </c>
      <c r="E22" s="10" t="inlineStr">
        <is>
          <t>Any SDE text on Wiener processes</t>
        </is>
      </c>
      <c r="F22" s="10" t="inlineStr">
        <is>
          <t>Write the Wiener process. Now write the forward diffusion of a DDPM. Compare.</t>
        </is>
      </c>
      <c r="G22" s="11" t="inlineStr"/>
    </row>
    <row r="23">
      <c r="A23" s="11" t="n">
        <v>19</v>
      </c>
      <c r="B23" s="8" t="inlineStr">
        <is>
          <t>Part I - Foundations</t>
        </is>
      </c>
      <c r="C23" s="10" t="inlineStr">
        <is>
          <t>B.2.7 Paired reading - Module B.2</t>
        </is>
      </c>
      <c r="D23" s="10" t="inlineStr">
        <is>
          <t>Krauth, Algorithms and Computations</t>
        </is>
      </c>
      <c r="E23" s="10" t="inlineStr">
        <is>
          <t>Metropolis et al. 1953</t>
        </is>
      </c>
      <c r="F23" s="10" t="inlineStr">
        <is>
          <t>Detailed balance is sufficient but not necessary. What is necessary?</t>
        </is>
      </c>
      <c r="G23" s="11" t="inlineStr"/>
    </row>
    <row r="24">
      <c r="A24" s="11" t="n">
        <v>20</v>
      </c>
      <c r="B24" s="8" t="inlineStr">
        <is>
          <t>Part I - Foundations</t>
        </is>
      </c>
      <c r="C24" s="10" t="inlineStr">
        <is>
          <t>B.2.7 Paired reading - Module B.2</t>
        </is>
      </c>
      <c r="D24" s="10" t="inlineStr">
        <is>
          <t>LMU nonequilibrium course</t>
        </is>
      </c>
      <c r="E24" s="10" t="inlineStr">
        <is>
          <t>Song et al. 2021, Score-based generative modeling through SDEs</t>
        </is>
      </c>
      <c r="F24" s="10" t="inlineStr">
        <is>
          <t>The field theory and the generative model use the same formalism. Map the terms.</t>
        </is>
      </c>
      <c r="G24" s="11" t="inlineStr"/>
    </row>
    <row r="25">
      <c r="A25" s="11" t="n">
        <v>21</v>
      </c>
      <c r="B25" s="8" t="inlineStr">
        <is>
          <t>Part I - Foundations</t>
        </is>
      </c>
      <c r="C25" s="10" t="inlineStr">
        <is>
          <t>B.2.7 Paired reading - Module B.2</t>
        </is>
      </c>
      <c r="D25" s="10" t="inlineStr">
        <is>
          <t>Zuckerman, weighted ensemble</t>
        </is>
      </c>
      <c r="E25" s="10" t="inlineStr">
        <is>
          <t>Zuckerman &amp; Chong 2017</t>
        </is>
      </c>
      <c r="F25" s="10" t="inlineStr">
        <is>
          <t>WE is unbiased. What exactly does that mean, and what is still not guaranteed?</t>
        </is>
      </c>
      <c r="G25" s="11" t="inlineStr"/>
    </row>
    <row r="26">
      <c r="A26" s="11" t="n">
        <v>22</v>
      </c>
      <c r="B26" s="8" t="inlineStr">
        <is>
          <t>Part I - Foundations</t>
        </is>
      </c>
      <c r="C26" s="10" t="inlineStr">
        <is>
          <t>B.2.7 Paired reading - Module B.2</t>
        </is>
      </c>
      <c r="D26" s="10" t="inlineStr">
        <is>
          <t>Zuckerman, any talk</t>
        </is>
      </c>
      <c r="E26" s="10" t="inlineStr">
        <is>
          <t>Grossfield &amp; Zuckerman 2009</t>
        </is>
      </c>
      <c r="F26" s="10" t="inlineStr">
        <is>
          <t>Read before publishing any simulation. Which of its tests does your workflow pass?</t>
        </is>
      </c>
      <c r="G26" s="11" t="inlineStr"/>
    </row>
    <row r="27">
      <c r="A27" s="11" t="n">
        <v>23</v>
      </c>
      <c r="B27" s="8" t="inlineStr">
        <is>
          <t>Part I - Foundations</t>
        </is>
      </c>
      <c r="C27" s="10" t="inlineStr">
        <is>
          <t>B.2.7 Paired reading - Module B.2</t>
        </is>
      </c>
      <c r="D27" s="10" t="inlineStr">
        <is>
          <t>Phillips, Physical Biology of the Cell</t>
        </is>
      </c>
      <c r="E27" s="10" t="inlineStr">
        <is>
          <t>Any MWC allostery paper</t>
        </is>
      </c>
      <c r="F27" s="10" t="inlineStr">
        <is>
          <t>Allostery as a two-state model - could a design method target that directly?</t>
        </is>
      </c>
      <c r="G27" s="11" t="inlineStr"/>
    </row>
    <row r="28">
      <c r="A28" s="11" t="n">
        <v>24</v>
      </c>
      <c r="B28" s="8" t="inlineStr">
        <is>
          <t>Part I - Foundations</t>
        </is>
      </c>
      <c r="C28" s="10" t="inlineStr">
        <is>
          <t>B.3.11 Paired reading - Module B.3</t>
        </is>
      </c>
      <c r="D28" s="10" t="inlineStr">
        <is>
          <t>Langmead, index and alignment modules</t>
        </is>
      </c>
      <c r="E28" s="10" t="inlineStr">
        <is>
          <t>Needleman &amp; Wunsch 1970; Smith &amp; Waterman 1981; Gotoh 1982</t>
        </is>
      </c>
      <c r="F28" s="10" t="inlineStr">
        <is>
          <t>Derive the affine-gap recursion. What is the complexity?</t>
        </is>
      </c>
      <c r="G28" s="11" t="inlineStr"/>
    </row>
    <row r="29">
      <c r="A29" s="11" t="n">
        <v>25</v>
      </c>
      <c r="B29" s="8" t="inlineStr">
        <is>
          <t>Part I - Foundations</t>
        </is>
      </c>
      <c r="C29" s="10" t="inlineStr">
        <is>
          <t>B.3.11 Paired reading - Module B.3</t>
        </is>
      </c>
      <c r="D29" s="10" t="inlineStr">
        <is>
          <t>Langmead, De Bruijn graphs</t>
        </is>
      </c>
      <c r="E29" s="10" t="inlineStr">
        <is>
          <t>Pevzner, Tang &amp; Waterman 2001</t>
        </is>
      </c>
      <c r="F29" s="10" t="inlineStr">
        <is>
          <t>Assembly as an Eulerian path. Where does the analogy break on real data?</t>
        </is>
      </c>
      <c r="G29" s="11" t="inlineStr"/>
    </row>
    <row r="30">
      <c r="A30" s="11" t="n">
        <v>26</v>
      </c>
      <c r="B30" s="8" t="inlineStr">
        <is>
          <t>Part I - Foundations</t>
        </is>
      </c>
      <c r="C30" s="10" t="inlineStr">
        <is>
          <t>B.3.11 Paired reading - Module B.3</t>
        </is>
      </c>
      <c r="D30" s="10" t="inlineStr">
        <is>
          <t>Kindermann, Voronoi and Delaunay</t>
        </is>
      </c>
      <c r="E30" s="10" t="inlineStr">
        <is>
          <t>Richards 1974 (protein packing); any fpocket paper</t>
        </is>
      </c>
      <c r="F30" s="10" t="inlineStr">
        <is>
          <t>A pocket is a geometric object. State its definition precisely.</t>
        </is>
      </c>
      <c r="G30" s="11" t="inlineStr"/>
    </row>
    <row r="31">
      <c r="A31" s="11" t="n">
        <v>27</v>
      </c>
      <c r="B31" s="8" t="inlineStr">
        <is>
          <t>Part I - Foundations</t>
        </is>
      </c>
      <c r="C31" s="10" t="inlineStr">
        <is>
          <t>B.3.11 Paired reading - Module B.3</t>
        </is>
      </c>
      <c r="D31" s="10" t="inlineStr">
        <is>
          <t>Demaine 6.849, linkages</t>
        </is>
      </c>
      <c r="E31" s="10" t="inlineStr">
        <is>
          <t>Any loop-closure or kinematic-closure paper</t>
        </is>
      </c>
      <c r="F31" s="10" t="inlineStr">
        <is>
          <t>A backbone is a linkage. What does rigidity theory say about its reachable set?</t>
        </is>
      </c>
      <c r="G31" s="11" t="inlineStr"/>
    </row>
    <row r="32">
      <c r="A32" s="11" t="n">
        <v>28</v>
      </c>
      <c r="B32" s="8" t="inlineStr">
        <is>
          <t>Part I - Foundations</t>
        </is>
      </c>
      <c r="C32" s="10" t="inlineStr">
        <is>
          <t>B.3.11 Paired reading - Module B.3</t>
        </is>
      </c>
      <c r="D32" s="10" t="inlineStr">
        <is>
          <t>Crane, Discrete Differential Geometry</t>
        </is>
      </c>
      <c r="E32" s="10" t="inlineStr">
        <is>
          <t>Gainza et al. 2020 (MaSIF</t>
        </is>
      </c>
      <c r="F32" s="10" t="inlineStr">
        <is>
          <t>Curvature on a molecular surface. Which discrete operator, and why that one?</t>
        </is>
      </c>
      <c r="G32" s="11" t="inlineStr"/>
    </row>
    <row r="33">
      <c r="A33" s="11" t="n">
        <v>29</v>
      </c>
      <c r="B33" s="8" t="inlineStr">
        <is>
          <t>Part I - Foundations</t>
        </is>
      </c>
      <c r="C33" s="10" t="inlineStr">
        <is>
          <t>B.3.11 Paired reading - Module B.3</t>
        </is>
      </c>
      <c r="D33" s="10" t="inlineStr">
        <is>
          <t>Nelson CS229r Lec 3, 5</t>
        </is>
      </c>
      <c r="E33" s="10" t="inlineStr">
        <is>
          <t>Johnson &amp; Lindenstrauss 1984; Achlioptas 2003</t>
        </is>
      </c>
      <c r="F33" s="10" t="inlineStr">
        <is>
          <t>How low can an embedding go before distances distort? Apply the bound to a protein embedding.</t>
        </is>
      </c>
      <c r="G33" s="11" t="inlineStr"/>
    </row>
    <row r="34">
      <c r="A34" s="11" t="n">
        <v>30</v>
      </c>
      <c r="B34" s="8" t="inlineStr">
        <is>
          <t>Part I - Foundations</t>
        </is>
      </c>
      <c r="C34" s="10" t="inlineStr">
        <is>
          <t>B.3.11 Paired reading - Module B.3</t>
        </is>
      </c>
      <c r="D34" s="10" t="inlineStr">
        <is>
          <t>Nelson CS229r Lec 11–12</t>
        </is>
      </c>
      <c r="E34" s="10" t="inlineStr">
        <is>
          <t>Any randomized SVD paper</t>
        </is>
      </c>
      <c r="F34" s="10" t="inlineStr">
        <is>
          <t>Approximate matmul with a guarantee. Where could this cut a structure model's cost?</t>
        </is>
      </c>
      <c r="G34" s="11" t="inlineStr"/>
    </row>
    <row r="35">
      <c r="A35" s="11" t="n">
        <v>31</v>
      </c>
      <c r="B35" s="8" t="inlineStr">
        <is>
          <t>Part I - Foundations</t>
        </is>
      </c>
      <c r="C35" s="10" t="inlineStr">
        <is>
          <t>B.3.11 Paired reading - Module B.3</t>
        </is>
      </c>
      <c r="D35" s="10" t="inlineStr">
        <is>
          <t>Leiserson 6.172 Lec 14–15</t>
        </is>
      </c>
      <c r="E35" s="10" t="inlineStr">
        <is>
          <t>Frigo et al. 1999 (cache-oblivious algorithms</t>
        </is>
      </c>
      <c r="F35" s="10" t="inlineStr">
        <is>
          <t>Why does a cache-oblivious layout beat a tuned one? Apply to a neighbor list.</t>
        </is>
      </c>
      <c r="G35" s="11" t="inlineStr"/>
    </row>
    <row r="36">
      <c r="A36" s="11" t="n">
        <v>32</v>
      </c>
      <c r="B36" s="8" t="inlineStr">
        <is>
          <t>Part I - Foundations</t>
        </is>
      </c>
      <c r="C36" s="10" t="inlineStr">
        <is>
          <t>B.3.11 Paired reading - Module B.3</t>
        </is>
      </c>
      <c r="D36" s="10" t="inlineStr">
        <is>
          <t>Leiserson 6.172 Lec 10</t>
        </is>
      </c>
      <c r="E36" s="10" t="inlineStr">
        <is>
          <t>Any benchmarking methodology paper</t>
        </is>
      </c>
      <c r="F36" s="10" t="inlineStr">
        <is>
          <t>How do you measure a speedup honestly? What does your current method get wrong?</t>
        </is>
      </c>
      <c r="G36" s="11" t="inlineStr"/>
    </row>
    <row r="37">
      <c r="A37" s="11" t="n">
        <v>33</v>
      </c>
      <c r="B37" s="8" t="inlineStr">
        <is>
          <t>Part I - Foundations</t>
        </is>
      </c>
      <c r="C37" s="10" t="inlineStr">
        <is>
          <t>B.3.11 Paired reading - Module B.3</t>
        </is>
      </c>
      <c r="D37" s="10" t="inlineStr">
        <is>
          <t>Hwu ECE408</t>
        </is>
      </c>
      <c r="E37" s="10" t="inlineStr">
        <is>
          <t>Kirk &amp; Hwu, Programming Massively Parallel Processors</t>
        </is>
      </c>
      <c r="F37" s="10" t="inlineStr">
        <is>
          <t>Write a tiled matmul. Then write a tiled PME or attention kernel.</t>
        </is>
      </c>
      <c r="G37" s="11" t="inlineStr"/>
    </row>
    <row r="38">
      <c r="A38" s="11" t="n">
        <v>34</v>
      </c>
      <c r="B38" s="8" t="inlineStr">
        <is>
          <t>Part I - Foundations</t>
        </is>
      </c>
      <c r="C38" s="10" t="inlineStr">
        <is>
          <t>B.3.11 Paired reading - Module B.3</t>
        </is>
      </c>
      <c r="D38" s="10" t="inlineStr">
        <is>
          <t>Kolter &amp; Chen 10-414 Lec 4–5</t>
        </is>
      </c>
      <c r="E38" s="10" t="inlineStr">
        <is>
          <t>Baydin et al. 2018, Automatic differentiation in machine learning: a survey</t>
        </is>
      </c>
      <c r="F38" s="10" t="inlineStr">
        <is>
          <t>Implement reverse-mode AD. Then differentiate through an ODE solver.</t>
        </is>
      </c>
      <c r="G38" s="11" t="inlineStr"/>
    </row>
    <row r="39">
      <c r="A39" s="11" t="n">
        <v>35</v>
      </c>
      <c r="B39" s="8" t="inlineStr">
        <is>
          <t>Part I - Foundations</t>
        </is>
      </c>
      <c r="C39" s="10" t="inlineStr">
        <is>
          <t>B.3.11 Paired reading - Module B.3</t>
        </is>
      </c>
      <c r="D39" s="10" t="inlineStr">
        <is>
          <t>Kolter &amp; Chen 10-414 Lec 11–13</t>
        </is>
      </c>
      <c r="E39" s="10" t="inlineStr"/>
      <c r="F39" s="10" t="inlineStr">
        <is>
          <t>Add a GPU backend. Then add one equivariant op that does not exist in PyTorch.</t>
        </is>
      </c>
      <c r="G39" s="11" t="inlineStr"/>
    </row>
    <row r="40">
      <c r="A40" s="11" t="n">
        <v>36</v>
      </c>
      <c r="B40" s="8" t="inlineStr">
        <is>
          <t>Part I - Foundations</t>
        </is>
      </c>
      <c r="C40" s="10" t="inlineStr">
        <is>
          <t>B.3.11 Paired reading - Module B.3</t>
        </is>
      </c>
      <c r="D40" s="10" t="inlineStr">
        <is>
          <t>CS336 Lec 6, Kernels, Triton, XLA</t>
        </is>
      </c>
      <c r="E40" s="10" t="inlineStr">
        <is>
          <t>Dao et al. 2022, FlashAttention</t>
        </is>
      </c>
      <c r="F40" s="10" t="inlineStr">
        <is>
          <t>IO-awareness beat FLOP-reduction. What is the molecular analogue?</t>
        </is>
      </c>
      <c r="G40" s="11" t="inlineStr"/>
    </row>
    <row r="41">
      <c r="A41" s="11" t="n">
        <v>37</v>
      </c>
      <c r="B41" s="8" t="inlineStr">
        <is>
          <t>Part I - Foundations</t>
        </is>
      </c>
      <c r="C41" s="10" t="inlineStr">
        <is>
          <t>B.3.11 Paired reading - Module B.3</t>
        </is>
      </c>
      <c r="D41" s="10" t="inlineStr">
        <is>
          <t>Xing 10-708, belief propagation</t>
        </is>
      </c>
      <c r="E41" s="10" t="inlineStr">
        <is>
          <t>Any TRBP or dual-decomposition packing paper; then Dauparas et al. 2022</t>
        </is>
      </c>
      <c r="F41" s="10" t="inlineStr">
        <is>
          <t>Write ProteinMPNN's factor graph. What inference is it doing?</t>
        </is>
      </c>
      <c r="G41" s="11" t="inlineStr"/>
    </row>
    <row r="42">
      <c r="A42" s="11" t="n">
        <v>38</v>
      </c>
      <c r="B42" s="8" t="inlineStr">
        <is>
          <t>Part I - Foundations</t>
        </is>
      </c>
      <c r="C42" s="10" t="inlineStr">
        <is>
          <t>B.3.11 Paired reading - Module B.3</t>
        </is>
      </c>
      <c r="D42" s="10" t="inlineStr">
        <is>
          <t>Xing 10-708, variational inference</t>
        </is>
      </c>
      <c r="E42" s="10" t="inlineStr">
        <is>
          <t>Morcos et al. 2011 (DCA</t>
        </is>
      </c>
      <c r="F42" s="10" t="inlineStr">
        <is>
          <t>DCA is inference in a Potts model. What does mean-field cost you?</t>
        </is>
      </c>
      <c r="G42" s="11" t="inlineStr"/>
    </row>
    <row r="43">
      <c r="A43" s="11" t="n">
        <v>39</v>
      </c>
      <c r="B43" s="8" t="inlineStr">
        <is>
          <t>Part I - Foundations</t>
        </is>
      </c>
      <c r="C43" s="10" t="inlineStr">
        <is>
          <t>B.3.11 Paired reading - Module B.3</t>
        </is>
      </c>
      <c r="D43" s="10" t="inlineStr">
        <is>
          <t>Matsui, Billion-scale ANN</t>
        </is>
      </c>
      <c r="E43" s="10" t="inlineStr">
        <is>
          <t>van Kempen et al. 2024 (Foldseek</t>
        </is>
      </c>
      <c r="F43" s="10" t="inlineStr">
        <is>
          <t>Foldseek turns structure search into sequence search. What is the 3Di alphabet, formally?</t>
        </is>
      </c>
      <c r="G43" s="11" t="inlineStr"/>
    </row>
    <row r="44">
      <c r="A44" s="11" t="n">
        <v>40</v>
      </c>
      <c r="B44" s="8" t="inlineStr">
        <is>
          <t>Part I - Foundations</t>
        </is>
      </c>
      <c r="C44" s="10" t="inlineStr">
        <is>
          <t>B.3.11 Paired reading - Module B.3</t>
        </is>
      </c>
      <c r="D44" s="10" t="inlineStr">
        <is>
          <t>Demaine 6.890</t>
        </is>
      </c>
      <c r="E44" s="10" t="inlineStr">
        <is>
          <t>Desmet et al. 1992 (DEE); Pierce &amp; Winfree 2002</t>
        </is>
      </c>
      <c r="F44" s="10" t="inlineStr">
        <is>
          <t>Construct the reduction showing packing is NP-hard. Then find a tractable restriction.</t>
        </is>
      </c>
      <c r="G44" s="11" t="inlineStr"/>
    </row>
    <row r="45">
      <c r="A45" s="11" t="n">
        <v>41</v>
      </c>
      <c r="B45" s="8" t="inlineStr">
        <is>
          <t>Part I - Foundations</t>
        </is>
      </c>
      <c r="C45" s="10" t="inlineStr">
        <is>
          <t>B.3.11 Paired reading - Module B.3</t>
        </is>
      </c>
      <c r="D45" s="10" t="inlineStr">
        <is>
          <t>Pavlo 15-721, columnar storage</t>
        </is>
      </c>
      <c r="E45" s="10" t="inlineStr">
        <is>
          <t>Any Parquet/Arrow specification</t>
        </is>
      </c>
      <c r="F45" s="10" t="inlineStr">
        <is>
          <t>Your trajectory format is row-major. What would columnar buy you?</t>
        </is>
      </c>
      <c r="G45" s="11" t="inlineStr"/>
    </row>
    <row r="46">
      <c r="A46" s="11" t="n">
        <v>42</v>
      </c>
      <c r="B46" s="8" t="inlineStr">
        <is>
          <t>Part I - Foundations</t>
        </is>
      </c>
      <c r="C46" s="10" t="inlineStr">
        <is>
          <t>B.3.11 Paired reading - Module B.3</t>
        </is>
      </c>
      <c r="D46" s="10" t="inlineStr">
        <is>
          <t>Koziol, HDF5</t>
        </is>
      </c>
      <c r="E46" s="10" t="inlineStr"/>
      <c r="F46" s="10" t="inlineStr">
        <is>
          <t>Chunking and compression determine slice latency. Benchmark your own trajectory I/O.</t>
        </is>
      </c>
      <c r="G46" s="11" t="inlineStr"/>
    </row>
    <row r="47">
      <c r="A47" s="11" t="n">
        <v>43</v>
      </c>
      <c r="B47" s="8" t="inlineStr">
        <is>
          <t>Part I - Foundations</t>
        </is>
      </c>
      <c r="C47" s="10" t="inlineStr">
        <is>
          <t>B.3.11 Paired reading - Module B.3</t>
        </is>
      </c>
      <c r="D47" s="10" t="inlineStr">
        <is>
          <t>CodeRefinery, testing</t>
        </is>
      </c>
      <c r="E47" s="10" t="inlineStr">
        <is>
          <t>Wilson et al. 2014, Best Practices for Scientific Computing</t>
        </is>
      </c>
      <c r="F47" s="10" t="inlineStr">
        <is>
          <t>Write one test that would catch a silent numerical regression in your pipeline.</t>
        </is>
      </c>
      <c r="G47" s="11" t="inlineStr"/>
    </row>
    <row r="48">
      <c r="A48" s="11" t="n">
        <v>44</v>
      </c>
      <c r="B48" s="8" t="inlineStr">
        <is>
          <t>Part I - Foundations</t>
        </is>
      </c>
      <c r="C48" s="10" t="inlineStr">
        <is>
          <t>B.4.7 Paired reading - B.4</t>
        </is>
      </c>
      <c r="D48" s="10" t="inlineStr">
        <is>
          <t>Lindahl, Biophysical Chemistry</t>
        </is>
      </c>
      <c r="E48" s="10" t="inlineStr">
        <is>
          <t>Dill &amp; Bromberg, Molecular Driving Forces, ch. 1–10</t>
        </is>
      </c>
      <c r="F48" s="10" t="inlineStr">
        <is>
          <t>Work the problems. This is the one textbook to do properly.</t>
        </is>
      </c>
      <c r="G48" s="11" t="inlineStr"/>
    </row>
    <row r="49">
      <c r="A49" s="11" t="n">
        <v>45</v>
      </c>
      <c r="B49" s="8" t="inlineStr">
        <is>
          <t>Part I - Foundations</t>
        </is>
      </c>
      <c r="C49" s="10" t="inlineStr">
        <is>
          <t>B.4.7 Paired reading - B.4</t>
        </is>
      </c>
      <c r="D49" s="10" t="inlineStr">
        <is>
          <t>Phillips, Physical Biology of the Cell</t>
        </is>
      </c>
      <c r="E49" s="10" t="inlineStr">
        <is>
          <t>The book's estimation chapters</t>
        </is>
      </c>
      <c r="F49" s="10" t="inlineStr">
        <is>
          <t>Estimate three quantities in your own project before computing them.</t>
        </is>
      </c>
      <c r="G49" s="11" t="inlineStr"/>
    </row>
    <row r="50">
      <c r="A50" s="11" t="n">
        <v>46</v>
      </c>
      <c r="B50" s="8" t="inlineStr">
        <is>
          <t>Part I - Foundations</t>
        </is>
      </c>
      <c r="C50" s="10" t="inlineStr">
        <is>
          <t>B.4.7 Paired reading - B.4</t>
        </is>
      </c>
      <c r="D50" s="10" t="inlineStr">
        <is>
          <t>IPD lectures 1–2</t>
        </is>
      </c>
      <c r="E50" s="10" t="inlineStr">
        <is>
          <t>Richardson 1981, Adv Protein Chem 34:167</t>
        </is>
      </c>
      <c r="F50" s="10" t="inlineStr">
        <is>
          <t>Learn twenty folds by sight. It pays off constantly.</t>
        </is>
      </c>
      <c r="G50" s="11" t="inlineStr"/>
    </row>
    <row r="51">
      <c r="A51" s="11" t="n">
        <v>47</v>
      </c>
      <c r="B51" s="8" t="inlineStr">
        <is>
          <t>Part I - Foundations</t>
        </is>
      </c>
      <c r="C51" s="10" t="inlineStr">
        <is>
          <t>B.4.7 Paired reading - B.4</t>
        </is>
      </c>
      <c r="D51" s="10" t="inlineStr">
        <is>
          <t>Atlas R.5 enzyme talks</t>
        </is>
      </c>
      <c r="E51" s="10" t="inlineStr">
        <is>
          <t>Warshel et al. 2006, Chem Rev 106:3210</t>
        </is>
      </c>
      <c r="F51" s="10" t="inlineStr">
        <is>
          <t>Preorganization versus dynamics. Take a side and defend it.</t>
        </is>
      </c>
      <c r="G51" s="11" t="inlineStr"/>
    </row>
    <row r="52">
      <c r="A52" s="11" t="n">
        <v>48</v>
      </c>
      <c r="B52" s="15" t="inlineStr">
        <is>
          <t>Part II - The Method Atlas</t>
        </is>
      </c>
      <c r="C52" s="10" t="inlineStr">
        <is>
          <t>A.6 Paired reading - Atlas A</t>
        </is>
      </c>
      <c r="D52" s="10" t="inlineStr">
        <is>
          <t>Tajkhorshid, Classical Force Fields</t>
        </is>
      </c>
      <c r="E52" s="10" t="inlineStr">
        <is>
          <t>Best et al. 2012 (CHARMM36); Maier et al. 2015 (ff14SB</t>
        </is>
      </c>
      <c r="F52" s="10" t="inlineStr">
        <is>
          <t>For each term, name the experimental or QM data it was fit to.</t>
        </is>
      </c>
      <c r="G52" s="11" t="inlineStr"/>
    </row>
    <row r="53">
      <c r="A53" s="11" t="n">
        <v>49</v>
      </c>
      <c r="B53" s="15" t="inlineStr">
        <is>
          <t>Part II - The Method Atlas</t>
        </is>
      </c>
      <c r="C53" s="10" t="inlineStr">
        <is>
          <t>A.6 Paired reading - Atlas A</t>
        </is>
      </c>
      <c r="D53" s="10" t="inlineStr">
        <is>
          <t>OpenFF workshops</t>
        </is>
      </c>
      <c r="E53" s="10" t="inlineStr">
        <is>
          <t>Any OpenFF parameterization paper</t>
        </is>
      </c>
      <c r="F53" s="10" t="inlineStr">
        <is>
          <t>How is a torsion parameter determined, and how transferable is it?</t>
        </is>
      </c>
      <c r="G53" s="11" t="inlineStr"/>
    </row>
    <row r="54">
      <c r="A54" s="11" t="n">
        <v>50</v>
      </c>
      <c r="B54" s="15" t="inlineStr">
        <is>
          <t>Part II - The Method Atlas</t>
        </is>
      </c>
      <c r="C54" s="10" t="inlineStr">
        <is>
          <t>A.6 Paired reading - Atlas A</t>
        </is>
      </c>
      <c r="D54" s="10" t="inlineStr">
        <is>
          <t>Ponder, AMOEBA accuracy</t>
        </is>
      </c>
      <c r="E54" s="10" t="inlineStr">
        <is>
          <t>Ponder et al. 2010, JPCB 114:2549</t>
        </is>
      </c>
      <c r="F54" s="10" t="inlineStr">
        <is>
          <t>What does polarizability buy, and is it worth the cost?</t>
        </is>
      </c>
      <c r="G54" s="11" t="inlineStr"/>
    </row>
    <row r="55">
      <c r="A55" s="11" t="n">
        <v>51</v>
      </c>
      <c r="B55" s="15" t="inlineStr">
        <is>
          <t>Part II - The Method Atlas</t>
        </is>
      </c>
      <c r="C55" s="10" t="inlineStr">
        <is>
          <t>A.6 Paired reading - Atlas A</t>
        </is>
      </c>
      <c r="D55" s="10" t="inlineStr">
        <is>
          <t>Cramer, Continuum solvent electrostatics</t>
        </is>
      </c>
      <c r="E55" s="10" t="inlineStr">
        <is>
          <t>Honig &amp; Nicholls 1995, Science 268:1144</t>
        </is>
      </c>
      <c r="F55" s="10" t="inlineStr">
        <is>
          <t>When is a continuum dielectric legitimate, and what is the dielectric constant of a protein?</t>
        </is>
      </c>
      <c r="G55" s="11" t="inlineStr"/>
    </row>
    <row r="56">
      <c r="A56" s="11" t="n">
        <v>52</v>
      </c>
      <c r="B56" s="15" t="inlineStr">
        <is>
          <t>Part II - The Method Atlas</t>
        </is>
      </c>
      <c r="C56" s="10" t="inlineStr">
        <is>
          <t>A.6 Paired reading - Atlas A</t>
        </is>
      </c>
      <c r="D56" s="10" t="inlineStr">
        <is>
          <t>Cooper / Wilson, CECAM electrostatics</t>
        </is>
      </c>
      <c r="E56" s="10" t="inlineStr">
        <is>
          <t>Baker et al. 2001, PNAS 98:10037 (APBS</t>
        </is>
      </c>
      <c r="F56" s="10" t="inlineStr">
        <is>
          <t>How is PB actually solved at protein scale, and what is the discretization error?</t>
        </is>
      </c>
      <c r="G56" s="11" t="inlineStr"/>
    </row>
    <row r="57">
      <c r="A57" s="11" t="n">
        <v>53</v>
      </c>
      <c r="B57" s="15" t="inlineStr">
        <is>
          <t>Part II - The Method Atlas</t>
        </is>
      </c>
      <c r="C57" s="10" t="inlineStr">
        <is>
          <t>A.6 Paired reading - Atlas A</t>
        </is>
      </c>
      <c r="D57" s="10" t="inlineStr">
        <is>
          <t>Onufriev, Generalized Born</t>
        </is>
      </c>
      <c r="E57" s="10" t="inlineStr">
        <is>
          <t>Still et al. 1990, JACS 112:6127; Onufriev et al. 2004, Proteins 55:383</t>
        </is>
      </c>
      <c r="F57" s="10" t="inlineStr">
        <is>
          <t>GB approximates PB. Derive the approximation and state when it fails.</t>
        </is>
      </c>
      <c r="G57" s="11" t="inlineStr"/>
    </row>
    <row r="58">
      <c r="A58" s="11" t="n">
        <v>54</v>
      </c>
      <c r="B58" s="15" t="inlineStr">
        <is>
          <t>Part II - The Method Atlas</t>
        </is>
      </c>
      <c r="C58" s="10" t="inlineStr">
        <is>
          <t>A.6 Paired reading - Atlas A</t>
        </is>
      </c>
      <c r="D58" s="10" t="inlineStr">
        <is>
          <t>Barroso / BioExcel, Constant-pH MD</t>
        </is>
      </c>
      <c r="E58" s="10" t="inlineStr">
        <is>
          <t>Swails, York &amp; Roitberg 2014, JCTC 10:1341</t>
        </is>
      </c>
      <c r="F58" s="10" t="inlineStr">
        <is>
          <t>A fixed protonation state is an assumption. How large is the error?</t>
        </is>
      </c>
      <c r="G58" s="11" t="inlineStr"/>
    </row>
    <row r="59">
      <c r="A59" s="11" t="n">
        <v>55</v>
      </c>
      <c r="B59" s="15" t="inlineStr">
        <is>
          <t>Part II - The Method Atlas</t>
        </is>
      </c>
      <c r="C59" s="10" t="inlineStr">
        <is>
          <t>A.6 Paired reading - Atlas A</t>
        </is>
      </c>
      <c r="D59" s="10" t="inlineStr">
        <is>
          <t>CECAM QM/MM Days 1–2</t>
        </is>
      </c>
      <c r="E59" s="10" t="inlineStr">
        <is>
          <t>Warshel &amp; Levitt 1976, JMB 103:227; Senn &amp; Thiel 2009, Angew Chem 48:1198</t>
        </is>
      </c>
      <c r="F59" s="10" t="inlineStr">
        <is>
          <t>Compare mechanical and electrostatic embedding. What does the link atom break?</t>
        </is>
      </c>
      <c r="G59" s="11" t="inlineStr"/>
    </row>
    <row r="60">
      <c r="A60" s="11" t="n">
        <v>56</v>
      </c>
      <c r="B60" s="15" t="inlineStr">
        <is>
          <t>Part II - The Method Atlas</t>
        </is>
      </c>
      <c r="C60" s="10" t="inlineStr">
        <is>
          <t>A.6 Paired reading - Atlas A</t>
        </is>
      </c>
      <c r="D60" s="10" t="inlineStr">
        <is>
          <t>BioExcel, DFT functional validation</t>
        </is>
      </c>
      <c r="E60" s="10" t="inlineStr">
        <is>
          <t>Any QM/MM barrier-height benchmark</t>
        </is>
      </c>
      <c r="F60" s="10" t="inlineStr">
        <is>
          <t>Which functional for a barrier height, and what is the residual error?</t>
        </is>
      </c>
      <c r="G60" s="11" t="inlineStr"/>
    </row>
    <row r="61">
      <c r="A61" s="11" t="n">
        <v>57</v>
      </c>
      <c r="B61" s="15" t="inlineStr">
        <is>
          <t>Part II - The Method Atlas</t>
        </is>
      </c>
      <c r="C61" s="10" t="inlineStr">
        <is>
          <t>A.6 Paired reading - Atlas A</t>
        </is>
      </c>
      <c r="D61" s="10" t="inlineStr">
        <is>
          <t>Grimme / Ehlert, xTB</t>
        </is>
      </c>
      <c r="E61" s="10" t="inlineStr">
        <is>
          <t>Bannwarth, Ehlert &amp; Grimme 2019, JCTC 15:1652 (GFN2-xTB</t>
        </is>
      </c>
      <c r="F61" s="10" t="inlineStr">
        <is>
          <t>Semi-empirical at near-DFT accuracy. What is sacrificed?</t>
        </is>
      </c>
      <c r="G61" s="11" t="inlineStr"/>
    </row>
    <row r="62">
      <c r="A62" s="11" t="n">
        <v>58</v>
      </c>
      <c r="B62" s="15" t="inlineStr">
        <is>
          <t>Part II - The Method Atlas</t>
        </is>
      </c>
      <c r="C62" s="10" t="inlineStr">
        <is>
          <t>A.6 Paired reading - Atlas A</t>
        </is>
      </c>
      <c r="D62" s="10" t="inlineStr">
        <is>
          <t>Warshel, Nobel Lecture</t>
        </is>
      </c>
      <c r="E62" s="10" t="inlineStr">
        <is>
          <t>Warshel &amp; Weiss 1980, JACS 102:6218 (EVB</t>
        </is>
      </c>
      <c r="F62" s="10" t="inlineStr">
        <is>
          <t>Electrostatic preorganization is the mechanism. What design objective follows?</t>
        </is>
      </c>
      <c r="G62" s="11" t="inlineStr"/>
    </row>
    <row r="63">
      <c r="A63" s="11" t="n">
        <v>59</v>
      </c>
      <c r="B63" s="15" t="inlineStr">
        <is>
          <t>Part II - The Method Atlas</t>
        </is>
      </c>
      <c r="C63" s="10" t="inlineStr">
        <is>
          <t>A.6 Paired reading - Atlas A</t>
        </is>
      </c>
      <c r="D63" s="10" t="inlineStr">
        <is>
          <t>Batatia, MACE tutorial</t>
        </is>
      </c>
      <c r="E63" s="10" t="inlineStr">
        <is>
          <t>Batatia et al. 2022, NeurIPS (MACE); Kovács et al. 2023 (MACE-OFF23</t>
        </is>
      </c>
      <c r="F63" s="10" t="inlineStr">
        <is>
          <t>Train one. Then measure its error on a molecule outside the training set.</t>
        </is>
      </c>
      <c r="G63" s="11" t="inlineStr"/>
    </row>
    <row r="64">
      <c r="A64" s="11" t="n">
        <v>60</v>
      </c>
      <c r="B64" s="15" t="inlineStr">
        <is>
          <t>Part II - The Method Atlas</t>
        </is>
      </c>
      <c r="C64" s="10" t="inlineStr">
        <is>
          <t>A.6 Paired reading - Atlas A</t>
        </is>
      </c>
      <c r="D64" s="10" t="inlineStr">
        <is>
          <t>Batzner &amp; Musaelian</t>
        </is>
      </c>
      <c r="E64" s="10" t="inlineStr">
        <is>
          <t>Batzner et al. 2022, Nat Commun 13:2453 (NequIP); Musaelian et al. 2023 (Allegro</t>
        </is>
      </c>
      <c r="F64" s="10" t="inlineStr">
        <is>
          <t>Strict equivariance buys data efficiency. Quantify how much.</t>
        </is>
      </c>
      <c r="G64" s="11" t="inlineStr"/>
    </row>
    <row r="65">
      <c r="A65" s="11" t="n">
        <v>61</v>
      </c>
      <c r="B65" s="15" t="inlineStr">
        <is>
          <t>Part II - The Method Atlas</t>
        </is>
      </c>
      <c r="C65" s="10" t="inlineStr">
        <is>
          <t>A.6 Paired reading - Atlas A</t>
        </is>
      </c>
      <c r="D65" s="10" t="inlineStr">
        <is>
          <t>Csányi, Foundation Models vs. Tkatchenko, Challenges</t>
        </is>
      </c>
      <c r="E65" s="10" t="inlineStr">
        <is>
          <t>Both sides' position papers</t>
        </is>
      </c>
      <c r="F65" s="10" t="inlineStr">
        <is>
          <t>Write the strongest version of each case. Which benchmark would settle it?</t>
        </is>
      </c>
      <c r="G65" s="11" t="inlineStr"/>
    </row>
    <row r="66">
      <c r="A66" s="11" t="n">
        <v>62</v>
      </c>
      <c r="B66" s="15" t="inlineStr">
        <is>
          <t>Part II - The Method Atlas</t>
        </is>
      </c>
      <c r="C66" s="10" t="inlineStr">
        <is>
          <t>A.6 Paired reading - Atlas A</t>
        </is>
      </c>
      <c r="D66" s="10" t="inlineStr">
        <is>
          <t>Zubatyuk, AIMNet2</t>
        </is>
      </c>
      <c r="E66" s="10" t="inlineStr">
        <is>
          <t>Anstine, Zubatyuk &amp; Isayev 2024/25</t>
        </is>
      </c>
      <c r="F66" s="10" t="inlineStr">
        <is>
          <t>Charged species break most MLIPs. How does AIMNet2 handle them?</t>
        </is>
      </c>
      <c r="G66" s="11" t="inlineStr"/>
    </row>
    <row r="67">
      <c r="A67" s="11" t="n">
        <v>63</v>
      </c>
      <c r="B67" s="15" t="inlineStr">
        <is>
          <t>Part II - The Method Atlas</t>
        </is>
      </c>
      <c r="C67" s="10" t="inlineStr">
        <is>
          <t>A.6 Paired reading - Atlas A</t>
        </is>
      </c>
      <c r="D67" s="10" t="inlineStr">
        <is>
          <t>Smidt, Breaking symmetry</t>
        </is>
      </c>
      <c r="E67" s="10" t="inlineStr">
        <is>
          <t>Thomas, Smidt et al. 2018 (tensor field networks</t>
        </is>
      </c>
      <c r="F67" s="10" t="inlineStr">
        <is>
          <t>When should a model be allowed to break a symmetry it was given?</t>
        </is>
      </c>
      <c r="G67" s="11" t="inlineStr"/>
    </row>
    <row r="68">
      <c r="A68" s="11" t="n">
        <v>64</v>
      </c>
      <c r="B68" s="15" t="inlineStr">
        <is>
          <t>Part II - The Method Atlas</t>
        </is>
      </c>
      <c r="C68" s="10" t="inlineStr">
        <is>
          <t>B.9 Paired reading - Atlas B</t>
        </is>
      </c>
      <c r="D68" s="10" t="inlineStr">
        <is>
          <t>Lindahl, Biophysical Chemistry</t>
        </is>
      </c>
      <c r="E68" s="10" t="inlineStr">
        <is>
          <t>Frenkel &amp; Smit ch. 4, 6</t>
        </is>
      </c>
      <c r="F68" s="10" t="inlineStr">
        <is>
          <t>Derive velocity Verlet from Trotter. Why second order and not fourth?</t>
        </is>
      </c>
      <c r="G68" s="11" t="inlineStr"/>
    </row>
    <row r="69">
      <c r="A69" s="11" t="n">
        <v>65</v>
      </c>
      <c r="B69" s="15" t="inlineStr">
        <is>
          <t>Part II - The Method Atlas</t>
        </is>
      </c>
      <c r="C69" s="10" t="inlineStr">
        <is>
          <t>B.9 Paired reading - Atlas B</t>
        </is>
      </c>
      <c r="D69" s="10" t="inlineStr">
        <is>
          <t>Lindahl, thermostats</t>
        </is>
      </c>
      <c r="E69" s="10" t="inlineStr">
        <is>
          <t>Tuckerman ch. 4</t>
        </is>
      </c>
      <c r="F69" s="10" t="inlineStr">
        <is>
          <t>Which thermostats sample the canonical ensemble, and which merely control T?</t>
        </is>
      </c>
      <c r="G69" s="11" t="inlineStr"/>
    </row>
    <row r="70">
      <c r="A70" s="11" t="n">
        <v>66</v>
      </c>
      <c r="B70" s="15" t="inlineStr">
        <is>
          <t>Part II - The Method Atlas</t>
        </is>
      </c>
      <c r="C70" s="10" t="inlineStr">
        <is>
          <t>B.9 Paired reading - Atlas B</t>
        </is>
      </c>
      <c r="D70" s="10" t="inlineStr">
        <is>
          <t>Shaw, Millisecond MD</t>
        </is>
      </c>
      <c r="E70" s="10" t="inlineStr">
        <is>
          <t>Shaw et al. 2010, Science 330:341</t>
        </is>
      </c>
      <c r="F70" s="10" t="inlineStr">
        <is>
          <t>Special-purpose silicon. What question did it make askable?</t>
        </is>
      </c>
      <c r="G70" s="11" t="inlineStr"/>
    </row>
    <row r="71">
      <c r="A71" s="11" t="n">
        <v>67</v>
      </c>
      <c r="B71" s="15" t="inlineStr">
        <is>
          <t>Part II - The Method Atlas</t>
        </is>
      </c>
      <c r="C71" s="10" t="inlineStr">
        <is>
          <t>B.9 Paired reading - Atlas B</t>
        </is>
      </c>
      <c r="D71" s="10" t="inlineStr">
        <is>
          <t>MacKerell, force fields</t>
        </is>
      </c>
      <c r="E71" s="10" t="inlineStr">
        <is>
          <t>Huang et al. 2017, Nat Methods 14:71 (CHARMM36m</t>
        </is>
      </c>
      <c r="F71" s="10" t="inlineStr">
        <is>
          <t>What was wrong with CHARMM36 for IDPs, and how was it diagnosed?</t>
        </is>
      </c>
      <c r="G71" s="11" t="inlineStr"/>
    </row>
    <row r="72">
      <c r="A72" s="11" t="n">
        <v>68</v>
      </c>
      <c r="B72" s="15" t="inlineStr">
        <is>
          <t>Part II - The Method Atlas</t>
        </is>
      </c>
      <c r="C72" s="10" t="inlineStr">
        <is>
          <t>B.9 Paired reading - Atlas B</t>
        </is>
      </c>
      <c r="D72" s="10" t="inlineStr">
        <is>
          <t>Valence, MACE</t>
        </is>
      </c>
      <c r="E72" s="10" t="inlineStr">
        <is>
          <t>Batatia et al. 2022, NeurIPS</t>
        </is>
      </c>
      <c r="F72" s="10" t="inlineStr">
        <is>
          <t>Higher-order equivariant messages. What does body-order buy?</t>
        </is>
      </c>
      <c r="G72" s="11" t="inlineStr"/>
    </row>
    <row r="73">
      <c r="A73" s="11" t="n">
        <v>69</v>
      </c>
      <c r="B73" s="15" t="inlineStr">
        <is>
          <t>Part II - The Method Atlas</t>
        </is>
      </c>
      <c r="C73" s="10" t="inlineStr">
        <is>
          <t>B.9 Paired reading - Atlas B</t>
        </is>
      </c>
      <c r="D73" s="10" t="inlineStr">
        <is>
          <t>Musaelian, Allegro</t>
        </is>
      </c>
      <c r="E73" s="10" t="inlineStr">
        <is>
          <t>Batzner et al. 2022, Nat Commun 13:2453</t>
        </is>
      </c>
      <c r="F73" s="10" t="inlineStr">
        <is>
          <t>Strictly local versus message-passing. What scales, and what is lost?</t>
        </is>
      </c>
      <c r="G73" s="11" t="inlineStr"/>
    </row>
    <row r="74">
      <c r="A74" s="11" t="n">
        <v>70</v>
      </c>
      <c r="B74" s="15" t="inlineStr">
        <is>
          <t>Part II - The Method Atlas</t>
        </is>
      </c>
      <c r="C74" s="10" t="inlineStr">
        <is>
          <t>B.9 Paired reading - Atlas B</t>
        </is>
      </c>
      <c r="D74" s="10" t="inlineStr">
        <is>
          <t>Fu, ML force field benchmark</t>
        </is>
      </c>
      <c r="E74" s="10" t="inlineStr">
        <is>
          <t>Fu et al. 2023, TMLR</t>
        </is>
      </c>
      <c r="F74" s="10" t="inlineStr">
        <is>
          <t>Low force MAE, unstable simulation. Write the general form of this failure.</t>
        </is>
      </c>
      <c r="G74" s="11" t="inlineStr"/>
    </row>
    <row r="75">
      <c r="A75" s="11" t="n">
        <v>71</v>
      </c>
      <c r="B75" s="15" t="inlineStr">
        <is>
          <t>Part II - The Method Atlas</t>
        </is>
      </c>
      <c r="C75" s="10" t="inlineStr">
        <is>
          <t>B.9 Paired reading - Atlas B</t>
        </is>
      </c>
      <c r="D75" s="10" t="inlineStr">
        <is>
          <t>Raja, StABlE training</t>
        </is>
      </c>
      <c r="E75" s="10" t="inlineStr">
        <is>
          <t>The StABlE paper</t>
        </is>
      </c>
      <c r="F75" s="10" t="inlineStr">
        <is>
          <t>How do you train against a simulation observable rather than against forces?</t>
        </is>
      </c>
      <c r="G75" s="11" t="inlineStr"/>
    </row>
    <row r="76">
      <c r="A76" s="11" t="n">
        <v>72</v>
      </c>
      <c r="B76" s="15" t="inlineStr">
        <is>
          <t>Part II - The Method Atlas</t>
        </is>
      </c>
      <c r="C76" s="10" t="inlineStr">
        <is>
          <t>B.9 Paired reading - Atlas B</t>
        </is>
      </c>
      <c r="D76" s="10" t="inlineStr">
        <is>
          <t>Kreiman, Transformers without graph priors</t>
        </is>
      </c>
      <c r="E76" s="10" t="inlineStr">
        <is>
          <t>The paper</t>
        </is>
      </c>
      <c r="F76" s="10" t="inlineStr">
        <is>
          <t>If a transformer rediscovers the geometry, what was the inductive bias worth?</t>
        </is>
      </c>
      <c r="G76" s="11" t="inlineStr"/>
    </row>
    <row r="77">
      <c r="A77" s="11" t="n">
        <v>73</v>
      </c>
      <c r="B77" s="15" t="inlineStr">
        <is>
          <t>Part II - The Method Atlas</t>
        </is>
      </c>
      <c r="C77" s="10" t="inlineStr">
        <is>
          <t>B.9 Paired reading - Atlas B</t>
        </is>
      </c>
      <c r="D77" s="10" t="inlineStr">
        <is>
          <t>Shirts, Error estimation</t>
        </is>
      </c>
      <c r="E77" s="10" t="inlineStr">
        <is>
          <t>Grossfield &amp; Zuckerman 2009, Annu Rep Comput Chem 5:23</t>
        </is>
      </c>
      <c r="F77" s="10" t="inlineStr">
        <is>
          <t>Compute statistical inefficiency for your own trajectory.</t>
        </is>
      </c>
      <c r="G77" s="11" t="inlineStr"/>
    </row>
    <row r="78">
      <c r="A78" s="11" t="n">
        <v>74</v>
      </c>
      <c r="B78" s="15" t="inlineStr">
        <is>
          <t>Part II - The Method Atlas</t>
        </is>
      </c>
      <c r="C78" s="10" t="inlineStr">
        <is>
          <t>B.9 Paired reading - Atlas B</t>
        </is>
      </c>
      <c r="D78" s="10" t="inlineStr">
        <is>
          <t>Tiwary, Boltzmann weighted ensembles</t>
        </is>
      </c>
      <c r="E78" s="10" t="inlineStr">
        <is>
          <t>Zuckerman &amp; Chong 2017, Annu Rev Biophys 46:43</t>
        </is>
      </c>
      <c r="F78" s="10" t="inlineStr">
        <is>
          <t>A sample is not a sample from the right distribution. How would you test?</t>
        </is>
      </c>
      <c r="G78" s="11" t="inlineStr"/>
    </row>
    <row r="79">
      <c r="A79" s="11" t="n">
        <v>75</v>
      </c>
      <c r="B79" s="15" t="inlineStr">
        <is>
          <t>Part II - The Method Atlas</t>
        </is>
      </c>
      <c r="C79" s="10" t="inlineStr">
        <is>
          <t>B.9 Paired reading - Atlas B</t>
        </is>
      </c>
      <c r="D79" s="10" t="inlineStr">
        <is>
          <t>Broad MIA, Membrane transporter transition</t>
        </is>
      </c>
      <c r="E79" s="10" t="inlineStr">
        <is>
          <t>The accompanying paper</t>
        </is>
      </c>
      <c r="F79" s="10" t="inlineStr">
        <is>
          <t>A large conformational change in explicit membrane. How was it sampled?</t>
        </is>
      </c>
      <c r="G79" s="11" t="inlineStr"/>
    </row>
    <row r="80">
      <c r="A80" s="11" t="n">
        <v>76</v>
      </c>
      <c r="B80" s="15" t="inlineStr">
        <is>
          <t>Part II - The Method Atlas</t>
        </is>
      </c>
      <c r="C80" s="10" t="inlineStr">
        <is>
          <t>C.8 Paired reading - Atlas C</t>
        </is>
      </c>
      <c r="D80" s="10" t="inlineStr">
        <is>
          <t>Krauth Lec 1</t>
        </is>
      </c>
      <c r="E80" s="10" t="inlineStr">
        <is>
          <t>Metropolis et al. 1953</t>
        </is>
      </c>
      <c r="F80" s="10" t="inlineStr">
        <is>
          <t>Derive the acceptance ratio. Where does the normalizing constant cancel?</t>
        </is>
      </c>
      <c r="G80" s="11" t="inlineStr"/>
    </row>
    <row r="81">
      <c r="A81" s="11" t="n">
        <v>77</v>
      </c>
      <c r="B81" s="15" t="inlineStr">
        <is>
          <t>Part II - The Method Atlas</t>
        </is>
      </c>
      <c r="C81" s="10" t="inlineStr">
        <is>
          <t>C.8 Paired reading - Atlas C</t>
        </is>
      </c>
      <c r="D81" s="10" t="inlineStr">
        <is>
          <t>Krauth Lec 8</t>
        </is>
      </c>
      <c r="E81" s="10" t="inlineStr">
        <is>
          <t>Swendsen &amp; Wang 1987; Wolff 1989</t>
        </is>
      </c>
      <c r="F81" s="10" t="inlineStr">
        <is>
          <t>Why does a cluster move beat a single-spin flip near criticality?</t>
        </is>
      </c>
      <c r="G81" s="11" t="inlineStr"/>
    </row>
    <row r="82">
      <c r="A82" s="11" t="n">
        <v>78</v>
      </c>
      <c r="B82" s="15" t="inlineStr">
        <is>
          <t>Part II - The Method Atlas</t>
        </is>
      </c>
      <c r="C82" s="10" t="inlineStr">
        <is>
          <t>C.8 Paired reading - Atlas C</t>
        </is>
      </c>
      <c r="D82" s="10" t="inlineStr">
        <is>
          <t>Krauth Lec 9</t>
        </is>
      </c>
      <c r="E82" s="10" t="inlineStr">
        <is>
          <t>Bortz, Kalos &amp; Lebowitz 1975</t>
        </is>
      </c>
      <c r="F82" s="10" t="inlineStr">
        <is>
          <t>Rejection-free MC changes the time variable. What is the new clock?</t>
        </is>
      </c>
      <c r="G82" s="11" t="inlineStr"/>
    </row>
    <row r="83">
      <c r="A83" s="11" t="n">
        <v>79</v>
      </c>
      <c r="B83" s="15" t="inlineStr">
        <is>
          <t>Part II - The Method Atlas</t>
        </is>
      </c>
      <c r="C83" s="10" t="inlineStr">
        <is>
          <t>C.8 Paired reading - Atlas C</t>
        </is>
      </c>
      <c r="D83" s="10" t="inlineStr">
        <is>
          <t>Krauth Tutorial 8</t>
        </is>
      </c>
      <c r="E83" s="10" t="inlineStr">
        <is>
          <t>Propp &amp; Wilson 1996</t>
        </is>
      </c>
      <c r="F83" s="10" t="inlineStr">
        <is>
          <t>Coupling from the past terminates with an exact sample. How?</t>
        </is>
      </c>
      <c r="G83" s="11" t="inlineStr"/>
    </row>
    <row r="84">
      <c r="A84" s="11" t="n">
        <v>80</v>
      </c>
      <c r="B84" s="15" t="inlineStr">
        <is>
          <t>Part II - The Method Atlas</t>
        </is>
      </c>
      <c r="C84" s="10" t="inlineStr">
        <is>
          <t>C.8 Paired reading - Atlas C</t>
        </is>
      </c>
      <c r="D84" s="10" t="inlineStr">
        <is>
          <t>Krauth, Irreversible Markov chains</t>
        </is>
      </c>
      <c r="E84" s="10" t="inlineStr">
        <is>
          <t>Bernard, Krauth &amp; Wilson 2009; Michel et al. 2014</t>
        </is>
      </c>
      <c r="F84" s="10" t="inlineStr">
        <is>
          <t>These violate detailed balance deliberately. What replaces it?</t>
        </is>
      </c>
      <c r="G84" s="11" t="inlineStr"/>
    </row>
    <row r="85">
      <c r="A85" s="11" t="n">
        <v>81</v>
      </c>
      <c r="B85" s="15" t="inlineStr">
        <is>
          <t>Part II - The Method Atlas</t>
        </is>
      </c>
      <c r="C85" s="10" t="inlineStr">
        <is>
          <t>C.8 Paired reading - Atlas C</t>
        </is>
      </c>
      <c r="D85" s="10" t="inlineStr">
        <is>
          <t>MacKay Lec 12</t>
        </is>
      </c>
      <c r="E85" s="10" t="inlineStr">
        <is>
          <t>MacKay, Information Theory, ch. 29–30</t>
        </is>
      </c>
      <c r="F85" s="10" t="inlineStr">
        <is>
          <t>Why do importance and rejection sampling fail in high dimension?</t>
        </is>
      </c>
      <c r="G85" s="11" t="inlineStr"/>
    </row>
    <row r="86">
      <c r="A86" s="11" t="n">
        <v>82</v>
      </c>
      <c r="B86" s="15" t="inlineStr">
        <is>
          <t>Part II - The Method Atlas</t>
        </is>
      </c>
      <c r="C86" s="10" t="inlineStr">
        <is>
          <t>C.8 Paired reading - Atlas C</t>
        </is>
      </c>
      <c r="D86" s="10" t="inlineStr">
        <is>
          <t>Murray, MCMC</t>
        </is>
      </c>
      <c r="E86" s="10" t="inlineStr">
        <is>
          <t>Neal 1993, Probabilistic Inference Using MCMC</t>
        </is>
      </c>
      <c r="F86" s="10" t="inlineStr">
        <is>
          <t>What exactly does burn-in fix, and what does it not?</t>
        </is>
      </c>
      <c r="G86" s="11" t="inlineStr"/>
    </row>
    <row r="87">
      <c r="A87" s="11" t="n">
        <v>83</v>
      </c>
      <c r="B87" s="15" t="inlineStr">
        <is>
          <t>Part II - The Method Atlas</t>
        </is>
      </c>
      <c r="C87" s="10" t="inlineStr">
        <is>
          <t>C.8 Paired reading - Atlas C</t>
        </is>
      </c>
      <c r="D87" s="10" t="inlineStr">
        <is>
          <t>Vats, Gentle Introduction</t>
        </is>
      </c>
      <c r="E87" s="10" t="inlineStr">
        <is>
          <t>Vats, Flegal &amp; Jones 2019, Biometrika 106:321</t>
        </is>
      </c>
      <c r="F87" s="10" t="inlineStr">
        <is>
          <t>Compute a defensible ESS for your own trajectory.</t>
        </is>
      </c>
      <c r="G87" s="11" t="inlineStr"/>
    </row>
    <row r="88">
      <c r="A88" s="11" t="n">
        <v>84</v>
      </c>
      <c r="B88" s="15" t="inlineStr">
        <is>
          <t>Part II - The Method Atlas</t>
        </is>
      </c>
      <c r="C88" s="10" t="inlineStr">
        <is>
          <t>C.8 Paired reading - Atlas C</t>
        </is>
      </c>
      <c r="D88" s="10" t="inlineStr">
        <is>
          <t>Neal, HMC</t>
        </is>
      </c>
      <c r="E88" s="10" t="inlineStr">
        <is>
          <t>Neal 2011, Handbook of MCMC ch. 5</t>
        </is>
      </c>
      <c r="F88" s="10" t="inlineStr">
        <is>
          <t>HMC is MD as a proposal. What does the Metropolis step correct for?</t>
        </is>
      </c>
      <c r="G88" s="11" t="inlineStr"/>
    </row>
    <row r="89">
      <c r="A89" s="11" t="n">
        <v>85</v>
      </c>
      <c r="B89" s="15" t="inlineStr">
        <is>
          <t>Part II - The Method Atlas</t>
        </is>
      </c>
      <c r="C89" s="10" t="inlineStr">
        <is>
          <t>C.8 Paired reading - Atlas C</t>
        </is>
      </c>
      <c r="D89" s="10" t="inlineStr">
        <is>
          <t>Betancourt, Part 1</t>
        </is>
      </c>
      <c r="E89" s="10" t="inlineStr">
        <is>
          <t>Betancourt 2017, arXiv:1701.02434</t>
        </is>
      </c>
      <c r="F89" s="10" t="inlineStr">
        <is>
          <t>Why does HMC work geometrically, and when does it fail?</t>
        </is>
      </c>
      <c r="G89" s="11" t="inlineStr"/>
    </row>
    <row r="90">
      <c r="A90" s="11" t="n">
        <v>86</v>
      </c>
      <c r="B90" s="15" t="inlineStr">
        <is>
          <t>Part II - The Method Atlas</t>
        </is>
      </c>
      <c r="C90" s="10" t="inlineStr">
        <is>
          <t>C.8 Paired reading - Atlas C</t>
        </is>
      </c>
      <c r="D90" s="10" t="inlineStr">
        <is>
          <t>Hoffman, NUTS</t>
        </is>
      </c>
      <c r="E90" s="10" t="inlineStr">
        <is>
          <t>Hoffman &amp; Gelman 2014, JMLR 15:1593</t>
        </is>
      </c>
      <c r="F90" s="10" t="inlineStr">
        <is>
          <t>What does the no-U-turn criterion detect?</t>
        </is>
      </c>
      <c r="G90" s="11" t="inlineStr"/>
    </row>
    <row r="91">
      <c r="A91" s="11" t="n">
        <v>87</v>
      </c>
      <c r="B91" s="15" t="inlineStr">
        <is>
          <t>Part II - The Method Atlas</t>
        </is>
      </c>
      <c r="C91" s="10" t="inlineStr">
        <is>
          <t>C.8 Paired reading - Atlas C</t>
        </is>
      </c>
      <c r="D91" s="10" t="inlineStr">
        <is>
          <t>Skilling, Computing Bayes</t>
        </is>
      </c>
      <c r="E91" s="10" t="inlineStr">
        <is>
          <t>Skilling 2006, Bayesian Analysis 1:833</t>
        </is>
      </c>
      <c r="F91" s="10" t="inlineStr">
        <is>
          <t>Nested sampling computes the evidence. That is a partition function. Why does nobody say so?</t>
        </is>
      </c>
      <c r="G91" s="11" t="inlineStr"/>
    </row>
    <row r="92">
      <c r="A92" s="11" t="n">
        <v>88</v>
      </c>
      <c r="B92" s="15" t="inlineStr">
        <is>
          <t>Part II - The Method Atlas</t>
        </is>
      </c>
      <c r="C92" s="10" t="inlineStr">
        <is>
          <t>C.8 Paired reading - Atlas C</t>
        </is>
      </c>
      <c r="D92" s="10" t="inlineStr">
        <is>
          <t>Landau, Wang-Landau</t>
        </is>
      </c>
      <c r="E92" s="10" t="inlineStr">
        <is>
          <t>Wang &amp; Landau 2001, PRL 86:2050</t>
        </is>
      </c>
      <c r="F92" s="10" t="inlineStr">
        <is>
          <t>It converges to the density of states. What is the protein-design analogue?</t>
        </is>
      </c>
      <c r="G92" s="11" t="inlineStr"/>
    </row>
    <row r="93">
      <c r="A93" s="11" t="n">
        <v>89</v>
      </c>
      <c r="B93" s="15" t="inlineStr">
        <is>
          <t>Part II - The Method Atlas</t>
        </is>
      </c>
      <c r="C93" s="10" t="inlineStr">
        <is>
          <t>C.8 Paired reading - Atlas C</t>
        </is>
      </c>
      <c r="D93" s="10" t="inlineStr">
        <is>
          <t>Bonomi, Tempering and REX</t>
        </is>
      </c>
      <c r="E93" s="10" t="inlineStr">
        <is>
          <t>Sugita &amp; Okamoto 1999; Marinari &amp; Parisi 1992</t>
        </is>
      </c>
      <c r="F93" s="10" t="inlineStr">
        <is>
          <t>Derive the replica-count scaling. Why is it fatal for large systems?</t>
        </is>
      </c>
      <c r="G93" s="11" t="inlineStr"/>
    </row>
    <row r="94">
      <c r="A94" s="11" t="n">
        <v>90</v>
      </c>
      <c r="B94" s="15" t="inlineStr">
        <is>
          <t>Part II - The Method Atlas</t>
        </is>
      </c>
      <c r="C94" s="10" t="inlineStr">
        <is>
          <t>C.8 Paired reading - Atlas C</t>
        </is>
      </c>
      <c r="D94" s="10" t="inlineStr">
        <is>
          <t>Weitzner, Side-chain packing</t>
        </is>
      </c>
      <c r="E94" s="10" t="inlineStr">
        <is>
          <t>Desmet et al. 1992; Dunbrack &amp; Karplus 1993</t>
        </is>
      </c>
      <c r="F94" s="10" t="inlineStr">
        <is>
          <t>DEE is exact; annealing is not. Why does production use annealing?</t>
        </is>
      </c>
      <c r="G94" s="11" t="inlineStr"/>
    </row>
    <row r="95">
      <c r="A95" s="11" t="n">
        <v>91</v>
      </c>
      <c r="B95" s="15" t="inlineStr">
        <is>
          <t>Part II - The Method Atlas</t>
        </is>
      </c>
      <c r="C95" s="10" t="inlineStr">
        <is>
          <t>C.8 Paired reading - Atlas C</t>
        </is>
      </c>
      <c r="D95" s="10" t="inlineStr">
        <is>
          <t>RosettaCommons, MC with minimization</t>
        </is>
      </c>
      <c r="E95" s="10" t="inlineStr">
        <is>
          <t>Li &amp; Scheraga 1987; Rohl et al. 2004</t>
        </is>
      </c>
      <c r="F95" s="10" t="inlineStr">
        <is>
          <t>Minimization inside a MC move breaks detailed balance. What is sampled instead?</t>
        </is>
      </c>
      <c r="G95" s="11" t="inlineStr"/>
    </row>
    <row r="96">
      <c r="A96" s="11" t="n">
        <v>92</v>
      </c>
      <c r="B96" s="15" t="inlineStr">
        <is>
          <t>Part II - The Method Atlas</t>
        </is>
      </c>
      <c r="C96" s="10" t="inlineStr">
        <is>
          <t>C.8 Paired reading - Atlas C</t>
        </is>
      </c>
      <c r="D96" s="10" t="inlineStr">
        <is>
          <t>Gillespie, his own algorithm</t>
        </is>
      </c>
      <c r="E96" s="10" t="inlineStr">
        <is>
          <t>Gillespie 1977, J Phys Chem 81:2340</t>
        </is>
      </c>
      <c r="F96" s="10" t="inlineStr">
        <is>
          <t>Why is SSA exact where an ODE is not?</t>
        </is>
      </c>
      <c r="G96" s="11" t="inlineStr"/>
    </row>
    <row r="97">
      <c r="A97" s="11" t="n">
        <v>93</v>
      </c>
      <c r="B97" s="15" t="inlineStr">
        <is>
          <t>Part II - The Method Atlas</t>
        </is>
      </c>
      <c r="C97" s="10" t="inlineStr">
        <is>
          <t>C.8 Paired reading - Atlas C</t>
        </is>
      </c>
      <c r="D97" s="10" t="inlineStr">
        <is>
          <t>Kratzer, Kinetic Monte Carlo</t>
        </is>
      </c>
      <c r="E97" s="10" t="inlineStr">
        <is>
          <t>Voter 2007</t>
        </is>
      </c>
      <c r="F97" s="10" t="inlineStr">
        <is>
          <t>kMC needs a rate catalogue. Who supplies it, and what if it is incomplete?</t>
        </is>
      </c>
      <c r="G97" s="11" t="inlineStr"/>
    </row>
    <row r="98">
      <c r="A98" s="11" t="n">
        <v>94</v>
      </c>
      <c r="B98" s="15" t="inlineStr">
        <is>
          <t>Part II - The Method Atlas</t>
        </is>
      </c>
      <c r="C98" s="10" t="inlineStr">
        <is>
          <t>C.8 Paired reading - Atlas C</t>
        </is>
      </c>
      <c r="D98" s="10" t="inlineStr">
        <is>
          <t>Bolhuis, TPS</t>
        </is>
      </c>
      <c r="E98" s="10" t="inlineStr">
        <is>
          <t>Dellago, Bolhuis, Csajka &amp; Chandler 1998, JCP 108:1964</t>
        </is>
      </c>
      <c r="F98" s="10" t="inlineStr">
        <is>
          <t>TPS samples trajectory space. What is the measure on that space?</t>
        </is>
      </c>
      <c r="G98" s="11" t="inlineStr"/>
    </row>
    <row r="99">
      <c r="A99" s="11" t="n">
        <v>95</v>
      </c>
      <c r="B99" s="15" t="inlineStr">
        <is>
          <t>Part II - The Method Atlas</t>
        </is>
      </c>
      <c r="C99" s="10" t="inlineStr">
        <is>
          <t>C.8 Paired reading - Atlas C</t>
        </is>
      </c>
      <c r="D99" s="10" t="inlineStr">
        <is>
          <t>Faccioli, Committor</t>
        </is>
      </c>
      <c r="E99" s="10" t="inlineStr">
        <is>
          <t>Bolhuis et al. 2002, Annu Rev Phys Chem 53:291</t>
        </is>
      </c>
      <c r="F99" s="10" t="inlineStr">
        <is>
          <t>The committor is the exact reaction coordinate. Why can we never compute it?</t>
        </is>
      </c>
      <c r="G99" s="11" t="inlineStr"/>
    </row>
    <row r="100">
      <c r="A100" s="11" t="n">
        <v>96</v>
      </c>
      <c r="B100" s="15" t="inlineStr">
        <is>
          <t>Part II - The Method Atlas</t>
        </is>
      </c>
      <c r="C100" s="10" t="inlineStr">
        <is>
          <t>C.8 Paired reading - Atlas C</t>
        </is>
      </c>
      <c r="D100" s="10" t="inlineStr">
        <is>
          <t>Vanden-Eijnden, Rare Events: Theory</t>
        </is>
      </c>
      <c r="E100" s="10" t="inlineStr">
        <is>
          <t>E &amp; Vanden-Eijnden 2006, J Stat Phys 123:503</t>
        </is>
      </c>
      <c r="F100" s="10" t="inlineStr">
        <is>
          <t>What does transition path theory add beyond sampling paths?</t>
        </is>
      </c>
      <c r="G100" s="11" t="inlineStr"/>
    </row>
    <row r="101">
      <c r="A101" s="11" t="n">
        <v>97</v>
      </c>
      <c r="B101" s="15" t="inlineStr">
        <is>
          <t>Part II - The Method Atlas</t>
        </is>
      </c>
      <c r="C101" s="10" t="inlineStr">
        <is>
          <t>C.8 Paired reading - Atlas C</t>
        </is>
      </c>
      <c r="D101" s="10" t="inlineStr">
        <is>
          <t>Sarupria, Forward Flux Sampling</t>
        </is>
      </c>
      <c r="E101" s="10" t="inlineStr">
        <is>
          <t>Allen, Warren &amp; ten Wolde 2005, PRL 94:018104</t>
        </is>
      </c>
      <c r="F101" s="10" t="inlineStr">
        <is>
          <t>FFS needs no equilibrium. When is that decisive?</t>
        </is>
      </c>
      <c r="G101" s="11" t="inlineStr"/>
    </row>
    <row r="102">
      <c r="A102" s="11" t="n">
        <v>98</v>
      </c>
      <c r="B102" s="15" t="inlineStr">
        <is>
          <t>Part II - The Method Atlas</t>
        </is>
      </c>
      <c r="C102" s="10" t="inlineStr">
        <is>
          <t>C.8 Paired reading - Atlas C</t>
        </is>
      </c>
      <c r="D102" s="10" t="inlineStr">
        <is>
          <t>Noé, Boltzmann Generators</t>
        </is>
      </c>
      <c r="E102" s="10" t="inlineStr">
        <is>
          <t>Noé, Olsson, Köhler &amp; Wu 2019, Science 365:eaaw1147</t>
        </is>
      </c>
      <c r="F102" s="10" t="inlineStr">
        <is>
          <t>Where does exactness come from, and what is the catch?</t>
        </is>
      </c>
      <c r="G102" s="11" t="inlineStr"/>
    </row>
    <row r="103">
      <c r="A103" s="11" t="n">
        <v>99</v>
      </c>
      <c r="B103" s="15" t="inlineStr">
        <is>
          <t>Part II - The Method Atlas</t>
        </is>
      </c>
      <c r="C103" s="10" t="inlineStr">
        <is>
          <t>C.8 Paired reading - Atlas C</t>
        </is>
      </c>
      <c r="D103" s="10" t="inlineStr">
        <is>
          <t>Noé, Stochastic Normalizing Flows</t>
        </is>
      </c>
      <c r="E103" s="10" t="inlineStr">
        <is>
          <t>Wu, Köhler &amp; Noé 2020, NeurIPS</t>
        </is>
      </c>
      <c r="F103" s="10" t="inlineStr">
        <is>
          <t>Interleaving flow layers and MCMC steps. Why does that help?</t>
        </is>
      </c>
      <c r="G103" s="11" t="inlineStr"/>
    </row>
    <row r="104">
      <c r="A104" s="11" t="n">
        <v>100</v>
      </c>
      <c r="B104" s="15" t="inlineStr">
        <is>
          <t>Part II - The Method Atlas</t>
        </is>
      </c>
      <c r="C104" s="10" t="inlineStr">
        <is>
          <t>C.8 Paired reading - Atlas C</t>
        </is>
      </c>
      <c r="D104" s="10" t="inlineStr">
        <is>
          <t>Midgley &amp; Stimper, FAB</t>
        </is>
      </c>
      <c r="E104" s="10" t="inlineStr">
        <is>
          <t>Midgley et al. 2023, ICLR</t>
        </is>
      </c>
      <c r="F104" s="10" t="inlineStr">
        <is>
          <t>Training on an energy with no samples. Apply this to a designed protein.</t>
        </is>
      </c>
      <c r="G104" s="11" t="inlineStr"/>
    </row>
    <row r="105">
      <c r="A105" s="11" t="n">
        <v>101</v>
      </c>
      <c r="B105" s="15" t="inlineStr">
        <is>
          <t>Part II - The Method Atlas</t>
        </is>
      </c>
      <c r="C105" s="10" t="inlineStr">
        <is>
          <t>C.8 Paired reading - Atlas C</t>
        </is>
      </c>
      <c r="D105" s="10" t="inlineStr">
        <is>
          <t>Gabrié, Adaptive MC with flows</t>
        </is>
      </c>
      <c r="E105" s="10" t="inlineStr">
        <is>
          <t>Gabrié, Rotskoff &amp; Vanden-Eijnden 2022, PNAS 119:e2109420119</t>
        </is>
      </c>
      <c r="F105" s="10" t="inlineStr">
        <is>
          <t>Global proposal plus local kernel. Why does neither suffice alone?</t>
        </is>
      </c>
      <c r="G105" s="11" t="inlineStr"/>
    </row>
    <row r="106">
      <c r="A106" s="11" t="n">
        <v>102</v>
      </c>
      <c r="B106" s="15" t="inlineStr">
        <is>
          <t>Part II - The Method Atlas</t>
        </is>
      </c>
      <c r="C106" s="10" t="inlineStr">
        <is>
          <t>C.8 Paired reading - Atlas C</t>
        </is>
      </c>
      <c r="D106" s="10" t="inlineStr">
        <is>
          <t>Sohl-Dickstein, L2HMC</t>
        </is>
      </c>
      <c r="E106" s="10" t="inlineStr">
        <is>
          <t>Levy, Hoffman &amp; Sohl-Dickstein 2018, ICLR</t>
        </is>
      </c>
      <c r="F106" s="10" t="inlineStr">
        <is>
          <t>A learned MCMC kernel that stays correct. What constrains the learning?</t>
        </is>
      </c>
      <c r="G106" s="11" t="inlineStr"/>
    </row>
    <row r="107">
      <c r="A107" s="11" t="n">
        <v>103</v>
      </c>
      <c r="B107" s="15" t="inlineStr">
        <is>
          <t>Part II - The Method Atlas</t>
        </is>
      </c>
      <c r="C107" s="10" t="inlineStr">
        <is>
          <t>C.8 Paired reading - Atlas C</t>
        </is>
      </c>
      <c r="D107" s="10" t="inlineStr">
        <is>
          <t>Vehtari, BDA 5.2</t>
        </is>
      </c>
      <c r="E107" s="10" t="inlineStr">
        <is>
          <t>Vehtari et al. 2021, Bayesian Analysis 16(2</t>
        </is>
      </c>
      <c r="F107" s="10" t="inlineStr">
        <is>
          <t>Apply rank-normalized R-hat to replica MD. Does your ensemble pass?</t>
        </is>
      </c>
      <c r="G107" s="11" t="inlineStr"/>
    </row>
    <row r="108">
      <c r="A108" s="11" t="n">
        <v>104</v>
      </c>
      <c r="B108" s="15" t="inlineStr">
        <is>
          <t>Part II - The Method Atlas</t>
        </is>
      </c>
      <c r="C108" s="10" t="inlineStr">
        <is>
          <t>C.8 Paired reading - Atlas C</t>
        </is>
      </c>
      <c r="D108" s="10" t="inlineStr">
        <is>
          <t>Gelman, Bayesian Workflow</t>
        </is>
      </c>
      <c r="E108" s="10" t="inlineStr">
        <is>
          <t>Gelman et al. 2020, arXiv:2011.01808</t>
        </is>
      </c>
      <c r="F108" s="10" t="inlineStr">
        <is>
          <t>What would a "simulation workflow" paper look like, by analogy?</t>
        </is>
      </c>
      <c r="G108" s="11" t="inlineStr"/>
    </row>
    <row r="109">
      <c r="A109" s="11" t="n">
        <v>105</v>
      </c>
      <c r="B109" s="15" t="inlineStr">
        <is>
          <t>Part II - The Method Atlas</t>
        </is>
      </c>
      <c r="C109" s="10" t="inlineStr">
        <is>
          <t>C.8 Paired reading - Atlas C</t>
        </is>
      </c>
      <c r="D109" s="10" t="inlineStr">
        <is>
          <t>Carpenter, How does Stan work?</t>
        </is>
      </c>
      <c r="E109" s="10" t="inlineStr">
        <is>
          <t>Carpenter et al. 2017, JSS 76(1</t>
        </is>
      </c>
      <c r="F109" s="10" t="inlineStr">
        <is>
          <t>Constrained-to-unconstrained transforms and log-Jacobians. Where do these appear in molecular sampling?</t>
        </is>
      </c>
      <c r="G109" s="11" t="inlineStr"/>
    </row>
    <row r="110">
      <c r="A110" s="11" t="n">
        <v>106</v>
      </c>
      <c r="B110" s="15" t="inlineStr">
        <is>
          <t>Part II - The Method Atlas</t>
        </is>
      </c>
      <c r="C110" s="10" t="inlineStr">
        <is>
          <t>D.8 Paired reading - Atlas D</t>
        </is>
      </c>
      <c r="D110" s="10" t="inlineStr">
        <is>
          <t>PLUMED Masterclass 21.01–06</t>
        </is>
      </c>
      <c r="E110" s="10" t="inlineStr">
        <is>
          <t>Laio &amp; Parrinello 2002, PNAS 99:12562</t>
        </is>
      </c>
      <c r="F110" s="10" t="inlineStr">
        <is>
          <t>What exactly is deposited, and what is the converged bias?</t>
        </is>
      </c>
      <c r="G110" s="11" t="inlineStr"/>
    </row>
    <row r="111">
      <c r="A111" s="11" t="n">
        <v>107</v>
      </c>
      <c r="B111" s="15" t="inlineStr">
        <is>
          <t>Part II - The Method Atlas</t>
        </is>
      </c>
      <c r="C111" s="10" t="inlineStr">
        <is>
          <t>D.8 Paired reading - Atlas D</t>
        </is>
      </c>
      <c r="D111" s="10" t="inlineStr">
        <is>
          <t>PLUMED Masterclass 22.03 (OPES</t>
        </is>
      </c>
      <c r="E111" s="10" t="inlineStr">
        <is>
          <t>Invernizzi &amp; Parrinello 2020, JPCL 11:2731</t>
        </is>
      </c>
      <c r="F111" s="10" t="inlineStr">
        <is>
          <t>What does OPES fix about well-tempered metadynamics?</t>
        </is>
      </c>
      <c r="G111" s="11" t="inlineStr"/>
    </row>
    <row r="112">
      <c r="A112" s="11" t="n">
        <v>108</v>
      </c>
      <c r="B112" s="15" t="inlineStr">
        <is>
          <t>Part II - The Method Atlas</t>
        </is>
      </c>
      <c r="C112" s="10" t="inlineStr">
        <is>
          <t>D.8 Paired reading - Atlas D</t>
        </is>
      </c>
      <c r="D112" s="10" t="inlineStr">
        <is>
          <t>Tiwary, ML collective variables</t>
        </is>
      </c>
      <c r="E112" s="10" t="inlineStr">
        <is>
          <t>Tiwary &amp; Berne 2016, PNAS 113:2839</t>
        </is>
      </c>
      <c r="F112" s="10" t="inlineStr">
        <is>
          <t>Learning a CV from data. What prevents it from learning a fast coordinate?</t>
        </is>
      </c>
      <c r="G112" s="11" t="inlineStr"/>
    </row>
    <row r="113">
      <c r="A113" s="11" t="n">
        <v>109</v>
      </c>
      <c r="B113" s="15" t="inlineStr">
        <is>
          <t>Part II - The Method Atlas</t>
        </is>
      </c>
      <c r="C113" s="10" t="inlineStr">
        <is>
          <t>D.8 Paired reading - Atlas D</t>
        </is>
      </c>
      <c r="D113" s="10" t="inlineStr">
        <is>
          <t>Gómez-Bombarelli, Differentiable simulations</t>
        </is>
      </c>
      <c r="E113" s="10" t="inlineStr">
        <is>
          <t>The accompanying paper</t>
        </is>
      </c>
      <c r="F113" s="10" t="inlineStr">
        <is>
          <t>Backprop through a simulation. Where does the gradient become useless?</t>
        </is>
      </c>
      <c r="G113" s="11" t="inlineStr"/>
    </row>
    <row r="114">
      <c r="A114" s="11" t="n">
        <v>110</v>
      </c>
      <c r="B114" s="15" t="inlineStr">
        <is>
          <t>Part II - The Method Atlas</t>
        </is>
      </c>
      <c r="C114" s="10" t="inlineStr">
        <is>
          <t>D.8 Paired reading - Atlas D</t>
        </is>
      </c>
      <c r="D114" s="10" t="inlineStr">
        <is>
          <t>GROMACS REMD tutorial</t>
        </is>
      </c>
      <c r="E114" s="10" t="inlineStr">
        <is>
          <t>Sugita &amp; Okamoto 1999 then Rosta &amp; Hummer 2009, JCP 131:165102</t>
        </is>
      </c>
      <c r="F114" s="10" t="inlineStr">
        <is>
          <t>How many replicas for your system? Is the gain worth it?</t>
        </is>
      </c>
      <c r="G114" s="11" t="inlineStr"/>
    </row>
    <row r="115">
      <c r="A115" s="11" t="n">
        <v>111</v>
      </c>
      <c r="B115" s="15" t="inlineStr">
        <is>
          <t>Part II - The Method Atlas</t>
        </is>
      </c>
      <c r="C115" s="10" t="inlineStr">
        <is>
          <t>D.8 Paired reading - Atlas D</t>
        </is>
      </c>
      <c r="D115" s="10" t="inlineStr">
        <is>
          <t>WESTPA tutorials</t>
        </is>
      </c>
      <c r="E115" s="10" t="inlineStr">
        <is>
          <t>Zuckerman &amp; Chong 2017, Annu Rev Biophys 46:43</t>
        </is>
      </c>
      <c r="F115" s="10" t="inlineStr">
        <is>
          <t>Why is WE unbiased where metadynamics is asymptotic?</t>
        </is>
      </c>
      <c r="G115" s="11" t="inlineStr"/>
    </row>
    <row r="116">
      <c r="A116" s="11" t="n">
        <v>112</v>
      </c>
      <c r="B116" s="15" t="inlineStr">
        <is>
          <t>Part II - The Method Atlas</t>
        </is>
      </c>
      <c r="C116" s="10" t="inlineStr">
        <is>
          <t>D.8 Paired reading - Atlas D</t>
        </is>
      </c>
      <c r="D116" s="10" t="inlineStr">
        <is>
          <t>Raja, Action minimization for TPS</t>
        </is>
      </c>
      <c r="E116" s="10" t="inlineStr">
        <is>
          <t>The paper + Bolhuis et al. 2002</t>
        </is>
      </c>
      <c r="F116" s="10" t="inlineStr">
        <is>
          <t>Paths, not states. What object is being sampled?</t>
        </is>
      </c>
      <c r="G116" s="11" t="inlineStr"/>
    </row>
    <row r="117">
      <c r="A117" s="11" t="n">
        <v>113</v>
      </c>
      <c r="B117" s="15" t="inlineStr">
        <is>
          <t>Part II - The Method Atlas</t>
        </is>
      </c>
      <c r="C117" s="10" t="inlineStr">
        <is>
          <t>D.8 Paired reading - Atlas D</t>
        </is>
      </c>
      <c r="D117" s="10" t="inlineStr">
        <is>
          <t>PyEMMA 2017 workshop (Appendix B.10</t>
        </is>
      </c>
      <c r="E117" s="10" t="inlineStr">
        <is>
          <t>Prinz et al. 2011, JCP 134:174105</t>
        </is>
      </c>
      <c r="F117" s="10" t="inlineStr">
        <is>
          <t>Implied timescales. What does the plateau actually prove?</t>
        </is>
      </c>
      <c r="G117" s="11" t="inlineStr"/>
    </row>
    <row r="118">
      <c r="A118" s="11" t="n">
        <v>114</v>
      </c>
      <c r="B118" s="15" t="inlineStr">
        <is>
          <t>Part II - The Method Atlas</t>
        </is>
      </c>
      <c r="C118" s="10" t="inlineStr">
        <is>
          <t>D.8 Paired reading - Atlas D</t>
        </is>
      </c>
      <c r="D118" s="10" t="inlineStr">
        <is>
          <t>Bowman, PocketMiner</t>
        </is>
      </c>
      <c r="E118" s="10" t="inlineStr">
        <is>
          <t>Bowman &amp; Geissler 2012, PNAS 109:11681 then Meller et al. 2023, Nat Commun 14:1177</t>
        </is>
      </c>
      <c r="F118" s="10" t="inlineStr">
        <is>
          <t>A physics result became a learned predictor. What was kept and what was discarded?</t>
        </is>
      </c>
      <c r="G118" s="11" t="inlineStr"/>
    </row>
    <row r="119">
      <c r="A119" s="11" t="n">
        <v>115</v>
      </c>
      <c r="B119" s="15" t="inlineStr">
        <is>
          <t>Part II - The Method Atlas</t>
        </is>
      </c>
      <c r="C119" s="10" t="inlineStr">
        <is>
          <t>D.8 Paired reading - Atlas D</t>
        </is>
      </c>
      <c r="D119" s="10" t="inlineStr">
        <is>
          <t>Valence, Boltzmann flows</t>
        </is>
      </c>
      <c r="E119" s="10" t="inlineStr">
        <is>
          <t>Noé et al. 2019, Science 365:eaaw1147</t>
        </is>
      </c>
      <c r="F119" s="10" t="inlineStr">
        <is>
          <t>Write the importance weight. Where can the guarantee be lost?</t>
        </is>
      </c>
      <c r="G119" s="11" t="inlineStr"/>
    </row>
    <row r="120">
      <c r="A120" s="11" t="n">
        <v>116</v>
      </c>
      <c r="B120" s="15" t="inlineStr">
        <is>
          <t>Part II - The Method Atlas</t>
        </is>
      </c>
      <c r="C120" s="10" t="inlineStr">
        <is>
          <t>D.8 Paired reading - Atlas D</t>
        </is>
      </c>
      <c r="D120" s="10" t="inlineStr">
        <is>
          <t>Klein &amp; Foong, Timewarp</t>
        </is>
      </c>
      <c r="E120" s="10" t="inlineStr">
        <is>
          <t>Klein et al. 2023, NeurIPS</t>
        </is>
      </c>
      <c r="F120" s="10" t="inlineStr">
        <is>
          <t>Learning the propagator rather than the distribution. What transfers?</t>
        </is>
      </c>
      <c r="G120" s="11" t="inlineStr"/>
    </row>
    <row r="121">
      <c r="A121" s="11" t="n">
        <v>117</v>
      </c>
      <c r="B121" s="15" t="inlineStr">
        <is>
          <t>Part II - The Method Atlas</t>
        </is>
      </c>
      <c r="C121" s="10" t="inlineStr">
        <is>
          <t>D.8 Paired reading - Atlas D</t>
        </is>
      </c>
      <c r="D121" s="10" t="inlineStr">
        <is>
          <t>Valence, BioEmu</t>
        </is>
      </c>
      <c r="E121" s="10" t="inlineStr">
        <is>
          <t>Lewis et al. 2025, Science 389:eadv9817</t>
        </is>
      </c>
      <c r="F121" s="10" t="inlineStr">
        <is>
          <t>Emulated equilibrium ensembles. What was the validation, and is it enough?</t>
        </is>
      </c>
      <c r="G121" s="11" t="inlineStr"/>
    </row>
    <row r="122">
      <c r="A122" s="11" t="n">
        <v>118</v>
      </c>
      <c r="B122" s="15" t="inlineStr">
        <is>
          <t>Part II - The Method Atlas</t>
        </is>
      </c>
      <c r="C122" s="10" t="inlineStr">
        <is>
          <t>D.8 Paired reading - Atlas D</t>
        </is>
      </c>
      <c r="D122" s="10" t="inlineStr">
        <is>
          <t>Jing, AlphaFlow</t>
        </is>
      </c>
      <c r="E122" s="10" t="inlineStr">
        <is>
          <t>Jing et al. 2024, ICML</t>
        </is>
      </c>
      <c r="F122" s="10" t="inlineStr">
        <is>
          <t>AF2 as a generative prior over conformations. Is the output Boltzmann?</t>
        </is>
      </c>
      <c r="G122" s="11" t="inlineStr"/>
    </row>
    <row r="123">
      <c r="A123" s="11" t="n">
        <v>119</v>
      </c>
      <c r="B123" s="15" t="inlineStr">
        <is>
          <t>Part II - The Method Atlas</t>
        </is>
      </c>
      <c r="C123" s="10" t="inlineStr">
        <is>
          <t>D.8 Paired reading - Atlas D</t>
        </is>
      </c>
      <c r="D123" s="10" t="inlineStr">
        <is>
          <t>Tiwary, Boltzmann Weighted Ensembles</t>
        </is>
      </c>
      <c r="E123" s="10" t="inlineStr">
        <is>
          <t>Compare to BioEmu and AlphaFlow</t>
        </is>
      </c>
      <c r="F123" s="10" t="inlineStr">
        <is>
          <t>State the physics-first objection to all of D.6 in one sentence.</t>
        </is>
      </c>
      <c r="G123" s="11" t="inlineStr"/>
    </row>
    <row r="124">
      <c r="A124" s="11" t="n">
        <v>120</v>
      </c>
      <c r="B124" s="15" t="inlineStr">
        <is>
          <t>Part II - The Method Atlas</t>
        </is>
      </c>
      <c r="C124" s="10" t="inlineStr">
        <is>
          <t>E.6 Paired reading - Atlas E</t>
        </is>
      </c>
      <c r="D124" s="10" t="inlineStr">
        <is>
          <t>Alchemistry workshop, estimators</t>
        </is>
      </c>
      <c r="E124" s="10" t="inlineStr">
        <is>
          <t>Bennett 1976 then Shirts &amp; Chodera 2008</t>
        </is>
      </c>
      <c r="F124" s="10" t="inlineStr">
        <is>
          <t>Derive BAR from Crooks. Then show MBAR generalizes it.</t>
        </is>
      </c>
      <c r="G124" s="11" t="inlineStr"/>
    </row>
    <row r="125">
      <c r="A125" s="11" t="n">
        <v>121</v>
      </c>
      <c r="B125" s="15" t="inlineStr">
        <is>
          <t>Part II - The Method Atlas</t>
        </is>
      </c>
      <c r="C125" s="10" t="inlineStr">
        <is>
          <t>E.6 Paired reading - Atlas E</t>
        </is>
      </c>
      <c r="D125" s="10" t="inlineStr">
        <is>
          <t>Alchemistry workshop, overlap</t>
        </is>
      </c>
      <c r="E125" s="10" t="inlineStr">
        <is>
          <t>Pohorille et al. 2010, JPCB 114:10235</t>
        </is>
      </c>
      <c r="F125" s="10" t="inlineStr">
        <is>
          <t>Write the overlap integral. At what value is a result untrustworthy?</t>
        </is>
      </c>
      <c r="G125" s="11" t="inlineStr"/>
    </row>
    <row r="126">
      <c r="A126" s="11" t="n">
        <v>122</v>
      </c>
      <c r="B126" s="15" t="inlineStr">
        <is>
          <t>Part II - The Method Atlas</t>
        </is>
      </c>
      <c r="C126" s="10" t="inlineStr">
        <is>
          <t>E.6 Paired reading - Atlas E</t>
        </is>
      </c>
      <c r="D126" s="10" t="inlineStr">
        <is>
          <t>Du &amp; He, FEAT</t>
        </is>
      </c>
      <c r="E126" s="10" t="inlineStr">
        <is>
          <t>The FEAT paper</t>
        </is>
      </c>
      <c r="F126" s="10" t="inlineStr">
        <is>
          <t>Learned transport between thermodynamic states. What replaces lambda windows?</t>
        </is>
      </c>
      <c r="G126" s="11" t="inlineStr"/>
    </row>
    <row r="127">
      <c r="A127" s="11" t="n">
        <v>123</v>
      </c>
      <c r="B127" s="15" t="inlineStr">
        <is>
          <t>Part II - The Method Atlas</t>
        </is>
      </c>
      <c r="C127" s="10" t="inlineStr">
        <is>
          <t>E.6 Paired reading - Atlas E</t>
        </is>
      </c>
      <c r="D127" s="10" t="inlineStr">
        <is>
          <t>Mobley/Gilson talks</t>
        </is>
      </c>
      <c r="E127" s="10" t="inlineStr">
        <is>
          <t>Mobley &amp; Gilson 2017, Annu Rev Biophys 46:531</t>
        </is>
      </c>
      <c r="F127" s="10" t="inlineStr">
        <is>
          <t>What are the standard-state and symmetry corrections, and when do they bite?</t>
        </is>
      </c>
      <c r="G127" s="11" t="inlineStr"/>
    </row>
    <row r="128">
      <c r="A128" s="11" t="n">
        <v>124</v>
      </c>
      <c r="B128" s="15" t="inlineStr">
        <is>
          <t>Part II - The Method Atlas</t>
        </is>
      </c>
      <c r="C128" s="10" t="inlineStr">
        <is>
          <t>E.6 Paired reading - Atlas E</t>
        </is>
      </c>
      <c r="D128" s="10" t="inlineStr">
        <is>
          <t>FEP+ benchmark talks</t>
        </is>
      </c>
      <c r="E128" s="10" t="inlineStr">
        <is>
          <t>Schindler et al. 2020, JCIM 60:5457</t>
        </is>
      </c>
      <c r="F128" s="10" t="inlineStr">
        <is>
          <t>Industrial scale, honest numbers. What is the actual RMSE distribution?</t>
        </is>
      </c>
      <c r="G128" s="11" t="inlineStr"/>
    </row>
    <row r="129">
      <c r="A129" s="11" t="n">
        <v>125</v>
      </c>
      <c r="B129" s="15" t="inlineStr">
        <is>
          <t>Part II - The Method Atlas</t>
        </is>
      </c>
      <c r="C129" s="10" t="inlineStr">
        <is>
          <t>E.6 Paired reading - Atlas E</t>
        </is>
      </c>
      <c r="D129" s="10" t="inlineStr">
        <is>
          <t>Valence, Boltz-2 affinity</t>
        </is>
      </c>
      <c r="E129" s="10" t="inlineStr">
        <is>
          <t>The Boltz-2 paper</t>
        </is>
      </c>
      <c r="F129" s="10" t="inlineStr">
        <is>
          <t>A learned affinity head. Against what data, and what is the generalization gap?</t>
        </is>
      </c>
      <c r="G129" s="11" t="inlineStr"/>
    </row>
    <row r="130">
      <c r="A130" s="11" t="n">
        <v>126</v>
      </c>
      <c r="B130" s="15" t="inlineStr">
        <is>
          <t>Part II - The Method Atlas</t>
        </is>
      </c>
      <c r="C130" s="10" t="inlineStr">
        <is>
          <t>E.6 Paired reading - Atlas E</t>
        </is>
      </c>
      <c r="D130" s="10" t="inlineStr">
        <is>
          <t>Murakowska, Affinity data bottleneck</t>
        </is>
      </c>
      <c r="E130" s="10" t="inlineStr">
        <is>
          <t>Compare to Schindler 2020</t>
        </is>
      </c>
      <c r="F130" s="10" t="inlineStr">
        <is>
          <t>Is the limit the method or the measurements?</t>
        </is>
      </c>
      <c r="G130" s="11" t="inlineStr"/>
    </row>
    <row r="131">
      <c r="A131" s="11" t="n">
        <v>127</v>
      </c>
      <c r="B131" s="15" t="inlineStr">
        <is>
          <t>Part II - The Method Atlas</t>
        </is>
      </c>
      <c r="C131" s="10" t="inlineStr">
        <is>
          <t>E.6 Paired reading - Atlas E</t>
        </is>
      </c>
      <c r="D131" s="10" t="inlineStr">
        <is>
          <t>ThermoMPNN tutorial</t>
        </is>
      </c>
      <c r="E131" s="10" t="inlineStr">
        <is>
          <t>Tsuboyama et al. 2023, Nature 620:434</t>
        </is>
      </c>
      <c r="F131" s="10" t="inlineStr">
        <is>
          <t>500k stabilities. What became trainable that was not before?</t>
        </is>
      </c>
      <c r="G131" s="11" t="inlineStr"/>
    </row>
    <row r="132">
      <c r="A132" s="11" t="n">
        <v>128</v>
      </c>
      <c r="B132" s="15" t="inlineStr">
        <is>
          <t>Part II - The Method Atlas</t>
        </is>
      </c>
      <c r="C132" s="10" t="inlineStr">
        <is>
          <t>E.6 Paired reading - Atlas E</t>
        </is>
      </c>
      <c r="D132" s="10" t="inlineStr">
        <is>
          <t>SAMPL post-mortems</t>
        </is>
      </c>
      <c r="E132" s="10" t="inlineStr">
        <is>
          <t>Any SAMPL challenge overview paper</t>
        </is>
      </c>
      <c r="F132" s="10" t="inlineStr">
        <is>
          <t>Blind prediction. What systematically went wrong, across groups?</t>
        </is>
      </c>
      <c r="G132" s="11" t="inlineStr"/>
    </row>
    <row r="133">
      <c r="A133" s="11" t="n">
        <v>129</v>
      </c>
      <c r="B133" s="15" t="inlineStr">
        <is>
          <t>Part II - The Method Atlas</t>
        </is>
      </c>
      <c r="C133" s="10" t="inlineStr">
        <is>
          <t>F.5 Paired reading - Atlas F</t>
        </is>
      </c>
      <c r="D133" s="10" t="inlineStr">
        <is>
          <t>Voth, Theory of Coarse-graining</t>
        </is>
      </c>
      <c r="E133" s="10" t="inlineStr">
        <is>
          <t>Izvekov &amp; Voth 2005, JPC B 109:2469; Noid et al. 2008, JCP 128:244114</t>
        </is>
      </c>
      <c r="F133" s="10" t="inlineStr">
        <is>
          <t>Derive the force-matching objective. What is it a projection of?</t>
        </is>
      </c>
      <c r="G133" s="11" t="inlineStr"/>
    </row>
    <row r="134">
      <c r="A134" s="11" t="n">
        <v>130</v>
      </c>
      <c r="B134" s="15" t="inlineStr">
        <is>
          <t>Part II - The Method Atlas</t>
        </is>
      </c>
      <c r="C134" s="10" t="inlineStr">
        <is>
          <t>F.5 Paired reading - Atlas F</t>
        </is>
      </c>
      <c r="D134" s="10" t="inlineStr">
        <is>
          <t>Voth, Ultra-Coarse-Graining</t>
        </is>
      </c>
      <c r="E134" s="10" t="inlineStr">
        <is>
          <t>Dama et al. 2013, JCTC 9:2466</t>
        </is>
      </c>
      <c r="F134" s="10" t="inlineStr">
        <is>
          <t>What breaks when CG sites must change internal state?</t>
        </is>
      </c>
      <c r="G134" s="11" t="inlineStr"/>
    </row>
    <row r="135">
      <c r="A135" s="11" t="n">
        <v>131</v>
      </c>
      <c r="B135" s="15" t="inlineStr">
        <is>
          <t>Part II - The Method Atlas</t>
        </is>
      </c>
      <c r="C135" s="10" t="inlineStr">
        <is>
          <t>F.5 Paired reading - Atlas F</t>
        </is>
      </c>
      <c r="D135" s="10" t="inlineStr">
        <is>
          <t>Faller, IBI fundamentals</t>
        </is>
      </c>
      <c r="E135" s="10" t="inlineStr">
        <is>
          <t>Reith, Pütz &amp; Müller-Plathe 2003, JCC 24:1624</t>
        </is>
      </c>
      <c r="F135" s="10" t="inlineStr">
        <is>
          <t>IBI inverts an RDF to a potential. Why is that inversion not unique?</t>
        </is>
      </c>
      <c r="G135" s="11" t="inlineStr"/>
    </row>
    <row r="136">
      <c r="A136" s="11" t="n">
        <v>132</v>
      </c>
      <c r="B136" s="15" t="inlineStr">
        <is>
          <t>Part II - The Method Atlas</t>
        </is>
      </c>
      <c r="C136" s="10" t="inlineStr">
        <is>
          <t>F.5 Paired reading - Atlas F</t>
        </is>
      </c>
      <c r="D136" s="10" t="inlineStr">
        <is>
          <t>Faller, State point dependence</t>
        </is>
      </c>
      <c r="E136" s="10" t="inlineStr">
        <is>
          <t>Louis 2002, Beware of density dependent pair potentials</t>
        </is>
      </c>
      <c r="F136" s="10" t="inlineStr">
        <is>
          <t>State the transferability failure formally. What is the ML analogue?</t>
        </is>
      </c>
      <c r="G136" s="11" t="inlineStr"/>
    </row>
    <row r="137">
      <c r="A137" s="11" t="n">
        <v>133</v>
      </c>
      <c r="B137" s="15" t="inlineStr">
        <is>
          <t>Part II - The Method Atlas</t>
        </is>
      </c>
      <c r="C137" s="10" t="inlineStr">
        <is>
          <t>F.5 Paired reading - Atlas F</t>
        </is>
      </c>
      <c r="D137" s="10" t="inlineStr">
        <is>
          <t>Giulini, The mapping problem</t>
        </is>
      </c>
      <c r="E137" s="10" t="inlineStr">
        <is>
          <t>Giulini et al. 2020, JCTC 16:6795</t>
        </is>
      </c>
      <c r="F137" s="10" t="inlineStr">
        <is>
          <t>Mapping entropy scores a choice of CG sites. Could you optimize a mapping?</t>
        </is>
      </c>
      <c r="G137" s="11" t="inlineStr"/>
    </row>
    <row r="138">
      <c r="A138" s="11" t="n">
        <v>134</v>
      </c>
      <c r="B138" s="15" t="inlineStr">
        <is>
          <t>Part II - The Method Atlas</t>
        </is>
      </c>
      <c r="C138" s="10" t="inlineStr">
        <is>
          <t>F.5 Paired reading - Atlas F</t>
        </is>
      </c>
      <c r="D138" s="10" t="inlineStr">
        <is>
          <t>Xingjie Li / Karniadakis, Mori-Zwanzig</t>
        </is>
      </c>
      <c r="E138" s="10" t="inlineStr">
        <is>
          <t>Zwanzig 1961, Phys Rev 124:983; Mori 1965</t>
        </is>
      </c>
      <c r="F138" s="10" t="inlineStr">
        <is>
          <t>Derive the three terms. Which does your favourite CG model keep?</t>
        </is>
      </c>
      <c r="G138" s="11" t="inlineStr"/>
    </row>
    <row r="139">
      <c r="A139" s="11" t="n">
        <v>135</v>
      </c>
      <c r="B139" s="15" t="inlineStr">
        <is>
          <t>Part II - The Method Atlas</t>
        </is>
      </c>
      <c r="C139" s="10" t="inlineStr">
        <is>
          <t>F.5 Paired reading - Atlas F</t>
        </is>
      </c>
      <c r="D139" s="10" t="inlineStr">
        <is>
          <t>Scalfi, GLE from MD</t>
        </is>
      </c>
      <c r="E139" s="10" t="inlineStr">
        <is>
          <t>Jung, Hanke &amp; Schmid 2017, JCTC 13:2481</t>
        </is>
      </c>
      <c r="F139" s="10" t="inlineStr">
        <is>
          <t>How do you actually measure a memory kernel from a trajectory?</t>
        </is>
      </c>
      <c r="G139" s="11" t="inlineStr"/>
    </row>
    <row r="140">
      <c r="A140" s="11" t="n">
        <v>136</v>
      </c>
      <c r="B140" s="15" t="inlineStr">
        <is>
          <t>Part II - The Method Atlas</t>
        </is>
      </c>
      <c r="C140" s="10" t="inlineStr">
        <is>
          <t>F.5 Paired reading - Atlas F</t>
        </is>
      </c>
      <c r="D140" s="10" t="inlineStr">
        <is>
          <t>Clementi, Coarse-graining classical and quantum</t>
        </is>
      </c>
      <c r="E140" s="10" t="inlineStr">
        <is>
          <t>Wang et al. 2019, ACS Cent Sci 5:755 (CGnets</t>
        </is>
      </c>
      <c r="F140" s="10" t="inlineStr">
        <is>
          <t>The loss is force matching. What guarantees thermodynamic consistency?</t>
        </is>
      </c>
      <c r="G140" s="11" t="inlineStr"/>
    </row>
    <row r="141">
      <c r="A141" s="11" t="n">
        <v>137</v>
      </c>
      <c r="B141" s="15" t="inlineStr">
        <is>
          <t>Part II - The Method Atlas</t>
        </is>
      </c>
      <c r="C141" s="10" t="inlineStr">
        <is>
          <t>F.5 Paired reading - Atlas F</t>
        </is>
      </c>
      <c r="D141" s="10" t="inlineStr">
        <is>
          <t>Clementi, Learning from simulation and experiment</t>
        </is>
      </c>
      <c r="E141" s="10" t="inlineStr">
        <is>
          <t>Olsson et al. 2017, PNAS 114:8265</t>
        </is>
      </c>
      <c r="F141" s="10" t="inlineStr">
        <is>
          <t>How do you constrain a CG model with experiment rather than simulation?</t>
        </is>
      </c>
      <c r="G141" s="11" t="inlineStr"/>
    </row>
    <row r="142">
      <c r="A142" s="11" t="n">
        <v>138</v>
      </c>
      <c r="B142" s="15" t="inlineStr">
        <is>
          <t>Part II - The Method Atlas</t>
        </is>
      </c>
      <c r="C142" s="10" t="inlineStr">
        <is>
          <t>F.5 Paired reading - Atlas F</t>
        </is>
      </c>
      <c r="D142" s="10" t="inlineStr">
        <is>
          <t>Fu, Time-integrated CG dynamics</t>
        </is>
      </c>
      <c r="E142" s="10" t="inlineStr">
        <is>
          <t>Fu et al. 2023, TMLR, arXiv:2204.10348</t>
        </is>
      </c>
      <c r="F142" s="10" t="inlineStr">
        <is>
          <t>Learning dynamics directly sidesteps the memory kernel. Is that legitimate?</t>
        </is>
      </c>
      <c r="G142" s="11" t="inlineStr"/>
    </row>
    <row r="143">
      <c r="A143" s="11" t="n">
        <v>139</v>
      </c>
      <c r="B143" s="15" t="inlineStr">
        <is>
          <t>Part II - The Method Atlas</t>
        </is>
      </c>
      <c r="C143" s="10" t="inlineStr">
        <is>
          <t>F.5 Paired reading - Atlas F</t>
        </is>
      </c>
      <c r="D143" s="10" t="inlineStr">
        <is>
          <t>Yang, Generative backmapping</t>
        </is>
      </c>
      <c r="E143" s="10" t="inlineStr">
        <is>
          <t>Yang &amp; Gómez-Bombarelli 2023, arXiv:2303.01569</t>
        </is>
      </c>
      <c r="F143" s="10" t="inlineStr">
        <is>
          <t>Backmapping is a conditional generative problem. What makes it ill-posed?</t>
        </is>
      </c>
      <c r="G143" s="11" t="inlineStr"/>
    </row>
    <row r="144">
      <c r="A144" s="11" t="n">
        <v>140</v>
      </c>
      <c r="B144" s="15" t="inlineStr">
        <is>
          <t>Part II - The Method Atlas</t>
        </is>
      </c>
      <c r="C144" s="10" t="inlineStr">
        <is>
          <t>F.5 Paired reading - Atlas F</t>
        </is>
      </c>
      <c r="D144" s="10" t="inlineStr">
        <is>
          <t>Marrink, Perspective on Martini</t>
        </is>
      </c>
      <c r="E144" s="10" t="inlineStr">
        <is>
          <t>Marrink et al. 2007, JPC B 111:7812; Souza et al. 2021, Nat Methods 18:382</t>
        </is>
      </c>
      <c r="F144" s="10" t="inlineStr">
        <is>
          <t>Four heavy atoms per bead. What chemistry is lost at that resolution?</t>
        </is>
      </c>
      <c r="G144" s="11" t="inlineStr"/>
    </row>
    <row r="145">
      <c r="A145" s="11" t="n">
        <v>141</v>
      </c>
      <c r="B145" s="15" t="inlineStr">
        <is>
          <t>Part II - The Method Atlas</t>
        </is>
      </c>
      <c r="C145" s="10" t="inlineStr">
        <is>
          <t>F.5 Paired reading - Atlas F</t>
        </is>
      </c>
      <c r="D145" s="10" t="inlineStr">
        <is>
          <t>Whitford, SMOG workshop</t>
        </is>
      </c>
      <c r="E145" s="10" t="inlineStr">
        <is>
          <t>Noel et al. 2016, PLoS Comput Biol 12:e1004794</t>
        </is>
      </c>
      <c r="F145" s="10" t="inlineStr">
        <is>
          <t>A Gō model builds the native state into the potential. What can it still predict?</t>
        </is>
      </c>
      <c r="G145" s="11" t="inlineStr"/>
    </row>
    <row r="146">
      <c r="A146" s="11" t="n">
        <v>142</v>
      </c>
      <c r="B146" s="15" t="inlineStr">
        <is>
          <t>Part II - The Method Atlas</t>
        </is>
      </c>
      <c r="C146" s="10" t="inlineStr">
        <is>
          <t>F.5 Paired reading - Atlas F</t>
        </is>
      </c>
      <c r="D146" s="10" t="inlineStr">
        <is>
          <t>Onuchic, Funnels</t>
        </is>
      </c>
      <c r="E146" s="10" t="inlineStr">
        <is>
          <t>Bryngelson, Onuchic, Socci &amp; Wolynes 1995, Proteins 21:167</t>
        </is>
      </c>
      <c r="F146" s="10" t="inlineStr">
        <is>
          <t>Derive the condition for minimal frustration.</t>
        </is>
      </c>
      <c r="G146" s="11" t="inlineStr"/>
    </row>
    <row r="147">
      <c r="A147" s="11" t="n">
        <v>143</v>
      </c>
      <c r="B147" s="15" t="inlineStr">
        <is>
          <t>Part II - The Method Atlas</t>
        </is>
      </c>
      <c r="C147" s="10" t="inlineStr">
        <is>
          <t>F.5 Paired reading - Atlas F</t>
        </is>
      </c>
      <c r="D147" s="10" t="inlineStr">
        <is>
          <t>Chan, Funnels, cooperativity, desolvation</t>
        </is>
      </c>
      <c r="E147" s="10" t="inlineStr">
        <is>
          <t>Chan et al. 2011, Annu Rev Phys Chem 62:301</t>
        </is>
      </c>
      <c r="F147" s="10" t="inlineStr">
        <is>
          <t>Name three things Gō models get wrong and say why.</t>
        </is>
      </c>
      <c r="G147" s="11" t="inlineStr"/>
    </row>
    <row r="148">
      <c r="A148" s="11" t="n">
        <v>144</v>
      </c>
      <c r="B148" s="15" t="inlineStr">
        <is>
          <t>Part II - The Method Atlas</t>
        </is>
      </c>
      <c r="C148" s="10" t="inlineStr">
        <is>
          <t>F.5 Paired reading - Atlas F</t>
        </is>
      </c>
      <c r="D148" s="10" t="inlineStr">
        <is>
          <t>Papoian, Brief History</t>
        </is>
      </c>
      <c r="E148" s="10" t="inlineStr">
        <is>
          <t>Kmiecik et al. 2016, Chem Rev 116:7898</t>
        </is>
      </c>
      <c r="F148" s="10" t="inlineStr">
        <is>
          <t>Place five CG models on a resolution-vs-transferability axis.</t>
        </is>
      </c>
      <c r="G148" s="11" t="inlineStr"/>
    </row>
    <row r="149">
      <c r="A149" s="11" t="n">
        <v>145</v>
      </c>
      <c r="B149" s="15" t="inlineStr">
        <is>
          <t>Part II - The Method Atlas</t>
        </is>
      </c>
      <c r="C149" s="10" t="inlineStr">
        <is>
          <t>F.5 Paired reading - Atlas F</t>
        </is>
      </c>
      <c r="D149" s="10" t="inlineStr">
        <is>
          <t>Liwo, Geometry-consistent energy terms</t>
        </is>
      </c>
      <c r="E149" s="10" t="inlineStr">
        <is>
          <t>Liwo et al. 2001, JCP 115:2323</t>
        </is>
      </c>
      <c r="F149" s="10" t="inlineStr">
        <is>
          <t>UNRES derives terms as cumulant expansions of the PMF. What does that buy?</t>
        </is>
      </c>
      <c r="G149" s="11" t="inlineStr"/>
    </row>
    <row r="150">
      <c r="A150" s="11" t="n">
        <v>146</v>
      </c>
      <c r="B150" s="15" t="inlineStr">
        <is>
          <t>Part II - The Method Atlas</t>
        </is>
      </c>
      <c r="C150" s="10" t="inlineStr">
        <is>
          <t>F.5 Paired reading - Atlas F</t>
        </is>
      </c>
      <c r="D150" s="10" t="inlineStr">
        <is>
          <t>Kremer, Adaptive resolution</t>
        </is>
      </c>
      <c r="E150" s="10" t="inlineStr">
        <is>
          <t>Praprotnik, Delle Site &amp; Kremer 2005, JCP 123:224106</t>
        </is>
      </c>
      <c r="F150" s="10" t="inlineStr">
        <is>
          <t>Particles change representation as they move. What must be conserved?</t>
        </is>
      </c>
      <c r="G150" s="11" t="inlineStr"/>
    </row>
    <row r="151">
      <c r="A151" s="11" t="n">
        <v>147</v>
      </c>
      <c r="B151" s="15" t="inlineStr">
        <is>
          <t>Part II - The Method Atlas</t>
        </is>
      </c>
      <c r="C151" s="10" t="inlineStr">
        <is>
          <t>F.5 Paired reading - Atlas F</t>
        </is>
      </c>
      <c r="D151" s="10" t="inlineStr">
        <is>
          <t>Deserno I–III</t>
        </is>
      </c>
      <c r="E151" s="10" t="inlineStr">
        <is>
          <t>Helfrich 1973, Z Naturforsch C 28:693</t>
        </is>
      </c>
      <c r="F151" s="10" t="inlineStr">
        <is>
          <t>Derive the Helfrich Hamiltonian. What is the Gaussian modulus and why is it usually ignored?</t>
        </is>
      </c>
      <c r="G151" s="11" t="inlineStr"/>
    </row>
    <row r="152">
      <c r="A152" s="11" t="n">
        <v>148</v>
      </c>
      <c r="B152" s="15" t="inlineStr">
        <is>
          <t>Part II - The Method Atlas</t>
        </is>
      </c>
      <c r="C152" s="10" t="inlineStr">
        <is>
          <t>F.5 Paired reading - Atlas F</t>
        </is>
      </c>
      <c r="D152" s="10" t="inlineStr">
        <is>
          <t>LMU, Flory-Huggins to Ginzburg-Landau</t>
        </is>
      </c>
      <c r="E152" s="10" t="inlineStr">
        <is>
          <t>Cahn &amp; Hilliard 1958, JCP 28:258</t>
        </is>
      </c>
      <c r="F152" s="10" t="inlineStr">
        <is>
          <t>Trace exactly what is discarded going from lattice to field theory.</t>
        </is>
      </c>
      <c r="G152" s="11" t="inlineStr"/>
    </row>
    <row r="153">
      <c r="A153" s="11" t="n">
        <v>149</v>
      </c>
      <c r="B153" s="15" t="inlineStr">
        <is>
          <t>Part II - The Method Atlas</t>
        </is>
      </c>
      <c r="C153" s="10" t="inlineStr">
        <is>
          <t>F.5 Paired reading - Atlas F</t>
        </is>
      </c>
      <c r="D153" s="10" t="inlineStr">
        <is>
          <t>Pagonabarraga, LBM 1–4</t>
        </is>
      </c>
      <c r="E153" s="10" t="inlineStr">
        <is>
          <t>Dünweg &amp; Ladd 2009, Adv Polym Sci 221:89</t>
        </is>
      </c>
      <c r="F153" s="10" t="inlineStr">
        <is>
          <t>LBM solves hydrodynamics on a lattice. When do biomolecules need it?</t>
        </is>
      </c>
      <c r="G153" s="11" t="inlineStr"/>
    </row>
    <row r="154">
      <c r="A154" s="11" t="n">
        <v>150</v>
      </c>
      <c r="B154" s="15" t="inlineStr">
        <is>
          <t>Part II - The Method Atlas</t>
        </is>
      </c>
      <c r="C154" s="10" t="inlineStr">
        <is>
          <t>G.7 Paired reading - Atlas G</t>
        </is>
      </c>
      <c r="D154" s="10" t="inlineStr">
        <is>
          <t>Scalfi, Generalized Langevin Equations</t>
        </is>
      </c>
      <c r="E154" s="10" t="inlineStr">
        <is>
          <t>Zwanzig 1961; Ermak &amp; McCammon 1978</t>
        </is>
      </c>
      <c r="F154" s="10" t="inlineStr">
        <is>
          <t>Derive overdamped Langevin. What timescale separation is assumed?</t>
        </is>
      </c>
      <c r="G154" s="11" t="inlineStr"/>
    </row>
    <row r="155">
      <c r="A155" s="11" t="n">
        <v>151</v>
      </c>
      <c r="B155" s="15" t="inlineStr">
        <is>
          <t>Part II - The Method Atlas</t>
        </is>
      </c>
      <c r="C155" s="10" t="inlineStr">
        <is>
          <t>G.7 Paired reading - Atlas G</t>
        </is>
      </c>
      <c r="D155" s="10" t="inlineStr">
        <is>
          <t>Schreiber, Crowding and reaction rates</t>
        </is>
      </c>
      <c r="E155" s="10" t="inlineStr">
        <is>
          <t>Schreiber, Haran &amp; Zhou 2009, Chem Rev 109:839</t>
        </is>
      </c>
      <c r="F155" s="10" t="inlineStr">
        <is>
          <t>How much kon can electrostatic steering buy, and can you design for it?</t>
        </is>
      </c>
      <c r="G155" s="11" t="inlineStr"/>
    </row>
    <row r="156">
      <c r="A156" s="11" t="n">
        <v>152</v>
      </c>
      <c r="B156" s="15" t="inlineStr">
        <is>
          <t>Part II - The Method Atlas</t>
        </is>
      </c>
      <c r="C156" s="10" t="inlineStr">
        <is>
          <t>G.7 Paired reading - Atlas G</t>
        </is>
      </c>
      <c r="D156" s="10" t="inlineStr">
        <is>
          <t>Gillespie, on his own algorithm</t>
        </is>
      </c>
      <c r="E156" s="10" t="inlineStr">
        <is>
          <t>Gillespie 1977, J Phys Chem 81:2340</t>
        </is>
      </c>
      <c r="F156" s="10" t="inlineStr">
        <is>
          <t>Derive the SSA. When does tau-leaping break it?</t>
        </is>
      </c>
      <c r="G156" s="11" t="inlineStr"/>
    </row>
    <row r="157">
      <c r="A157" s="11" t="n">
        <v>153</v>
      </c>
      <c r="B157" s="15" t="inlineStr">
        <is>
          <t>Part II - The Method Atlas</t>
        </is>
      </c>
      <c r="C157" s="10" t="inlineStr">
        <is>
          <t>G.7 Paired reading - Atlas G</t>
        </is>
      </c>
      <c r="D157" s="10" t="inlineStr">
        <is>
          <t>Isaacson, Stochastic Simulation</t>
        </is>
      </c>
      <c r="E157" s="10" t="inlineStr">
        <is>
          <t>Isaacson 2009, SIAM J Appl Math 70:77</t>
        </is>
      </c>
      <c r="F157" s="10" t="inlineStr">
        <is>
          <t>The RDME has convergence pathologies. Name them.</t>
        </is>
      </c>
      <c r="G157" s="11" t="inlineStr"/>
    </row>
    <row r="158">
      <c r="A158" s="11" t="n">
        <v>154</v>
      </c>
      <c r="B158" s="15" t="inlineStr">
        <is>
          <t>Part II - The Method Atlas</t>
        </is>
      </c>
      <c r="C158" s="10" t="inlineStr">
        <is>
          <t>G.7 Paired reading - Atlas G</t>
        </is>
      </c>
      <c r="D158" s="10" t="inlineStr">
        <is>
          <t>De Schutter, Operator Splitting</t>
        </is>
      </c>
      <c r="E158" s="10" t="inlineStr">
        <is>
          <t>Hepburn et al. 2012</t>
        </is>
      </c>
      <c r="F158" s="10" t="inlineStr">
        <is>
          <t>What error does splitting introduce, and how would you detect it?</t>
        </is>
      </c>
      <c r="G158" s="11" t="inlineStr"/>
    </row>
    <row r="159">
      <c r="A159" s="11" t="n">
        <v>155</v>
      </c>
      <c r="B159" s="15" t="inlineStr">
        <is>
          <t>Part II - The Method Atlas</t>
        </is>
      </c>
      <c r="C159" s="10" t="inlineStr">
        <is>
          <t>G.7 Paired reading - Atlas G</t>
        </is>
      </c>
      <c r="D159" s="10" t="inlineStr">
        <is>
          <t>Luthey-Schulten, Bacterial Cells</t>
        </is>
      </c>
      <c r="E159" s="10" t="inlineStr">
        <is>
          <t>Thornburg et al. 2022, Cell 185:345</t>
        </is>
      </c>
      <c r="F159" s="10" t="inlineStr">
        <is>
          <t>What parameters does a whole-cell model need that you cannot compute?</t>
        </is>
      </c>
      <c r="G159" s="11" t="inlineStr"/>
    </row>
    <row r="160">
      <c r="A160" s="11" t="n">
        <v>156</v>
      </c>
      <c r="B160" s="15" t="inlineStr">
        <is>
          <t>Part II - The Method Atlas</t>
        </is>
      </c>
      <c r="C160" s="10" t="inlineStr">
        <is>
          <t>G.7 Paired reading - Atlas G</t>
        </is>
      </c>
      <c r="D160" s="10" t="inlineStr">
        <is>
          <t>Covert &amp; Serrano, dialogue</t>
        </is>
      </c>
      <c r="E160" s="10" t="inlineStr">
        <is>
          <t>Karr et al. 2012, Cell 150:389</t>
        </is>
      </c>
      <c r="F160" s="10" t="inlineStr">
        <is>
          <t>Where has whole-cell modeling failed to scale, and why?</t>
        </is>
      </c>
      <c r="G160" s="11" t="inlineStr"/>
    </row>
    <row r="161">
      <c r="A161" s="11" t="n">
        <v>157</v>
      </c>
      <c r="B161" s="15" t="inlineStr">
        <is>
          <t>Part II - The Method Atlas</t>
        </is>
      </c>
      <c r="C161" s="10" t="inlineStr">
        <is>
          <t>G.7 Paired reading - Atlas G</t>
        </is>
      </c>
      <c r="D161" s="10" t="inlineStr">
        <is>
          <t>Holt, Measuring crowding with GEMs</t>
        </is>
      </c>
      <c r="E161" s="10" t="inlineStr">
        <is>
          <t>Ellis 2001; Yu et al. 2016, eLife 5:e19274</t>
        </is>
      </c>
      <c r="F161" s="10" t="inlineStr">
        <is>
          <t>Quantify how much crowding shifts a binding equilibrium.</t>
        </is>
      </c>
      <c r="G161" s="11" t="inlineStr"/>
    </row>
    <row r="162">
      <c r="A162" s="11" t="n">
        <v>158</v>
      </c>
      <c r="B162" s="15" t="inlineStr">
        <is>
          <t>Part II - The Method Atlas</t>
        </is>
      </c>
      <c r="C162" s="10" t="inlineStr">
        <is>
          <t>G.7 Paired reading - Atlas G</t>
        </is>
      </c>
      <c r="D162" s="10" t="inlineStr">
        <is>
          <t>Pappu, Parts 1–3</t>
        </is>
      </c>
      <c r="E162" s="10" t="inlineStr">
        <is>
          <t>Pappu et al. 2023, Chem Rev 123:8945</t>
        </is>
      </c>
      <c r="F162" s="10" t="inlineStr">
        <is>
          <t>Which sequence features drive phase separation? Are they designable?</t>
        </is>
      </c>
      <c r="G162" s="11" t="inlineStr"/>
    </row>
    <row r="163">
      <c r="A163" s="11" t="n">
        <v>159</v>
      </c>
      <c r="B163" s="15" t="inlineStr">
        <is>
          <t>Part II - The Method Atlas</t>
        </is>
      </c>
      <c r="C163" s="10" t="inlineStr">
        <is>
          <t>G.7 Paired reading - Atlas G</t>
        </is>
      </c>
      <c r="D163" s="10" t="inlineStr">
        <is>
          <t>Mittal, Charged condensates</t>
        </is>
      </c>
      <c r="E163" s="10" t="inlineStr">
        <is>
          <t>Dignon et al. 2018, PLoS Comput Biol 14:e1005941</t>
        </is>
      </c>
      <c r="F163" s="10" t="inlineStr">
        <is>
          <t>What does the HPS model assume, and where does it fail?</t>
        </is>
      </c>
      <c r="G163" s="11" t="inlineStr"/>
    </row>
    <row r="164">
      <c r="A164" s="11" t="n">
        <v>160</v>
      </c>
      <c r="B164" s="15" t="inlineStr">
        <is>
          <t>Part II - The Method Atlas</t>
        </is>
      </c>
      <c r="C164" s="10" t="inlineStr">
        <is>
          <t>G.7 Paired reading - Atlas G</t>
        </is>
      </c>
      <c r="D164" s="10" t="inlineStr">
        <is>
          <t>Lindorff-Larsen, CALVADOS</t>
        </is>
      </c>
      <c r="E164" s="10" t="inlineStr">
        <is>
          <t>Tesei et al. 2021, PNAS 118</t>
        </is>
      </c>
      <c r="F164" s="10" t="inlineStr">
        <is>
          <t>How is a CG model for IDRs actually parameterized?</t>
        </is>
      </c>
      <c r="G164" s="11" t="inlineStr"/>
    </row>
    <row r="165">
      <c r="A165" s="11" t="n">
        <v>161</v>
      </c>
      <c r="B165" s="15" t="inlineStr">
        <is>
          <t>Part II - The Method Atlas</t>
        </is>
      </c>
      <c r="C165" s="10" t="inlineStr">
        <is>
          <t>G.7 Paired reading - Atlas G</t>
        </is>
      </c>
      <c r="D165" s="10" t="inlineStr">
        <is>
          <t>Joseph, Small-molecule partitioning</t>
        </is>
      </c>
      <c r="E165" s="10" t="inlineStr">
        <is>
          <t>Her paper</t>
        </is>
      </c>
      <c r="F165" s="10" t="inlineStr">
        <is>
          <t>Can you predict whether your compound enters a droplet?</t>
        </is>
      </c>
      <c r="G165" s="11" t="inlineStr"/>
    </row>
    <row r="166">
      <c r="A166" s="11" t="n">
        <v>162</v>
      </c>
      <c r="B166" s="15" t="inlineStr">
        <is>
          <t>Part II - The Method Atlas</t>
        </is>
      </c>
      <c r="C166" s="10" t="inlineStr">
        <is>
          <t>G.7 Paired reading - Atlas G</t>
        </is>
      </c>
      <c r="D166" s="10" t="inlineStr">
        <is>
          <t>Jülicher, Active processes</t>
        </is>
      </c>
      <c r="E166" s="10" t="inlineStr">
        <is>
          <t>Zwicker et al. 2017, Nat Phys 13:408</t>
        </is>
      </c>
      <c r="F166" s="10" t="inlineStr">
        <is>
          <t>What distinguishes a living condensate from an oil drop?</t>
        </is>
      </c>
      <c r="G166" s="11" t="inlineStr"/>
    </row>
    <row r="167">
      <c r="A167" s="11" t="n">
        <v>163</v>
      </c>
      <c r="B167" s="15" t="inlineStr">
        <is>
          <t>Part II - The Method Atlas</t>
        </is>
      </c>
      <c r="C167" s="10" t="inlineStr">
        <is>
          <t>G.7 Paired reading - Atlas G</t>
        </is>
      </c>
      <c r="D167" s="10" t="inlineStr">
        <is>
          <t>Luo, Electrostatics and polarization</t>
        </is>
      </c>
      <c r="E167" s="10" t="inlineStr">
        <is>
          <t>Baker et al. 2001, PNAS 98:10037</t>
        </is>
      </c>
      <c r="F167" s="10" t="inlineStr">
        <is>
          <t>Where does Poisson-Boltzmann fail, and what replaces it there?</t>
        </is>
      </c>
      <c r="G167" s="11" t="inlineStr"/>
    </row>
    <row r="168">
      <c r="A168" s="11" t="n">
        <v>164</v>
      </c>
      <c r="B168" s="15" t="inlineStr">
        <is>
          <t>Part II - The Method Atlas</t>
        </is>
      </c>
      <c r="C168" s="10" t="inlineStr">
        <is>
          <t>G.7 Paired reading - Atlas G</t>
        </is>
      </c>
      <c r="D168" s="10" t="inlineStr">
        <is>
          <t>Baptista, pH and ion distributions</t>
        </is>
      </c>
      <c r="E168" s="10" t="inlineStr">
        <is>
          <t>Onufriev &amp; Case 2019</t>
        </is>
      </c>
      <c r="F168" s="10" t="inlineStr">
        <is>
          <t>Implicit solvent versus explicit ions. What is lost?</t>
        </is>
      </c>
      <c r="G168" s="11" t="inlineStr"/>
    </row>
    <row r="169">
      <c r="A169" s="11" t="n">
        <v>165</v>
      </c>
      <c r="B169" s="15" t="inlineStr">
        <is>
          <t>Part II - The Method Atlas</t>
        </is>
      </c>
      <c r="C169" s="10" t="inlineStr">
        <is>
          <t>G.7 Paired reading - Atlas G</t>
        </is>
      </c>
      <c r="D169" s="10" t="inlineStr">
        <is>
          <t>Seaton, DLMESO</t>
        </is>
      </c>
      <c r="E169" s="10" t="inlineStr">
        <is>
          <t>Groot &amp; Warren 1997</t>
        </is>
      </c>
      <c r="F169" s="10" t="inlineStr">
        <is>
          <t>When does DPD beat atomistic MD, and what conserves hydrodynamics?</t>
        </is>
      </c>
      <c r="G169" s="11" t="inlineStr"/>
    </row>
    <row r="170">
      <c r="A170" s="11" t="n">
        <v>166</v>
      </c>
      <c r="B170" s="15" t="inlineStr">
        <is>
          <t>Part II - The Method Atlas</t>
        </is>
      </c>
      <c r="C170" s="10" t="inlineStr">
        <is>
          <t>H.7 Paired reading - Atlas H</t>
        </is>
      </c>
      <c r="D170" s="10" t="inlineStr">
        <is>
          <t>Grosberg &amp; Rubinstein I</t>
        </is>
      </c>
      <c r="E170" s="10" t="inlineStr">
        <is>
          <t>Rubinstein &amp; Colby, Polymer Physics, ch. 2</t>
        </is>
      </c>
      <c r="F170" s="10" t="inlineStr">
        <is>
          <t>Derive the end-to-end distribution of an ideal chain. Why Gaussian?</t>
        </is>
      </c>
      <c r="G170" s="11" t="inlineStr"/>
    </row>
    <row r="171">
      <c r="A171" s="11" t="n">
        <v>167</v>
      </c>
      <c r="B171" s="15" t="inlineStr">
        <is>
          <t>Part II - The Method Atlas</t>
        </is>
      </c>
      <c r="C171" s="10" t="inlineStr">
        <is>
          <t>H.7 Paired reading - Atlas H</t>
        </is>
      </c>
      <c r="D171" s="10" t="inlineStr">
        <is>
          <t>Grosberg &amp; Rubinstein II</t>
        </is>
      </c>
      <c r="E171" s="10" t="inlineStr">
        <is>
          <t>Flory 1953; de Gennes 1979</t>
        </is>
      </c>
      <c r="F171" s="10" t="inlineStr">
        <is>
          <t>Derive ν = 3/5 from the Flory argument. Why is the exact value 0.588?</t>
        </is>
      </c>
      <c r="G171" s="11" t="inlineStr"/>
    </row>
    <row r="172">
      <c r="A172" s="11" t="n">
        <v>168</v>
      </c>
      <c r="B172" s="15" t="inlineStr">
        <is>
          <t>Part II - The Method Atlas</t>
        </is>
      </c>
      <c r="C172" s="10" t="inlineStr">
        <is>
          <t>H.7 Paired reading - Atlas H</t>
        </is>
      </c>
      <c r="D172" s="10" t="inlineStr">
        <is>
          <t>Grosberg &amp; Rubinstein IV</t>
        </is>
      </c>
      <c r="E172" s="10" t="inlineStr">
        <is>
          <t>Doi &amp; Edwards 1986; de Gennes 1971, JCP 55:572</t>
        </is>
      </c>
      <c r="F172" s="10" t="inlineStr">
        <is>
          <t>Rouse vs Zimm: what physical difference produces different exponents?</t>
        </is>
      </c>
      <c r="G172" s="11" t="inlineStr"/>
    </row>
    <row r="173">
      <c r="A173" s="11" t="n">
        <v>169</v>
      </c>
      <c r="B173" s="15" t="inlineStr">
        <is>
          <t>Part II - The Method Atlas</t>
        </is>
      </c>
      <c r="C173" s="10" t="inlineStr">
        <is>
          <t>H.7 Paired reading - Atlas H</t>
        </is>
      </c>
      <c r="D173" s="10" t="inlineStr">
        <is>
          <t>LMU Lec 8</t>
        </is>
      </c>
      <c r="E173" s="10" t="inlineStr">
        <is>
          <t>Kratky &amp; Porod 1949; Marko &amp; Siggia 1995, Macromolecules 28:8759</t>
        </is>
      </c>
      <c r="F173" s="10" t="inlineStr">
        <is>
          <t>Derive the WLC force-extension relation.</t>
        </is>
      </c>
      <c r="G173" s="11" t="inlineStr"/>
    </row>
    <row r="174">
      <c r="A174" s="11" t="n">
        <v>170</v>
      </c>
      <c r="B174" s="15" t="inlineStr">
        <is>
          <t>Part II - The Method Atlas</t>
        </is>
      </c>
      <c r="C174" s="10" t="inlineStr">
        <is>
          <t>H.7 Paired reading - Atlas H</t>
        </is>
      </c>
      <c r="D174" s="10" t="inlineStr">
        <is>
          <t>LMU Lec 10–11</t>
        </is>
      </c>
      <c r="E174" s="10" t="inlineStr">
        <is>
          <t>Marko &amp; Siggia 1995</t>
        </is>
      </c>
      <c r="F174" s="10" t="inlineStr">
        <is>
          <t>The WLC maps to a quantum rotor. What is the correspondence?</t>
        </is>
      </c>
      <c r="G174" s="11" t="inlineStr"/>
    </row>
    <row r="175">
      <c r="A175" s="11" t="n">
        <v>171</v>
      </c>
      <c r="B175" s="15" t="inlineStr">
        <is>
          <t>Part II - The Method Atlas</t>
        </is>
      </c>
      <c r="C175" s="10" t="inlineStr">
        <is>
          <t>H.7 Paired reading - Atlas H</t>
        </is>
      </c>
      <c r="D175" s="10" t="inlineStr">
        <is>
          <t>LMU Lec 13</t>
        </is>
      </c>
      <c r="E175" s="10" t="inlineStr">
        <is>
          <t>Flory 1942, JCP 10:51; Huggins 1942</t>
        </is>
      </c>
      <c r="F175" s="10" t="inlineStr">
        <is>
          <t>Derive the Flory-Huggins free energy. Where does the χ parameter come from?</t>
        </is>
      </c>
      <c r="G175" s="11" t="inlineStr"/>
    </row>
    <row r="176">
      <c r="A176" s="11" t="n">
        <v>172</v>
      </c>
      <c r="B176" s="15" t="inlineStr">
        <is>
          <t>Part II - The Method Atlas</t>
        </is>
      </c>
      <c r="C176" s="10" t="inlineStr">
        <is>
          <t>H.7 Paired reading - Atlas H</t>
        </is>
      </c>
      <c r="D176" s="10" t="inlineStr">
        <is>
          <t>Phillips, Entropic elasticity</t>
        </is>
      </c>
      <c r="E176" s="10" t="inlineStr">
        <is>
          <t>Bustamante et al. 1994, Science 265:1599</t>
        </is>
      </c>
      <c r="F176" s="10" t="inlineStr">
        <is>
          <t>DNA is an entropic spring. At what force does enthalpy take over?</t>
        </is>
      </c>
      <c r="G176" s="11" t="inlineStr"/>
    </row>
    <row r="177">
      <c r="A177" s="11" t="n">
        <v>173</v>
      </c>
      <c r="B177" s="15" t="inlineStr">
        <is>
          <t>Part II - The Method Atlas</t>
        </is>
      </c>
      <c r="C177" s="10" t="inlineStr">
        <is>
          <t>H.7 Paired reading - Atlas H</t>
        </is>
      </c>
      <c r="D177" s="10" t="inlineStr">
        <is>
          <t>Schuler, Disordered proteins</t>
        </is>
      </c>
      <c r="E177" s="10" t="inlineStr">
        <is>
          <t>Schuler et al. 2016, Annu Rev Biophys 45:207</t>
        </is>
      </c>
      <c r="F177" s="10" t="inlineStr">
        <is>
          <t>IDPs obey polymer scaling. What does that make a "structure prediction" of one?</t>
        </is>
      </c>
      <c r="G177" s="11" t="inlineStr"/>
    </row>
    <row r="178">
      <c r="A178" s="11" t="n">
        <v>174</v>
      </c>
      <c r="B178" s="15" t="inlineStr">
        <is>
          <t>Part II - The Method Atlas</t>
        </is>
      </c>
      <c r="C178" s="10" t="inlineStr">
        <is>
          <t>H.7 Paired reading - Atlas H</t>
        </is>
      </c>
      <c r="D178" s="10" t="inlineStr">
        <is>
          <t>NPTEL Lec 41, 45–46</t>
        </is>
      </c>
      <c r="E178" s="10" t="inlineStr">
        <is>
          <t>Rouse 1953; Zimm 1956</t>
        </is>
      </c>
      <c r="F178" s="10" t="inlineStr">
        <is>
          <t>Hydrodynamic screening changes the exponent. Derive both.</t>
        </is>
      </c>
      <c r="G178" s="11" t="inlineStr"/>
    </row>
    <row r="179">
      <c r="A179" s="11" t="n">
        <v>175</v>
      </c>
      <c r="B179" s="15" t="inlineStr">
        <is>
          <t>Part II - The Method Atlas</t>
        </is>
      </c>
      <c r="C179" s="10" t="inlineStr">
        <is>
          <t>H.7 Paired reading - Atlas H</t>
        </is>
      </c>
      <c r="D179" s="10" t="inlineStr">
        <is>
          <t>ICTP chromosome folding 1–3</t>
        </is>
      </c>
      <c r="E179" s="10" t="inlineStr">
        <is>
          <t>Rosa &amp; Everaers 2008; Grosberg et al. 1993 (crumpled globule</t>
        </is>
      </c>
      <c r="F179" s="10" t="inlineStr">
        <is>
          <t>Why is an equilibrium globule the wrong model for a chromosome?</t>
        </is>
      </c>
      <c r="G179" s="11" t="inlineStr"/>
    </row>
    <row r="180">
      <c r="A180" s="11" t="n">
        <v>176</v>
      </c>
      <c r="B180" s="15" t="inlineStr">
        <is>
          <t>Part II - The Method Atlas</t>
        </is>
      </c>
      <c r="C180" s="10" t="inlineStr">
        <is>
          <t>H.7 Paired reading - Atlas H</t>
        </is>
      </c>
      <c r="D180" s="10" t="inlineStr">
        <is>
          <t>ICTP chromosome folding 5</t>
        </is>
      </c>
      <c r="E180" s="10" t="inlineStr">
        <is>
          <t>Fudenberg et al. 2016, Cell Rep 15:2038</t>
        </is>
      </c>
      <c r="F180" s="10" t="inlineStr">
        <is>
          <t>Loop extrusion is a non-equilibrium active process. What does it predict that equilibrium cannot?</t>
        </is>
      </c>
      <c r="G180" s="11" t="inlineStr"/>
    </row>
    <row r="181">
      <c r="A181" s="11" t="n">
        <v>177</v>
      </c>
      <c r="B181" s="15" t="inlineStr">
        <is>
          <t>Part II - The Method Atlas</t>
        </is>
      </c>
      <c r="C181" s="10" t="inlineStr">
        <is>
          <t>H.7 Paired reading - Atlas H</t>
        </is>
      </c>
      <c r="D181" s="10" t="inlineStr">
        <is>
          <t>Conte, Strings and Binders</t>
        </is>
      </c>
      <c r="E181" s="10" t="inlineStr">
        <is>
          <t>Barbieri et al. 2012, PNAS 109:16173</t>
        </is>
      </c>
      <c r="F181" s="10" t="inlineStr">
        <is>
          <t>A competing model fits the same Hi-C data. How would you distinguish them?</t>
        </is>
      </c>
      <c r="G181" s="11" t="inlineStr"/>
    </row>
    <row r="182">
      <c r="A182" s="11" t="n">
        <v>178</v>
      </c>
      <c r="B182" s="15" t="inlineStr">
        <is>
          <t>Part II - The Method Atlas</t>
        </is>
      </c>
      <c r="C182" s="10" t="inlineStr">
        <is>
          <t>H.7 Paired reading - Atlas H</t>
        </is>
      </c>
      <c r="D182" s="10" t="inlineStr">
        <is>
          <t>Demaine, HP Model</t>
        </is>
      </c>
      <c r="E182" s="10" t="inlineStr">
        <is>
          <t>Lau &amp; Dill 1989, Macromolecules 22:3986</t>
        </is>
      </c>
      <c r="F182" s="10" t="inlineStr">
        <is>
          <t>Enumerate designability on a 2D lattice. What does the distribution look like?</t>
        </is>
      </c>
      <c r="G182" s="11" t="inlineStr"/>
    </row>
    <row r="183">
      <c r="A183" s="11" t="n">
        <v>179</v>
      </c>
      <c r="B183" s="15" t="inlineStr">
        <is>
          <t>Part II - The Method Atlas</t>
        </is>
      </c>
      <c r="C183" s="10" t="inlineStr">
        <is>
          <t>H.7 Paired reading - Atlas H</t>
        </is>
      </c>
      <c r="D183" s="10" t="inlineStr">
        <is>
          <t>Dill, Pathways</t>
        </is>
      </c>
      <c r="E183" s="10" t="inlineStr">
        <is>
          <t>Dill &amp; MacCallum 2012, Science 338:1042</t>
        </is>
      </c>
      <c r="F183" s="10" t="inlineStr">
        <is>
          <t>Fifty years on: which parts of the folding problem are actually solved?</t>
        </is>
      </c>
      <c r="G183" s="11" t="inlineStr"/>
    </row>
    <row r="184">
      <c r="A184" s="11" t="n">
        <v>180</v>
      </c>
      <c r="B184" s="15" t="inlineStr">
        <is>
          <t>Part II - The Method Atlas</t>
        </is>
      </c>
      <c r="C184" s="10" t="inlineStr">
        <is>
          <t>H.7 Paired reading - Atlas H</t>
        </is>
      </c>
      <c r="D184" s="10" t="inlineStr">
        <is>
          <t>Shakhnovich, Protein Biophysics in Cellular Context</t>
        </is>
      </c>
      <c r="E184" s="10" t="inlineStr">
        <is>
          <t>Shakhnovich &amp; Gutin 1993, PNAS 90:7195</t>
        </is>
      </c>
      <c r="F184" s="10" t="inlineStr">
        <is>
          <t>Derive the random energy model condition for a folding sequence.</t>
        </is>
      </c>
      <c r="G184" s="11" t="inlineStr"/>
    </row>
    <row r="185">
      <c r="A185" s="11" t="n">
        <v>181</v>
      </c>
      <c r="B185" s="15" t="inlineStr">
        <is>
          <t>Part II - The Method Atlas</t>
        </is>
      </c>
      <c r="C185" s="10" t="inlineStr">
        <is>
          <t>H.7 Paired reading - Atlas H</t>
        </is>
      </c>
      <c r="D185" s="10" t="inlineStr">
        <is>
          <t>Onuchic, Funnels</t>
        </is>
      </c>
      <c r="E185" s="10" t="inlineStr">
        <is>
          <t>Bryngelson &amp; Wolynes 1987, PNAS 84:7524</t>
        </is>
      </c>
      <c r="F185" s="10" t="inlineStr">
        <is>
          <t>Spin glasses and folding: what is the order parameter?</t>
        </is>
      </c>
      <c r="G185" s="11" t="inlineStr"/>
    </row>
    <row r="186">
      <c r="A186" s="11" t="n">
        <v>182</v>
      </c>
      <c r="B186" s="15" t="inlineStr">
        <is>
          <t>Part II - The Method Atlas</t>
        </is>
      </c>
      <c r="C186" s="10" t="inlineStr">
        <is>
          <t>H.7 Paired reading - Atlas H</t>
        </is>
      </c>
      <c r="D186" s="10" t="inlineStr">
        <is>
          <t>Ferreiro, Frustration</t>
        </is>
      </c>
      <c r="E186" s="10" t="inlineStr">
        <is>
          <t>Ferreiro, Komives &amp; Wolynes 2014, Q Rev Biophys 47:285</t>
        </is>
      </c>
      <c r="F186" s="10" t="inlineStr">
        <is>
          <t>Localized frustration is functional. Could you design it deliberately?</t>
        </is>
      </c>
      <c r="G186" s="11" t="inlineStr"/>
    </row>
    <row r="187">
      <c r="A187" s="11" t="n">
        <v>183</v>
      </c>
      <c r="B187" s="15" t="inlineStr">
        <is>
          <t>Part II - The Method Atlas</t>
        </is>
      </c>
      <c r="C187" s="10" t="inlineStr">
        <is>
          <t>H.7 Paired reading - Atlas H</t>
        </is>
      </c>
      <c r="D187" s="10" t="inlineStr">
        <is>
          <t>Bastolla, Selection on folding stability</t>
        </is>
      </c>
      <c r="E187" s="10" t="inlineStr">
        <is>
          <t>Bastolla et al. 2005, Proteins 58:22</t>
        </is>
      </c>
      <c r="F187" s="10" t="inlineStr">
        <is>
          <t>Stability constrains sequence evolution. What does that predict for a designed protein?</t>
        </is>
      </c>
      <c r="G187" s="11" t="inlineStr"/>
    </row>
    <row r="188">
      <c r="A188" s="11" t="n">
        <v>184</v>
      </c>
      <c r="B188" s="15" t="inlineStr">
        <is>
          <t>Part II - The Method Atlas</t>
        </is>
      </c>
      <c r="C188" s="10" t="inlineStr">
        <is>
          <t>I.9 Paired reading - Atlas I</t>
        </is>
      </c>
      <c r="D188" s="10" t="inlineStr">
        <is>
          <t>Phillips, MWC model</t>
        </is>
      </c>
      <c r="E188" s="10" t="inlineStr">
        <is>
          <t>Monod, Wyman &amp; Changeux 1965, JMB 12:88</t>
        </is>
      </c>
      <c r="F188" s="10" t="inlineStr">
        <is>
          <t>Derive the MWC saturation curve. What are its three parameters?</t>
        </is>
      </c>
      <c r="G188" s="11" t="inlineStr"/>
    </row>
    <row r="189">
      <c r="A189" s="11" t="n">
        <v>185</v>
      </c>
      <c r="B189" s="15" t="inlineStr">
        <is>
          <t>Part II - The Method Atlas</t>
        </is>
      </c>
      <c r="C189" s="10" t="inlineStr">
        <is>
          <t>I.9 Paired reading - Atlas I</t>
        </is>
      </c>
      <c r="D189" s="10" t="inlineStr">
        <is>
          <t>Changeux, ALLODD lecture</t>
        </is>
      </c>
      <c r="E189" s="10" t="inlineStr">
        <is>
          <t>Cooper &amp; Dryden 1984, Eur Biophys J 11:103</t>
        </is>
      </c>
      <c r="F189" s="10" t="inlineStr">
        <is>
          <t>Allostery without conformational change. How would you detect it computationally?</t>
        </is>
      </c>
      <c r="G189" s="11" t="inlineStr"/>
    </row>
    <row r="190">
      <c r="A190" s="11" t="n">
        <v>186</v>
      </c>
      <c r="B190" s="15" t="inlineStr">
        <is>
          <t>Part II - The Method Atlas</t>
        </is>
      </c>
      <c r="C190" s="10" t="inlineStr">
        <is>
          <t>I.9 Paired reading - Atlas I</t>
        </is>
      </c>
      <c r="D190" s="10" t="inlineStr">
        <is>
          <t>Ranganathan, Aspen then NITMB</t>
        </is>
      </c>
      <c r="E190" s="10" t="inlineStr">
        <is>
          <t>Lockless &amp; Ranganathan 1999; Halabi et al. 2009, Cell 138:774</t>
        </is>
      </c>
      <c r="F190" s="10" t="inlineStr">
        <is>
          <t>What has survived of the sector claim, and what was retracted?</t>
        </is>
      </c>
      <c r="G190" s="11" t="inlineStr"/>
    </row>
    <row r="191">
      <c r="A191" s="11" t="n">
        <v>187</v>
      </c>
      <c r="B191" s="15" t="inlineStr">
        <is>
          <t>Part II - The Method Atlas</t>
        </is>
      </c>
      <c r="C191" s="10" t="inlineStr">
        <is>
          <t>I.9 Paired reading - Atlas I</t>
        </is>
      </c>
      <c r="D191" s="10" t="inlineStr">
        <is>
          <t>Bahar, Network models in biology</t>
        </is>
      </c>
      <c r="E191" s="10" t="inlineStr">
        <is>
          <t>Atilgan et al. 2001, Biophys J 80:505; Bahar et al. 2010, Chem Rev 110:1463</t>
        </is>
      </c>
      <c r="F191" s="10" t="inlineStr">
        <is>
          <t>Derive the GNM. Why does a single-parameter model predict B-factors at all?</t>
        </is>
      </c>
      <c r="G191" s="11" t="inlineStr"/>
    </row>
    <row r="192">
      <c r="A192" s="11" t="n">
        <v>188</v>
      </c>
      <c r="B192" s="15" t="inlineStr">
        <is>
          <t>Part II - The Method Atlas</t>
        </is>
      </c>
      <c r="C192" s="10" t="inlineStr">
        <is>
          <t>I.9 Paired reading - Atlas I</t>
        </is>
      </c>
      <c r="D192" s="10" t="inlineStr">
        <is>
          <t>Bahar interview</t>
        </is>
      </c>
      <c r="E192" s="10" t="inlineStr">
        <is>
          <t>Atilgan &amp; Atilgan 2009, PLoS Comput Biol 5:e1000544</t>
        </is>
      </c>
      <c r="F192" s="10" t="inlineStr">
        <is>
          <t>Perturbation-response scanning. Could it be run in reverse, as a design objective?</t>
        </is>
      </c>
      <c r="G192" s="11" t="inlineStr"/>
    </row>
    <row r="193">
      <c r="A193" s="11" t="n">
        <v>189</v>
      </c>
      <c r="B193" s="15" t="inlineStr">
        <is>
          <t>Part II - The Method Atlas</t>
        </is>
      </c>
      <c r="C193" s="10" t="inlineStr">
        <is>
          <t>I.9 Paired reading - Atlas I</t>
        </is>
      </c>
      <c r="D193" s="10" t="inlineStr">
        <is>
          <t>Michel, Allostery under MD</t>
        </is>
      </c>
      <c r="E193" s="10" t="inlineStr">
        <is>
          <t>Tsai &amp; Nussinov 2014; Wodak et al. 2019, Structure 27:566</t>
        </is>
      </c>
      <c r="F193" s="10" t="inlineStr">
        <is>
          <t>Which allosteric signals survive a convergence test?</t>
        </is>
      </c>
      <c r="G193" s="11" t="inlineStr"/>
    </row>
    <row r="194">
      <c r="A194" s="11" t="n">
        <v>190</v>
      </c>
      <c r="B194" s="15" t="inlineStr">
        <is>
          <t>Part II - The Method Atlas</t>
        </is>
      </c>
      <c r="C194" s="10" t="inlineStr">
        <is>
          <t>I.9 Paired reading - Atlas I</t>
        </is>
      </c>
      <c r="D194" s="10" t="inlineStr">
        <is>
          <t>Faure, Energetic and allosteric landscapes</t>
        </is>
      </c>
      <c r="E194" s="10" t="inlineStr">
        <is>
          <t>Faure et al. 2022, Nature 604:175</t>
        </is>
      </c>
      <c r="F194" s="10" t="inlineStr">
        <is>
          <t>Double DMS measures coupling directly. How well does any prediction do against it?</t>
        </is>
      </c>
      <c r="G194" s="11" t="inlineStr"/>
    </row>
    <row r="195">
      <c r="A195" s="11" t="n">
        <v>191</v>
      </c>
      <c r="B195" s="15" t="inlineStr">
        <is>
          <t>Part II - The Method Atlas</t>
        </is>
      </c>
      <c r="C195" s="10" t="inlineStr">
        <is>
          <t>I.9 Paired reading - Atlas I</t>
        </is>
      </c>
      <c r="D195" s="10" t="inlineStr">
        <is>
          <t>Luthey-Schulten lineage (network analysis</t>
        </is>
      </c>
      <c r="E195" s="10" t="inlineStr">
        <is>
          <t>Sethi et al. 2009, PNAS 106:6620; Melo et al. 2020, JCP 153:134104</t>
        </is>
      </c>
      <c r="F195" s="10" t="inlineStr">
        <is>
          <t>What does generalized correlation capture that linear correlation does not?</t>
        </is>
      </c>
      <c r="G195" s="11" t="inlineStr"/>
    </row>
    <row r="196">
      <c r="A196" s="11" t="n">
        <v>192</v>
      </c>
      <c r="B196" s="15" t="inlineStr">
        <is>
          <t>Part II - The Method Atlas</t>
        </is>
      </c>
      <c r="C196" s="10" t="inlineStr">
        <is>
          <t>I.9 Paired reading - Atlas I</t>
        </is>
      </c>
      <c r="D196" s="10" t="inlineStr">
        <is>
          <t>Bowman, Cryptic Pocket Discovery</t>
        </is>
      </c>
      <c r="E196" s="10" t="inlineStr">
        <is>
          <t>Meller et al. 2023, Nat Commun 14:1177 (PocketMiner</t>
        </is>
      </c>
      <c r="F196" s="10" t="inlineStr">
        <is>
          <t>A cryptic pocket is a low-population excited state. What population is druggable?</t>
        </is>
      </c>
      <c r="G196" s="11" t="inlineStr"/>
    </row>
    <row r="197">
      <c r="A197" s="11" t="n">
        <v>193</v>
      </c>
      <c r="B197" s="15" t="inlineStr">
        <is>
          <t>Part II - The Method Atlas</t>
        </is>
      </c>
      <c r="C197" s="10" t="inlineStr">
        <is>
          <t>I.9 Paired reading - Atlas I</t>
        </is>
      </c>
      <c r="D197" s="10" t="inlineStr">
        <is>
          <t>Radoux, Fragment Hotspot Maps</t>
        </is>
      </c>
      <c r="E197" s="10" t="inlineStr">
        <is>
          <t>Brenke et al. 2009 (FTMap); Kozakov et al. 2015</t>
        </is>
      </c>
      <c r="F197" s="10" t="inlineStr">
        <is>
          <t>Three routes to hotspots. Which assumptions differ?</t>
        </is>
      </c>
      <c r="G197" s="11" t="inlineStr"/>
    </row>
    <row r="198">
      <c r="A198" s="11" t="n">
        <v>194</v>
      </c>
      <c r="B198" s="15" t="inlineStr">
        <is>
          <t>Part II - The Method Atlas</t>
        </is>
      </c>
      <c r="C198" s="10" t="inlineStr">
        <is>
          <t>I.9 Paired reading - Atlas I</t>
        </is>
      </c>
      <c r="D198" s="10" t="inlineStr">
        <is>
          <t>CCPBioSim, SILCS</t>
        </is>
      </c>
      <c r="E198" s="10" t="inlineStr">
        <is>
          <t>Guvench &amp; MacKerell 2009, PLoS Comput Biol 5:e1000435; Ghanakota &amp; Carlson 2016</t>
        </is>
      </c>
      <c r="F198" s="10" t="inlineStr">
        <is>
          <t>Cosolvent MD gives a free energy map. What is the reference state?</t>
        </is>
      </c>
      <c r="G198" s="11" t="inlineStr"/>
    </row>
    <row r="199">
      <c r="A199" s="11" t="n">
        <v>195</v>
      </c>
      <c r="B199" s="15" t="inlineStr">
        <is>
          <t>Part II - The Method Atlas</t>
        </is>
      </c>
      <c r="C199" s="10" t="inlineStr">
        <is>
          <t>I.9 Paired reading - Atlas I</t>
        </is>
      </c>
      <c r="D199" s="10" t="inlineStr">
        <is>
          <t>MaSIF journal club</t>
        </is>
      </c>
      <c r="E199" s="10" t="inlineStr">
        <is>
          <t>Gainza et al. 2020, Nat Methods 17:184; Gainza et al. 2023, Nature 617:176</t>
        </is>
      </c>
      <c r="F199" s="10" t="inlineStr">
        <is>
          <t>Surface fingerprints bypass sequence and backbone. What is lost?</t>
        </is>
      </c>
      <c r="G199" s="11" t="inlineStr"/>
    </row>
    <row r="200">
      <c r="A200" s="11" t="n">
        <v>196</v>
      </c>
      <c r="B200" s="15" t="inlineStr">
        <is>
          <t>Part II - The Method Atlas</t>
        </is>
      </c>
      <c r="C200" s="10" t="inlineStr">
        <is>
          <t>I.9 Paired reading - Atlas I</t>
        </is>
      </c>
      <c r="D200" s="10" t="inlineStr">
        <is>
          <t>Kortemme, ASBMB</t>
        </is>
      </c>
      <c r="E200" s="10" t="inlineStr">
        <is>
          <t>Kortemme &amp; Baker 2002, PNAS 99:14116</t>
        </is>
      </c>
      <c r="F200" s="10" t="inlineStr">
        <is>
          <t>Computational alanine scanning: what physical model underlies the hot spot prediction?</t>
        </is>
      </c>
      <c r="G200" s="11" t="inlineStr"/>
    </row>
    <row r="201">
      <c r="A201" s="11" t="n">
        <v>197</v>
      </c>
      <c r="B201" s="15" t="inlineStr">
        <is>
          <t>Part II - The Method Atlas</t>
        </is>
      </c>
      <c r="C201" s="10" t="inlineStr">
        <is>
          <t>I.9 Paired reading - Atlas I</t>
        </is>
      </c>
      <c r="D201" s="10" t="inlineStr">
        <is>
          <t>PyEMMA 2017-3, TICA</t>
        </is>
      </c>
      <c r="E201" s="10" t="inlineStr">
        <is>
          <t>Pérez-Hernández et al. 2013, JCP 139:015102</t>
        </is>
      </c>
      <c r="F201" s="10" t="inlineStr">
        <is>
          <t>Why does TICA find slow coordinates where PCA finds high-variance ones?</t>
        </is>
      </c>
      <c r="G201" s="11" t="inlineStr"/>
    </row>
    <row r="202">
      <c r="A202" s="11" t="n">
        <v>198</v>
      </c>
      <c r="B202" s="15" t="inlineStr">
        <is>
          <t>Part II - The Method Atlas</t>
        </is>
      </c>
      <c r="C202" s="10" t="inlineStr">
        <is>
          <t>I.9 Paired reading - Atlas I</t>
        </is>
      </c>
      <c r="D202" s="10" t="inlineStr">
        <is>
          <t>PyEMMA 2018-3, estimation and validation</t>
        </is>
      </c>
      <c r="E202" s="10" t="inlineStr">
        <is>
          <t>Prinz et al. 2011, JCP 134:174105</t>
        </is>
      </c>
      <c r="F202" s="10" t="inlineStr">
        <is>
          <t>Derive why the lag time must exceed the fastest resolved process.</t>
        </is>
      </c>
      <c r="G202" s="11" t="inlineStr"/>
    </row>
    <row r="203">
      <c r="A203" s="11" t="n">
        <v>199</v>
      </c>
      <c r="B203" s="15" t="inlineStr">
        <is>
          <t>Part II - The Method Atlas</t>
        </is>
      </c>
      <c r="C203" s="10" t="inlineStr">
        <is>
          <t>I.9 Paired reading - Atlas I</t>
        </is>
      </c>
      <c r="D203" s="10" t="inlineStr">
        <is>
          <t>PyEMMA, VAMPNets</t>
        </is>
      </c>
      <c r="E203" s="10" t="inlineStr">
        <is>
          <t>Mardt et al. 2018, Nat Commun 9:5</t>
        </is>
      </c>
      <c r="F203" s="10" t="inlineStr">
        <is>
          <t>A learned featurization with a variational guarantee. What is being bounded?</t>
        </is>
      </c>
      <c r="G203" s="11" t="inlineStr"/>
    </row>
    <row r="204">
      <c r="A204" s="11" t="n">
        <v>200</v>
      </c>
      <c r="B204" s="15" t="inlineStr">
        <is>
          <t>Part II - The Method Atlas</t>
        </is>
      </c>
      <c r="C204" s="10" t="inlineStr">
        <is>
          <t>I.9 Paired reading - Atlas I</t>
        </is>
      </c>
      <c r="D204" s="10" t="inlineStr">
        <is>
          <t>Shirts, Testing Simulation Results for Physical Validity</t>
        </is>
      </c>
      <c r="E204" s="10" t="inlineStr">
        <is>
          <t>Grossfield et al. 2019, LiveCoMS 1:5067</t>
        </is>
      </c>
      <c r="F204" s="10" t="inlineStr">
        <is>
          <t>Apply every test to your own trajectory. Which does it fail?</t>
        </is>
      </c>
      <c r="G204" s="11" t="inlineStr"/>
    </row>
    <row r="205">
      <c r="A205" s="11" t="n">
        <v>201</v>
      </c>
      <c r="B205" s="15" t="inlineStr">
        <is>
          <t>Part II - The Method Atlas</t>
        </is>
      </c>
      <c r="C205" s="10" t="inlineStr">
        <is>
          <t>I.9 Paired reading - Atlas I</t>
        </is>
      </c>
      <c r="D205" s="10" t="inlineStr">
        <is>
          <t>Pappu, Dewpoint 1–3</t>
        </is>
      </c>
      <c r="E205" s="10" t="inlineStr">
        <is>
          <t>Das &amp; Pappu 2013, PNAS 110:13392; Choi, Holehouse &amp; Pappu 2020</t>
        </is>
      </c>
      <c r="F205" s="10" t="inlineStr">
        <is>
          <t>Charge patterning (κ) predicts dimensions. What else does sequence predict?</t>
        </is>
      </c>
      <c r="G205" s="11" t="inlineStr"/>
    </row>
    <row r="206">
      <c r="A206" s="11" t="n">
        <v>202</v>
      </c>
      <c r="B206" s="15" t="inlineStr">
        <is>
          <t>Part II - The Method Atlas</t>
        </is>
      </c>
      <c r="C206" s="10" t="inlineStr">
        <is>
          <t>I.9 Paired reading - Atlas I</t>
        </is>
      </c>
      <c r="D206" s="10" t="inlineStr">
        <is>
          <t>Urbanc, IDP force fields</t>
        </is>
      </c>
      <c r="E206" s="10" t="inlineStr">
        <is>
          <t>Robustelli, Piana &amp; Shaw 2018, PNAS 115:E4758; Huang et al. 2017, Nat Methods 14:71</t>
        </is>
      </c>
      <c r="F206" s="10" t="inlineStr">
        <is>
          <t>Which force fields over-compact IDPs, and how was that diagnosed?</t>
        </is>
      </c>
      <c r="G206" s="11" t="inlineStr"/>
    </row>
    <row r="207">
      <c r="A207" s="11" t="n">
        <v>203</v>
      </c>
      <c r="B207" s="15" t="inlineStr">
        <is>
          <t>Part II - The Method Atlas</t>
        </is>
      </c>
      <c r="C207" s="10" t="inlineStr">
        <is>
          <t>I.9 Paired reading - Atlas I</t>
        </is>
      </c>
      <c r="D207" s="10" t="inlineStr">
        <is>
          <t>Tesei, IDRome</t>
        </is>
      </c>
      <c r="E207" s="10" t="inlineStr">
        <is>
          <t>Tesei et al. 2024, Nature 626:897; Tesei et al. 2021 (CALVADOS</t>
        </is>
      </c>
      <c r="F207" s="10" t="inlineStr">
        <is>
          <t>A coarse-grained model for the whole disordered proteome. What does it get wrong?</t>
        </is>
      </c>
      <c r="G207" s="11" t="inlineStr"/>
    </row>
    <row r="208">
      <c r="A208" s="11" t="n">
        <v>204</v>
      </c>
      <c r="B208" s="15" t="inlineStr">
        <is>
          <t>Part II - The Method Atlas</t>
        </is>
      </c>
      <c r="C208" s="10" t="inlineStr">
        <is>
          <t>I.9 Paired reading - Atlas I</t>
        </is>
      </c>
      <c r="D208" s="10" t="inlineStr">
        <is>
          <t>Schuler, Disordered proteins</t>
        </is>
      </c>
      <c r="E208" s="10" t="inlineStr">
        <is>
          <t>Schuler et al. 2016, Annu Rev Biophys 45:207</t>
        </is>
      </c>
      <c r="F208" s="10" t="inlineStr">
        <is>
          <t>smFRET gives a distance distribution. What must a model output to be comparable?</t>
        </is>
      </c>
      <c r="G208" s="11" t="inlineStr"/>
    </row>
    <row r="209">
      <c r="A209" s="11" t="n">
        <v>205</v>
      </c>
      <c r="B209" s="15" t="inlineStr">
        <is>
          <t>Part II - The Method Atlas</t>
        </is>
      </c>
      <c r="C209" s="10" t="inlineStr">
        <is>
          <t>I.9 Paired reading - Atlas I</t>
        </is>
      </c>
      <c r="D209" s="10" t="inlineStr">
        <is>
          <t>Mittag / Pappu, condensates</t>
        </is>
      </c>
      <c r="E209" s="10" t="inlineStr">
        <is>
          <t>Martin et al. 2020, Science 367:694 (stickers and spacers</t>
        </is>
      </c>
      <c r="F209" s="10" t="inlineStr">
        <is>
          <t>Aromatic patterning sets phase behaviour. Could you design a condensate?</t>
        </is>
      </c>
      <c r="G209" s="11" t="inlineStr"/>
    </row>
    <row r="210">
      <c r="A210" s="11" t="n">
        <v>206</v>
      </c>
      <c r="B210" s="15" t="inlineStr">
        <is>
          <t>Part II - The Method Atlas</t>
        </is>
      </c>
      <c r="C210" s="10" t="inlineStr">
        <is>
          <t>I.9 Paired reading - Atlas I</t>
        </is>
      </c>
      <c r="D210" s="10" t="inlineStr">
        <is>
          <t>Roux, C-type inactivation</t>
        </is>
      </c>
      <c r="E210" s="10" t="inlineStr">
        <is>
          <t>Bernèche &amp; Roux 2001, Nature 414:73</t>
        </is>
      </c>
      <c r="F210" s="10" t="inlineStr">
        <is>
          <t>Free energy of ion conduction. What made this tractable where binding is not?</t>
        </is>
      </c>
      <c r="G210" s="11" t="inlineStr"/>
    </row>
    <row r="211">
      <c r="A211" s="11" t="n">
        <v>207</v>
      </c>
      <c r="B211" s="15" t="inlineStr">
        <is>
          <t>Part II - The Method Atlas</t>
        </is>
      </c>
      <c r="C211" s="10" t="inlineStr">
        <is>
          <t>I.9 Paired reading - Atlas I</t>
        </is>
      </c>
      <c r="D211" s="10" t="inlineStr">
        <is>
          <t>Amaro, Viral glycoproteins</t>
        </is>
      </c>
      <c r="E211" s="10" t="inlineStr">
        <is>
          <t>Casalino et al. 2020, ACS Cent Sci 6:1722</t>
        </is>
      </c>
      <c r="F211" s="10" t="inlineStr">
        <is>
          <t>Glycans shield most of the surface. What does that do to epitope prediction?</t>
        </is>
      </c>
      <c r="G211" s="11" t="inlineStr"/>
    </row>
    <row r="212">
      <c r="A212" s="11" t="n">
        <v>208</v>
      </c>
      <c r="B212" s="15" t="inlineStr">
        <is>
          <t>Part II - The Method Atlas</t>
        </is>
      </c>
      <c r="C212" s="10" t="inlineStr">
        <is>
          <t>I.9 Paired reading - Atlas I</t>
        </is>
      </c>
      <c r="D212" s="10" t="inlineStr">
        <is>
          <t>Luthey-Schulten, Lattice Microbes</t>
        </is>
      </c>
      <c r="E212" s="10" t="inlineStr">
        <is>
          <t>Thornburg et al. 2022, Cell 185:345</t>
        </is>
      </c>
      <c r="F212" s="10" t="inlineStr">
        <is>
          <t>A whole minimal cell. What is the coarsest level that still predicts behaviour?</t>
        </is>
      </c>
      <c r="G212" s="11" t="inlineStr"/>
    </row>
    <row r="213">
      <c r="A213" s="11" t="n">
        <v>209</v>
      </c>
      <c r="B213" s="15" t="inlineStr">
        <is>
          <t>Part II - The Method Atlas</t>
        </is>
      </c>
      <c r="C213" s="10" t="inlineStr">
        <is>
          <t>J.7 Paired reading - Atlas J</t>
        </is>
      </c>
      <c r="D213" s="10" t="inlineStr">
        <is>
          <t>Scheres, Image refinement in 2D and 3D</t>
        </is>
      </c>
      <c r="E213" s="10" t="inlineStr">
        <is>
          <t>Scheres 2012, J Mol Biol 415:406; J Struct Biol 180:519</t>
        </is>
      </c>
      <c r="F213" s="10" t="inlineStr">
        <is>
          <t>What is marginalized over, and what would break if you estimated instead?</t>
        </is>
      </c>
      <c r="G213" s="11" t="inlineStr"/>
    </row>
    <row r="214">
      <c r="A214" s="11" t="n">
        <v>210</v>
      </c>
      <c r="B214" s="15" t="inlineStr">
        <is>
          <t>Part II - The Method Atlas</t>
        </is>
      </c>
      <c r="C214" s="10" t="inlineStr">
        <is>
          <t>J.7 Paired reading - Atlas J</t>
        </is>
      </c>
      <c r="D214" s="10" t="inlineStr">
        <is>
          <t>Sigworth, EM Image Formation</t>
        </is>
      </c>
      <c r="E214" s="10" t="inlineStr">
        <is>
          <t>Sigworth 1998, J Struct Biol 122:328</t>
        </is>
      </c>
      <c r="F214" s="10" t="inlineStr">
        <is>
          <t>Write the likelihood for one particle image. What are the nuisance parameters?</t>
        </is>
      </c>
      <c r="G214" s="11" t="inlineStr"/>
    </row>
    <row r="215">
      <c r="A215" s="11" t="n">
        <v>211</v>
      </c>
      <c r="B215" s="15" t="inlineStr">
        <is>
          <t>Part II - The Method Atlas</t>
        </is>
      </c>
      <c r="C215" s="10" t="inlineStr">
        <is>
          <t>J.7 Paired reading - Atlas J</t>
        </is>
      </c>
      <c r="D215" s="10" t="inlineStr">
        <is>
          <t>Henderson, past present and future</t>
        </is>
      </c>
      <c r="E215" s="10" t="inlineStr">
        <is>
          <t>Rosenthal &amp; Henderson 2003</t>
        </is>
      </c>
      <c r="F215" s="10" t="inlineStr">
        <is>
          <t>Derive the particle-number vs resolution relation. What is its design analogue?</t>
        </is>
      </c>
      <c r="G215" s="11" t="inlineStr"/>
    </row>
    <row r="216">
      <c r="A216" s="11" t="n">
        <v>212</v>
      </c>
      <c r="B216" s="15" t="inlineStr">
        <is>
          <t>Part II - The Method Atlas</t>
        </is>
      </c>
      <c r="C216" s="10" t="inlineStr">
        <is>
          <t>J.7 Paired reading - Atlas J</t>
        </is>
      </c>
      <c r="D216" s="10" t="inlineStr">
        <is>
          <t>Sorzano, Resolution</t>
        </is>
      </c>
      <c r="E216" s="10" t="inlineStr">
        <is>
          <t>Scheres &amp; Chen 2012</t>
        </is>
      </c>
      <c r="F216" s="10" t="inlineStr">
        <is>
          <t>Why 0.143? What would the right threshold be if you derived it?</t>
        </is>
      </c>
      <c r="G216" s="11" t="inlineStr"/>
    </row>
    <row r="217">
      <c r="A217" s="11" t="n">
        <v>213</v>
      </c>
      <c r="B217" s="15" t="inlineStr">
        <is>
          <t>Part II - The Method Atlas</t>
        </is>
      </c>
      <c r="C217" s="10" t="inlineStr">
        <is>
          <t>J.7 Paired reading - Atlas J</t>
        </is>
      </c>
      <c r="D217" s="10" t="inlineStr">
        <is>
          <t>Clarke, Practical validation</t>
        </is>
      </c>
      <c r="E217" s="10" t="inlineStr">
        <is>
          <t>Any Einstein-from-noise analysis</t>
        </is>
      </c>
      <c r="F217" s="10" t="inlineStr">
        <is>
          <t>List every failure mode. Which has a generative-design equivalent?</t>
        </is>
      </c>
      <c r="G217" s="11" t="inlineStr"/>
    </row>
    <row r="218">
      <c r="A218" s="11" t="n">
        <v>214</v>
      </c>
      <c r="B218" s="15" t="inlineStr">
        <is>
          <t>Part II - The Method Atlas</t>
        </is>
      </c>
      <c r="C218" s="10" t="inlineStr">
        <is>
          <t>J.7 Paired reading - Atlas J</t>
        </is>
      </c>
      <c r="D218" s="10" t="inlineStr">
        <is>
          <t>Bepler, Topaz</t>
        </is>
      </c>
      <c r="E218" s="10" t="inlineStr">
        <is>
          <t>Bepler et al. 2019, Nat Methods 16:1153</t>
        </is>
      </c>
      <c r="F218" s="10" t="inlineStr">
        <is>
          <t>Positive-unlabeled learning. Where else are your labels incomplete rather than negative?</t>
        </is>
      </c>
      <c r="G218" s="11" t="inlineStr"/>
    </row>
    <row r="219">
      <c r="A219" s="11" t="n">
        <v>215</v>
      </c>
      <c r="B219" s="15" t="inlineStr">
        <is>
          <t>Part II - The Method Atlas</t>
        </is>
      </c>
      <c r="C219" s="10" t="inlineStr">
        <is>
          <t>J.7 Paired reading - Atlas J</t>
        </is>
      </c>
      <c r="D219" s="10" t="inlineStr">
        <is>
          <t>Punjani, 3DVA</t>
        </is>
      </c>
      <c r="E219" s="10" t="inlineStr">
        <is>
          <t>Punjani &amp; Fleet 2021, J Struct Biol 213:107702</t>
        </is>
      </c>
      <c r="F219" s="10" t="inlineStr">
        <is>
          <t>3DVA is probabilistic PCA over volumes. What is the analogue of a TICA coordinate here?</t>
        </is>
      </c>
      <c r="G219" s="11" t="inlineStr"/>
    </row>
    <row r="220">
      <c r="A220" s="11" t="n">
        <v>216</v>
      </c>
      <c r="B220" s="15" t="inlineStr">
        <is>
          <t>Part II - The Method Atlas</t>
        </is>
      </c>
      <c r="C220" s="10" t="inlineStr">
        <is>
          <t>J.7 Paired reading - Atlas J</t>
        </is>
      </c>
      <c r="D220" s="10" t="inlineStr">
        <is>
          <t>Punjani, 3DFlex</t>
        </is>
      </c>
      <c r="E220" s="10" t="inlineStr">
        <is>
          <t>Punjani &amp; Fleet 2023, Nat Methods 20:860</t>
        </is>
      </c>
      <c r="F220" s="10" t="inlineStr">
        <is>
          <t>A learned deformation field versus a mixture of volumes. When does each win?</t>
        </is>
      </c>
      <c r="G220" s="11" t="inlineStr"/>
    </row>
    <row r="221">
      <c r="A221" s="11" t="n">
        <v>217</v>
      </c>
      <c r="B221" s="15" t="inlineStr">
        <is>
          <t>Part II - The Method Atlas</t>
        </is>
      </c>
      <c r="C221" s="10" t="inlineStr">
        <is>
          <t>J.7 Paired reading - Atlas J</t>
        </is>
      </c>
      <c r="D221" s="10" t="inlineStr">
        <is>
          <t>Zhong, cryoDRGN-AI</t>
        </is>
      </c>
      <c r="E221" s="10" t="inlineStr">
        <is>
          <t>Zhong et al. 2021, Nat Methods 18:176</t>
        </is>
      </c>
      <c r="F221" s="10" t="inlineStr">
        <is>
          <t>What does the latent space mean, and how would you validate that interpretation?</t>
        </is>
      </c>
      <c r="G221" s="11" t="inlineStr"/>
    </row>
    <row r="222">
      <c r="A222" s="11" t="n">
        <v>218</v>
      </c>
      <c r="B222" s="15" t="inlineStr">
        <is>
          <t>Part II - The Method Atlas</t>
        </is>
      </c>
      <c r="C222" s="10" t="inlineStr">
        <is>
          <t>J.7 Paired reading - Atlas J</t>
        </is>
      </c>
      <c r="D222" s="10" t="inlineStr">
        <is>
          <t>Zivanov, Bayesian particle polishing</t>
        </is>
      </c>
      <c r="E222" s="10" t="inlineStr">
        <is>
          <t>Zivanov et al. 2019, IUCrJ 6:5</t>
        </is>
      </c>
      <c r="F222" s="10" t="inlineStr">
        <is>
          <t>A spatial-coherence prior plus damage-weighted B-factors. What is the prior doing?</t>
        </is>
      </c>
      <c r="G222" s="11" t="inlineStr"/>
    </row>
    <row r="223">
      <c r="A223" s="11" t="n">
        <v>219</v>
      </c>
      <c r="B223" s="15" t="inlineStr">
        <is>
          <t>Part II - The Method Atlas</t>
        </is>
      </c>
      <c r="C223" s="10" t="inlineStr">
        <is>
          <t>J.7 Paired reading - Atlas J</t>
        </is>
      </c>
      <c r="D223" s="10" t="inlineStr">
        <is>
          <t>Singer, ICM plenary</t>
        </is>
      </c>
      <c r="E223" s="10" t="inlineStr">
        <is>
          <t>Any sample-complexity result for cryo-EM</t>
        </is>
      </c>
      <c r="F223" s="10" t="inlineStr">
        <is>
          <t>How many images does the inverse problem require at a given SNR?</t>
        </is>
      </c>
      <c r="G223" s="11" t="inlineStr"/>
    </row>
    <row r="224">
      <c r="A224" s="11" t="n">
        <v>220</v>
      </c>
      <c r="B224" s="15" t="inlineStr">
        <is>
          <t>Part II - The Method Atlas</t>
        </is>
      </c>
      <c r="C224" s="10" t="inlineStr">
        <is>
          <t>J.7 Paired reading - Atlas J</t>
        </is>
      </c>
      <c r="D224" s="10" t="inlineStr">
        <is>
          <t>Terwilliger + DeepEMhancer</t>
        </is>
      </c>
      <c r="E224" s="10" t="inlineStr">
        <is>
          <t>Terwilliger et al. 2020, Nat Methods 17:923; Sanchez-Garcia et al. 2021</t>
        </is>
      </c>
      <c r="F224" s="10" t="inlineStr">
        <is>
          <t>Principled versus learned map improvement. How would you detect hallucination?</t>
        </is>
      </c>
      <c r="G224" s="11" t="inlineStr"/>
    </row>
    <row r="225">
      <c r="A225" s="11" t="n">
        <v>221</v>
      </c>
      <c r="B225" s="15" t="inlineStr">
        <is>
          <t>Part II - The Method Atlas</t>
        </is>
      </c>
      <c r="C225" s="10" t="inlineStr">
        <is>
          <t>J.7 Paired reading - Atlas J</t>
        </is>
      </c>
      <c r="D225" s="10" t="inlineStr">
        <is>
          <t>Jamali, ModelAngelo</t>
        </is>
      </c>
      <c r="E225" s="10" t="inlineStr">
        <is>
          <t>Jamali et al. 2024, Nature 628:450</t>
        </is>
      </c>
      <c r="F225" s="10" t="inlineStr">
        <is>
          <t>It identifies the protein by searching a proteome. How does that relate to Foldseek?</t>
        </is>
      </c>
      <c r="G225" s="11" t="inlineStr"/>
    </row>
    <row r="226">
      <c r="A226" s="11" t="n">
        <v>222</v>
      </c>
      <c r="B226" s="15" t="inlineStr">
        <is>
          <t>Part II - The Method Atlas</t>
        </is>
      </c>
      <c r="C226" s="10" t="inlineStr">
        <is>
          <t>J.7 Paired reading - Atlas J</t>
        </is>
      </c>
      <c r="D226" s="10" t="inlineStr">
        <is>
          <t>Read, Information content in MR</t>
        </is>
      </c>
      <c r="E226" s="10" t="inlineStr">
        <is>
          <t>Oeffner, McCoy &amp; Read 2013</t>
        </is>
      </c>
      <c r="F226" s="10" t="inlineStr">
        <is>
          <t>Expected LLG predicts success before you run. What predicts design success?</t>
        </is>
      </c>
      <c r="G226" s="11" t="inlineStr"/>
    </row>
    <row r="227">
      <c r="A227" s="11" t="n">
        <v>223</v>
      </c>
      <c r="B227" s="15" t="inlineStr">
        <is>
          <t>Part II - The Method Atlas</t>
        </is>
      </c>
      <c r="C227" s="10" t="inlineStr">
        <is>
          <t>J.7 Paired reading - Atlas J</t>
        </is>
      </c>
      <c r="D227" s="10" t="inlineStr">
        <is>
          <t>Cowtan, Density modification</t>
        </is>
      </c>
      <c r="E227" s="10" t="inlineStr">
        <is>
          <t>Cowtan 1994; Wang 1985</t>
        </is>
      </c>
      <c r="F227" s="10" t="inlineStr">
        <is>
          <t>How do you combine phase information without double-counting?</t>
        </is>
      </c>
      <c r="G227" s="11" t="inlineStr"/>
    </row>
    <row r="228">
      <c r="A228" s="11" t="n">
        <v>224</v>
      </c>
      <c r="B228" s="15" t="inlineStr">
        <is>
          <t>Part II - The Method Atlas</t>
        </is>
      </c>
      <c r="C228" s="10" t="inlineStr">
        <is>
          <t>J.7 Paired reading - Atlas J</t>
        </is>
      </c>
      <c r="D228" s="10" t="inlineStr">
        <is>
          <t>SBGrid, CC</t>
        </is>
      </c>
      <c r="E228" s="10" t="inlineStr">
        <is>
          <t>Karplus &amp; Diederichs 2012, Science 336:1030</t>
        </is>
      </c>
      <c r="F228" s="10" t="inlineStr">
        <is>
          <t>Model quality bounds data quality. What does that imply for filtering training data?</t>
        </is>
      </c>
      <c r="G228" s="11" t="inlineStr"/>
    </row>
    <row r="229">
      <c r="A229" s="11" t="n">
        <v>225</v>
      </c>
      <c r="B229" s="15" t="inlineStr">
        <is>
          <t>Part II - The Method Atlas</t>
        </is>
      </c>
      <c r="C229" s="10" t="inlineStr">
        <is>
          <t>J.7 Paired reading - Atlas J</t>
        </is>
      </c>
      <c r="D229" s="10" t="inlineStr">
        <is>
          <t>Murshudov, Refinement</t>
        </is>
      </c>
      <c r="E229" s="10" t="inlineStr">
        <is>
          <t>Murshudov, Vagin &amp; Dodson 1997</t>
        </is>
      </c>
      <c r="F229" s="10" t="inlineStr">
        <is>
          <t>Write the ML refinement target. Where do restraints enter, and with what weight?</t>
        </is>
      </c>
      <c r="G229" s="11" t="inlineStr"/>
    </row>
    <row r="230">
      <c r="A230" s="11" t="n">
        <v>226</v>
      </c>
      <c r="B230" s="15" t="inlineStr">
        <is>
          <t>Part II - The Method Atlas</t>
        </is>
      </c>
      <c r="C230" s="10" t="inlineStr">
        <is>
          <t>J.7 Paired reading - Atlas J</t>
        </is>
      </c>
      <c r="D230" s="10" t="inlineStr">
        <is>
          <t>ThornLab, Refinement</t>
        </is>
      </c>
      <c r="E230" s="10" t="inlineStr">
        <is>
          <t>Brünger 1992, Nature 355:472</t>
        </is>
      </c>
      <c r="F230" s="10" t="inlineStr">
        <is>
          <t>What does Rfree detect that Rwork cannot? What is the ML analogue?</t>
        </is>
      </c>
      <c r="G230" s="11" t="inlineStr"/>
    </row>
    <row r="231">
      <c r="A231" s="11" t="n">
        <v>227</v>
      </c>
      <c r="B231" s="15" t="inlineStr">
        <is>
          <t>Part II - The Method Atlas</t>
        </is>
      </c>
      <c r="C231" s="10" t="inlineStr">
        <is>
          <t>J.7 Paired reading - Atlas J</t>
        </is>
      </c>
      <c r="D231" s="10" t="inlineStr">
        <is>
          <t>qFit talks</t>
        </is>
      </c>
      <c r="E231" s="10" t="inlineStr">
        <is>
          <t>van den Bedem et al. 2009; Riley et al. 2021</t>
        </is>
      </c>
      <c r="F231" s="10" t="inlineStr">
        <is>
          <t>Sparse selection by mixed-integer programming. Apply it to generative samples.</t>
        </is>
      </c>
      <c r="G231" s="11" t="inlineStr"/>
    </row>
    <row r="232">
      <c r="A232" s="11" t="n">
        <v>228</v>
      </c>
      <c r="B232" s="15" t="inlineStr">
        <is>
          <t>Part II - The Method Atlas</t>
        </is>
      </c>
      <c r="C232" s="10" t="inlineStr">
        <is>
          <t>J.7 Paired reading - Atlas J</t>
        </is>
      </c>
      <c r="D232" s="10" t="inlineStr">
        <is>
          <t>Fraser, TSRC Protein Dynamics</t>
        </is>
      </c>
      <c r="E232" s="10" t="inlineStr">
        <is>
          <t>Keedy et al. 2015, eLife 4:e07574</t>
        </is>
      </c>
      <c r="F232" s="10" t="inlineStr">
        <is>
          <t>Cryocooling erases substates. What fraction of the PDB is a cryo artifact?</t>
        </is>
      </c>
      <c r="G232" s="11" t="inlineStr"/>
    </row>
    <row r="233">
      <c r="A233" s="11" t="n">
        <v>229</v>
      </c>
      <c r="B233" s="15" t="inlineStr">
        <is>
          <t>Part II - The Method Atlas</t>
        </is>
      </c>
      <c r="C233" s="10" t="inlineStr">
        <is>
          <t>J.7 Paired reading - Atlas J</t>
        </is>
      </c>
      <c r="D233" s="10" t="inlineStr">
        <is>
          <t>Wankowicz &amp; Fraser, CASP SIG</t>
        </is>
      </c>
      <c r="E233" s="10" t="inlineStr">
        <is>
          <t>Any ensemble-scoring proposal</t>
        </is>
      </c>
      <c r="F233" s="10" t="inlineStr">
        <is>
          <t>How would you score a predicted ensemble? Propose a metric and its failure mode.</t>
        </is>
      </c>
      <c r="G233" s="11" t="inlineStr"/>
    </row>
    <row r="234">
      <c r="A234" s="11" t="n">
        <v>230</v>
      </c>
      <c r="B234" s="15" t="inlineStr">
        <is>
          <t>Part II - The Method Atlas</t>
        </is>
      </c>
      <c r="C234" s="10" t="inlineStr">
        <is>
          <t>J.7 Paired reading - Atlas J</t>
        </is>
      </c>
      <c r="D234" s="10" t="inlineStr">
        <is>
          <t>Donald, L03–L04</t>
        </is>
      </c>
      <c r="E234" s="10" t="inlineStr">
        <is>
          <t>Wang &amp; Donald 2004</t>
        </is>
      </c>
      <c r="F234" s="10" t="inlineStr">
        <is>
          <t>Structure determination as constraint satisfaction. What becomes tractable?</t>
        </is>
      </c>
      <c r="G234" s="11" t="inlineStr"/>
    </row>
    <row r="235">
      <c r="A235" s="11" t="n">
        <v>231</v>
      </c>
      <c r="B235" s="15" t="inlineStr">
        <is>
          <t>Part II - The Method Atlas</t>
        </is>
      </c>
      <c r="C235" s="10" t="inlineStr">
        <is>
          <t>J.7 Paired reading - Atlas J</t>
        </is>
      </c>
      <c r="D235" s="10" t="inlineStr">
        <is>
          <t>Bax, RDCs Part 1</t>
        </is>
      </c>
      <c r="E235" s="10" t="inlineStr">
        <is>
          <t>Tjandra &amp; Bax 1997, Science 278:1111</t>
        </is>
      </c>
      <c r="F235" s="10" t="inlineStr">
        <is>
          <t>Orientational versus distance restraints. What does each underdetermine?</t>
        </is>
      </c>
      <c r="G235" s="11" t="inlineStr"/>
    </row>
    <row r="236">
      <c r="A236" s="11" t="n">
        <v>232</v>
      </c>
      <c r="B236" s="15" t="inlineStr">
        <is>
          <t>Part II - The Method Atlas</t>
        </is>
      </c>
      <c r="C236" s="10" t="inlineStr">
        <is>
          <t>J.7 Paired reading - Atlas J</t>
        </is>
      </c>
      <c r="D236" s="10" t="inlineStr">
        <is>
          <t>Kay, The important role of dynamics</t>
        </is>
      </c>
      <c r="E236" s="10" t="inlineStr">
        <is>
          <t>Korzhnev et al. 2004, Nature 430:586</t>
        </is>
      </c>
      <c r="F236" s="10" t="inlineStr">
        <is>
          <t>An invisible state with a measured population. Could a generative model predict it?</t>
        </is>
      </c>
      <c r="G236" s="11" t="inlineStr"/>
    </row>
    <row r="237">
      <c r="A237" s="11" t="n">
        <v>233</v>
      </c>
      <c r="B237" s="15" t="inlineStr">
        <is>
          <t>Part II - The Method Atlas</t>
        </is>
      </c>
      <c r="C237" s="10" t="inlineStr">
        <is>
          <t>J.7 Paired reading - Atlas J</t>
        </is>
      </c>
      <c r="D237" s="10" t="inlineStr">
        <is>
          <t>Kikhney, SAXS II</t>
        </is>
      </c>
      <c r="E237" s="10" t="inlineStr">
        <is>
          <t>Svergun 1999; Franke &amp; Svergun 2009</t>
        </is>
      </c>
      <c r="F237" s="10" t="inlineStr">
        <is>
          <t>DAMMIN regularizes by compactness. What does that prior exclude?</t>
        </is>
      </c>
      <c r="G237" s="11" t="inlineStr"/>
    </row>
    <row r="238">
      <c r="A238" s="11" t="n">
        <v>234</v>
      </c>
      <c r="B238" s="15" t="inlineStr">
        <is>
          <t>Part II - The Method Atlas</t>
        </is>
      </c>
      <c r="C238" s="10" t="inlineStr">
        <is>
          <t>J.7 Paired reading - Atlas J</t>
        </is>
      </c>
      <c r="D238" s="10" t="inlineStr">
        <is>
          <t>BioCAT, Flexible molecules</t>
        </is>
      </c>
      <c r="E238" s="10" t="inlineStr">
        <is>
          <t>Bernadó et al. 2007; Tria et al. 2015</t>
        </is>
      </c>
      <c r="F238" s="10" t="inlineStr">
        <is>
          <t>Sub-ensemble selection by genetic algorithm. Same problem as qFit. Generalize it.</t>
        </is>
      </c>
      <c r="G238" s="11" t="inlineStr"/>
    </row>
    <row r="239">
      <c r="A239" s="11" t="n">
        <v>235</v>
      </c>
      <c r="B239" s="15" t="inlineStr">
        <is>
          <t>Part II - The Method Atlas</t>
        </is>
      </c>
      <c r="C239" s="10" t="inlineStr">
        <is>
          <t>J.7 Paired reading - Atlas J</t>
        </is>
      </c>
      <c r="D239" s="10" t="inlineStr">
        <is>
          <t>O'Reilly, XL-MS</t>
        </is>
      </c>
      <c r="E239" s="10" t="inlineStr">
        <is>
          <t>O'Reilly &amp; Rappsilber 2018, Nat Struct Mol Biol 25:1000</t>
        </is>
      </c>
      <c r="F239" s="10" t="inlineStr">
        <is>
          <t>A crosslink is an upper-bound distance restraint. What is its false-positive rate?</t>
        </is>
      </c>
      <c r="G239" s="11" t="inlineStr"/>
    </row>
    <row r="240">
      <c r="A240" s="11" t="n">
        <v>236</v>
      </c>
      <c r="B240" s="15" t="inlineStr">
        <is>
          <t>Part II - The Method Atlas</t>
        </is>
      </c>
      <c r="C240" s="10" t="inlineStr">
        <is>
          <t>J.7 Paired reading - Atlas J</t>
        </is>
      </c>
      <c r="D240" s="10" t="inlineStr">
        <is>
          <t>HDX lecture</t>
        </is>
      </c>
      <c r="E240" s="10" t="inlineStr">
        <is>
          <t>Engen 2009, Anal Chem 81:7870</t>
        </is>
      </c>
      <c r="F240" s="10" t="inlineStr">
        <is>
          <t>Write the forward model from structure to protection factor. Could it be learned?</t>
        </is>
      </c>
      <c r="G240" s="11" t="inlineStr"/>
    </row>
    <row r="241">
      <c r="A241" s="11" t="n">
        <v>237</v>
      </c>
      <c r="B241" s="15" t="inlineStr">
        <is>
          <t>Part II - The Method Atlas</t>
        </is>
      </c>
      <c r="C241" s="10" t="inlineStr">
        <is>
          <t>K.4 Paired reading - Atlas K</t>
        </is>
      </c>
      <c r="D241" s="10" t="inlineStr">
        <is>
          <t>IMP tutorials</t>
        </is>
      </c>
      <c r="E241" s="10" t="inlineStr">
        <is>
          <t>Russel et al. 2012, PLoS Biol 10:e1001244</t>
        </is>
      </c>
      <c r="F241" s="10" t="inlineStr">
        <is>
          <t>Write the problem as Bayesian inference. Name every likelihood.</t>
        </is>
      </c>
      <c r="G241" s="11" t="inlineStr"/>
    </row>
    <row r="242">
      <c r="A242" s="11" t="n">
        <v>238</v>
      </c>
      <c r="B242" s="15" t="inlineStr">
        <is>
          <t>Part II - The Method Atlas</t>
        </is>
      </c>
      <c r="C242" s="10" t="inlineStr">
        <is>
          <t>K.4 Paired reading - Atlas K</t>
        </is>
      </c>
      <c r="D242" s="10" t="inlineStr">
        <is>
          <t>PDB-IHM validation docs</t>
        </is>
      </c>
      <c r="E242" s="10" t="inlineStr">
        <is>
          <t>Sali et al. 2015, Structure 23:1156</t>
        </is>
      </c>
      <c r="F242" s="10" t="inlineStr">
        <is>
          <t>What does "validated" mean for a model with no single right answer?</t>
        </is>
      </c>
      <c r="G242" s="11" t="inlineStr"/>
    </row>
    <row r="243">
      <c r="A243" s="11" t="n">
        <v>239</v>
      </c>
      <c r="B243" s="15" t="inlineStr">
        <is>
          <t>Part II - The Method Atlas</t>
        </is>
      </c>
      <c r="C243" s="10" t="inlineStr">
        <is>
          <t>K.4 Paired reading - Atlas K</t>
        </is>
      </c>
      <c r="D243" s="10" t="inlineStr">
        <is>
          <t>MDFF tutorials</t>
        </is>
      </c>
      <c r="E243" s="10" t="inlineStr">
        <is>
          <t>Trabuco et al. 2008, Structure 16:673</t>
        </is>
      </c>
      <c r="F243" s="10" t="inlineStr">
        <is>
          <t>Design the cross-validation for a flexible fit.</t>
        </is>
      </c>
      <c r="G243" s="11" t="inlineStr"/>
    </row>
    <row r="244">
      <c r="A244" s="11" t="n">
        <v>240</v>
      </c>
      <c r="B244" s="15" t="inlineStr">
        <is>
          <t>Part II - The Method Atlas</t>
        </is>
      </c>
      <c r="C244" s="10" t="inlineStr">
        <is>
          <t>K.4 Paired reading - Atlas K</t>
        </is>
      </c>
      <c r="D244" s="10" t="inlineStr">
        <is>
          <t>DiMaio talks (Atlas J</t>
        </is>
      </c>
      <c r="E244" s="10" t="inlineStr">
        <is>
          <t>DiMaio et al. 2015, Nat Methods 12:361</t>
        </is>
      </c>
      <c r="F244" s="10" t="inlineStr">
        <is>
          <t>When does density refinement improve a model and when does it bake in error?</t>
        </is>
      </c>
      <c r="G244" s="11" t="inlineStr"/>
    </row>
    <row r="245">
      <c r="A245" s="11" t="n">
        <v>241</v>
      </c>
      <c r="B245" s="15" t="inlineStr">
        <is>
          <t>Part II - The Method Atlas</t>
        </is>
      </c>
      <c r="C245" s="10" t="inlineStr">
        <is>
          <t>K.4 Paired reading - Atlas K</t>
        </is>
      </c>
      <c r="D245" s="10" t="inlineStr">
        <is>
          <t>Vedula &amp; Sellam, Experiment-guided AF</t>
        </is>
      </c>
      <c r="E245" s="10" t="inlineStr">
        <is>
          <t>Their paper + Rieping et al. 2005, Science 309:303</t>
        </is>
      </c>
      <c r="F245" s="10" t="inlineStr">
        <is>
          <t>A learned prior plus sparse data. Where is the double-counting?</t>
        </is>
      </c>
      <c r="G245" s="11" t="inlineStr"/>
    </row>
    <row r="246">
      <c r="A246" s="11" t="n">
        <v>242</v>
      </c>
      <c r="B246" s="15" t="inlineStr">
        <is>
          <t>Part II - The Method Atlas</t>
        </is>
      </c>
      <c r="C246" s="10" t="inlineStr">
        <is>
          <t>K.4 Paired reading - Atlas K</t>
        </is>
      </c>
      <c r="D246" s="10" t="inlineStr">
        <is>
          <t>El Nesr &amp; Wayment-Steele, NMR</t>
        </is>
      </c>
      <c r="E246" s="10" t="inlineStr">
        <is>
          <t>Hummer &amp; Köfinger 2015, JCP 143:243150</t>
        </is>
      </c>
      <c r="F246" s="10" t="inlineStr">
        <is>
          <t>Averaged data, ensemble answer. What is the maximum-entropy argument?</t>
        </is>
      </c>
      <c r="G246" s="11" t="inlineStr"/>
    </row>
    <row r="247">
      <c r="A247" s="11" t="n">
        <v>243</v>
      </c>
      <c r="B247" s="15" t="inlineStr">
        <is>
          <t>Part II - The Method Atlas</t>
        </is>
      </c>
      <c r="C247" s="10" t="inlineStr">
        <is>
          <t>K.4 Paired reading - Atlas K</t>
        </is>
      </c>
      <c r="D247" s="10" t="inlineStr">
        <is>
          <t>Davis, cryoEM heterogeneity</t>
        </is>
      </c>
      <c r="E247" s="10" t="inlineStr">
        <is>
          <t>Bonomi et al. 2017, Curr Opin Struct Biol 42:106</t>
        </is>
      </c>
      <c r="F247" s="10" t="inlineStr">
        <is>
          <t>One map or many states? What decides?</t>
        </is>
      </c>
      <c r="G247" s="11" t="inlineStr"/>
    </row>
    <row r="248">
      <c r="A248" s="11" t="n">
        <v>244</v>
      </c>
      <c r="B248" s="15" t="inlineStr">
        <is>
          <t>Part II - The Method Atlas</t>
        </is>
      </c>
      <c r="C248" s="10" t="inlineStr">
        <is>
          <t>L.5 Paired reading - Atlas L</t>
        </is>
      </c>
      <c r="D248" s="10" t="inlineStr">
        <is>
          <t>IPD L5–6, Ab-initio prediction</t>
        </is>
      </c>
      <c r="E248" s="10" t="inlineStr">
        <is>
          <t>Simons et al. 1997, J Mol Biol 268:209</t>
        </is>
      </c>
      <c r="F248" s="10" t="inlineStr">
        <is>
          <t>Why fragments? What prior do they encode?</t>
        </is>
      </c>
      <c r="G248" s="11" t="inlineStr"/>
    </row>
    <row r="249">
      <c r="A249" s="11" t="n">
        <v>245</v>
      </c>
      <c r="B249" s="15" t="inlineStr">
        <is>
          <t>Part II - The Method Atlas</t>
        </is>
      </c>
      <c r="C249" s="10" t="inlineStr">
        <is>
          <t>L.5 Paired reading - Atlas L</t>
        </is>
      </c>
      <c r="D249" s="10" t="inlineStr">
        <is>
          <t>RosettaCommons, Score Functions</t>
        </is>
      </c>
      <c r="E249" s="10" t="inlineStr">
        <is>
          <t>Alford et al. 2017, JCTC 13:3031</t>
        </is>
      </c>
      <c r="F249" s="10" t="inlineStr">
        <is>
          <t>Term by term: which are physical, which are statistical, which are fudge?</t>
        </is>
      </c>
      <c r="G249" s="11" t="inlineStr"/>
    </row>
    <row r="250">
      <c r="A250" s="11" t="n">
        <v>246</v>
      </c>
      <c r="B250" s="15" t="inlineStr">
        <is>
          <t>Part II - The Method Atlas</t>
        </is>
      </c>
      <c r="C250" s="10" t="inlineStr">
        <is>
          <t>L.5 Paired reading - Atlas L</t>
        </is>
      </c>
      <c r="D250" s="10" t="inlineStr">
        <is>
          <t>IPD L8, Rotamer libraries and packing</t>
        </is>
      </c>
      <c r="E250" s="10" t="inlineStr">
        <is>
          <t>Dunbrack &amp; Karplus 1993, J Mol Biol 230:543</t>
        </is>
      </c>
      <c r="F250" s="10" t="inlineStr">
        <is>
          <t>Packing is NP-hard. What does annealing guarantee that MPNN does not?</t>
        </is>
      </c>
      <c r="G250" s="11" t="inlineStr"/>
    </row>
    <row r="251">
      <c r="A251" s="11" t="n">
        <v>247</v>
      </c>
      <c r="B251" s="15" t="inlineStr">
        <is>
          <t>Part II - The Method Atlas</t>
        </is>
      </c>
      <c r="C251" s="10" t="inlineStr">
        <is>
          <t>L.5 Paired reading - Atlas L</t>
        </is>
      </c>
      <c r="D251" s="10" t="inlineStr">
        <is>
          <t>IPD L7, Refinement</t>
        </is>
      </c>
      <c r="E251" s="10" t="inlineStr">
        <is>
          <t>Park et al. 2016, JCTC 12:6201</t>
        </is>
      </c>
      <c r="F251" s="10" t="inlineStr">
        <is>
          <t>Why is refinement the step that never worked well?</t>
        </is>
      </c>
      <c r="G251" s="11" t="inlineStr"/>
    </row>
    <row r="252">
      <c r="A252" s="11" t="n">
        <v>248</v>
      </c>
      <c r="B252" s="15" t="inlineStr">
        <is>
          <t>Part II - The Method Atlas</t>
        </is>
      </c>
      <c r="C252" s="10" t="inlineStr">
        <is>
          <t>L.5 Paired reading - Atlas L</t>
        </is>
      </c>
      <c r="D252" s="10" t="inlineStr">
        <is>
          <t>IPD L10, Loop modeling</t>
        </is>
      </c>
      <c r="E252" s="10" t="inlineStr">
        <is>
          <t>Mandell et al. 2009, Nat Methods 6:551 (KIC</t>
        </is>
      </c>
      <c r="F252" s="10" t="inlineStr">
        <is>
          <t>Kinematic closure is exact. Why did that matter?</t>
        </is>
      </c>
      <c r="G252" s="11" t="inlineStr"/>
    </row>
    <row r="253">
      <c r="A253" s="11" t="n">
        <v>249</v>
      </c>
      <c r="B253" s="15" t="inlineStr">
        <is>
          <t>Part II - The Method Atlas</t>
        </is>
      </c>
      <c r="C253" s="10" t="inlineStr">
        <is>
          <t>L.5 Paired reading - Atlas L</t>
        </is>
      </c>
      <c r="D253" s="10" t="inlineStr">
        <is>
          <t>Gray, LMs vs biology; diffusion vs physics</t>
        </is>
      </c>
      <c r="E253" s="10" t="inlineStr">
        <is>
          <t>Both halves of his course</t>
        </is>
      </c>
      <c r="F253" s="10" t="inlineStr">
        <is>
          <t>What is his actual claim, and do you agree?</t>
        </is>
      </c>
      <c r="G253" s="11" t="inlineStr"/>
    </row>
    <row r="254">
      <c r="A254" s="11" t="n">
        <v>250</v>
      </c>
      <c r="B254" s="15" t="inlineStr">
        <is>
          <t>Part II - The Method Atlas</t>
        </is>
      </c>
      <c r="C254" s="10" t="inlineStr">
        <is>
          <t>M.6 Paired reading - Atlas M</t>
        </is>
      </c>
      <c r="D254" s="10" t="inlineStr">
        <is>
          <t>CCPBioSim, AutoDock Introduction</t>
        </is>
      </c>
      <c r="E254" s="10" t="inlineStr">
        <is>
          <t>Trott &amp; Olson 2010, JCC 31:455 (Vina</t>
        </is>
      </c>
      <c r="F254" s="10" t="inlineStr">
        <is>
          <t>Separate the search from the scoring. Which one limits performance?</t>
        </is>
      </c>
      <c r="G254" s="11" t="inlineStr"/>
    </row>
    <row r="255">
      <c r="A255" s="11" t="n">
        <v>251</v>
      </c>
      <c r="B255" s="15" t="inlineStr">
        <is>
          <t>Part II - The Method Atlas</t>
        </is>
      </c>
      <c r="C255" s="10" t="inlineStr">
        <is>
          <t>M.6 Paired reading - Atlas M</t>
        </is>
      </c>
      <c r="D255" s="10" t="inlineStr">
        <is>
          <t>CCPBioSim, Interpret Your Docking Scores</t>
        </is>
      </c>
      <c r="E255" s="10" t="inlineStr">
        <is>
          <t>Any docking-power vs scoring-power assessment</t>
        </is>
      </c>
      <c r="F255" s="10" t="inlineStr">
        <is>
          <t>Why do scores rank poses well and affinities badly? Write the functional-form argument.</t>
        </is>
      </c>
      <c r="G255" s="11" t="inlineStr"/>
    </row>
    <row r="256">
      <c r="A256" s="11" t="n">
        <v>252</v>
      </c>
      <c r="B256" s="15" t="inlineStr">
        <is>
          <t>Part II - The Method Atlas</t>
        </is>
      </c>
      <c r="C256" s="10" t="inlineStr">
        <is>
          <t>M.6 Paired reading - Atlas M</t>
        </is>
      </c>
      <c r="D256" s="10" t="inlineStr">
        <is>
          <t>Koes, Virtual Screening on the Cheap</t>
        </is>
      </c>
      <c r="E256" s="10" t="inlineStr">
        <is>
          <t>Koes et al. 2013 (smina); McNutt et al. 2021 (gnina</t>
        </is>
      </c>
      <c r="F256" s="10" t="inlineStr">
        <is>
          <t>A CNN replaces an empirical score. What does it learn that the empirical one cannot?</t>
        </is>
      </c>
      <c r="G256" s="11" t="inlineStr"/>
    </row>
    <row r="257">
      <c r="A257" s="11" t="n">
        <v>253</v>
      </c>
      <c r="B257" s="15" t="inlineStr">
        <is>
          <t>Part II - The Method Atlas</t>
        </is>
      </c>
      <c r="C257" s="10" t="inlineStr">
        <is>
          <t>M.6 Paired reading - Atlas M</t>
        </is>
      </c>
      <c r="D257" s="10" t="inlineStr">
        <is>
          <t>CCPBioSim, CrankPep</t>
        </is>
      </c>
      <c r="E257" s="10" t="inlineStr">
        <is>
          <t>Zhang &amp; Forli 2019, Bioinformatics</t>
        </is>
      </c>
      <c r="F257" s="10" t="inlineStr">
        <is>
          <t>Peptides break small-molecule docking assumptions. Name three ways.</t>
        </is>
      </c>
      <c r="G257" s="11" t="inlineStr"/>
    </row>
    <row r="258">
      <c r="A258" s="11" t="n">
        <v>254</v>
      </c>
      <c r="B258" s="15" t="inlineStr">
        <is>
          <t>Part II - The Method Atlas</t>
        </is>
      </c>
      <c r="C258" s="10" t="inlineStr">
        <is>
          <t>M.6 Paired reading - Atlas M</t>
        </is>
      </c>
      <c r="D258" s="10" t="inlineStr">
        <is>
          <t>Bonvin, Information-driven docking</t>
        </is>
      </c>
      <c r="E258" s="10" t="inlineStr">
        <is>
          <t>Dominguez, Boelens &amp; Bonvin 2003, JACS 125:1731</t>
        </is>
      </c>
      <c r="F258" s="10" t="inlineStr">
        <is>
          <t>Derive the ambiguous interaction restraint. What does the effective distance do?</t>
        </is>
      </c>
      <c r="G258" s="11" t="inlineStr"/>
    </row>
    <row r="259">
      <c r="A259" s="11" t="n">
        <v>255</v>
      </c>
      <c r="B259" s="15" t="inlineStr">
        <is>
          <t>Part II - The Method Atlas</t>
        </is>
      </c>
      <c r="C259" s="10" t="inlineStr">
        <is>
          <t>M.6 Paired reading - Atlas M</t>
        </is>
      </c>
      <c r="D259" s="10" t="inlineStr">
        <is>
          <t>BioExcel, CAPRI</t>
        </is>
      </c>
      <c r="E259" s="10" t="inlineStr">
        <is>
          <t>Lensink &amp; Wodak CAPRI assessment papers</t>
        </is>
      </c>
      <c r="F259" s="10" t="inlineStr">
        <is>
          <t>What fraction of blind targets are solved, and did AlphaFold move it?</t>
        </is>
      </c>
      <c r="G259" s="11" t="inlineStr"/>
    </row>
    <row r="260">
      <c r="A260" s="11" t="n">
        <v>256</v>
      </c>
      <c r="B260" s="15" t="inlineStr">
        <is>
          <t>Part II - The Method Atlas</t>
        </is>
      </c>
      <c r="C260" s="10" t="inlineStr">
        <is>
          <t>M.6 Paired reading - Atlas M</t>
        </is>
      </c>
      <c r="D260" s="10" t="inlineStr">
        <is>
          <t>Gray, Protein-Protein Docking</t>
        </is>
      </c>
      <c r="E260" s="10" t="inlineStr">
        <is>
          <t>Gray et al. 2003, JMB 331:281 (RosettaDock</t>
        </is>
      </c>
      <c r="F260" s="10" t="inlineStr">
        <is>
          <t>Centroid then full-atom. Why two stages?</t>
        </is>
      </c>
      <c r="G260" s="11" t="inlineStr"/>
    </row>
    <row r="261">
      <c r="A261" s="11" t="n">
        <v>257</v>
      </c>
      <c r="B261" s="15" t="inlineStr">
        <is>
          <t>Part II - The Method Atlas</t>
        </is>
      </c>
      <c r="C261" s="10" t="inlineStr">
        <is>
          <t>M.6 Paired reading - Atlas M</t>
        </is>
      </c>
      <c r="D261" s="10" t="inlineStr">
        <is>
          <t>Tropsha, Strasbourg 2024</t>
        </is>
      </c>
      <c r="E261" s="10" t="inlineStr">
        <is>
          <t>Tropsha 2010, Mol Inform 29:476</t>
        </is>
      </c>
      <c r="F261" s="10" t="inlineStr">
        <is>
          <t>Apply y-randomization and applicability domain to a protein design benchmark.</t>
        </is>
      </c>
      <c r="G261" s="11" t="inlineStr"/>
    </row>
    <row r="262">
      <c r="A262" s="11" t="n">
        <v>258</v>
      </c>
      <c r="B262" s="15" t="inlineStr">
        <is>
          <t>Part II - The Method Atlas</t>
        </is>
      </c>
      <c r="C262" s="10" t="inlineStr">
        <is>
          <t>M.6 Paired reading - Atlas M</t>
        </is>
      </c>
      <c r="D262" s="10" t="inlineStr">
        <is>
          <t>Langer, Strasbourg 2022</t>
        </is>
      </c>
      <c r="E262" s="10" t="inlineStr">
        <is>
          <t>Any pharmacophore methods paper</t>
        </is>
      </c>
      <c r="F262" s="10" t="inlineStr">
        <is>
          <t>A pharmacophore is a low-dimensional summary. What does it discard?</t>
        </is>
      </c>
      <c r="G262" s="11" t="inlineStr"/>
    </row>
    <row r="263">
      <c r="A263" s="11" t="n">
        <v>259</v>
      </c>
      <c r="B263" s="15" t="inlineStr">
        <is>
          <t>Part II - The Method Atlas</t>
        </is>
      </c>
      <c r="C263" s="10" t="inlineStr">
        <is>
          <t>M.6 Paired reading - Atlas M</t>
        </is>
      </c>
      <c r="D263" s="10" t="inlineStr">
        <is>
          <t>Cherkasov, Strasbourg 2024</t>
        </is>
      </c>
      <c r="E263" s="10" t="inlineStr">
        <is>
          <t>Gentile et al. 2020, ACS Cent Sci 6:939 (Deep Docking</t>
        </is>
      </c>
      <c r="F263" s="10" t="inlineStr">
        <is>
          <t>A surrogate triages a billion compounds. What is the recall at a given budget?</t>
        </is>
      </c>
      <c r="G263" s="11" t="inlineStr"/>
    </row>
    <row r="264">
      <c r="A264" s="11" t="n">
        <v>260</v>
      </c>
      <c r="B264" s="15" t="inlineStr">
        <is>
          <t>Part II - The Method Atlas</t>
        </is>
      </c>
      <c r="C264" s="10" t="inlineStr">
        <is>
          <t>M.6 Paired reading - Atlas M</t>
        </is>
      </c>
      <c r="D264" s="10" t="inlineStr">
        <is>
          <t>Irwin, Is bigger better?</t>
        </is>
      </c>
      <c r="E264" s="10" t="inlineStr">
        <is>
          <t>Lyu et al. 2019, Nature 566:224</t>
        </is>
      </c>
      <c r="F264" s="10" t="inlineStr">
        <is>
          <t>Ultra-large screening works. What is the actual hit rate, and against what baseline?</t>
        </is>
      </c>
      <c r="G264" s="11" t="inlineStr"/>
    </row>
    <row r="265">
      <c r="A265" s="11" t="n">
        <v>261</v>
      </c>
      <c r="B265" s="15" t="inlineStr">
        <is>
          <t>Part II - The Method Atlas</t>
        </is>
      </c>
      <c r="C265" s="10" t="inlineStr">
        <is>
          <t>M.6 Paired reading - Atlas M</t>
        </is>
      </c>
      <c r="D265" s="10" t="inlineStr">
        <is>
          <t>Walters, Active Learning in Drug Discovery</t>
        </is>
      </c>
      <c r="E265" s="10" t="inlineStr">
        <is>
          <t>Any active-learning screening paper</t>
        </is>
      </c>
      <c r="F265" s="10" t="inlineStr">
        <is>
          <t>How many oracle calls, and what acquisition function?</t>
        </is>
      </c>
      <c r="G265" s="11" t="inlineStr"/>
    </row>
    <row r="266">
      <c r="A266" s="11" t="n">
        <v>262</v>
      </c>
      <c r="B266" s="15" t="inlineStr">
        <is>
          <t>Part II - The Method Atlas</t>
        </is>
      </c>
      <c r="C266" s="10" t="inlineStr">
        <is>
          <t>M.6 Paired reading - Atlas M</t>
        </is>
      </c>
      <c r="D266" s="10" t="inlineStr">
        <is>
          <t>Shirts, Free energies</t>
        </is>
      </c>
      <c r="E266" s="10" t="inlineStr">
        <is>
          <t>Bennett 1976; Shirts &amp; Chodera 2008 (MBAR</t>
        </is>
      </c>
      <c r="F266" s="10" t="inlineStr">
        <is>
          <t>State the overlap condition. How would you detect its failure from data alone?</t>
        </is>
      </c>
      <c r="G266" s="11" t="inlineStr"/>
    </row>
    <row r="267">
      <c r="A267" s="11" t="n">
        <v>263</v>
      </c>
      <c r="B267" s="15" t="inlineStr">
        <is>
          <t>Part II - The Method Atlas</t>
        </is>
      </c>
      <c r="C267" s="10" t="inlineStr">
        <is>
          <t>M.6 Paired reading - Atlas M</t>
        </is>
      </c>
      <c r="D267" s="10" t="inlineStr">
        <is>
          <t>Mobley, SAMPL6</t>
        </is>
      </c>
      <c r="E267" s="10" t="inlineStr">
        <is>
          <t>Mobley &amp; Gilson 2017, Annu Rev Biophys 46:531</t>
        </is>
      </c>
      <c r="F267" s="10" t="inlineStr">
        <is>
          <t>Blind challenges keep the field honest. What is the design-side equivalent?</t>
        </is>
      </c>
      <c r="G267" s="11" t="inlineStr"/>
    </row>
    <row r="268">
      <c r="A268" s="11" t="n">
        <v>264</v>
      </c>
      <c r="B268" s="15" t="inlineStr">
        <is>
          <t>Part II - The Method Atlas</t>
        </is>
      </c>
      <c r="C268" s="10" t="inlineStr">
        <is>
          <t>M.6 Paired reading - Atlas M</t>
        </is>
      </c>
      <c r="D268" s="10" t="inlineStr">
        <is>
          <t>Gapsys / BioExcel #63</t>
        </is>
      </c>
      <c r="E268" s="10" t="inlineStr">
        <is>
          <t>Gapsys et al. 2020, Chem Sci 11:1140</t>
        </is>
      </c>
      <c r="F268" s="10" t="inlineStr">
        <is>
          <t>Large-scale alchemy at screening throughput. What accuracy survives the speedup?</t>
        </is>
      </c>
      <c r="G268" s="11" t="inlineStr"/>
    </row>
    <row r="269">
      <c r="A269" s="11" t="n">
        <v>265</v>
      </c>
      <c r="B269" s="15" t="inlineStr">
        <is>
          <t>Part II - The Method Atlas</t>
        </is>
      </c>
      <c r="C269" s="10" t="inlineStr">
        <is>
          <t>M.6 Paired reading - Atlas M</t>
        </is>
      </c>
      <c r="D269" s="10" t="inlineStr">
        <is>
          <t>Heinzelmann, Attach-pull-release</t>
        </is>
      </c>
      <c r="E269" s="10" t="inlineStr">
        <is>
          <t>Boresch et al. 2003, JPCB 107:9535</t>
        </is>
      </c>
      <c r="F269" s="10" t="inlineStr">
        <is>
          <t>Absolute binding free energy needs restraint corrections. Derive them.</t>
        </is>
      </c>
      <c r="G269" s="11" t="inlineStr"/>
    </row>
    <row r="270">
      <c r="A270" s="11" t="n">
        <v>266</v>
      </c>
      <c r="B270" s="15" t="inlineStr">
        <is>
          <t>Part II - The Method Atlas</t>
        </is>
      </c>
      <c r="C270" s="10" t="inlineStr">
        <is>
          <t>M.6 Paired reading - Atlas M</t>
        </is>
      </c>
      <c r="D270" s="10" t="inlineStr">
        <is>
          <t>Abel, FE + ML + de novo design</t>
        </is>
      </c>
      <c r="E270" s="10" t="inlineStr">
        <is>
          <t>Any FEP+ retrospective</t>
        </is>
      </c>
      <c r="F270" s="10" t="inlineStr">
        <is>
          <t>Where in a design pipeline does a rigorous free energy actually change a decision?</t>
        </is>
      </c>
      <c r="G270" s="11" t="inlineStr"/>
    </row>
    <row r="271">
      <c r="A271" s="11" t="n">
        <v>267</v>
      </c>
      <c r="B271" s="15" t="inlineStr">
        <is>
          <t>Part II - The Method Atlas</t>
        </is>
      </c>
      <c r="C271" s="10" t="inlineStr">
        <is>
          <t>N.5 Paired reading - Atlas N</t>
        </is>
      </c>
      <c r="D271" s="10" t="inlineStr">
        <is>
          <t>Langmead, alignment lectures</t>
        </is>
      </c>
      <c r="E271" s="10" t="inlineStr">
        <is>
          <t>Eddy 1998 and Eddy 2011</t>
        </is>
      </c>
      <c r="F271" s="10" t="inlineStr">
        <is>
          <t>What is a profile HMM, and why does it beat BLAST on remote homology?</t>
        </is>
      </c>
      <c r="G271" s="11" t="inlineStr"/>
    </row>
    <row r="272">
      <c r="A272" s="11" t="n">
        <v>268</v>
      </c>
      <c r="B272" s="15" t="inlineStr">
        <is>
          <t>Part II - The Method Atlas</t>
        </is>
      </c>
      <c r="C272" s="10" t="inlineStr">
        <is>
          <t>N.5 Paired reading - Atlas N</t>
        </is>
      </c>
      <c r="D272" s="10" t="inlineStr">
        <is>
          <t>Steinegger, Protein Universe</t>
        </is>
      </c>
      <c r="E272" s="10" t="inlineStr">
        <is>
          <t>Steinegger &amp; Söding 2017; Mirdita et al. 2022</t>
        </is>
      </c>
      <c r="F272" s="10" t="inlineStr">
        <is>
          <t>MSA generation is the bottleneck. What would improve it?</t>
        </is>
      </c>
      <c r="G272" s="11" t="inlineStr"/>
    </row>
    <row r="273">
      <c r="A273" s="11" t="n">
        <v>269</v>
      </c>
      <c r="B273" s="15" t="inlineStr">
        <is>
          <t>Part II - The Method Atlas</t>
        </is>
      </c>
      <c r="C273" s="10" t="inlineStr">
        <is>
          <t>N.5 Paired reading - Atlas N</t>
        </is>
      </c>
      <c r="D273" s="10" t="inlineStr">
        <is>
          <t>Petti, Differentiable Smith-Waterman</t>
        </is>
      </c>
      <c r="E273" s="10" t="inlineStr">
        <is>
          <t>Her paper</t>
        </is>
      </c>
      <c r="F273" s="10" t="inlineStr">
        <is>
          <t>If alignment is learnable, what else in the pipeline is?</t>
        </is>
      </c>
      <c r="G273" s="11" t="inlineStr"/>
    </row>
    <row r="274">
      <c r="A274" s="11" t="n">
        <v>270</v>
      </c>
      <c r="B274" s="15" t="inlineStr">
        <is>
          <t>Part II - The Method Atlas</t>
        </is>
      </c>
      <c r="C274" s="10" t="inlineStr">
        <is>
          <t>N.5 Paired reading - Atlas N</t>
        </is>
      </c>
      <c r="D274" s="10" t="inlineStr">
        <is>
          <t>Matsen, Variational phylogenetics</t>
        </is>
      </c>
      <c r="E274" s="10" t="inlineStr">
        <is>
          <t>Felsenstein 1985, Evolution 39:783</t>
        </is>
      </c>
      <c r="F274" s="10" t="inlineStr">
        <is>
          <t>Compute the effective sample size of a protein family.</t>
        </is>
      </c>
      <c r="G274" s="11" t="inlineStr"/>
    </row>
    <row r="275">
      <c r="A275" s="11" t="n">
        <v>271</v>
      </c>
      <c r="B275" s="15" t="inlineStr">
        <is>
          <t>Part II - The Method Atlas</t>
        </is>
      </c>
      <c r="C275" s="10" t="inlineStr">
        <is>
          <t>N.5 Paired reading - Atlas N</t>
        </is>
      </c>
      <c r="D275" s="10" t="inlineStr">
        <is>
          <t>Foley, GRASP</t>
        </is>
      </c>
      <c r="E275" s="10" t="inlineStr">
        <is>
          <t>Thornton 2004, Nat Rev Genet 5:366</t>
        </is>
      </c>
      <c r="F275" s="10" t="inlineStr">
        <is>
          <t>Ancestral sequences are often more stable than extant ones. Why?</t>
        </is>
      </c>
      <c r="G275" s="11" t="inlineStr"/>
    </row>
    <row r="276">
      <c r="A276" s="11" t="n">
        <v>272</v>
      </c>
      <c r="B276" s="15" t="inlineStr">
        <is>
          <t>Part II - The Method Atlas</t>
        </is>
      </c>
      <c r="C276" s="10" t="inlineStr">
        <is>
          <t>N.5 Paired reading - Atlas N</t>
        </is>
      </c>
      <c r="D276" s="10" t="inlineStr">
        <is>
          <t>Nowak, Evolutionary Dynamics</t>
        </is>
      </c>
      <c r="E276" s="10" t="inlineStr">
        <is>
          <t>Nowak 2006 book, ch. 1–4</t>
        </is>
      </c>
      <c r="F276" s="10" t="inlineStr">
        <is>
          <t>What does a fitness landscape mean when the population is finite?</t>
        </is>
      </c>
      <c r="G276" s="11" t="inlineStr"/>
    </row>
    <row r="277">
      <c r="A277" s="11" t="n">
        <v>273</v>
      </c>
      <c r="B277" s="15" t="inlineStr">
        <is>
          <t>Part II - The Method Atlas</t>
        </is>
      </c>
      <c r="C277" s="10" t="inlineStr">
        <is>
          <t>N.5 Paired reading - Atlas N</t>
        </is>
      </c>
      <c r="D277" s="10" t="inlineStr">
        <is>
          <t>Aghazadeh &amp; Brookes, Epistasis</t>
        </is>
      </c>
      <c r="E277" s="10" t="inlineStr">
        <is>
          <t>Poelwijk et al. 2019, Nat Commun 10:4213</t>
        </is>
      </c>
      <c r="F277" s="10" t="inlineStr">
        <is>
          <t>Sparse in a Fourier basis. What does that license you to measure?</t>
        </is>
      </c>
      <c r="G277" s="11" t="inlineStr"/>
    </row>
    <row r="278">
      <c r="A278" s="11" t="n">
        <v>274</v>
      </c>
      <c r="B278" s="15" t="inlineStr">
        <is>
          <t>Part II - The Method Atlas</t>
        </is>
      </c>
      <c r="C278" s="10" t="inlineStr">
        <is>
          <t>O.5 Paired reading - Atlas O</t>
        </is>
      </c>
      <c r="D278" s="10" t="inlineStr">
        <is>
          <t>AMMI GDL lectures 1–4</t>
        </is>
      </c>
      <c r="E278" s="10" t="inlineStr">
        <is>
          <t>Bronstein et al. 2021, arXiv:2104.13478</t>
        </is>
      </c>
      <c r="F278" s="10" t="inlineStr">
        <is>
          <t>Name the symmetry group of every architecture you use.</t>
        </is>
      </c>
      <c r="G278" s="11" t="inlineStr"/>
    </row>
    <row r="279">
      <c r="A279" s="11" t="n">
        <v>275</v>
      </c>
      <c r="B279" s="15" t="inlineStr">
        <is>
          <t>Part II - The Method Atlas</t>
        </is>
      </c>
      <c r="C279" s="10" t="inlineStr">
        <is>
          <t>O.5 Paired reading - Atlas O</t>
        </is>
      </c>
      <c r="D279" s="10" t="inlineStr">
        <is>
          <t>Bekkers, Group Equivariant DL</t>
        </is>
      </c>
      <c r="E279" s="10" t="inlineStr">
        <is>
          <t>Cohen &amp; Welling 2016, ICML (G-CNNs</t>
        </is>
      </c>
      <c r="F279" s="10" t="inlineStr">
        <is>
          <t>Build a G-CNN for a finite group by hand.</t>
        </is>
      </c>
      <c r="G279" s="11" t="inlineStr"/>
    </row>
    <row r="280">
      <c r="A280" s="11" t="n">
        <v>276</v>
      </c>
      <c r="B280" s="15" t="inlineStr">
        <is>
          <t>Part II - The Method Atlas</t>
        </is>
      </c>
      <c r="C280" s="10" t="inlineStr">
        <is>
          <t>O.5 Paired reading - Atlas O</t>
        </is>
      </c>
      <c r="D280" s="10" t="inlineStr">
        <is>
          <t>Smidt, Orientation in Symmetry-Aware ML</t>
        </is>
      </c>
      <c r="E280" s="10" t="inlineStr">
        <is>
          <t>Thomas et al. 2018, arXiv:1802.08219</t>
        </is>
      </c>
      <c r="F280" s="10" t="inlineStr">
        <is>
          <t>Invariant, equivariant, or augmented? Choose for your problem and defend it.</t>
        </is>
      </c>
      <c r="G280" s="11" t="inlineStr"/>
    </row>
    <row r="281">
      <c r="A281" s="11" t="n">
        <v>277</v>
      </c>
      <c r="B281" s="15" t="inlineStr">
        <is>
          <t>Part II - The Method Atlas</t>
        </is>
      </c>
      <c r="C281" s="10" t="inlineStr">
        <is>
          <t>O.5 Paired reading - Atlas O</t>
        </is>
      </c>
      <c r="D281" s="10" t="inlineStr">
        <is>
          <t>Smidt, Euclidean NNs for atomistic systems</t>
        </is>
      </c>
      <c r="E281" s="10" t="inlineStr">
        <is>
          <t>Batzner et al. 2022, Nat Commun 13:2453</t>
        </is>
      </c>
      <c r="F281" s="10" t="inlineStr">
        <is>
          <t>Spherical harmonics as a basis. What does order ℓ buy?</t>
        </is>
      </c>
      <c r="G281" s="11" t="inlineStr"/>
    </row>
    <row r="282">
      <c r="A282" s="11" t="n">
        <v>278</v>
      </c>
      <c r="B282" s="15" t="inlineStr">
        <is>
          <t>Part II - The Method Atlas</t>
        </is>
      </c>
      <c r="C282" s="10" t="inlineStr">
        <is>
          <t>O.5 Paired reading - Atlas O</t>
        </is>
      </c>
      <c r="D282" s="10" t="inlineStr">
        <is>
          <t>Geiger, Learning Geometry &amp; 3D Symmetries</t>
        </is>
      </c>
      <c r="E282" s="10" t="inlineStr">
        <is>
          <t>Satorras et al. 2021, ICML (EGNN</t>
        </is>
      </c>
      <c r="F282" s="10" t="inlineStr">
        <is>
          <t>EGNN has no spherical harmonics. What is traded?</t>
        </is>
      </c>
      <c r="G282" s="11" t="inlineStr"/>
    </row>
    <row r="283">
      <c r="A283" s="11" t="n">
        <v>279</v>
      </c>
      <c r="B283" s="15" t="inlineStr">
        <is>
          <t>Part II - The Method Atlas</t>
        </is>
      </c>
      <c r="C283" s="10" t="inlineStr">
        <is>
          <t>O.5 Paired reading - Atlas O</t>
        </is>
      </c>
      <c r="D283" s="10" t="inlineStr">
        <is>
          <t>Welling, Symmetries in Inference and Learning</t>
        </is>
      </c>
      <c r="E283" s="10" t="inlineStr">
        <is>
          <t>His argument for data efficiency</t>
        </is>
      </c>
      <c r="F283" s="10" t="inlineStr">
        <is>
          <t>Quantify: how many examples is a symmetry worth?</t>
        </is>
      </c>
      <c r="G283" s="11" t="inlineStr"/>
    </row>
    <row r="284">
      <c r="A284" s="11" t="n">
        <v>280</v>
      </c>
      <c r="B284" s="15" t="inlineStr">
        <is>
          <t>Part II - The Method Atlas</t>
        </is>
      </c>
      <c r="C284" s="10" t="inlineStr">
        <is>
          <t>O.5 Paired reading - Atlas O</t>
        </is>
      </c>
      <c r="D284" s="10" t="inlineStr">
        <is>
          <t>Adams, Molecular Chirality</t>
        </is>
      </c>
      <c r="E284" s="10" t="inlineStr">
        <is>
          <t>Adams et al. 2022, ICLR</t>
        </is>
      </c>
      <c r="F284" s="10" t="inlineStr">
        <is>
          <t>E(3) cannot see chirality. Check your own model.</t>
        </is>
      </c>
      <c r="G284" s="11" t="inlineStr"/>
    </row>
    <row r="285">
      <c r="A285" s="11" t="n">
        <v>281</v>
      </c>
      <c r="B285" s="15" t="inlineStr">
        <is>
          <t>Part II - The Method Atlas</t>
        </is>
      </c>
      <c r="C285" s="10" t="inlineStr">
        <is>
          <t>O.5 Paired reading - Atlas O</t>
        </is>
      </c>
      <c r="D285" s="10" t="inlineStr">
        <is>
          <t>Kreiman, Transformers without graph priors</t>
        </is>
      </c>
      <c r="E285" s="10" t="inlineStr">
        <is>
          <t>Brehmer et al. 2024, arXiv:2410.23179</t>
        </is>
      </c>
      <c r="F285" s="10" t="inlineStr">
        <is>
          <t>Run the data-scaling sweep. Where is the crossover?</t>
        </is>
      </c>
      <c r="G285" s="11" t="inlineStr"/>
    </row>
    <row r="286">
      <c r="A286" s="11" t="n">
        <v>282</v>
      </c>
      <c r="B286" s="15" t="inlineStr">
        <is>
          <t>Part II - The Method Atlas</t>
        </is>
      </c>
      <c r="C286" s="10" t="inlineStr">
        <is>
          <t>O.5 Paired reading - Atlas O</t>
        </is>
      </c>
      <c r="D286" s="10" t="inlineStr">
        <is>
          <t>Ovchinnikov, AlphaFold3 review</t>
        </is>
      </c>
      <c r="E286" s="10" t="inlineStr">
        <is>
          <t>Abramson et al. 2024, Nature 630:493</t>
        </is>
      </c>
      <c r="F286" s="10" t="inlineStr">
        <is>
          <t>AF3 dropped the equivariant module. Was that a concession or a result?</t>
        </is>
      </c>
      <c r="G286" s="11" t="inlineStr"/>
    </row>
    <row r="287">
      <c r="A287" s="11" t="n">
        <v>283</v>
      </c>
      <c r="B287" s="15" t="inlineStr">
        <is>
          <t>Part II - The Method Atlas</t>
        </is>
      </c>
      <c r="C287" s="10" t="inlineStr">
        <is>
          <t>P.11 Paired reading - Atlas P</t>
        </is>
      </c>
      <c r="D287" s="10" t="inlineStr">
        <is>
          <t>Jumper, CASP-16 AF1→AF2</t>
        </is>
      </c>
      <c r="E287" s="10" t="inlineStr">
        <is>
          <t>Jumper et al. 2021 SI, Algorithms 1–32</t>
        </is>
      </c>
      <c r="F287" s="10" t="inlineStr">
        <is>
          <t>Trace one residue pair through every block. Where does geometry first enter?</t>
        </is>
      </c>
      <c r="G287" s="11" t="inlineStr"/>
    </row>
    <row r="288">
      <c r="A288" s="11" t="n">
        <v>284</v>
      </c>
      <c r="B288" s="15" t="inlineStr">
        <is>
          <t>Part II - The Method Atlas</t>
        </is>
      </c>
      <c r="C288" s="10" t="inlineStr">
        <is>
          <t>P.11 Paired reading - Atlas P</t>
        </is>
      </c>
      <c r="D288" s="10" t="inlineStr">
        <is>
          <t>Bouatta Part 2</t>
        </is>
      </c>
      <c r="E288" s="10" t="inlineStr">
        <is>
          <t>Jumper et al. 2021</t>
        </is>
      </c>
      <c r="F288" s="10" t="inlineStr">
        <is>
          <t>Why recycling? What would break without it?</t>
        </is>
      </c>
      <c r="G288" s="11" t="inlineStr"/>
    </row>
    <row r="289">
      <c r="A289" s="11" t="n">
        <v>285</v>
      </c>
      <c r="B289" s="15" t="inlineStr">
        <is>
          <t>Part II - The Method Atlas</t>
        </is>
      </c>
      <c r="C289" s="10" t="inlineStr">
        <is>
          <t>P.11 Paired reading - Atlas P</t>
        </is>
      </c>
      <c r="D289" s="10" t="inlineStr">
        <is>
          <t>BPDMC, post-CASP14 reaction</t>
        </is>
      </c>
      <c r="E289" s="10" t="inlineStr">
        <is>
          <t>The CASP14 abstracts</t>
        </is>
      </c>
      <c r="F289" s="10" t="inlineStr">
        <is>
          <t>What did the community believe before the paper existed? What were they wrong about?</t>
        </is>
      </c>
      <c r="G289" s="11" t="inlineStr"/>
    </row>
    <row r="290">
      <c r="A290" s="11" t="n">
        <v>286</v>
      </c>
      <c r="B290" s="15" t="inlineStr">
        <is>
          <t>Part II - The Method Atlas</t>
        </is>
      </c>
      <c r="C290" s="10" t="inlineStr">
        <is>
          <t>P.11 Paired reading - Atlas P</t>
        </is>
      </c>
      <c r="D290" s="10" t="inlineStr">
        <is>
          <t>AlQuraishi, OpenFold</t>
        </is>
      </c>
      <c r="E290" s="10" t="inlineStr">
        <is>
          <t>Ahdritz et al. 2024, Nat Methods 21</t>
        </is>
      </c>
      <c r="F290" s="10" t="inlineStr">
        <is>
          <t>In what order do structural concepts emerge? What does that suggest about curriculum learning?</t>
        </is>
      </c>
      <c r="G290" s="11" t="inlineStr"/>
    </row>
    <row r="291">
      <c r="A291" s="11" t="n">
        <v>287</v>
      </c>
      <c r="B291" s="15" t="inlineStr">
        <is>
          <t>Part II - The Method Atlas</t>
        </is>
      </c>
      <c r="C291" s="10" t="inlineStr">
        <is>
          <t>P.11 Paired reading - Atlas P</t>
        </is>
      </c>
      <c r="D291" s="10" t="inlineStr">
        <is>
          <t>Krishna, RFAA</t>
        </is>
      </c>
      <c r="E291" s="10" t="inlineStr">
        <is>
          <t>Krishna et al. 2024, Science 384</t>
        </is>
      </c>
      <c r="F291" s="10" t="inlineStr">
        <is>
          <t>All-atom means ligands and nucleic acids. What had to change architecturally?</t>
        </is>
      </c>
      <c r="G291" s="11" t="inlineStr"/>
    </row>
    <row r="292">
      <c r="A292" s="11" t="n">
        <v>288</v>
      </c>
      <c r="B292" s="15" t="inlineStr">
        <is>
          <t>Part II - The Method Atlas</t>
        </is>
      </c>
      <c r="C292" s="10" t="inlineStr">
        <is>
          <t>P.11 Paired reading - Atlas P</t>
        </is>
      </c>
      <c r="D292" s="10" t="inlineStr">
        <is>
          <t>Jaderberg, AF3</t>
        </is>
      </c>
      <c r="E292" s="10" t="inlineStr">
        <is>
          <t>Abramson et al. 2024, Nature 630</t>
        </is>
      </c>
      <c r="F292" s="10" t="inlineStr">
        <is>
          <t>The structure module became a diffusion head. What did that buy and cost?</t>
        </is>
      </c>
      <c r="G292" s="11" t="inlineStr"/>
    </row>
    <row r="293">
      <c r="A293" s="11" t="n">
        <v>289</v>
      </c>
      <c r="B293" s="15" t="inlineStr">
        <is>
          <t>Part II - The Method Atlas</t>
        </is>
      </c>
      <c r="C293" s="10" t="inlineStr">
        <is>
          <t>P.11 Paired reading - Atlas P</t>
        </is>
      </c>
      <c r="D293" s="10" t="inlineStr">
        <is>
          <t>Ovchinnikov, AF3 review</t>
        </is>
      </c>
      <c r="E293" s="10" t="inlineStr">
        <is>
          <t>Abramson et al. 2024</t>
        </is>
      </c>
      <c r="F293" s="10" t="inlineStr">
        <is>
          <t>Which criticisms are about the model and which about the release?</t>
        </is>
      </c>
      <c r="G293" s="11" t="inlineStr"/>
    </row>
    <row r="294">
      <c r="A294" s="11" t="n">
        <v>290</v>
      </c>
      <c r="B294" s="15" t="inlineStr">
        <is>
          <t>Part II - The Method Atlas</t>
        </is>
      </c>
      <c r="C294" s="10" t="inlineStr">
        <is>
          <t>P.11 Paired reading - Atlas P</t>
        </is>
      </c>
      <c r="D294" s="10" t="inlineStr">
        <is>
          <t>Goreci, Implementing AF3 in the wild</t>
        </is>
      </c>
      <c r="E294" s="10" t="inlineStr">
        <is>
          <t>Abramson et al. 2024</t>
        </is>
      </c>
      <c r="F294" s="10" t="inlineStr">
        <is>
          <t>List everything underspecified. That list is a reproducibility finding.</t>
        </is>
      </c>
      <c r="G294" s="11" t="inlineStr"/>
    </row>
    <row r="295">
      <c r="A295" s="11" t="n">
        <v>291</v>
      </c>
      <c r="B295" s="15" t="inlineStr">
        <is>
          <t>Part II - The Method Atlas</t>
        </is>
      </c>
      <c r="C295" s="10" t="inlineStr">
        <is>
          <t>P.11 Paired reading - Atlas P</t>
        </is>
      </c>
      <c r="D295" s="10" t="inlineStr">
        <is>
          <t>Wohlwend &amp; Corso, Boltz-1</t>
        </is>
      </c>
      <c r="E295" s="10" t="inlineStr">
        <is>
          <t>Wohlwend et al. 2024</t>
        </is>
      </c>
      <c r="F295" s="10" t="inlineStr">
        <is>
          <t>What did open reproduction reveal that the AF3 paper did not state?</t>
        </is>
      </c>
      <c r="G295" s="11" t="inlineStr"/>
    </row>
    <row r="296">
      <c r="A296" s="11" t="n">
        <v>292</v>
      </c>
      <c r="B296" s="15" t="inlineStr">
        <is>
          <t>Part II - The Method Atlas</t>
        </is>
      </c>
      <c r="C296" s="10" t="inlineStr">
        <is>
          <t>P.11 Paired reading - Atlas P</t>
        </is>
      </c>
      <c r="D296" s="10" t="inlineStr">
        <is>
          <t>Boltz-2</t>
        </is>
      </c>
      <c r="E296" s="10" t="inlineStr">
        <is>
          <t>Passaro et al. 2025</t>
        </is>
      </c>
      <c r="F296" s="10" t="inlineStr">
        <is>
          <t>How was the affinity head trained, and what is its applicability domain?</t>
        </is>
      </c>
      <c r="G296" s="11" t="inlineStr"/>
    </row>
    <row r="297">
      <c r="A297" s="11" t="n">
        <v>293</v>
      </c>
      <c r="B297" s="15" t="inlineStr">
        <is>
          <t>Part II - The Method Atlas</t>
        </is>
      </c>
      <c r="C297" s="10" t="inlineStr">
        <is>
          <t>P.11 Paired reading - Atlas P</t>
        </is>
      </c>
      <c r="D297" s="10" t="inlineStr">
        <is>
          <t>Bouatta, RGN2</t>
        </is>
      </c>
      <c r="E297" s="10" t="inlineStr">
        <is>
          <t>Chowdhury et al. 2022, Nat Biotechnol 40</t>
        </is>
      </c>
      <c r="F297" s="10" t="inlineStr">
        <is>
          <t>Single-sequence prediction with no MSA. Where does the information come from?</t>
        </is>
      </c>
      <c r="G297" s="11" t="inlineStr"/>
    </row>
    <row r="298">
      <c r="A298" s="11" t="n">
        <v>294</v>
      </c>
      <c r="B298" s="15" t="inlineStr">
        <is>
          <t>Part II - The Method Atlas</t>
        </is>
      </c>
      <c r="C298" s="10" t="inlineStr">
        <is>
          <t>P.11 Paired reading - Atlas P</t>
        </is>
      </c>
      <c r="D298" s="10" t="inlineStr">
        <is>
          <t>Wayment-Steele, AF-Cluster</t>
        </is>
      </c>
      <c r="E298" s="10" t="inlineStr">
        <is>
          <t>Wayment-Steele et al. 2024, Nature 625</t>
        </is>
      </c>
      <c r="F298" s="10" t="inlineStr">
        <is>
          <t>MSA clustering reveals alternate states. Are the populations meaningful?</t>
        </is>
      </c>
      <c r="G298" s="11" t="inlineStr"/>
    </row>
    <row r="299">
      <c r="A299" s="11" t="n">
        <v>295</v>
      </c>
      <c r="B299" s="15" t="inlineStr">
        <is>
          <t>Part II - The Method Atlas</t>
        </is>
      </c>
      <c r="C299" s="10" t="inlineStr">
        <is>
          <t>P.11 Paired reading - Atlas P</t>
        </is>
      </c>
      <c r="D299" s="10" t="inlineStr">
        <is>
          <t>Jing, AlphaFlow</t>
        </is>
      </c>
      <c r="E299" s="10" t="inlineStr">
        <is>
          <t>Jing et al. 2024, ICML</t>
        </is>
      </c>
      <c r="F299" s="10" t="inlineStr">
        <is>
          <t>Flow matching on top of AF2. What distribution is being matched?</t>
        </is>
      </c>
      <c r="G299" s="11" t="inlineStr"/>
    </row>
    <row r="300">
      <c r="A300" s="11" t="n">
        <v>296</v>
      </c>
      <c r="B300" s="15" t="inlineStr">
        <is>
          <t>Part II - The Method Atlas</t>
        </is>
      </c>
      <c r="C300" s="10" t="inlineStr">
        <is>
          <t>P.11 Paired reading - Atlas P</t>
        </is>
      </c>
      <c r="D300" s="10" t="inlineStr">
        <is>
          <t>BioEmu</t>
        </is>
      </c>
      <c r="E300" s="10" t="inlineStr">
        <is>
          <t>Lewis et al. 2025, Science 389</t>
        </is>
      </c>
      <c r="F300" s="10" t="inlineStr">
        <is>
          <t>"Emulation" of equilibrium. What is the guarantee, and how is it validated?</t>
        </is>
      </c>
      <c r="G300" s="11" t="inlineStr"/>
    </row>
    <row r="301">
      <c r="A301" s="11" t="n">
        <v>297</v>
      </c>
      <c r="B301" s="15" t="inlineStr">
        <is>
          <t>Part II - The Method Atlas</t>
        </is>
      </c>
      <c r="C301" s="10" t="inlineStr">
        <is>
          <t>P.11 Paired reading - Atlas P</t>
        </is>
      </c>
      <c r="D301" s="10" t="inlineStr">
        <is>
          <t>Noé, Boltzmann generators</t>
        </is>
      </c>
      <c r="E301" s="10" t="inlineStr">
        <is>
          <t>Noé et al. 2019, Science 365</t>
        </is>
      </c>
      <c r="F301" s="10" t="inlineStr">
        <is>
          <t>Compare the guarantee here to BioEmu's. Which is stronger and why?</t>
        </is>
      </c>
      <c r="G301" s="11" t="inlineStr"/>
    </row>
    <row r="302">
      <c r="A302" s="11" t="n">
        <v>298</v>
      </c>
      <c r="B302" s="15" t="inlineStr">
        <is>
          <t>Part II - The Method Atlas</t>
        </is>
      </c>
      <c r="C302" s="10" t="inlineStr">
        <is>
          <t>P.11 Paired reading - Atlas P</t>
        </is>
      </c>
      <c r="D302" s="10" t="inlineStr">
        <is>
          <t>Zheng, DiG</t>
        </is>
      </c>
      <c r="E302" s="10" t="inlineStr">
        <is>
          <t>Zheng et al. 2024, Nat Mach Intell 6</t>
        </is>
      </c>
      <c r="F302" s="10" t="inlineStr">
        <is>
          <t>Predicting equilibrium distributions directly. What is the training signal?</t>
        </is>
      </c>
      <c r="G302" s="11" t="inlineStr"/>
    </row>
    <row r="303">
      <c r="A303" s="11" t="n">
        <v>299</v>
      </c>
      <c r="B303" s="15" t="inlineStr">
        <is>
          <t>Part II - The Method Atlas</t>
        </is>
      </c>
      <c r="C303" s="10" t="inlineStr">
        <is>
          <t>P.11 Paired reading - Atlas P</t>
        </is>
      </c>
      <c r="D303" s="10" t="inlineStr">
        <is>
          <t>Corso, DiffDock</t>
        </is>
      </c>
      <c r="E303" s="10" t="inlineStr">
        <is>
          <t>Corso et al. 2023, ICLR</t>
        </is>
      </c>
      <c r="F303" s="10" t="inlineStr">
        <is>
          <t>Docking as diffusion over SE(3) plus torsions. What is the product manifold?</t>
        </is>
      </c>
      <c r="G303" s="11" t="inlineStr"/>
    </row>
    <row r="304">
      <c r="A304" s="11" t="n">
        <v>300</v>
      </c>
      <c r="B304" s="15" t="inlineStr">
        <is>
          <t>Part II - The Method Atlas</t>
        </is>
      </c>
      <c r="C304" s="10" t="inlineStr">
        <is>
          <t>P.11 Paired reading - Atlas P</t>
        </is>
      </c>
      <c r="D304" s="10" t="inlineStr">
        <is>
          <t>Buttenschoen, PoseBusters</t>
        </is>
      </c>
      <c r="E304" s="10" t="inlineStr">
        <is>
          <t>Buttenschoen, Morris &amp; Deane 2024, Chem Sci 15</t>
        </is>
      </c>
      <c r="F304" s="10" t="inlineStr">
        <is>
          <t>List every validity check. Apply all of them to your own pipeline's output.</t>
        </is>
      </c>
      <c r="G304" s="11" t="inlineStr"/>
    </row>
    <row r="305">
      <c r="A305" s="11" t="n">
        <v>301</v>
      </c>
      <c r="B305" s="15" t="inlineStr">
        <is>
          <t>Part II - The Method Atlas</t>
        </is>
      </c>
      <c r="C305" s="10" t="inlineStr">
        <is>
          <t>P.11 Paired reading - Atlas P</t>
        </is>
      </c>
      <c r="D305" s="10" t="inlineStr">
        <is>
          <t>PLINDER</t>
        </is>
      </c>
      <c r="E305" s="10" t="inlineStr">
        <is>
          <t>Durairaj et al. 2024</t>
        </is>
      </c>
      <c r="F305" s="10" t="inlineStr">
        <is>
          <t>How do you build a leakage-free protein-ligand split? Why is it hard?</t>
        </is>
      </c>
      <c r="G305" s="11" t="inlineStr"/>
    </row>
    <row r="306">
      <c r="A306" s="11" t="n">
        <v>302</v>
      </c>
      <c r="B306" s="15" t="inlineStr">
        <is>
          <t>Part II - The Method Atlas</t>
        </is>
      </c>
      <c r="C306" s="10" t="inlineStr">
        <is>
          <t>P.11 Paired reading - Atlas P</t>
        </is>
      </c>
      <c r="D306" s="10" t="inlineStr">
        <is>
          <t>Qiao, NeuralPLexer</t>
        </is>
      </c>
      <c r="E306" s="10" t="inlineStr">
        <is>
          <t>Qiao et al. 2024</t>
        </is>
      </c>
      <c r="F306" s="10" t="inlineStr">
        <is>
          <t>Dynamic backbone co-folding. What does state-specificity require?</t>
        </is>
      </c>
      <c r="G306" s="11" t="inlineStr"/>
    </row>
    <row r="307">
      <c r="A307" s="11" t="n">
        <v>303</v>
      </c>
      <c r="B307" s="15" t="inlineStr">
        <is>
          <t>Part II - The Method Atlas</t>
        </is>
      </c>
      <c r="C307" s="10" t="inlineStr">
        <is>
          <t>P.11 Paired reading - Atlas P</t>
        </is>
      </c>
      <c r="D307" s="10" t="inlineStr">
        <is>
          <t>BPDMC, protein-peptide predictors</t>
        </is>
      </c>
      <c r="E307" s="10" t="inlineStr">
        <is>
          <t>Verify current peptide-complex benchmark papers</t>
        </is>
      </c>
      <c r="F307" s="10" t="inlineStr">
        <is>
          <t>Why do peptides break these models specifically?</t>
        </is>
      </c>
      <c r="G307" s="11" t="inlineStr"/>
    </row>
    <row r="308">
      <c r="A308" s="11" t="n">
        <v>304</v>
      </c>
      <c r="B308" s="15" t="inlineStr">
        <is>
          <t>Part II - The Method Atlas</t>
        </is>
      </c>
      <c r="C308" s="10" t="inlineStr">
        <is>
          <t>P.11 Paired reading - Atlas P</t>
        </is>
      </c>
      <c r="D308" s="10" t="inlineStr">
        <is>
          <t>Rettie, cyclic peptides with AF</t>
        </is>
      </c>
      <c r="E308" s="10" t="inlineStr">
        <is>
          <t>Rettie et al. 2023, Nat Commun 15</t>
        </is>
      </c>
      <c r="F308" s="10" t="inlineStr">
        <is>
          <t>AF2 never saw cyclic backbones. Why does the offset trick work at all?</t>
        </is>
      </c>
      <c r="G308" s="11" t="inlineStr"/>
    </row>
    <row r="309">
      <c r="A309" s="11" t="n">
        <v>305</v>
      </c>
      <c r="B309" s="15" t="inlineStr">
        <is>
          <t>Part II - The Method Atlas</t>
        </is>
      </c>
      <c r="C309" s="10" t="inlineStr">
        <is>
          <t>P.11 Paired reading - Atlas P</t>
        </is>
      </c>
      <c r="D309" s="10" t="inlineStr">
        <is>
          <t>Ovchinnikov, AlphaFold 4</t>
        </is>
      </c>
      <c r="E309" s="10" t="inlineStr"/>
      <c r="F309" s="10" t="inlineStr">
        <is>
          <t>Extract every open problem named, with the date.</t>
        </is>
      </c>
      <c r="G309" s="11" t="inlineStr"/>
    </row>
    <row r="310">
      <c r="A310" s="11" t="n">
        <v>306</v>
      </c>
      <c r="B310" s="15" t="inlineStr">
        <is>
          <t>Part II - The Method Atlas</t>
        </is>
      </c>
      <c r="C310" s="10" t="inlineStr">
        <is>
          <t>Q.8 Paired reading - Atlas Q</t>
        </is>
      </c>
      <c r="D310" s="10" t="inlineStr">
        <is>
          <t>Rives, Evolutionary Scale LMs</t>
        </is>
      </c>
      <c r="E310" s="10" t="inlineStr">
        <is>
          <t>Rives et al. 2021, PNAS 118:e2016239118</t>
        </is>
      </c>
      <c r="F310" s="10" t="inlineStr">
        <is>
          <t>What does "unsupervised" mean when the data is a curated database?</t>
        </is>
      </c>
      <c r="G310" s="11" t="inlineStr"/>
    </row>
    <row r="311">
      <c r="A311" s="11" t="n">
        <v>307</v>
      </c>
      <c r="B311" s="15" t="inlineStr">
        <is>
          <t>Part II - The Method Atlas</t>
        </is>
      </c>
      <c r="C311" s="10" t="inlineStr">
        <is>
          <t>Q.8 Paired reading - Atlas Q</t>
        </is>
      </c>
      <c r="D311" s="10" t="inlineStr">
        <is>
          <t>Rao, ESM3</t>
        </is>
      </c>
      <c r="E311" s="10" t="inlineStr">
        <is>
          <t>Lin et al. 2023, Science 379:1123; Hayes et al. 2025, Science 387:850</t>
        </is>
      </c>
      <c r="F311" s="10" t="inlineStr">
        <is>
          <t>ESMFold is fast and less accurate than AF2. Where exactly is the trade?</t>
        </is>
      </c>
      <c r="G311" s="11" t="inlineStr"/>
    </row>
    <row r="312">
      <c r="A312" s="11" t="n">
        <v>308</v>
      </c>
      <c r="B312" s="15" t="inlineStr">
        <is>
          <t>Part II - The Method Atlas</t>
        </is>
      </c>
      <c r="C312" s="10" t="inlineStr">
        <is>
          <t>Q.8 Paired reading - Atlas Q</t>
        </is>
      </c>
      <c r="D312" s="10" t="inlineStr">
        <is>
          <t>Ferruz, ProtGPT2</t>
        </is>
      </c>
      <c r="E312" s="10" t="inlineStr">
        <is>
          <t>Ferruz et al. 2022, Nat Commun 13:4348</t>
        </is>
      </c>
      <c r="F312" s="10" t="inlineStr">
        <is>
          <t>Generated sequences look natural. What fraction folded?</t>
        </is>
      </c>
      <c r="G312" s="11" t="inlineStr"/>
    </row>
    <row r="313">
      <c r="A313" s="11" t="n">
        <v>309</v>
      </c>
      <c r="B313" s="15" t="inlineStr">
        <is>
          <t>Part II - The Method Atlas</t>
        </is>
      </c>
      <c r="C313" s="10" t="inlineStr">
        <is>
          <t>Q.8 Paired reading - Atlas Q</t>
        </is>
      </c>
      <c r="D313" s="10" t="inlineStr">
        <is>
          <t>Ruffolo &amp; Nayfach, OpenCRISPR</t>
        </is>
      </c>
      <c r="E313" s="10" t="inlineStr">
        <is>
          <t>Ruffolo et al. 2024, Nature 637:1176</t>
        </is>
      </c>
      <c r="F313" s="10" t="inlineStr">
        <is>
          <t>Hundreds of mutations from anything natural, and it works. What generalized?</t>
        </is>
      </c>
      <c r="G313" s="11" t="inlineStr"/>
    </row>
    <row r="314">
      <c r="A314" s="11" t="n">
        <v>310</v>
      </c>
      <c r="B314" s="15" t="inlineStr">
        <is>
          <t>Part II - The Method Atlas</t>
        </is>
      </c>
      <c r="C314" s="10" t="inlineStr">
        <is>
          <t>Q.8 Paired reading - Atlas Q</t>
        </is>
      </c>
      <c r="D314" s="10" t="inlineStr">
        <is>
          <t>Bepler, PoET-2</t>
        </is>
      </c>
      <c r="E314" s="10" t="inlineStr">
        <is>
          <t>Truong &amp; Bepler 2023, NeurIPS</t>
        </is>
      </c>
      <c r="F314" s="10" t="inlineStr">
        <is>
          <t>Retrieval-augmented, explicitly. Is that a concession or a design?</t>
        </is>
      </c>
      <c r="G314" s="11" t="inlineStr"/>
    </row>
    <row r="315">
      <c r="A315" s="11" t="n">
        <v>311</v>
      </c>
      <c r="B315" s="15" t="inlineStr">
        <is>
          <t>Part II - The Method Atlas</t>
        </is>
      </c>
      <c r="C315" s="10" t="inlineStr">
        <is>
          <t>Q.8 Paired reading - Atlas Q</t>
        </is>
      </c>
      <c r="D315" s="10" t="inlineStr">
        <is>
          <t>Marks, Structure &amp; fitness from sequences</t>
        </is>
      </c>
      <c r="E315" s="10" t="inlineStr">
        <is>
          <t>Hopf et al. 2017, Nat Biotechnol 35:128; Riesselman et al. 2018, Nat Methods 15:816</t>
        </is>
      </c>
      <c r="F315" s="10" t="inlineStr">
        <is>
          <t>Couplings are statistical. When do they mean contact and when not?</t>
        </is>
      </c>
      <c r="G315" s="11" t="inlineStr"/>
    </row>
    <row r="316">
      <c r="A316" s="11" t="n">
        <v>312</v>
      </c>
      <c r="B316" s="15" t="inlineStr">
        <is>
          <t>Part II - The Method Atlas</t>
        </is>
      </c>
      <c r="C316" s="10" t="inlineStr">
        <is>
          <t>Q.8 Paired reading - Atlas Q</t>
        </is>
      </c>
      <c r="D316" s="10" t="inlineStr">
        <is>
          <t>Notin, TranceptEVE</t>
        </is>
      </c>
      <c r="E316" s="10" t="inlineStr">
        <is>
          <t>Notin et al. 2023, NeurIPS (ProteinGym</t>
        </is>
      </c>
      <c r="F316" s="10" t="inlineStr">
        <is>
          <t>Look at the per-assay table, not the mean. Where does it fail?</t>
        </is>
      </c>
      <c r="G316" s="11" t="inlineStr"/>
    </row>
    <row r="317">
      <c r="A317" s="11" t="n">
        <v>313</v>
      </c>
      <c r="B317" s="15" t="inlineStr">
        <is>
          <t>Part II - The Method Atlas</t>
        </is>
      </c>
      <c r="C317" s="10" t="inlineStr">
        <is>
          <t>Q.8 Paired reading - Atlas Q</t>
        </is>
      </c>
      <c r="D317" s="10" t="inlineStr">
        <is>
          <t>Cheng, AlphaMissense</t>
        </is>
      </c>
      <c r="E317" s="10" t="inlineStr">
        <is>
          <t>Cheng et al. 2023, Science 381:eadg7492</t>
        </is>
      </c>
      <c r="F317" s="10" t="inlineStr">
        <is>
          <t>Clinical variant classification. What is the circularity risk in the labels?</t>
        </is>
      </c>
      <c r="G317" s="11" t="inlineStr"/>
    </row>
    <row r="318">
      <c r="A318" s="11" t="n">
        <v>314</v>
      </c>
      <c r="B318" s="15" t="inlineStr">
        <is>
          <t>Part II - The Method Atlas</t>
        </is>
      </c>
      <c r="C318" s="10" t="inlineStr">
        <is>
          <t>Q.8 Paired reading - Atlas Q</t>
        </is>
      </c>
      <c r="D318" s="10" t="inlineStr">
        <is>
          <t>Wong-Fannjiang, Conformal prediction under FCS</t>
        </is>
      </c>
      <c r="E318" s="10" t="inlineStr">
        <is>
          <t>Fannjiang et al. 2022, NeurIPS</t>
        </is>
      </c>
      <c r="F318" s="10" t="inlineStr">
        <is>
          <t>Write the feedback loop formally. Why does ordinary conformal fail?</t>
        </is>
      </c>
      <c r="G318" s="11" t="inlineStr"/>
    </row>
    <row r="319">
      <c r="A319" s="11" t="n">
        <v>315</v>
      </c>
      <c r="B319" s="15" t="inlineStr">
        <is>
          <t>Part II - The Method Atlas</t>
        </is>
      </c>
      <c r="C319" s="10" t="inlineStr">
        <is>
          <t>Q.8 Paired reading - Atlas Q</t>
        </is>
      </c>
      <c r="D319" s="10" t="inlineStr">
        <is>
          <t>Aghazadeh &amp; Brookes, Sparsity and epistasis</t>
        </is>
      </c>
      <c r="E319" s="10" t="inlineStr">
        <is>
          <t>Their paper + Poelwijk et al. 2019, Nat Commun 10:4213</t>
        </is>
      </c>
      <c r="F319" s="10" t="inlineStr">
        <is>
          <t>Fitness landscapes are sparse in a Fourier basis. What does that license?</t>
        </is>
      </c>
      <c r="G319" s="11" t="inlineStr"/>
    </row>
    <row r="320">
      <c r="A320" s="11" t="n">
        <v>316</v>
      </c>
      <c r="B320" s="15" t="inlineStr">
        <is>
          <t>Part II - The Method Atlas</t>
        </is>
      </c>
      <c r="C320" s="10" t="inlineStr">
        <is>
          <t>Q.8 Paired reading - Atlas Q</t>
        </is>
      </c>
      <c r="D320" s="10" t="inlineStr">
        <is>
          <t>Simon, InterPLM</t>
        </is>
      </c>
      <c r="E320" s="10" t="inlineStr">
        <is>
          <t>Simon &amp; Zou 2024, bioRxiv</t>
        </is>
      </c>
      <c r="F320" s="10" t="inlineStr">
        <is>
          <t>SAE features in a protein model. How were they validated, and could language do that?</t>
        </is>
      </c>
      <c r="G320" s="11" t="inlineStr"/>
    </row>
    <row r="321">
      <c r="A321" s="11" t="n">
        <v>317</v>
      </c>
      <c r="B321" s="15" t="inlineStr">
        <is>
          <t>Part II - The Method Atlas</t>
        </is>
      </c>
      <c r="C321" s="10" t="inlineStr">
        <is>
          <t>Q.8 Paired reading - Atlas Q</t>
        </is>
      </c>
      <c r="D321" s="10" t="inlineStr">
        <is>
          <t>Ovchinnikov, Decomposing protein and genomic LMs</t>
        </is>
      </c>
      <c r="E321" s="10" t="inlineStr">
        <is>
          <t>Vig et al. 2021, ICLR</t>
        </is>
      </c>
      <c r="F321" s="10" t="inlineStr">
        <is>
          <t>What is actually in the attention maps?</t>
        </is>
      </c>
      <c r="G321" s="11" t="inlineStr"/>
    </row>
    <row r="322">
      <c r="A322" s="11" t="n">
        <v>318</v>
      </c>
      <c r="B322" s="15" t="inlineStr">
        <is>
          <t>Part II - The Method Atlas</t>
        </is>
      </c>
      <c r="C322" s="10" t="inlineStr">
        <is>
          <t>Q.8 Paired reading - Atlas Q</t>
        </is>
      </c>
      <c r="D322" s="10" t="inlineStr">
        <is>
          <t>Nguyen &amp; Hie, Evo</t>
        </is>
      </c>
      <c r="E322" s="10" t="inlineStr">
        <is>
          <t>Nguyen et al. 2024, Science 386:eado9336</t>
        </is>
      </c>
      <c r="F322" s="10" t="inlineStr">
        <is>
          <t>A single model across DNA, RNA, protein. What does the shared representation buy?</t>
        </is>
      </c>
      <c r="G322" s="11" t="inlineStr"/>
    </row>
    <row r="323">
      <c r="A323" s="11" t="n">
        <v>319</v>
      </c>
      <c r="B323" s="15" t="inlineStr">
        <is>
          <t>Part II - The Method Atlas</t>
        </is>
      </c>
      <c r="C323" s="10" t="inlineStr">
        <is>
          <t>Q.8 Paired reading - Atlas Q</t>
        </is>
      </c>
      <c r="D323" s="10" t="inlineStr">
        <is>
          <t>Brixi, Evo 2</t>
        </is>
      </c>
      <c r="E323" s="10" t="inlineStr">
        <is>
          <t>Brixi et al. 2025, bioRxiv</t>
        </is>
      </c>
      <c r="F323" s="10" t="inlineStr">
        <is>
          <t>Scaling to whole genomes. What broke, and what was redesigned?</t>
        </is>
      </c>
      <c r="G323" s="11" t="inlineStr"/>
    </row>
    <row r="324">
      <c r="A324" s="11" t="n">
        <v>320</v>
      </c>
      <c r="B324" s="15" t="inlineStr">
        <is>
          <t>Part II - The Method Atlas</t>
        </is>
      </c>
      <c r="C324" s="10" t="inlineStr">
        <is>
          <t>Q.8 Paired reading - Atlas Q</t>
        </is>
      </c>
      <c r="D324" s="10" t="inlineStr">
        <is>
          <t>Ioannidis, Personal genome interpretation</t>
        </is>
      </c>
      <c r="E324" s="10" t="inlineStr">
        <is>
          <t>Avsec et al. 2021, Nat Methods 18:1196 (Enformer</t>
        </is>
      </c>
      <c r="F324" s="10" t="inlineStr">
        <is>
          <t>Long-range regulation from sequence. How far does the receptive field reach?</t>
        </is>
      </c>
      <c r="G324" s="11" t="inlineStr"/>
    </row>
    <row r="325">
      <c r="A325" s="11" t="n">
        <v>321</v>
      </c>
      <c r="B325" s="15" t="inlineStr">
        <is>
          <t>Part II - The Method Atlas</t>
        </is>
      </c>
      <c r="C325" s="10" t="inlineStr">
        <is>
          <t>Q.8 Paired reading - Atlas Q</t>
        </is>
      </c>
      <c r="D325" s="10" t="inlineStr">
        <is>
          <t>MLCB, DART-Eval</t>
        </is>
      </c>
      <c r="E325" s="10" t="inlineStr">
        <is>
          <t>The DART-Eval paper</t>
        </is>
      </c>
      <c r="F325" s="10" t="inlineStr">
        <is>
          <t>Do DNA language models beat a well-tuned CNN? On which tasks?</t>
        </is>
      </c>
      <c r="G325" s="11" t="inlineStr"/>
    </row>
    <row r="326">
      <c r="A326" s="11" t="n">
        <v>322</v>
      </c>
      <c r="B326" s="15" t="inlineStr">
        <is>
          <t>Part II - The Method Atlas</t>
        </is>
      </c>
      <c r="C326" s="10" t="inlineStr">
        <is>
          <t>Q.8 Paired reading - Atlas Q</t>
        </is>
      </c>
      <c r="D326" s="10" t="inlineStr">
        <is>
          <t>Šikić, RNA structure prediction</t>
        </is>
      </c>
      <c r="E326" s="10" t="inlineStr">
        <is>
          <t>Townshend et al. 2021, Science 373:1047 (ARES</t>
        </is>
      </c>
      <c r="F326" s="10" t="inlineStr">
        <is>
          <t>Why is RNA harder than protein? Name three structural reasons.</t>
        </is>
      </c>
      <c r="G326" s="11" t="inlineStr"/>
    </row>
    <row r="327">
      <c r="A327" s="11" t="n">
        <v>323</v>
      </c>
      <c r="B327" s="15" t="inlineStr">
        <is>
          <t>Part II - The Method Atlas</t>
        </is>
      </c>
      <c r="C327" s="10" t="inlineStr">
        <is>
          <t>Q.8 Paired reading - Atlas Q</t>
        </is>
      </c>
      <c r="D327" s="10" t="inlineStr">
        <is>
          <t>Joshi, gRNAde</t>
        </is>
      </c>
      <c r="E327" s="10" t="inlineStr">
        <is>
          <t>The gRNAde paper</t>
        </is>
      </c>
      <c r="F327" s="10" t="inlineStr">
        <is>
          <t>Inverse folding for RNA. What changes versus ProteinMPNN?</t>
        </is>
      </c>
      <c r="G327" s="11" t="inlineStr"/>
    </row>
    <row r="328">
      <c r="A328" s="11" t="n">
        <v>324</v>
      </c>
      <c r="B328" s="15" t="inlineStr">
        <is>
          <t>Part II - The Method Atlas</t>
        </is>
      </c>
      <c r="C328" s="10" t="inlineStr">
        <is>
          <t>Q.8 Paired reading - Atlas Q</t>
        </is>
      </c>
      <c r="D328" s="10" t="inlineStr">
        <is>
          <t>Yu, CLEAN</t>
        </is>
      </c>
      <c r="E328" s="10" t="inlineStr">
        <is>
          <t>Yu et al. 2023, Science 379:1358</t>
        </is>
      </c>
      <c r="F328" s="10" t="inlineStr">
        <is>
          <t>Contrastive learning for EC numbers. What does the embedding space organize by?</t>
        </is>
      </c>
      <c r="G328" s="11" t="inlineStr"/>
    </row>
    <row r="329">
      <c r="A329" s="11" t="n">
        <v>325</v>
      </c>
      <c r="B329" s="15" t="inlineStr">
        <is>
          <t>Part II - The Method Atlas</t>
        </is>
      </c>
      <c r="C329" s="10" t="inlineStr">
        <is>
          <t>Q.8 Paired reading - Atlas Q</t>
        </is>
      </c>
      <c r="D329" s="10" t="inlineStr">
        <is>
          <t>Yang, CARE benchmark</t>
        </is>
      </c>
      <c r="E329" s="10" t="inlineStr">
        <is>
          <t>The CARE paper</t>
        </is>
      </c>
      <c r="F329" s="10" t="inlineStr">
        <is>
          <t>Enforce novelty in the split. How much performance is retrieval?</t>
        </is>
      </c>
      <c r="G329" s="11" t="inlineStr"/>
    </row>
    <row r="330">
      <c r="A330" s="11" t="n">
        <v>326</v>
      </c>
      <c r="B330" s="15" t="inlineStr">
        <is>
          <t>Part II - The Method Atlas</t>
        </is>
      </c>
      <c r="C330" s="10" t="inlineStr">
        <is>
          <t>Q.8 Paired reading - Atlas Q</t>
        </is>
      </c>
      <c r="D330" s="10" t="inlineStr">
        <is>
          <t>Steinegger, Exploring the Protein Universe</t>
        </is>
      </c>
      <c r="E330" s="10" t="inlineStr">
        <is>
          <t>van Kempen et al. 2024, Nat Biotechnol 42:243</t>
        </is>
      </c>
      <c r="F330" s="10" t="inlineStr">
        <is>
          <t>A 3Di structural alphabet. Why does discretizing structure make search tractable?</t>
        </is>
      </c>
      <c r="G330" s="11" t="inlineStr"/>
    </row>
    <row r="331">
      <c r="A331" s="11" t="n">
        <v>327</v>
      </c>
      <c r="B331" s="15" t="inlineStr">
        <is>
          <t>Part II - The Method Atlas</t>
        </is>
      </c>
      <c r="C331" s="10" t="inlineStr">
        <is>
          <t>R.12 Paired reading - Atlas R</t>
        </is>
      </c>
      <c r="D331" s="10" t="inlineStr">
        <is>
          <t>Dauparas, ProteinMPNN</t>
        </is>
      </c>
      <c r="E331" s="10" t="inlineStr">
        <is>
          <t>Dauparas et al. 2022, Science 378:49</t>
        </is>
      </c>
      <c r="F331" s="10" t="inlineStr">
        <is>
          <t>Sequence recovery is the headline. What moved experimentally, and by how much?</t>
        </is>
      </c>
      <c r="G331" s="11" t="inlineStr"/>
    </row>
    <row r="332">
      <c r="A332" s="11" t="n">
        <v>328</v>
      </c>
      <c r="B332" s="15" t="inlineStr">
        <is>
          <t>Part II - The Method Atlas</t>
        </is>
      </c>
      <c r="C332" s="10" t="inlineStr">
        <is>
          <t>R.12 Paired reading - Atlas R</t>
        </is>
      </c>
      <c r="D332" s="10" t="inlineStr">
        <is>
          <t>BPDMC, Beyond sequence recovery</t>
        </is>
      </c>
      <c r="E332" s="10" t="inlineStr">
        <is>
          <t>Compare to Dauparas 2022</t>
        </is>
      </c>
      <c r="F332" s="10" t="inlineStr">
        <is>
          <t>Write down why likelihood-given-backbone ≠ probability-of-folding.</t>
        </is>
      </c>
      <c r="G332" s="11" t="inlineStr"/>
    </row>
    <row r="333">
      <c r="A333" s="11" t="n">
        <v>329</v>
      </c>
      <c r="B333" s="15" t="inlineStr">
        <is>
          <t>Part II - The Method Atlas</t>
        </is>
      </c>
      <c r="C333" s="10" t="inlineStr">
        <is>
          <t>R.12 Paired reading - Atlas R</t>
        </is>
      </c>
      <c r="D333" s="10" t="inlineStr">
        <is>
          <t>ML4PE, Mega-scale stability</t>
        </is>
      </c>
      <c r="E333" s="10" t="inlineStr">
        <is>
          <t>Tsuboyama et al. 2023, Nature 620:434</t>
        </is>
      </c>
      <c r="F333" s="10" t="inlineStr">
        <is>
          <t>500,000 measured stabilities. What can you now train that you could not before?</t>
        </is>
      </c>
      <c r="G333" s="11" t="inlineStr"/>
    </row>
    <row r="334">
      <c r="A334" s="11" t="n">
        <v>330</v>
      </c>
      <c r="B334" s="15" t="inlineStr">
        <is>
          <t>Part II - The Method Atlas</t>
        </is>
      </c>
      <c r="C334" s="10" t="inlineStr">
        <is>
          <t>R.12 Paired reading - Atlas R</t>
        </is>
      </c>
      <c r="D334" s="10" t="inlineStr">
        <is>
          <t>Watson &amp; Juergens, RFdiffusion</t>
        </is>
      </c>
      <c r="E334" s="10" t="inlineStr">
        <is>
          <t>Watson et al. 2023, Nature 620:1089</t>
        </is>
      </c>
      <c r="F334" s="10" t="inlineStr">
        <is>
          <t>List every filter between generation and ordering. What fraction survives?</t>
        </is>
      </c>
      <c r="G334" s="11" t="inlineStr"/>
    </row>
    <row r="335">
      <c r="A335" s="11" t="n">
        <v>331</v>
      </c>
      <c r="B335" s="15" t="inlineStr">
        <is>
          <t>Part II - The Method Atlas</t>
        </is>
      </c>
      <c r="C335" s="10" t="inlineStr">
        <is>
          <t>R.12 Paired reading - Atlas R</t>
        </is>
      </c>
      <c r="D335" s="10" t="inlineStr">
        <is>
          <t>MaomLab, RFdiffusion critique</t>
        </is>
      </c>
      <c r="E335" s="10" t="inlineStr">
        <is>
          <t>Same paper</t>
        </is>
      </c>
      <c r="F335" s="10" t="inlineStr">
        <is>
          <t>Which claims does an external reading weaken?</t>
        </is>
      </c>
      <c r="G335" s="11" t="inlineStr"/>
    </row>
    <row r="336">
      <c r="A336" s="11" t="n">
        <v>332</v>
      </c>
      <c r="B336" s="15" t="inlineStr">
        <is>
          <t>Part II - The Method Atlas</t>
        </is>
      </c>
      <c r="C336" s="10" t="inlineStr">
        <is>
          <t>R.12 Paired reading - Atlas R</t>
        </is>
      </c>
      <c r="D336" s="10" t="inlineStr">
        <is>
          <t>Ahern &amp; Yim, RFdiffusion2</t>
        </is>
      </c>
      <c r="E336" s="10" t="inlineStr">
        <is>
          <t>Ahern et al. 2026, Nat Methods 23:96</t>
        </is>
      </c>
      <c r="F336" s="10" t="inlineStr">
        <is>
          <t>What failed in v1 that motivated atom-level generation?</t>
        </is>
      </c>
      <c r="G336" s="11" t="inlineStr"/>
    </row>
    <row r="337">
      <c r="A337" s="11" t="n">
        <v>333</v>
      </c>
      <c r="B337" s="15" t="inlineStr">
        <is>
          <t>Part II - The Method Atlas</t>
        </is>
      </c>
      <c r="C337" s="10" t="inlineStr">
        <is>
          <t>R.12 Paired reading - Atlas R</t>
        </is>
      </c>
      <c r="D337" s="10" t="inlineStr">
        <is>
          <t>Grigoryan &amp; Costello, Chroma</t>
        </is>
      </c>
      <c r="E337" s="10" t="inlineStr">
        <is>
          <t>Ingraham et al. 2023, Nature 623:1070</t>
        </is>
      </c>
      <c r="F337" s="10" t="inlineStr">
        <is>
          <t>Conditioners are classifier guidance. What constraint class does that admit?</t>
        </is>
      </c>
      <c r="G337" s="11" t="inlineStr"/>
    </row>
    <row r="338">
      <c r="A338" s="11" t="n">
        <v>334</v>
      </c>
      <c r="B338" s="15" t="inlineStr">
        <is>
          <t>Part II - The Method Atlas</t>
        </is>
      </c>
      <c r="C338" s="10" t="inlineStr">
        <is>
          <t>R.12 Paired reading - Atlas R</t>
        </is>
      </c>
      <c r="D338" s="10" t="inlineStr">
        <is>
          <t>Yim &amp; Trippe, FrameDiff</t>
        </is>
      </c>
      <c r="E338" s="10" t="inlineStr">
        <is>
          <t>Yim et al. 2023, ICML (SE(3) diffusion</t>
        </is>
      </c>
      <c r="F338" s="10" t="inlineStr">
        <is>
          <t>Backbone frames live on SE(3). What breaks under a Euclidean treatment?</t>
        </is>
      </c>
      <c r="G338" s="11" t="inlineStr"/>
    </row>
    <row r="339">
      <c r="A339" s="11" t="n">
        <v>335</v>
      </c>
      <c r="B339" s="15" t="inlineStr">
        <is>
          <t>Part II - The Method Atlas</t>
        </is>
      </c>
      <c r="C339" s="10" t="inlineStr">
        <is>
          <t>R.12 Paired reading - Atlas R</t>
        </is>
      </c>
      <c r="D339" s="10" t="inlineStr">
        <is>
          <t>Bose &amp; Tong, FoldFlow</t>
        </is>
      </c>
      <c r="E339" s="10" t="inlineStr">
        <is>
          <t>Bose et al. 2024, ICLR</t>
        </is>
      </c>
      <c r="F339" s="10" t="inlineStr">
        <is>
          <t>Flow matching vs diffusion on the same manifold. What is traded?</t>
        </is>
      </c>
      <c r="G339" s="11" t="inlineStr"/>
    </row>
    <row r="340">
      <c r="A340" s="11" t="n">
        <v>336</v>
      </c>
      <c r="B340" s="15" t="inlineStr">
        <is>
          <t>Part II - The Method Atlas</t>
        </is>
      </c>
      <c r="C340" s="10" t="inlineStr">
        <is>
          <t>R.12 Paired reading - Atlas R</t>
        </is>
      </c>
      <c r="D340" s="10" t="inlineStr">
        <is>
          <t>Campbell &amp; Yim, Multiflow</t>
        </is>
      </c>
      <c r="E340" s="10" t="inlineStr">
        <is>
          <t>Campbell et al. 2024, ICML</t>
        </is>
      </c>
      <c r="F340" s="10" t="inlineStr">
        <is>
          <t>Discrete and continuous jointly. How is the discrete flow defined?</t>
        </is>
      </c>
      <c r="G340" s="11" t="inlineStr"/>
    </row>
    <row r="341">
      <c r="A341" s="11" t="n">
        <v>337</v>
      </c>
      <c r="B341" s="15" t="inlineStr">
        <is>
          <t>Part II - The Method Atlas</t>
        </is>
      </c>
      <c r="C341" s="10" t="inlineStr">
        <is>
          <t>R.12 Paired reading - Atlas R</t>
        </is>
      </c>
      <c r="D341" s="10" t="inlineStr">
        <is>
          <t>ML4PE, EvoDiff</t>
        </is>
      </c>
      <c r="E341" s="10" t="inlineStr">
        <is>
          <t>Alamdari et al. 2023, bioRxiv</t>
        </is>
      </c>
      <c r="F341" s="10" t="inlineStr">
        <is>
          <t>"Sequence is all you need." What does that claim give up?</t>
        </is>
      </c>
      <c r="G341" s="11" t="inlineStr"/>
    </row>
    <row r="342">
      <c r="A342" s="11" t="n">
        <v>338</v>
      </c>
      <c r="B342" s="15" t="inlineStr">
        <is>
          <t>Part II - The Method Atlas</t>
        </is>
      </c>
      <c r="C342" s="10" t="inlineStr">
        <is>
          <t>R.12 Paired reading - Atlas R</t>
        </is>
      </c>
      <c r="D342" s="10" t="inlineStr">
        <is>
          <t>ML4PE, MotifBench</t>
        </is>
      </c>
      <c r="E342" s="10" t="inlineStr">
        <is>
          <t>The MotifBench paper</t>
        </is>
      </c>
      <c r="F342" s="10" t="inlineStr">
        <is>
          <t>Are published scaffolding numbers comparable? Why not?</t>
        </is>
      </c>
      <c r="G342" s="11" t="inlineStr"/>
    </row>
    <row r="343">
      <c r="A343" s="11" t="n">
        <v>339</v>
      </c>
      <c r="B343" s="15" t="inlineStr">
        <is>
          <t>Part II - The Method Atlas</t>
        </is>
      </c>
      <c r="C343" s="10" t="inlineStr">
        <is>
          <t>R.12 Paired reading - Atlas R</t>
        </is>
      </c>
      <c r="D343" s="10" t="inlineStr">
        <is>
          <t>Ovchinnikov, Inverting predictors</t>
        </is>
      </c>
      <c r="E343" s="10" t="inlineStr">
        <is>
          <t>Anishchenko et al. 2021, Nature 600:547</t>
        </is>
      </c>
      <c r="F343" s="10" t="inlineStr">
        <is>
          <t>What does invertibility say about what a predictor represents?</t>
        </is>
      </c>
      <c r="G343" s="11" t="inlineStr"/>
    </row>
    <row r="344">
      <c r="A344" s="11" t="n">
        <v>340</v>
      </c>
      <c r="B344" s="15" t="inlineStr">
        <is>
          <t>Part II - The Method Atlas</t>
        </is>
      </c>
      <c r="C344" s="10" t="inlineStr">
        <is>
          <t>R.12 Paired reading - Atlas R</t>
        </is>
      </c>
      <c r="D344" s="10" t="inlineStr">
        <is>
          <t>Valence, BindCraft</t>
        </is>
      </c>
      <c r="E344" s="10" t="inlineStr">
        <is>
          <t>Pacesa et al. 2025, Nature 646:483</t>
        </is>
      </c>
      <c r="F344" s="10" t="inlineStr">
        <is>
          <t>One-shot binders. What is the experimental hit rate and against what baseline?</t>
        </is>
      </c>
      <c r="G344" s="11" t="inlineStr"/>
    </row>
    <row r="345">
      <c r="A345" s="11" t="n">
        <v>341</v>
      </c>
      <c r="B345" s="15" t="inlineStr">
        <is>
          <t>Part II - The Method Atlas</t>
        </is>
      </c>
      <c r="C345" s="10" t="inlineStr">
        <is>
          <t>R.12 Paired reading - Atlas R</t>
        </is>
      </c>
      <c r="D345" s="10" t="inlineStr">
        <is>
          <t>RosettaCommons, Binder Design Overview</t>
        </is>
      </c>
      <c r="E345" s="10" t="inlineStr">
        <is>
          <t>Cao et al. 2022, Nature 605:551</t>
        </is>
      </c>
      <c r="F345" s="10" t="inlineStr">
        <is>
          <t>Target structure alone. What information is actually being used?</t>
        </is>
      </c>
      <c r="G345" s="11" t="inlineStr"/>
    </row>
    <row r="346">
      <c r="A346" s="11" t="n">
        <v>342</v>
      </c>
      <c r="B346" s="15" t="inlineStr">
        <is>
          <t>Part II - The Method Atlas</t>
        </is>
      </c>
      <c r="C346" s="10" t="inlineStr">
        <is>
          <t>R.12 Paired reading - Atlas R</t>
        </is>
      </c>
      <c r="D346" s="10" t="inlineStr">
        <is>
          <t>BPDMC, Why designs fail</t>
        </is>
      </c>
      <c r="E346" s="10" t="inlineStr">
        <is>
          <t>Any binder paper's supplement</t>
        </is>
      </c>
      <c r="F346" s="10" t="inlineStr">
        <is>
          <t>Count the designs ordered versus designs reported.</t>
        </is>
      </c>
      <c r="G346" s="11" t="inlineStr"/>
    </row>
    <row r="347">
      <c r="A347" s="11" t="n">
        <v>343</v>
      </c>
      <c r="B347" s="15" t="inlineStr">
        <is>
          <t>Part II - The Method Atlas</t>
        </is>
      </c>
      <c r="C347" s="10" t="inlineStr">
        <is>
          <t>R.12 Paired reading - Atlas R</t>
        </is>
      </c>
      <c r="D347" s="10" t="inlineStr">
        <is>
          <t>Cradle, Adaptyv competition</t>
        </is>
      </c>
      <c r="E347" s="10" t="inlineStr">
        <is>
          <t>Cotet et al. 2025, bioRxiv</t>
        </is>
      </c>
      <c r="F347" s="10" t="inlineStr">
        <is>
          <t>A public wet-lab benchmark. Why does design not have a standing one?</t>
        </is>
      </c>
      <c r="G347" s="11" t="inlineStr"/>
    </row>
    <row r="348">
      <c r="A348" s="11" t="n">
        <v>344</v>
      </c>
      <c r="B348" s="15" t="inlineStr">
        <is>
          <t>Part II - The Method Atlas</t>
        </is>
      </c>
      <c r="C348" s="10" t="inlineStr">
        <is>
          <t>R.12 Paired reading - Atlas R</t>
        </is>
      </c>
      <c r="D348" s="10" t="inlineStr">
        <is>
          <t>Lauko &amp; Pellock, Serine hydrolases</t>
        </is>
      </c>
      <c r="E348" s="10" t="inlineStr">
        <is>
          <t>Lauko et al. 2025, Science 388:eadu2454</t>
        </is>
      </c>
      <c r="F348" s="10" t="inlineStr">
        <is>
          <t>What kcat was achieved, and how far from a natural enzyme?</t>
        </is>
      </c>
      <c r="G348" s="11" t="inlineStr"/>
    </row>
    <row r="349">
      <c r="A349" s="11" t="n">
        <v>345</v>
      </c>
      <c r="B349" s="15" t="inlineStr">
        <is>
          <t>Part II - The Method Atlas</t>
        </is>
      </c>
      <c r="C349" s="10" t="inlineStr">
        <is>
          <t>R.12 Paired reading - Atlas R</t>
        </is>
      </c>
      <c r="D349" s="10" t="inlineStr">
        <is>
          <t>IPD panel, Then &amp; Now</t>
        </is>
      </c>
      <c r="E349" s="10" t="inlineStr">
        <is>
          <t>Röthlisberger 2008; Jiang 2008; Siegel 2010; then Blomberg et al. 2013, Nature 503:418</t>
        </is>
      </c>
      <c r="F349" s="10" t="inlineStr">
        <is>
          <t>Where did the catalysis actually come from?</t>
        </is>
      </c>
      <c r="G349" s="11" t="inlineStr"/>
    </row>
    <row r="350">
      <c r="A350" s="11" t="n">
        <v>346</v>
      </c>
      <c r="B350" s="15" t="inlineStr">
        <is>
          <t>Part II - The Method Atlas</t>
        </is>
      </c>
      <c r="C350" s="10" t="inlineStr">
        <is>
          <t>R.12 Paired reading - Atlas R</t>
        </is>
      </c>
      <c r="D350" s="10" t="inlineStr">
        <is>
          <t>Fleishman, PROSS/FuncLib</t>
        </is>
      </c>
      <c r="E350" s="10" t="inlineStr">
        <is>
          <t>Goldenzweig 2016; Khersonsky 2018</t>
        </is>
      </c>
      <c r="F350" s="10" t="inlineStr">
        <is>
          <t>Evolutionary data plus atomistic design. Which culture is this?</t>
        </is>
      </c>
      <c r="G350" s="11" t="inlineStr"/>
    </row>
    <row r="351">
      <c r="A351" s="11" t="n">
        <v>347</v>
      </c>
      <c r="B351" s="15" t="inlineStr">
        <is>
          <t>Part II - The Method Atlas</t>
        </is>
      </c>
      <c r="C351" s="10" t="inlineStr">
        <is>
          <t>R.12 Paired reading - Atlas R</t>
        </is>
      </c>
      <c r="D351" s="10" t="inlineStr">
        <is>
          <t>Rettie, RFpeptides</t>
        </is>
      </c>
      <c r="E351" s="10" t="inlineStr">
        <is>
          <t>Rettie et al. 2025, Nat Chem Biol 21:1948</t>
        </is>
      </c>
      <c r="F351" s="10" t="inlineStr">
        <is>
          <t>Macrocycles with a cyclic constraint. How is the constraint imposed?</t>
        </is>
      </c>
      <c r="G351" s="11" t="inlineStr"/>
    </row>
    <row r="352">
      <c r="A352" s="11" t="n">
        <v>348</v>
      </c>
      <c r="B352" s="15" t="inlineStr">
        <is>
          <t>Part II - The Method Atlas</t>
        </is>
      </c>
      <c r="C352" s="10" t="inlineStr">
        <is>
          <t>R.12 Paired reading - Atlas R</t>
        </is>
      </c>
      <c r="D352" s="10" t="inlineStr">
        <is>
          <t>BPDMC, Structured peptides</t>
        </is>
      </c>
      <c r="E352" s="10" t="inlineStr">
        <is>
          <t>Bhardwaj et al. 2016, Nature 538:329; Hosseinzadeh et al. 2017, Science 358:1461</t>
        </is>
      </c>
      <c r="F352" s="10" t="inlineStr">
        <is>
          <t>What makes a macrocycle designable where a linear peptide is not?</t>
        </is>
      </c>
      <c r="G352" s="11" t="inlineStr"/>
    </row>
    <row r="353">
      <c r="A353" s="11" t="n">
        <v>349</v>
      </c>
      <c r="B353" s="15" t="inlineStr">
        <is>
          <t>Part II - The Method Atlas</t>
        </is>
      </c>
      <c r="C353" s="10" t="inlineStr">
        <is>
          <t>R.12 Paired reading - Atlas R</t>
        </is>
      </c>
      <c r="D353" s="10" t="inlineStr">
        <is>
          <t>ML4PE, Germinal</t>
        </is>
      </c>
      <c r="E353" s="10" t="inlineStr">
        <is>
          <t>Mille-Fragoso et al. 2026, Nat Biotechnol</t>
        </is>
      </c>
      <c r="F353" s="10" t="inlineStr">
        <is>
          <t>Epitope-targeted de novo antibodies. What is the hit rate per epitope?</t>
        </is>
      </c>
      <c r="G353" s="11" t="inlineStr"/>
    </row>
    <row r="354">
      <c r="A354" s="11" t="n">
        <v>350</v>
      </c>
      <c r="B354" s="15" t="inlineStr">
        <is>
          <t>Part II - The Method Atlas</t>
        </is>
      </c>
      <c r="C354" s="10" t="inlineStr">
        <is>
          <t>R.12 Paired reading - Atlas R</t>
        </is>
      </c>
      <c r="D354" s="10" t="inlineStr">
        <is>
          <t>RosettaCommons, FLAb2</t>
        </is>
      </c>
      <c r="E354" s="10" t="inlineStr">
        <is>
          <t>The FLAb2 paper</t>
        </is>
      </c>
      <c r="F354" s="10" t="inlineStr">
        <is>
          <t>Developability, not affinity, kills antibodies. Can any model predict it?</t>
        </is>
      </c>
      <c r="G354" s="11" t="inlineStr"/>
    </row>
    <row r="355">
      <c r="A355" s="11" t="n">
        <v>351</v>
      </c>
      <c r="B355" s="15" t="inlineStr">
        <is>
          <t>Part II - The Method Atlas</t>
        </is>
      </c>
      <c r="C355" s="10" t="inlineStr">
        <is>
          <t>R.12 Paired reading - Atlas R</t>
        </is>
      </c>
      <c r="D355" s="10" t="inlineStr">
        <is>
          <t>Broad, TCR-pMHC framework</t>
        </is>
      </c>
      <c r="E355" s="10" t="inlineStr">
        <is>
          <t>Bradley 2023, eLife 12:e82813</t>
        </is>
      </c>
      <c r="F355" s="10" t="inlineStr">
        <is>
          <t>Why do general methods underperform on TCR-pMHC specifically?</t>
        </is>
      </c>
      <c r="G355" s="11" t="inlineStr"/>
    </row>
    <row r="356">
      <c r="A356" s="11" t="n">
        <v>352</v>
      </c>
      <c r="B356" s="15" t="inlineStr">
        <is>
          <t>Part II - The Method Atlas</t>
        </is>
      </c>
      <c r="C356" s="10" t="inlineStr">
        <is>
          <t>R.12 Paired reading - Atlas R</t>
        </is>
      </c>
      <c r="D356" s="10" t="inlineStr">
        <is>
          <t>BPDMC, Conformational change design</t>
        </is>
      </c>
      <c r="E356" s="10" t="inlineStr">
        <is>
          <t>Praetorius et al. 2023, Science 381:754; Langan et al. 2019, Nature 572:205</t>
        </is>
      </c>
      <c r="F356" s="10" t="inlineStr">
        <is>
          <t>Designing motion. What objective replaces a single backbone?</t>
        </is>
      </c>
      <c r="G356" s="11" t="inlineStr"/>
    </row>
    <row r="357">
      <c r="A357" s="11" t="n">
        <v>353</v>
      </c>
      <c r="B357" s="15" t="inlineStr">
        <is>
          <t>Part II - The Method Atlas</t>
        </is>
      </c>
      <c r="C357" s="10" t="inlineStr">
        <is>
          <t>R.12 Paired reading - Atlas R</t>
        </is>
      </c>
      <c r="D357" s="10" t="inlineStr">
        <is>
          <t>BPDMC, Ligand-binding from scratch</t>
        </is>
      </c>
      <c r="E357" s="10" t="inlineStr">
        <is>
          <t>Polizzi &amp; DeGrado 2020, Science 369:1227; An et al. 2024, Science 385:276</t>
        </is>
      </c>
      <c r="F357" s="10" t="inlineStr">
        <is>
          <t>A binding site is a geometric arrangement. What else must be true?</t>
        </is>
      </c>
      <c r="G357" s="11" t="inlineStr"/>
    </row>
    <row r="358">
      <c r="A358" s="11" t="n">
        <v>354</v>
      </c>
      <c r="B358" s="15" t="inlineStr">
        <is>
          <t>Part II - The Method Atlas</t>
        </is>
      </c>
      <c r="C358" s="10" t="inlineStr">
        <is>
          <t>R.12 Paired reading - Atlas R</t>
        </is>
      </c>
      <c r="D358" s="10" t="inlineStr">
        <is>
          <t>Listgarten, ML-based protein engineering</t>
        </is>
      </c>
      <c r="E358" s="10" t="inlineStr">
        <is>
          <t>Kapoor &amp; Narayanan 2023</t>
        </is>
      </c>
      <c r="F358" s="10" t="inlineStr">
        <is>
          <t>Formalize the distribution shift between training and design-time input.</t>
        </is>
      </c>
      <c r="G358" s="11" t="inlineStr"/>
    </row>
    <row r="359">
      <c r="A359" s="11" t="n">
        <v>355</v>
      </c>
      <c r="B359" s="15" t="inlineStr">
        <is>
          <t>Part II - The Method Atlas</t>
        </is>
      </c>
      <c r="C359" s="10" t="inlineStr">
        <is>
          <t>R.12 Paired reading - Atlas R</t>
        </is>
      </c>
      <c r="D359" s="10" t="inlineStr">
        <is>
          <t>Baker, Nobel Lecture</t>
        </is>
      </c>
      <c r="E359" s="10" t="inlineStr">
        <is>
          <t>Kuhlman et al. 2003 (Top7); Watson et al. 2023</t>
        </is>
      </c>
      <c r="F359" s="10" t="inlineStr">
        <is>
          <t>Twenty years apart. Which parts of the 2003 pipeline survived?</t>
        </is>
      </c>
      <c r="G359" s="11" t="inlineStr"/>
    </row>
    <row r="360">
      <c r="A360" s="11" t="n">
        <v>356</v>
      </c>
      <c r="B360" s="15" t="inlineStr">
        <is>
          <t>Part II - The Method Atlas</t>
        </is>
      </c>
      <c r="C360" s="10" t="inlineStr">
        <is>
          <t>S.5 Paired reading - Atlas S</t>
        </is>
      </c>
      <c r="D360" s="10" t="inlineStr">
        <is>
          <t>Moult &amp; Fidelis, Critical Assessment</t>
        </is>
      </c>
      <c r="E360" s="10" t="inlineStr">
        <is>
          <t>Moult et al. 1995, Proteins 23:ii</t>
        </is>
      </c>
      <c r="F360" s="10" t="inlineStr">
        <is>
          <t>What makes CASP's design work? Which parts are essential?</t>
        </is>
      </c>
      <c r="G360" s="11" t="inlineStr"/>
    </row>
    <row r="361">
      <c r="A361" s="11" t="n">
        <v>357</v>
      </c>
      <c r="B361" s="15" t="inlineStr">
        <is>
          <t>Part II - The Method Atlas</t>
        </is>
      </c>
      <c r="C361" s="10" t="inlineStr">
        <is>
          <t>S.5 Paired reading - Atlas S</t>
        </is>
      </c>
      <c r="D361" s="10" t="inlineStr">
        <is>
          <t>AlQuraishi &amp; Ovchinnikov, post-CASP14</t>
        </is>
      </c>
      <c r="E361" s="10" t="inlineStr">
        <is>
          <t>Kryshtafovych et al. 2021</t>
        </is>
      </c>
      <c r="F361" s="10" t="inlineStr">
        <is>
          <t>What convinced experts, in real time, that something had changed?</t>
        </is>
      </c>
      <c r="G361" s="11" t="inlineStr"/>
    </row>
    <row r="362">
      <c r="A362" s="11" t="n">
        <v>358</v>
      </c>
      <c r="B362" s="15" t="inlineStr">
        <is>
          <t>Part II - The Method Atlas</t>
        </is>
      </c>
      <c r="C362" s="10" t="inlineStr">
        <is>
          <t>S.5 Paired reading - Atlas S</t>
        </is>
      </c>
      <c r="D362" s="10" t="inlineStr">
        <is>
          <t>Buttenschoen, PoseBusters</t>
        </is>
      </c>
      <c r="E362" s="10" t="inlineStr">
        <is>
          <t>Buttenschoen et al. 2024, Chem Sci 15:3130</t>
        </is>
      </c>
      <c r="F362" s="10" t="inlineStr">
        <is>
          <t>Good RMSD, impossible chemistry. What else is your metric blind to?</t>
        </is>
      </c>
      <c r="G362" s="11" t="inlineStr"/>
    </row>
    <row r="363">
      <c r="A363" s="11" t="n">
        <v>359</v>
      </c>
      <c r="B363" s="15" t="inlineStr">
        <is>
          <t>Part II - The Method Atlas</t>
        </is>
      </c>
      <c r="C363" s="10" t="inlineStr">
        <is>
          <t>S.5 Paired reading - Atlas S</t>
        </is>
      </c>
      <c r="D363" s="10" t="inlineStr">
        <is>
          <t>ML4PE, MotifBench</t>
        </is>
      </c>
      <c r="E363" s="10" t="inlineStr">
        <is>
          <t>The paper</t>
        </is>
      </c>
      <c r="F363" s="10" t="inlineStr">
        <is>
          <t>Are published scaffolding results comparable? Why not?</t>
        </is>
      </c>
      <c r="G363" s="11" t="inlineStr"/>
    </row>
    <row r="364">
      <c r="A364" s="11" t="n">
        <v>360</v>
      </c>
      <c r="B364" s="15" t="inlineStr">
        <is>
          <t>Part II - The Method Atlas</t>
        </is>
      </c>
      <c r="C364" s="10" t="inlineStr">
        <is>
          <t>S.5 Paired reading - Atlas S</t>
        </is>
      </c>
      <c r="D364" s="10" t="inlineStr">
        <is>
          <t>RosettaCommons, FLAb2</t>
        </is>
      </c>
      <c r="E364" s="10" t="inlineStr">
        <is>
          <t>The paper</t>
        </is>
      </c>
      <c r="F364" s="10" t="inlineStr">
        <is>
          <t>Are you measuring the quantity that decides the outcome?</t>
        </is>
      </c>
      <c r="G364" s="11" t="inlineStr"/>
    </row>
    <row r="365">
      <c r="A365" s="11" t="n">
        <v>361</v>
      </c>
      <c r="B365" s="15" t="inlineStr">
        <is>
          <t>Part II - The Method Atlas</t>
        </is>
      </c>
      <c r="C365" s="10" t="inlineStr">
        <is>
          <t>S.5 Paired reading - Atlas S</t>
        </is>
      </c>
      <c r="D365" s="10" t="inlineStr">
        <is>
          <t>Yang, CARE</t>
        </is>
      </c>
      <c r="E365" s="10" t="inlineStr">
        <is>
          <t>The paper</t>
        </is>
      </c>
      <c r="F365" s="10" t="inlineStr">
        <is>
          <t>Enforce novelty in the split. How much performance was retrieval?</t>
        </is>
      </c>
      <c r="G365" s="11" t="inlineStr"/>
    </row>
    <row r="366">
      <c r="A366" s="11" t="n">
        <v>362</v>
      </c>
      <c r="B366" s="15" t="inlineStr">
        <is>
          <t>Part II - The Method Atlas</t>
        </is>
      </c>
      <c r="C366" s="10" t="inlineStr">
        <is>
          <t>S.5 Paired reading - Atlas S</t>
        </is>
      </c>
      <c r="D366" s="10" t="inlineStr">
        <is>
          <t>Wong-Fannjiang, Conformal under FCS</t>
        </is>
      </c>
      <c r="E366" s="10" t="inlineStr">
        <is>
          <t>Fannjiang et al. 2022, NeurIPS</t>
        </is>
      </c>
      <c r="F366" s="10" t="inlineStr">
        <is>
          <t>Design queries the model off-distribution. How do you get a valid interval?</t>
        </is>
      </c>
      <c r="G366" s="11" t="inlineStr"/>
    </row>
    <row r="367">
      <c r="A367" s="11" t="n">
        <v>363</v>
      </c>
      <c r="B367" s="15" t="inlineStr">
        <is>
          <t>Part II - The Method Atlas</t>
        </is>
      </c>
      <c r="C367" s="10" t="inlineStr">
        <is>
          <t>S.5 Paired reading - Atlas S</t>
        </is>
      </c>
      <c r="D367" s="10" t="inlineStr">
        <is>
          <t>Gao, Data thinning</t>
        </is>
      </c>
      <c r="E367" s="10" t="inlineStr">
        <is>
          <t>Her paper</t>
        </is>
      </c>
      <c r="F367" s="10" t="inlineStr">
        <is>
          <t>How do you use the same data twice without invalidating inference?</t>
        </is>
      </c>
      <c r="G367" s="11" t="inlineStr"/>
    </row>
    <row r="368">
      <c r="A368" s="11" t="n">
        <v>364</v>
      </c>
      <c r="B368" s="15" t="inlineStr">
        <is>
          <t>Part II - The Method Atlas</t>
        </is>
      </c>
      <c r="C368" s="10" t="inlineStr">
        <is>
          <t>S.5 Paired reading - Atlas S</t>
        </is>
      </c>
      <c r="D368" s="10" t="inlineStr">
        <is>
          <t>Wang, Predictable Noise in Benchmarks</t>
        </is>
      </c>
      <c r="E368" s="10" t="inlineStr">
        <is>
          <t>The paper</t>
        </is>
      </c>
      <c r="F368" s="10" t="inlineStr">
        <is>
          <t>Put error bars on the last benchmark number you quoted.</t>
        </is>
      </c>
      <c r="G368" s="11" t="inlineStr"/>
    </row>
    <row r="369">
      <c r="A369" s="11" t="n">
        <v>365</v>
      </c>
      <c r="B369" s="15" t="inlineStr">
        <is>
          <t>Part II - The Method Atlas</t>
        </is>
      </c>
      <c r="C369" s="10" t="inlineStr">
        <is>
          <t>S.5 Paired reading - Atlas S</t>
        </is>
      </c>
      <c r="D369" s="10" t="inlineStr">
        <is>
          <t>Mitchell, Six Principles</t>
        </is>
      </c>
      <c r="E369" s="10" t="inlineStr">
        <is>
          <t>Her paper</t>
        </is>
      </c>
      <c r="F369" s="10" t="inlineStr">
        <is>
          <t>Does your benchmark measure the capability or a correlate?</t>
        </is>
      </c>
      <c r="G369" s="11" t="inlineStr"/>
    </row>
    <row r="370">
      <c r="A370" s="11" t="n">
        <v>366</v>
      </c>
      <c r="B370" s="15" t="inlineStr">
        <is>
          <t>Part II - The Method Atlas</t>
        </is>
      </c>
      <c r="C370" s="10" t="inlineStr">
        <is>
          <t>S.5 Paired reading - Atlas S</t>
        </is>
      </c>
      <c r="D370" s="10" t="inlineStr">
        <is>
          <t>Cradle, Adaptyv competition</t>
        </is>
      </c>
      <c r="E370" s="10" t="inlineStr">
        <is>
          <t>Cotet et al. 2025, bioRxiv</t>
        </is>
      </c>
      <c r="F370" s="10" t="inlineStr">
        <is>
          <t>What would a standing CASP for design cost, and who would run it?</t>
        </is>
      </c>
      <c r="G370" s="11" t="inlineStr"/>
    </row>
    <row r="371">
      <c r="A371" s="11" t="n">
        <v>367</v>
      </c>
      <c r="B371" s="15" t="inlineStr">
        <is>
          <t>Part II - The Method Atlas</t>
        </is>
      </c>
      <c r="C371" s="10" t="inlineStr">
        <is>
          <t>T.12 Paired reading - Atlas T</t>
        </is>
      </c>
      <c r="D371" s="10" t="inlineStr">
        <is>
          <t>Das, BioML Seminar</t>
        </is>
      </c>
      <c r="E371" s="10" t="inlineStr">
        <is>
          <t>He et al. 2024 (Ribonanza</t>
        </is>
      </c>
      <c r="F371" s="10" t="inlineStr">
        <is>
          <t>Four passes at one idea. What is the idea?</t>
        </is>
      </c>
      <c r="G371" s="11" t="inlineStr"/>
    </row>
    <row r="372">
      <c r="A372" s="11" t="n">
        <v>368</v>
      </c>
      <c r="B372" s="15" t="inlineStr">
        <is>
          <t>Part II - The Method Atlas</t>
        </is>
      </c>
      <c r="C372" s="10" t="inlineStr">
        <is>
          <t>T.12 Paired reading - Atlas T</t>
        </is>
      </c>
      <c r="D372" s="10" t="inlineStr">
        <is>
          <t>Das, CASP15 assessment</t>
        </is>
      </c>
      <c r="E372" s="10" t="inlineStr">
        <is>
          <t>Das et al. 2023, Proteins</t>
        </is>
      </c>
      <c r="F372" s="10" t="inlineStr">
        <is>
          <t>Deep learning lost. What does that tell you about data?</t>
        </is>
      </c>
      <c r="G372" s="11" t="inlineStr"/>
    </row>
    <row r="373">
      <c r="A373" s="11" t="n">
        <v>369</v>
      </c>
      <c r="B373" s="15" t="inlineStr">
        <is>
          <t>Part II - The Method Atlas</t>
        </is>
      </c>
      <c r="C373" s="10" t="inlineStr">
        <is>
          <t>T.12 Paired reading - Atlas T</t>
        </is>
      </c>
      <c r="D373" s="10" t="inlineStr">
        <is>
          <t>Wild 8-3 and 8-4</t>
        </is>
      </c>
      <c r="E373" s="10" t="inlineStr">
        <is>
          <t>Nussinov &amp; Jacobson 1980; Zuker &amp; Stiegler 1981</t>
        </is>
      </c>
      <c r="F373" s="10" t="inlineStr">
        <is>
          <t>Why does non-crossing make the decomposition valid?</t>
        </is>
      </c>
      <c r="G373" s="11" t="inlineStr"/>
    </row>
    <row r="374">
      <c r="A374" s="11" t="n">
        <v>370</v>
      </c>
      <c r="B374" s="15" t="inlineStr">
        <is>
          <t>Part II - The Method Atlas</t>
        </is>
      </c>
      <c r="C374" s="10" t="inlineStr">
        <is>
          <t>T.12 Paired reading - Atlas T</t>
        </is>
      </c>
      <c r="D374" s="10" t="inlineStr">
        <is>
          <t>Hofacker, RNA secondary structures</t>
        </is>
      </c>
      <c r="E374" s="10" t="inlineStr">
        <is>
          <t>McCaskill 1990, Biopolymers 29:1105</t>
        </is>
      </c>
      <c r="F374" s="10" t="inlineStr">
        <is>
          <t>Why does the partition function need a different recursion?</t>
        </is>
      </c>
      <c r="G374" s="11" t="inlineStr"/>
    </row>
    <row r="375">
      <c r="A375" s="11" t="n">
        <v>371</v>
      </c>
      <c r="B375" s="15" t="inlineStr">
        <is>
          <t>Part II - The Method Atlas</t>
        </is>
      </c>
      <c r="C375" s="10" t="inlineStr">
        <is>
          <t>T.12 Paired reading - Atlas T</t>
        </is>
      </c>
      <c r="D375" s="10" t="inlineStr">
        <is>
          <t>Lorenz, Improving prediction</t>
        </is>
      </c>
      <c r="E375" s="10" t="inlineStr">
        <is>
          <t>Lorenz et al. 2011</t>
        </is>
      </c>
      <c r="F375" s="10" t="inlineStr">
        <is>
          <t>What does a soft constraint do to the recursion?</t>
        </is>
      </c>
      <c r="G375" s="11" t="inlineStr"/>
    </row>
    <row r="376">
      <c r="A376" s="11" t="n">
        <v>372</v>
      </c>
      <c r="B376" s="15" t="inlineStr">
        <is>
          <t>Part II - The Method Atlas</t>
        </is>
      </c>
      <c r="C376" s="10" t="inlineStr">
        <is>
          <t>T.12 Paired reading - Atlas T</t>
        </is>
      </c>
      <c r="D376" s="10" t="inlineStr">
        <is>
          <t>Rivas, Evolutionary conservation</t>
        </is>
      </c>
      <c r="E376" s="10" t="inlineStr">
        <is>
          <t>Rivas et al. 2017, Nat Methods 14:45</t>
        </is>
      </c>
      <c r="F376" s="10" t="inlineStr">
        <is>
          <t>Covariation or free energy - which is the arbiter?</t>
        </is>
      </c>
      <c r="G376" s="11" t="inlineStr"/>
    </row>
    <row r="377">
      <c r="A377" s="11" t="n">
        <v>373</v>
      </c>
      <c r="B377" s="15" t="inlineStr">
        <is>
          <t>Part II - The Method Atlas</t>
        </is>
      </c>
      <c r="C377" s="10" t="inlineStr">
        <is>
          <t>T.12 Paired reading - Atlas T</t>
        </is>
      </c>
      <c r="D377" s="10" t="inlineStr">
        <is>
          <t>Huang, Parsing Algorithms for COVID-19</t>
        </is>
      </c>
      <c r="E377" s="10" t="inlineStr">
        <is>
          <t>Huang et al. 2019</t>
        </is>
      </c>
      <c r="F377" s="10" t="inlineStr">
        <is>
          <t>RNA folding is parsing. What does that buy algorithmically?</t>
        </is>
      </c>
      <c r="G377" s="11" t="inlineStr"/>
    </row>
    <row r="378">
      <c r="A378" s="11" t="n">
        <v>374</v>
      </c>
      <c r="B378" s="15" t="inlineStr">
        <is>
          <t>Part II - The Method Atlas</t>
        </is>
      </c>
      <c r="C378" s="10" t="inlineStr">
        <is>
          <t>T.12 Paired reading - Atlas T</t>
        </is>
      </c>
      <c r="D378" s="10" t="inlineStr">
        <is>
          <t>Condon, Computational Challenges</t>
        </is>
      </c>
      <c r="E378" s="10" t="inlineStr">
        <is>
          <t>Rivas &amp; Eddy 1999, JMB 285:2053</t>
        </is>
      </c>
      <c r="F378" s="10" t="inlineStr">
        <is>
          <t>Which pseudoknot classes are tractable, and why does the hierarchy stop?</t>
        </is>
      </c>
      <c r="G378" s="11" t="inlineStr"/>
    </row>
    <row r="379">
      <c r="A379" s="11" t="n">
        <v>375</v>
      </c>
      <c r="B379" s="15" t="inlineStr">
        <is>
          <t>Part II - The Method Atlas</t>
        </is>
      </c>
      <c r="C379" s="10" t="inlineStr">
        <is>
          <t>T.12 Paired reading - Atlas T</t>
        </is>
      </c>
      <c r="D379" s="10" t="inlineStr">
        <is>
          <t>Courey, Nearest Neighbor Method</t>
        </is>
      </c>
      <c r="E379" s="10" t="inlineStr">
        <is>
          <t>SantaLucia 1998, PNAS 95:1460</t>
        </is>
      </c>
      <c r="F379" s="10" t="inlineStr">
        <is>
          <t>Compute a Tm by hand. Why is RNA harder than DNA?</t>
        </is>
      </c>
      <c r="G379" s="11" t="inlineStr"/>
    </row>
    <row r="380">
      <c r="A380" s="11" t="n">
        <v>376</v>
      </c>
      <c r="B380" s="15" t="inlineStr">
        <is>
          <t>Part II - The Method Atlas</t>
        </is>
      </c>
      <c r="C380" s="10" t="inlineStr">
        <is>
          <t>T.12 Paired reading - Atlas T</t>
        </is>
      </c>
      <c r="D380" s="10" t="inlineStr">
        <is>
          <t>Aviran, Sparse Reconstruction</t>
        </is>
      </c>
      <c r="E380" s="10" t="inlineStr">
        <is>
          <t>Her papers</t>
        </is>
      </c>
      <c r="F380" s="10" t="inlineStr">
        <is>
          <t>One reactivity vector, many populations. What is determined?</t>
        </is>
      </c>
      <c r="G380" s="11" t="inlineStr"/>
    </row>
    <row r="381">
      <c r="A381" s="11" t="n">
        <v>377</v>
      </c>
      <c r="B381" s="15" t="inlineStr">
        <is>
          <t>Part II - The Method Atlas</t>
        </is>
      </c>
      <c r="C381" s="10" t="inlineStr">
        <is>
          <t>T.12 Paired reading - Atlas T</t>
        </is>
      </c>
      <c r="D381" s="10" t="inlineStr">
        <is>
          <t>Choi, PRIME</t>
        </is>
      </c>
      <c r="E381" s="10" t="inlineStr">
        <is>
          <t>The PRIME paper</t>
        </is>
      </c>
      <c r="F381" s="10" t="inlineStr">
        <is>
          <t>Base pairs open at half the assumed energy. What breaks?</t>
        </is>
      </c>
      <c r="G381" s="11" t="inlineStr"/>
    </row>
    <row r="382">
      <c r="A382" s="11" t="n">
        <v>378</v>
      </c>
      <c r="B382" s="15" t="inlineStr">
        <is>
          <t>Part II - The Method Atlas</t>
        </is>
      </c>
      <c r="C382" s="10" t="inlineStr">
        <is>
          <t>T.12 Paired reading - Atlas T</t>
        </is>
      </c>
      <c r="D382" s="10" t="inlineStr">
        <is>
          <t>Townshend, ARES</t>
        </is>
      </c>
      <c r="E382" s="10" t="inlineStr">
        <is>
          <t>Townshend et al. 2021, Science 373:1047</t>
        </is>
      </c>
      <c r="F382" s="10" t="inlineStr">
        <is>
          <t>Eighteen structures. How did that possibly work?</t>
        </is>
      </c>
      <c r="G382" s="11" t="inlineStr"/>
    </row>
    <row r="383">
      <c r="A383" s="11" t="n">
        <v>379</v>
      </c>
      <c r="B383" s="15" t="inlineStr">
        <is>
          <t>Part II - The Method Atlas</t>
        </is>
      </c>
      <c r="C383" s="10" t="inlineStr">
        <is>
          <t>T.12 Paired reading - Atlas T</t>
        </is>
      </c>
      <c r="D383" s="10" t="inlineStr">
        <is>
          <t>Ludaic, Limits of deep learning for RNA</t>
        </is>
      </c>
      <c r="E383" s="10" t="inlineStr">
        <is>
          <t>Compare to the above</t>
        </is>
      </c>
      <c r="F383" s="10" t="inlineStr">
        <is>
          <t>Which of the two is right, and on what evidence?</t>
        </is>
      </c>
      <c r="G383" s="11" t="inlineStr"/>
    </row>
    <row r="384">
      <c r="A384" s="11" t="n">
        <v>380</v>
      </c>
      <c r="B384" s="15" t="inlineStr">
        <is>
          <t>Part II - The Method Atlas</t>
        </is>
      </c>
      <c r="C384" s="10" t="inlineStr">
        <is>
          <t>T.12 Paired reading - Atlas T</t>
        </is>
      </c>
      <c r="D384" s="10" t="inlineStr">
        <is>
          <t>Bernard, Has AlphaFold3 succeeded for RNA?</t>
        </is>
      </c>
      <c r="E384" s="10" t="inlineStr">
        <is>
          <t>Bernard et al. 2025, Acta Cryst D81</t>
        </is>
      </c>
      <c r="F384" s="10" t="inlineStr">
        <is>
          <t>A general model's claim, independently tested. What held?</t>
        </is>
      </c>
      <c r="G384" s="11" t="inlineStr"/>
    </row>
    <row r="385">
      <c r="A385" s="11" t="n">
        <v>381</v>
      </c>
      <c r="B385" s="15" t="inlineStr">
        <is>
          <t>Part II - The Method Atlas</t>
        </is>
      </c>
      <c r="C385" s="10" t="inlineStr">
        <is>
          <t>T.12 Paired reading - Atlas T</t>
        </is>
      </c>
      <c r="D385" s="10" t="inlineStr">
        <is>
          <t>Bussi, RNA is not alone</t>
        </is>
      </c>
      <c r="E385" s="10" t="inlineStr">
        <is>
          <t>Draper 2004; Lipfert et al. 2014</t>
        </is>
      </c>
      <c r="F385" s="10" t="inlineStr">
        <is>
          <t>Quantify the ion-atmosphere contribution to stability.</t>
        </is>
      </c>
      <c r="G385" s="11" t="inlineStr"/>
    </row>
    <row r="386">
      <c r="A386" s="11" t="n">
        <v>382</v>
      </c>
      <c r="B386" s="15" t="inlineStr">
        <is>
          <t>Part II - The Method Atlas</t>
        </is>
      </c>
      <c r="C386" s="10" t="inlineStr">
        <is>
          <t>T.12 Paired reading - Atlas T</t>
        </is>
      </c>
      <c r="D386" s="10" t="inlineStr">
        <is>
          <t>Lilley, How does RNA act like an enzyme?</t>
        </is>
      </c>
      <c r="E386" s="10" t="inlineStr">
        <is>
          <t>Lilley 2011, Phil Trans R Soc B 366:2910</t>
        </is>
      </c>
      <c r="F386" s="10" t="inlineStr">
        <is>
          <t>General acid-base catalysis without side chains. How?</t>
        </is>
      </c>
      <c r="G386" s="11" t="inlineStr"/>
    </row>
    <row r="387">
      <c r="A387" s="11" t="n">
        <v>383</v>
      </c>
      <c r="B387" s="15" t="inlineStr">
        <is>
          <t>Part II - The Method Atlas</t>
        </is>
      </c>
      <c r="C387" s="10" t="inlineStr">
        <is>
          <t>T.12 Paired reading - Atlas T</t>
        </is>
      </c>
      <c r="D387" s="10" t="inlineStr">
        <is>
          <t>Pyle, RNA Structure (Part 1</t>
        </is>
      </c>
      <c r="E387" s="10" t="inlineStr">
        <is>
          <t>Leontis &amp; Westhof 2001, RNA 7:499</t>
        </is>
      </c>
      <c r="F387" s="10" t="inlineStr">
        <is>
          <t>Learn the twelve base-pair families. They are the vocabulary.</t>
        </is>
      </c>
      <c r="G387" s="11" t="inlineStr"/>
    </row>
    <row r="388">
      <c r="A388" s="11" t="n">
        <v>384</v>
      </c>
      <c r="B388" s="15" t="inlineStr">
        <is>
          <t>Part II - The Method Atlas</t>
        </is>
      </c>
      <c r="C388" s="10" t="inlineStr">
        <is>
          <t>T.12 Paired reading - Atlas T</t>
        </is>
      </c>
      <c r="D388" s="10" t="inlineStr">
        <is>
          <t>Findeiß, RNA design</t>
        </is>
      </c>
      <c r="E388" s="10" t="inlineStr">
        <is>
          <t>Lorenz et al. 2011</t>
        </is>
      </c>
      <c r="F388" s="10" t="inlineStr">
        <is>
          <t>Inverse folding against an energy model. Where does it fail?</t>
        </is>
      </c>
      <c r="G388" s="11" t="inlineStr"/>
    </row>
    <row r="389">
      <c r="A389" s="11" t="n">
        <v>385</v>
      </c>
      <c r="B389" s="15" t="inlineStr">
        <is>
          <t>Part II - The Method Atlas</t>
        </is>
      </c>
      <c r="C389" s="10" t="inlineStr">
        <is>
          <t>T.12 Paired reading - Atlas T</t>
        </is>
      </c>
      <c r="D389" s="10" t="inlineStr">
        <is>
          <t>Huang, LinearDesign</t>
        </is>
      </c>
      <c r="E389" s="10" t="inlineStr">
        <is>
          <t>Zhang et al. 2023, Nature 621:396</t>
        </is>
      </c>
      <c r="F389" s="10" t="inlineStr">
        <is>
          <t>Codon choice and structure jointly. What made it tractable?</t>
        </is>
      </c>
      <c r="G389" s="11" t="inlineStr"/>
    </row>
    <row r="390">
      <c r="A390" s="11" t="n">
        <v>386</v>
      </c>
      <c r="B390" s="17" t="inlineStr">
        <is>
          <t>Part III - Upstream AI Research</t>
        </is>
      </c>
      <c r="C390" s="10" t="inlineStr">
        <is>
          <t>D.4.8 Paired reading - D.4</t>
        </is>
      </c>
      <c r="D390" s="10" t="inlineStr">
        <is>
          <t>Gu 2021, S4</t>
        </is>
      </c>
      <c r="E390" s="10" t="inlineStr">
        <is>
          <t>arXiv:2111.00396</t>
        </is>
      </c>
      <c r="F390" s="10" t="inlineStr">
        <is>
          <t>HiPPO gives the initialization. What is being approximated?</t>
        </is>
      </c>
      <c r="G390" s="11" t="inlineStr"/>
    </row>
    <row r="391">
      <c r="A391" s="11" t="n">
        <v>387</v>
      </c>
      <c r="B391" s="17" t="inlineStr">
        <is>
          <t>Part III - Upstream AI Research</t>
        </is>
      </c>
      <c r="C391" s="10" t="inlineStr">
        <is>
          <t>D.4.8 Paired reading - D.4</t>
        </is>
      </c>
      <c r="D391" s="10" t="inlineStr">
        <is>
          <t>Gu 2026, Tradeoffs of SSMs</t>
        </is>
      </c>
      <c r="E391" s="10" t="inlineStr">
        <is>
          <t>arXiv:2405.21060 (Mamba-2</t>
        </is>
      </c>
      <c r="F391" s="10" t="inlineStr">
        <is>
          <t>What exactly does a fixed-size state lose? Name the task class.</t>
        </is>
      </c>
      <c r="G391" s="11" t="inlineStr"/>
    </row>
    <row r="392">
      <c r="A392" s="11" t="n">
        <v>388</v>
      </c>
      <c r="B392" s="17" t="inlineStr">
        <is>
          <t>Part III - Upstream AI Research</t>
        </is>
      </c>
      <c r="C392" s="10" t="inlineStr">
        <is>
          <t>D.4.8 Paired reading - D.4</t>
        </is>
      </c>
      <c r="D392" s="10" t="inlineStr">
        <is>
          <t>Dao, Hardware-aware algorithms</t>
        </is>
      </c>
      <c r="E392" s="10" t="inlineStr">
        <is>
          <t>arXiv:2312.00752 (Mamba</t>
        </is>
      </c>
      <c r="F392" s="10" t="inlineStr">
        <is>
          <t>Selectivity breaks the convolution. How is the scan made fast anyway?</t>
        </is>
      </c>
      <c r="G392" s="11" t="inlineStr"/>
    </row>
    <row r="393">
      <c r="A393" s="11" t="n">
        <v>389</v>
      </c>
      <c r="B393" s="17" t="inlineStr">
        <is>
          <t>Part III - Upstream AI Research</t>
        </is>
      </c>
      <c r="C393" s="10" t="inlineStr">
        <is>
          <t>D.4.8 Paired reading - D.4</t>
        </is>
      </c>
      <c r="D393" s="10" t="inlineStr">
        <is>
          <t>Yang, Linear Attention and Beyond</t>
        </is>
      </c>
      <c r="E393" s="10" t="inlineStr">
        <is>
          <t>arXiv:2312.06635; arXiv:2406.06484</t>
        </is>
      </c>
      <c r="F393" s="10" t="inlineStr">
        <is>
          <t>Write the delta rule as a linear attention update.</t>
        </is>
      </c>
      <c r="G393" s="11" t="inlineStr"/>
    </row>
    <row r="394">
      <c r="A394" s="11" t="n">
        <v>390</v>
      </c>
      <c r="B394" s="17" t="inlineStr">
        <is>
          <t>Part III - Upstream AI Research</t>
        </is>
      </c>
      <c r="C394" s="10" t="inlineStr">
        <is>
          <t>D.4.8 Paired reading - D.4</t>
        </is>
      </c>
      <c r="D394" s="10" t="inlineStr">
        <is>
          <t>Arora, Efficient LMs</t>
        </is>
      </c>
      <c r="E394" s="10" t="inlineStr">
        <is>
          <t>The Based papers</t>
        </is>
      </c>
      <c r="F394" s="10" t="inlineStr">
        <is>
          <t>Measure the recall-throughput tradeoff. Then ask what it costs an MSA model.</t>
        </is>
      </c>
      <c r="G394" s="11" t="inlineStr"/>
    </row>
    <row r="395">
      <c r="A395" s="11" t="n">
        <v>391</v>
      </c>
      <c r="B395" s="17" t="inlineStr">
        <is>
          <t>Part III - Upstream AI Research</t>
        </is>
      </c>
      <c r="C395" s="10" t="inlineStr">
        <is>
          <t>D.4.8 Paired reading - D.4</t>
        </is>
      </c>
      <c r="D395" s="10" t="inlineStr">
        <is>
          <t>Press, ALiBi</t>
        </is>
      </c>
      <c r="E395" s="10" t="inlineStr">
        <is>
          <t>arXiv:2108.12409 then arXiv:2104.09864 (RoPE</t>
        </is>
      </c>
      <c r="F395" s="10" t="inlineStr">
        <is>
          <t>What is the right relative position for a 3D structure?</t>
        </is>
      </c>
      <c r="G395" s="11" t="inlineStr"/>
    </row>
    <row r="396">
      <c r="A396" s="11" t="n">
        <v>392</v>
      </c>
      <c r="B396" s="17" t="inlineStr">
        <is>
          <t>Part III - Upstream AI Research</t>
        </is>
      </c>
      <c r="C396" s="10" t="inlineStr">
        <is>
          <t>D.4.8 Paired reading - D.4</t>
        </is>
      </c>
      <c r="D396" s="10" t="inlineStr">
        <is>
          <t>CS336 2026 L3 + L4</t>
        </is>
      </c>
      <c r="E396" s="10" t="inlineStr">
        <is>
          <t>The ablation tables in each</t>
        </is>
      </c>
      <c r="F396" s="10" t="inlineStr">
        <is>
          <t>Which architecture choices survive controlled comparison?</t>
        </is>
      </c>
      <c r="G396" s="11" t="inlineStr"/>
    </row>
    <row r="397">
      <c r="A397" s="11" t="n">
        <v>393</v>
      </c>
      <c r="B397" s="17" t="inlineStr">
        <is>
          <t>Part III - Upstream AI Research</t>
        </is>
      </c>
      <c r="C397" s="10" t="inlineStr">
        <is>
          <t>D.4.8 Paired reading - D.4</t>
        </is>
      </c>
      <c r="D397" s="10" t="inlineStr">
        <is>
          <t>Zoph &amp; Fedus, Sparse Expert Models</t>
        </is>
      </c>
      <c r="E397" s="10" t="inlineStr">
        <is>
          <t>Fedus et al. 2022, JMLR 23:120</t>
        </is>
      </c>
      <c r="F397" s="10" t="inlineStr">
        <is>
          <t>Design an MoE routed by structural class. What is the auxiliary loss?</t>
        </is>
      </c>
      <c r="G397" s="11" t="inlineStr"/>
    </row>
    <row r="398">
      <c r="A398" s="11" t="n">
        <v>394</v>
      </c>
      <c r="B398" s="17" t="inlineStr">
        <is>
          <t>Part III - Upstream AI Research</t>
        </is>
      </c>
      <c r="C398" s="10" t="inlineStr">
        <is>
          <t>D.4.8 Paired reading - D.4</t>
        </is>
      </c>
      <c r="D398" s="10" t="inlineStr">
        <is>
          <t>Danqi Chen, Retrieval vs long context</t>
        </is>
      </c>
      <c r="E398" s="10" t="inlineStr">
        <is>
          <t>Her paper</t>
        </is>
      </c>
      <c r="F398" s="10" t="inlineStr">
        <is>
          <t>When does long context subsume retrieval? Apply the answer to MSAs.</t>
        </is>
      </c>
      <c r="G398" s="11" t="inlineStr"/>
    </row>
    <row r="399">
      <c r="A399" s="11" t="n">
        <v>395</v>
      </c>
      <c r="B399" s="17" t="inlineStr">
        <is>
          <t>Part III - Upstream AI Research</t>
        </is>
      </c>
      <c r="C399" s="10" t="inlineStr">
        <is>
          <t>D.4.8 Paired reading - D.4</t>
        </is>
      </c>
      <c r="D399" s="10" t="inlineStr">
        <is>
          <t>Kuleshov, Modern diffusion LM</t>
        </is>
      </c>
      <c r="E399" s="10" t="inlineStr">
        <is>
          <t>Lou et al. 2024 (SEDD</t>
        </is>
      </c>
      <c r="F399" s="10" t="inlineStr">
        <is>
          <t>Compare the loss to EvoDiff's. What is the same and what differs?</t>
        </is>
      </c>
      <c r="G399" s="11" t="inlineStr"/>
    </row>
    <row r="400">
      <c r="A400" s="11" t="n">
        <v>396</v>
      </c>
      <c r="B400" s="17" t="inlineStr">
        <is>
          <t>Part III - Upstream AI Research</t>
        </is>
      </c>
      <c r="C400" s="10" t="inlineStr">
        <is>
          <t>D.4.8 Paired reading - D.4</t>
        </is>
      </c>
      <c r="D400" s="10" t="inlineStr">
        <is>
          <t>Nguyen, HyenaDNA</t>
        </is>
      </c>
      <c r="E400" s="10" t="inlineStr">
        <is>
          <t>arXiv:2306.15794</t>
        </is>
      </c>
      <c r="F400" s="10" t="inlineStr">
        <is>
          <t>An architecture crossed domains in a year. What had to change?</t>
        </is>
      </c>
      <c r="G400" s="11" t="inlineStr"/>
    </row>
    <row r="401">
      <c r="A401" s="11" t="n">
        <v>397</v>
      </c>
      <c r="B401" s="17" t="inlineStr">
        <is>
          <t>Part III - Upstream AI Research</t>
        </is>
      </c>
      <c r="C401" s="10" t="inlineStr">
        <is>
          <t>D.4.8 Paired reading - D.4</t>
        </is>
      </c>
      <c r="D401" s="10" t="inlineStr">
        <is>
          <t>Hochreiter, xLSTM</t>
        </is>
      </c>
      <c r="E401" s="10" t="inlineStr">
        <is>
          <t>arXiv:2405.04517</t>
        </is>
      </c>
      <c r="F401" s="10" t="inlineStr">
        <is>
          <t>The person who invented LSTM is still working on it. What is the claim?</t>
        </is>
      </c>
      <c r="G401" s="11" t="inlineStr"/>
    </row>
    <row r="402">
      <c r="A402" s="11" t="n">
        <v>398</v>
      </c>
      <c r="B402" s="17" t="inlineStr">
        <is>
          <t>Part III - Upstream AI Research</t>
        </is>
      </c>
      <c r="C402" s="10" t="inlineStr">
        <is>
          <t>D.5.6 Paired reading - D.5</t>
        </is>
      </c>
      <c r="D402" s="10" t="inlineStr">
        <is>
          <t>Spector, Notes on AI Hardware</t>
        </is>
      </c>
      <c r="E402" s="10" t="inlineStr">
        <is>
          <t>Any roofline-model tutorial</t>
        </is>
      </c>
      <c r="F402" s="10" t="inlineStr">
        <is>
          <t>Compute the arithmetic intensity of triangle multiplication.</t>
        </is>
      </c>
      <c r="G402" s="11" t="inlineStr"/>
    </row>
    <row r="403">
      <c r="A403" s="11" t="n">
        <v>399</v>
      </c>
      <c r="B403" s="17" t="inlineStr">
        <is>
          <t>Part III - Upstream AI Research</t>
        </is>
      </c>
      <c r="C403" s="10" t="inlineStr">
        <is>
          <t>D.5.6 Paired reading - D.5</t>
        </is>
      </c>
      <c r="D403" s="10" t="inlineStr">
        <is>
          <t>Dao, FlashAttention</t>
        </is>
      </c>
      <c r="E403" s="10" t="inlineStr">
        <is>
          <t>arXiv:2205.14135</t>
        </is>
      </c>
      <c r="F403" s="10" t="inlineStr">
        <is>
          <t>Same function, 3× faster. Where did the time go?</t>
        </is>
      </c>
      <c r="G403" s="11" t="inlineStr"/>
    </row>
    <row r="404">
      <c r="A404" s="11" t="n">
        <v>400</v>
      </c>
      <c r="B404" s="17" t="inlineStr">
        <is>
          <t>Part III - Upstream AI Research</t>
        </is>
      </c>
      <c r="C404" s="10" t="inlineStr">
        <is>
          <t>D.5.6 Paired reading - D.5</t>
        </is>
      </c>
      <c r="D404" s="10" t="inlineStr">
        <is>
          <t>Shah, CUTLASS and FA-3</t>
        </is>
      </c>
      <c r="E404" s="10" t="inlineStr">
        <is>
          <t>arXiv:2407.08608</t>
        </is>
      </c>
      <c r="F404" s="10" t="inlineStr">
        <is>
          <t>What does implementing the idea actually cost?</t>
        </is>
      </c>
      <c r="G404" s="11" t="inlineStr"/>
    </row>
    <row r="405">
      <c r="A405" s="11" t="n">
        <v>401</v>
      </c>
      <c r="B405" s="17" t="inlineStr">
        <is>
          <t>Part III - Upstream AI Research</t>
        </is>
      </c>
      <c r="C405" s="10" t="inlineStr">
        <is>
          <t>D.5.6 Paired reading - D.5</t>
        </is>
      </c>
      <c r="D405" s="10" t="inlineStr">
        <is>
          <t>Tazi, Ultra-Scale (CS25 version</t>
        </is>
      </c>
      <c r="E405" s="10" t="inlineStr">
        <is>
          <t>The Ultra-Scale Playbook (HF</t>
        </is>
      </c>
      <c r="F405" s="10" t="inlineStr">
        <is>
          <t>Which parallelism applies to a 4-GPU node? Which does not?</t>
        </is>
      </c>
      <c r="G405" s="11" t="inlineStr"/>
    </row>
    <row r="406">
      <c r="A406" s="11" t="n">
        <v>402</v>
      </c>
      <c r="B406" s="17" t="inlineStr">
        <is>
          <t>Part III - Upstream AI Research</t>
        </is>
      </c>
      <c r="C406" s="10" t="inlineStr">
        <is>
          <t>D.5.6 Paired reading - D.5</t>
        </is>
      </c>
      <c r="D406" s="10" t="inlineStr">
        <is>
          <t>Rajbhandari, DeepSpeed</t>
        </is>
      </c>
      <c r="E406" s="10" t="inlineStr">
        <is>
          <t>arXiv:1910.02054 (ZeRO</t>
        </is>
      </c>
      <c r="F406" s="10" t="inlineStr">
        <is>
          <t>Partition states, not compute. What does each stage buy?</t>
        </is>
      </c>
      <c r="G406" s="11" t="inlineStr"/>
    </row>
    <row r="407">
      <c r="A407" s="11" t="n">
        <v>403</v>
      </c>
      <c r="B407" s="17" t="inlineStr">
        <is>
          <t>Part III - Upstream AI Research</t>
        </is>
      </c>
      <c r="C407" s="10" t="inlineStr">
        <is>
          <t>D.5.6 Paired reading - D.5</t>
        </is>
      </c>
      <c r="D407" s="10" t="inlineStr">
        <is>
          <t>Yang, Zero-Shot HP Transfer</t>
        </is>
      </c>
      <c r="E407" s="10" t="inlineStr">
        <is>
          <t>arXiv:2203.03466</t>
        </is>
      </c>
      <c r="F407" s="10" t="inlineStr">
        <is>
          <t>What is μP's parameterization, and what would it be for pair representations?</t>
        </is>
      </c>
      <c r="G407" s="11" t="inlineStr"/>
    </row>
    <row r="408">
      <c r="A408" s="11" t="n">
        <v>404</v>
      </c>
      <c r="B408" s="17" t="inlineStr">
        <is>
          <t>Part III - Upstream AI Research</t>
        </is>
      </c>
      <c r="C408" s="10" t="inlineStr">
        <is>
          <t>D.5.6 Paired reading - D.5</t>
        </is>
      </c>
      <c r="D408" s="10" t="inlineStr">
        <is>
          <t>Bernstein, Metrized Deep Learning</t>
        </is>
      </c>
      <c r="E408" s="10" t="inlineStr">
        <is>
          <t>arXiv:2405.14813; arXiv:2409.20325</t>
        </is>
      </c>
      <c r="F408" s="10" t="inlineStr">
        <is>
          <t>Choosing the norm is choosing the optimizer. Which norm fits your problem?</t>
        </is>
      </c>
      <c r="G408" s="11" t="inlineStr"/>
    </row>
    <row r="409">
      <c r="A409" s="11" t="n">
        <v>405</v>
      </c>
      <c r="B409" s="17" t="inlineStr">
        <is>
          <t>Part III - Upstream AI Research</t>
        </is>
      </c>
      <c r="C409" s="10" t="inlineStr">
        <is>
          <t>D.5.6 Paired reading - D.5</t>
        </is>
      </c>
      <c r="D409" s="10" t="inlineStr">
        <is>
          <t>Kaplan, Scaling Laws</t>
        </is>
      </c>
      <c r="E409" s="10" t="inlineStr">
        <is>
          <t>arXiv:2001.08361 then Hoffmann et al. 2022</t>
        </is>
      </c>
      <c r="F409" s="10" t="inlineStr">
        <is>
          <t>Why was Kaplan's compute-optimal ratio wrong, and what was the fix?</t>
        </is>
      </c>
      <c r="G409" s="11" t="inlineStr"/>
    </row>
    <row r="410">
      <c r="A410" s="11" t="n">
        <v>406</v>
      </c>
      <c r="B410" s="17" t="inlineStr">
        <is>
          <t>Part III - Upstream AI Research</t>
        </is>
      </c>
      <c r="C410" s="10" t="inlineStr">
        <is>
          <t>D.5.6 Paired reading - D.5</t>
        </is>
      </c>
      <c r="D410" s="10" t="inlineStr">
        <is>
          <t>Bahri, Origins of scaling laws</t>
        </is>
      </c>
      <c r="E410" s="10" t="inlineStr">
        <is>
          <t>arXiv:2102.06701</t>
        </is>
      </c>
      <c r="F410" s="10" t="inlineStr">
        <is>
          <t>Four regimes. Which one is a protein model in?</t>
        </is>
      </c>
      <c r="G410" s="11" t="inlineStr"/>
    </row>
    <row r="411">
      <c r="A411" s="11" t="n">
        <v>407</v>
      </c>
      <c r="B411" s="17" t="inlineStr">
        <is>
          <t>Part III - Upstream AI Research</t>
        </is>
      </c>
      <c r="C411" s="10" t="inlineStr">
        <is>
          <t>D.5.6 Paired reading - D.5</t>
        </is>
      </c>
      <c r="D411" s="10" t="inlineStr">
        <is>
          <t>Kudugunta, (Mis)Fitting</t>
        </is>
      </c>
      <c r="E411" s="10" t="inlineStr">
        <is>
          <t>The survey</t>
        </is>
      </c>
      <c r="F411" s="10" t="inlineStr">
        <is>
          <t>List five ways to fit a scaling law badly. Check your own plan against them.</t>
        </is>
      </c>
      <c r="G411" s="11" t="inlineStr"/>
    </row>
    <row r="412">
      <c r="A412" s="11" t="n">
        <v>408</v>
      </c>
      <c r="B412" s="17" t="inlineStr">
        <is>
          <t>Part III - Upstream AI Research</t>
        </is>
      </c>
      <c r="C412" s="10" t="inlineStr">
        <is>
          <t>D.5.6 Paired reading - D.5</t>
        </is>
      </c>
      <c r="D412" s="10" t="inlineStr">
        <is>
          <t>Penedo, FineWeb</t>
        </is>
      </c>
      <c r="E412" s="10" t="inlineStr">
        <is>
          <t>arXiv:2406.17557</t>
        </is>
      </c>
      <c r="F412" s="10" t="inlineStr">
        <is>
          <t>Every filter is an ablation. What is the protein equivalent of a filter?</t>
        </is>
      </c>
      <c r="G412" s="11" t="inlineStr"/>
    </row>
    <row r="413">
      <c r="A413" s="11" t="n">
        <v>409</v>
      </c>
      <c r="B413" s="17" t="inlineStr">
        <is>
          <t>Part III - Upstream AI Research</t>
        </is>
      </c>
      <c r="C413" s="10" t="inlineStr">
        <is>
          <t>D.5.6 Paired reading - D.5</t>
        </is>
      </c>
      <c r="D413" s="10" t="inlineStr">
        <is>
          <t>Morcos, Better Data</t>
        </is>
      </c>
      <c r="E413" s="10" t="inlineStr">
        <is>
          <t>Sorscher et al. 2022, arXiv:2206.14486</t>
        </is>
      </c>
      <c r="F413" s="10" t="inlineStr">
        <is>
          <t>Pruning can beat power-law scaling. What would you prune from the PDB?</t>
        </is>
      </c>
      <c r="G413" s="11" t="inlineStr"/>
    </row>
    <row r="414">
      <c r="A414" s="11" t="n">
        <v>410</v>
      </c>
      <c r="B414" s="17" t="inlineStr">
        <is>
          <t>Part III - Upstream AI Research</t>
        </is>
      </c>
      <c r="C414" s="10" t="inlineStr">
        <is>
          <t>D.5.6 Paired reading - D.5</t>
        </is>
      </c>
      <c r="D414" s="10" t="inlineStr">
        <is>
          <t>Xie, DoReMi and DSIR</t>
        </is>
      </c>
      <c r="E414" s="10" t="inlineStr">
        <is>
          <t>arXiv:2305.10429</t>
        </is>
      </c>
      <c r="F414" s="10" t="inlineStr">
        <is>
          <t>Reimplement DoReMi over Pfam families. What mixture does it find?</t>
        </is>
      </c>
      <c r="G414" s="11" t="inlineStr"/>
    </row>
    <row r="415">
      <c r="A415" s="11" t="n">
        <v>411</v>
      </c>
      <c r="B415" s="17" t="inlineStr">
        <is>
          <t>Part III - Upstream AI Research</t>
        </is>
      </c>
      <c r="C415" s="10" t="inlineStr">
        <is>
          <t>D.5.6 Paired reading - D.5</t>
        </is>
      </c>
      <c r="D415" s="10" t="inlineStr">
        <is>
          <t>Zhang, OPT-175B logbook</t>
        </is>
      </c>
      <c r="E415" s="10" t="inlineStr">
        <is>
          <t>Then re-watch Rocklin, Why designs fail</t>
        </is>
      </c>
      <c r="F415" s="10" t="inlineStr">
        <is>
          <t>Two cultures, two hidden-failure literatures. What norm should both adopt?</t>
        </is>
      </c>
      <c r="G415" s="11" t="inlineStr"/>
    </row>
    <row r="416">
      <c r="A416" s="11" t="n">
        <v>412</v>
      </c>
      <c r="B416" s="17" t="inlineStr">
        <is>
          <t>Part III - Upstream AI Research</t>
        </is>
      </c>
      <c r="C416" s="10" t="inlineStr">
        <is>
          <t>D.5.6 Paired reading - D.5</t>
        </is>
      </c>
      <c r="D416" s="10" t="inlineStr">
        <is>
          <t>Carlini, Poisoning training data</t>
        </is>
      </c>
      <c r="E416" s="10" t="inlineStr">
        <is>
          <t>arXiv:2302.10149</t>
        </is>
      </c>
      <c r="F416" s="10" t="inlineStr">
        <is>
          <t>Could the PDB be poisoned? What would it look like?</t>
        </is>
      </c>
      <c r="G416" s="11" t="inlineStr"/>
    </row>
    <row r="417">
      <c r="A417" s="11" t="n">
        <v>413</v>
      </c>
      <c r="B417" s="17" t="inlineStr">
        <is>
          <t>Part III - Upstream AI Research</t>
        </is>
      </c>
      <c r="C417" s="10" t="inlineStr">
        <is>
          <t>D.6.7 Paired reading - D.6</t>
        </is>
      </c>
      <c r="D417" s="10" t="inlineStr">
        <is>
          <t>Schulman, Proxy Objectives in RLHF</t>
        </is>
      </c>
      <c r="E417" s="10" t="inlineStr">
        <is>
          <t>Gao et al. 2023, arXiv:2210.10760</t>
        </is>
      </c>
      <c r="F417" s="10" t="inlineStr">
        <is>
          <t>Plot the over-optimization curve for pLDDT as a design reward.</t>
        </is>
      </c>
      <c r="G417" s="11" t="inlineStr"/>
    </row>
    <row r="418">
      <c r="A418" s="11" t="n">
        <v>414</v>
      </c>
      <c r="B418" s="17" t="inlineStr">
        <is>
          <t>Part III - Upstream AI Research</t>
        </is>
      </c>
      <c r="C418" s="10" t="inlineStr">
        <is>
          <t>D.6.7 Paired reading - D.6</t>
        </is>
      </c>
      <c r="D418" s="10" t="inlineStr">
        <is>
          <t>Lambert, Post-Training L9–10</t>
        </is>
      </c>
      <c r="E418" s="10" t="inlineStr">
        <is>
          <t>The RLHF Book, corresponding chapters</t>
        </is>
      </c>
      <c r="F418" s="10" t="inlineStr">
        <is>
          <t>Why does RL generalize where SFT forgets? Does that hold for PLMs?</t>
        </is>
      </c>
      <c r="G418" s="11" t="inlineStr"/>
    </row>
    <row r="419">
      <c r="A419" s="11" t="n">
        <v>415</v>
      </c>
      <c r="B419" s="17" t="inlineStr">
        <is>
          <t>Part III - Upstream AI Research</t>
        </is>
      </c>
      <c r="C419" s="10" t="inlineStr">
        <is>
          <t>D.6.7 Paired reading - D.6</t>
        </is>
      </c>
      <c r="D419" s="10" t="inlineStr">
        <is>
          <t>CS234, DPO with all three authors</t>
        </is>
      </c>
      <c r="E419" s="10" t="inlineStr">
        <is>
          <t>Rafailov et al. 2023, arXiv:2305.18290</t>
        </is>
      </c>
      <c r="F419" s="10" t="inlineStr">
        <is>
          <t>Derive DPO. Then ask whether Bradley-Terry fits wet-lab outcomes.</t>
        </is>
      </c>
      <c r="G419" s="11" t="inlineStr"/>
    </row>
    <row r="420">
      <c r="A420" s="11" t="n">
        <v>416</v>
      </c>
      <c r="B420" s="17" t="inlineStr">
        <is>
          <t>Part III - Upstream AI Research</t>
        </is>
      </c>
      <c r="C420" s="10" t="inlineStr">
        <is>
          <t>D.6.7 Paired reading - D.6</t>
        </is>
      </c>
      <c r="D420" s="10" t="inlineStr">
        <is>
          <t>Liu, Coherence in RLHF Preference Data</t>
        </is>
      </c>
      <c r="E420" s="10" t="inlineStr">
        <is>
          <t>The paper</t>
        </is>
      </c>
      <c r="F420" s="10" t="inlineStr">
        <is>
          <t>When is pairwise preference learning valid? Check your assay.</t>
        </is>
      </c>
      <c r="G420" s="11" t="inlineStr"/>
    </row>
    <row r="421">
      <c r="A421" s="11" t="n">
        <v>417</v>
      </c>
      <c r="B421" s="17" t="inlineStr">
        <is>
          <t>Part III - Upstream AI Research</t>
        </is>
      </c>
      <c r="C421" s="10" t="inlineStr">
        <is>
          <t>D.6.7 Paired reading - D.6</t>
        </is>
      </c>
      <c r="D421" s="10" t="inlineStr">
        <is>
          <t>Li, Spurious Rewards in RLVR</t>
        </is>
      </c>
      <c r="E421" s="10" t="inlineStr">
        <is>
          <t>The paper</t>
        </is>
      </c>
      <c r="F421" s="10" t="inlineStr">
        <is>
          <t>Design the experiment separating elicitation from learning.</t>
        </is>
      </c>
      <c r="G421" s="11" t="inlineStr"/>
    </row>
    <row r="422">
      <c r="A422" s="11" t="n">
        <v>418</v>
      </c>
      <c r="B422" s="17" t="inlineStr">
        <is>
          <t>Part III - Upstream AI Research</t>
        </is>
      </c>
      <c r="C422" s="10" t="inlineStr">
        <is>
          <t>D.6.7 Paired reading - D.6</t>
        </is>
      </c>
      <c r="D422" s="10" t="inlineStr">
        <is>
          <t>Lambert, Experimenting with RLVR</t>
        </is>
      </c>
      <c r="E422" s="10" t="inlineStr">
        <is>
          <t>Shao et al. 2024 (GRPO</t>
        </is>
      </c>
      <c r="F422" s="10" t="inlineStr">
        <is>
          <t>A verifier-based reward. What is your verifier, and is it gameable?</t>
        </is>
      </c>
      <c r="G422" s="11" t="inlineStr"/>
    </row>
    <row r="423">
      <c r="A423" s="11" t="n">
        <v>419</v>
      </c>
      <c r="B423" s="17" t="inlineStr">
        <is>
          <t>Part III - Upstream AI Research</t>
        </is>
      </c>
      <c r="C423" s="10" t="inlineStr">
        <is>
          <t>D.6.7 Paired reading - D.6</t>
        </is>
      </c>
      <c r="D423" s="10" t="inlineStr">
        <is>
          <t>Steinhardt, Forecasting and Aligning AI</t>
        </is>
      </c>
      <c r="E423" s="10" t="inlineStr">
        <is>
          <t>Pan et al. 2022, arXiv:2201.03544</t>
        </is>
      </c>
      <c r="F423" s="10" t="inlineStr">
        <is>
          <t>Reward hacking is a phase transition. Have you seen one?</t>
        </is>
      </c>
      <c r="G423" s="11" t="inlineStr"/>
    </row>
    <row r="424">
      <c r="A424" s="11" t="n">
        <v>420</v>
      </c>
      <c r="B424" s="17" t="inlineStr">
        <is>
          <t>Part III - Upstream AI Research</t>
        </is>
      </c>
      <c r="C424" s="10" t="inlineStr">
        <is>
          <t>D.6.7 Paired reading - D.6</t>
        </is>
      </c>
      <c r="D424" s="10" t="inlineStr">
        <is>
          <t>Leike, Supervising AI on hard tasks</t>
        </is>
      </c>
      <c r="E424" s="10" t="inlineStr">
        <is>
          <t>Burns et al. 2023, arXiv:2312.09390</t>
        </is>
      </c>
      <c r="F424" s="10" t="inlineStr">
        <is>
          <t>Can a weak verifier supervise a strong generator? What is the protein version?</t>
        </is>
      </c>
      <c r="G424" s="11" t="inlineStr"/>
    </row>
    <row r="425">
      <c r="A425" s="11" t="n">
        <v>421</v>
      </c>
      <c r="B425" s="17" t="inlineStr">
        <is>
          <t>Part III - Upstream AI Research</t>
        </is>
      </c>
      <c r="C425" s="10" t="inlineStr">
        <is>
          <t>D.6.7 Paired reading - D.6</t>
        </is>
      </c>
      <c r="D425" s="10" t="inlineStr">
        <is>
          <t>Wang, Self-Instruct</t>
        </is>
      </c>
      <c r="E425" s="10" t="inlineStr">
        <is>
          <t>arXiv:2212.10560</t>
        </is>
      </c>
      <c r="F425" s="10" t="inlineStr">
        <is>
          <t>Bootstrapping data from the model. What is the protein analogue, and its risk?</t>
        </is>
      </c>
      <c r="G425" s="11" t="inlineStr"/>
    </row>
    <row r="426">
      <c r="A426" s="11" t="n">
        <v>422</v>
      </c>
      <c r="B426" s="17" t="inlineStr">
        <is>
          <t>Part III - Upstream AI Research</t>
        </is>
      </c>
      <c r="C426" s="10" t="inlineStr">
        <is>
          <t>D.6.7 Paired reading - D.6</t>
        </is>
      </c>
      <c r="D426" s="10" t="inlineStr">
        <is>
          <t>Ben Allal, Synthetic data</t>
        </is>
      </c>
      <c r="E426" s="10" t="inlineStr">
        <is>
          <t>Shumailov et al. 2024, Nature 631:755</t>
        </is>
      </c>
      <c r="F426" s="10" t="inlineStr">
        <is>
          <t>Measure whether AFDB-trained models lost tail fold diversity.</t>
        </is>
      </c>
      <c r="G426" s="11" t="inlineStr"/>
    </row>
    <row r="427">
      <c r="A427" s="11" t="n">
        <v>423</v>
      </c>
      <c r="B427" s="19" t="inlineStr">
        <is>
          <t>Part IV - Performance Engineering</t>
        </is>
      </c>
      <c r="C427" s="10" t="inlineStr">
        <is>
          <t>E.4.11 Paired reading - E.4</t>
        </is>
      </c>
      <c r="D427" s="10" t="inlineStr">
        <is>
          <t>Spector, Notes on AI Hardware</t>
        </is>
      </c>
      <c r="E427" s="10" t="inlineStr">
        <is>
          <t>Any roofline tutorial</t>
        </is>
      </c>
      <c r="F427" s="10" t="inlineStr">
        <is>
          <t>Compute arithmetic intensity for one kernel you own.</t>
        </is>
      </c>
      <c r="G427" s="11" t="inlineStr"/>
    </row>
    <row r="428">
      <c r="A428" s="11" t="n">
        <v>424</v>
      </c>
      <c r="B428" s="19" t="inlineStr">
        <is>
          <t>Part IV - Performance Engineering</t>
        </is>
      </c>
      <c r="C428" s="10" t="inlineStr">
        <is>
          <t>E.4.11 Paired reading - E.4</t>
        </is>
      </c>
      <c r="D428" s="10" t="inlineStr">
        <is>
          <t>Hooker, The Hardware Lottery</t>
        </is>
      </c>
      <c r="E428" s="10" t="inlineStr">
        <is>
          <t>Her paper</t>
        </is>
      </c>
      <c r="F428" s="10" t="inlineStr">
        <is>
          <t>Which molecular methods won because of hardware rather than merit?</t>
        </is>
      </c>
      <c r="G428" s="11" t="inlineStr"/>
    </row>
    <row r="429">
      <c r="A429" s="11" t="n">
        <v>425</v>
      </c>
      <c r="B429" s="19" t="inlineStr">
        <is>
          <t>Part IV - Performance Engineering</t>
        </is>
      </c>
      <c r="C429" s="10" t="inlineStr">
        <is>
          <t>E.4.11 Paired reading - E.4</t>
        </is>
      </c>
      <c r="D429" s="10" t="inlineStr">
        <is>
          <t>PMPP L4–L7</t>
        </is>
      </c>
      <c r="E429" s="10" t="inlineStr">
        <is>
          <t>Hwu, Kirk &amp; El Hajj, PMPP, ch. 4–6</t>
        </is>
      </c>
      <c r="F429" s="10" t="inlineStr">
        <is>
          <t>Occupancy, coalescing, bank conflicts: audit one kernel against all three.</t>
        </is>
      </c>
      <c r="G429" s="11" t="inlineStr"/>
    </row>
    <row r="430">
      <c r="A430" s="11" t="n">
        <v>426</v>
      </c>
      <c r="B430" s="19" t="inlineStr">
        <is>
          <t>Part IV - Performance Engineering</t>
        </is>
      </c>
      <c r="C430" s="10" t="inlineStr">
        <is>
          <t>E.4.11 Paired reading - E.4</t>
        </is>
      </c>
      <c r="D430" s="10" t="inlineStr">
        <is>
          <t>PMPP supplementary GEMM lecture</t>
        </is>
      </c>
      <c r="E430" s="10" t="inlineStr"/>
      <c r="F430" s="10" t="inlineStr">
        <is>
          <t>Re-derive the optimization ladder from naive to competitive.</t>
        </is>
      </c>
      <c r="G430" s="11" t="inlineStr"/>
    </row>
    <row r="431">
      <c r="A431" s="11" t="n">
        <v>427</v>
      </c>
      <c r="B431" s="19" t="inlineStr">
        <is>
          <t>Part IV - Performance Engineering</t>
        </is>
      </c>
      <c r="C431" s="10" t="inlineStr">
        <is>
          <t>E.4.11 Paired reading - E.4</t>
        </is>
      </c>
      <c r="D431" s="10" t="inlineStr">
        <is>
          <t>GPU MODE L8, CUDA Performance Checklist</t>
        </is>
      </c>
      <c r="E431" s="10" t="inlineStr"/>
      <c r="F431" s="10" t="inlineStr">
        <is>
          <t>Run the checklist on a real kernel.</t>
        </is>
      </c>
      <c r="G431" s="11" t="inlineStr"/>
    </row>
    <row r="432">
      <c r="A432" s="11" t="n">
        <v>428</v>
      </c>
      <c r="B432" s="19" t="inlineStr">
        <is>
          <t>Part IV - Performance Engineering</t>
        </is>
      </c>
      <c r="C432" s="10" t="inlineStr">
        <is>
          <t>E.4.11 Paired reading - E.4</t>
        </is>
      </c>
      <c r="D432" s="10" t="inlineStr">
        <is>
          <t>GPU MODE L18, Fusing Kernels</t>
        </is>
      </c>
      <c r="E432" s="10" t="inlineStr">
        <is>
          <t>FlashAttention, arXiv:2205.14135</t>
        </is>
      </c>
      <c r="F432" s="10" t="inlineStr">
        <is>
          <t>What memory traffic does fusion eliminate?</t>
        </is>
      </c>
      <c r="G432" s="11" t="inlineStr"/>
    </row>
    <row r="433">
      <c r="A433" s="11" t="n">
        <v>429</v>
      </c>
      <c r="B433" s="19" t="inlineStr">
        <is>
          <t>Part IV - Performance Engineering</t>
        </is>
      </c>
      <c r="C433" s="10" t="inlineStr">
        <is>
          <t>E.4.11 Paired reading - E.4</t>
        </is>
      </c>
      <c r="D433" s="10" t="inlineStr">
        <is>
          <t>Giroux, std::atomic in CUDA</t>
        </is>
      </c>
      <c r="E433" s="10" t="inlineStr">
        <is>
          <t>CUDA memory-model docs</t>
        </is>
      </c>
      <c r="F433" s="10" t="inlineStr">
        <is>
          <t>What is a scope, and when does forward progress fail?</t>
        </is>
      </c>
      <c r="G433" s="11" t="inlineStr"/>
    </row>
    <row r="434">
      <c r="A434" s="11" t="n">
        <v>430</v>
      </c>
      <c r="B434" s="19" t="inlineStr">
        <is>
          <t>Part IV - Performance Engineering</t>
        </is>
      </c>
      <c r="C434" s="10" t="inlineStr">
        <is>
          <t>E.4.11 Paired reading - E.4</t>
        </is>
      </c>
      <c r="D434" s="10" t="inlineStr">
        <is>
          <t>Demmel, SC19 Test of Time</t>
        </is>
      </c>
      <c r="E434" s="10" t="inlineStr">
        <is>
          <t>Volkov &amp; Demmel, SC08</t>
        </is>
      </c>
      <c r="F434" s="10" t="inlineStr">
        <is>
          <t>Occupancy is not the objective. What is?</t>
        </is>
      </c>
      <c r="G434" s="11" t="inlineStr"/>
    </row>
    <row r="435">
      <c r="A435" s="11" t="n">
        <v>431</v>
      </c>
      <c r="B435" s="19" t="inlineStr">
        <is>
          <t>Part IV - Performance Engineering</t>
        </is>
      </c>
      <c r="C435" s="10" t="inlineStr">
        <is>
          <t>E.4.11 Paired reading - E.4</t>
        </is>
      </c>
      <c r="D435" s="10" t="inlineStr">
        <is>
          <t>He, Trillion Trillion FLOPs</t>
        </is>
      </c>
      <c r="E435" s="10" t="inlineStr"/>
      <c r="F435" s="10" t="inlineStr">
        <is>
          <t>Classify your bottleneck: compute, memory, or overhead?</t>
        </is>
      </c>
      <c r="G435" s="11" t="inlineStr"/>
    </row>
    <row r="436">
      <c r="A436" s="11" t="n">
        <v>432</v>
      </c>
      <c r="B436" s="19" t="inlineStr">
        <is>
          <t>Part IV - Performance Engineering</t>
        </is>
      </c>
      <c r="C436" s="10" t="inlineStr">
        <is>
          <t>E.4.11 Paired reading - E.4</t>
        </is>
      </c>
      <c r="D436" s="10" t="inlineStr">
        <is>
          <t>Yang, torchdynamo deep dive</t>
        </is>
      </c>
      <c r="E436" s="10" t="inlineStr">
        <is>
          <t>Ansel et al., ASPLOS 2024</t>
        </is>
      </c>
      <c r="F436" s="10" t="inlineStr">
        <is>
          <t>What does a guard cost, and when does it recompile?</t>
        </is>
      </c>
      <c r="G436" s="11" t="inlineStr"/>
    </row>
    <row r="437">
      <c r="A437" s="11" t="n">
        <v>433</v>
      </c>
      <c r="B437" s="19" t="inlineStr">
        <is>
          <t>Part IV - Performance Engineering</t>
        </is>
      </c>
      <c r="C437" s="10" t="inlineStr">
        <is>
          <t>E.4.11 Paired reading - E.4</t>
        </is>
      </c>
      <c r="D437" s="10" t="inlineStr">
        <is>
          <t>Cecka, CuTe</t>
        </is>
      </c>
      <c r="E437" s="10" t="inlineStr">
        <is>
          <t>CuTe docs 00quickstart–0tmmaatom</t>
        </is>
      </c>
      <c r="F437" s="10" t="inlineStr">
        <is>
          <t>What is a layout, algebraically?</t>
        </is>
      </c>
      <c r="G437" s="11" t="inlineStr"/>
    </row>
    <row r="438">
      <c r="A438" s="11" t="n">
        <v>434</v>
      </c>
      <c r="B438" s="19" t="inlineStr">
        <is>
          <t>Part IV - Performance Engineering</t>
        </is>
      </c>
      <c r="C438" s="10" t="inlineStr">
        <is>
          <t>E.4.11 Paired reading - E.4</t>
        </is>
      </c>
      <c r="D438" s="10" t="inlineStr">
        <is>
          <t>Shah, CUTLASS and FA3</t>
        </is>
      </c>
      <c r="E438" s="10" t="inlineStr">
        <is>
          <t>arXiv:2407.08608</t>
        </is>
      </c>
      <c r="F438" s="10" t="inlineStr">
        <is>
          <t>Warp specialization and async pipelining. What is overlapped?</t>
        </is>
      </c>
      <c r="G438" s="11" t="inlineStr"/>
    </row>
    <row r="439">
      <c r="A439" s="11" t="n">
        <v>435</v>
      </c>
      <c r="B439" s="19" t="inlineStr">
        <is>
          <t>Part IV - Performance Engineering</t>
        </is>
      </c>
      <c r="C439" s="10" t="inlineStr">
        <is>
          <t>E.4.11 Paired reading - E.4</t>
        </is>
      </c>
      <c r="D439" s="10" t="inlineStr">
        <is>
          <t>Micikevicius, Numerics and AI</t>
        </is>
      </c>
      <c r="E439" s="10" t="inlineStr">
        <is>
          <t>arXiv:1710.03740; arXiv:2209.05433</t>
        </is>
      </c>
      <c r="F439" s="10" t="inlineStr">
        <is>
          <t>Where does FP8 break, and what does loss scaling fix?</t>
        </is>
      </c>
      <c r="G439" s="11" t="inlineStr"/>
    </row>
    <row r="440">
      <c r="A440" s="11" t="n">
        <v>436</v>
      </c>
      <c r="B440" s="19" t="inlineStr">
        <is>
          <t>Part IV - Performance Engineering</t>
        </is>
      </c>
      <c r="C440" s="10" t="inlineStr">
        <is>
          <t>E.4.11 Paired reading - E.4</t>
        </is>
      </c>
      <c r="D440" s="10" t="inlineStr">
        <is>
          <t>Riach, Deep Learning Determinism</t>
        </is>
      </c>
      <c r="E440" s="10" t="inlineStr"/>
      <c r="F440" s="10" t="inlineStr">
        <is>
          <t>Are your benchmark numbers reproducible bitwise? Test it.</t>
        </is>
      </c>
      <c r="G440" s="11" t="inlineStr"/>
    </row>
    <row r="441">
      <c r="A441" s="11" t="n">
        <v>437</v>
      </c>
      <c r="B441" s="19" t="inlineStr">
        <is>
          <t>Part IV - Performance Engineering</t>
        </is>
      </c>
      <c r="C441" s="10" t="inlineStr">
        <is>
          <t>E.4.11 Paired reading - E.4</t>
        </is>
      </c>
      <c r="D441" s="10" t="inlineStr">
        <is>
          <t>Dally, HOTI accelerator clusters</t>
        </is>
      </c>
      <c r="E441" s="10" t="inlineStr"/>
      <c r="F441" s="10" t="inlineStr">
        <is>
          <t>At what message size does your interconnect stop being free?</t>
        </is>
      </c>
      <c r="G441" s="11" t="inlineStr"/>
    </row>
    <row r="442">
      <c r="A442" s="11" t="n">
        <v>438</v>
      </c>
      <c r="B442" s="19" t="inlineStr">
        <is>
          <t>Part IV - Performance Engineering</t>
        </is>
      </c>
      <c r="C442" s="10" t="inlineStr">
        <is>
          <t>E.5.7 Paired reading - E.5</t>
        </is>
      </c>
      <c r="D442" s="10" t="inlineStr">
        <is>
          <t>Mutlu, Systolic Arrays</t>
        </is>
      </c>
      <c r="E442" s="10" t="inlineStr">
        <is>
          <t>Kung &amp; Leiserson 1979</t>
        </is>
      </c>
      <c r="F442" s="10" t="inlineStr">
        <is>
          <t>Why does a systolic array suit matrix multiply and not N-body?</t>
        </is>
      </c>
      <c r="G442" s="11" t="inlineStr"/>
    </row>
    <row r="443">
      <c r="A443" s="11" t="n">
        <v>439</v>
      </c>
      <c r="B443" s="19" t="inlineStr">
        <is>
          <t>Part IV - Performance Engineering</t>
        </is>
      </c>
      <c r="C443" s="10" t="inlineStr">
        <is>
          <t>E.5.7 Paired reading - E.5</t>
        </is>
      </c>
      <c r="D443" s="10" t="inlineStr">
        <is>
          <t>Jouppi, TPU supercomputer</t>
        </is>
      </c>
      <c r="E443" s="10" t="inlineStr">
        <is>
          <t>arXiv:1704.04760 then arXiv:2304.01433</t>
        </is>
      </c>
      <c r="F443" s="10" t="inlineStr">
        <is>
          <t>Roofline the TPU. Where would an Evoformer land on it?</t>
        </is>
      </c>
      <c r="G443" s="11" t="inlineStr"/>
    </row>
    <row r="444">
      <c r="A444" s="11" t="n">
        <v>440</v>
      </c>
      <c r="B444" s="19" t="inlineStr">
        <is>
          <t>Part IV - Performance Engineering</t>
        </is>
      </c>
      <c r="C444" s="10" t="inlineStr">
        <is>
          <t>E.5.7 Paired reading - E.5</t>
        </is>
      </c>
      <c r="D444" s="10" t="inlineStr">
        <is>
          <t>OpenXLA, Operator Fusion</t>
        </is>
      </c>
      <c r="E444" s="10" t="inlineStr">
        <is>
          <t>The XLA fusion documentation</t>
        </is>
      </c>
      <c r="F444" s="10" t="inlineStr">
        <is>
          <t>What does fusion eliminate? Connect it to Section E.2.</t>
        </is>
      </c>
      <c r="G444" s="11" t="inlineStr"/>
    </row>
    <row r="445">
      <c r="A445" s="11" t="n">
        <v>441</v>
      </c>
      <c r="B445" s="19" t="inlineStr">
        <is>
          <t>Part IV - Performance Engineering</t>
        </is>
      </c>
      <c r="C445" s="10" t="inlineStr">
        <is>
          <t>E.5.7 Paired reading - E.5</t>
        </is>
      </c>
      <c r="D445" s="10" t="inlineStr">
        <is>
          <t>Adams, Making a blur faster in Halide</t>
        </is>
      </c>
      <c r="E445" s="10" t="inlineStr">
        <is>
          <t>Ragan-Kelley et al., PLDI 2013</t>
        </is>
      </c>
      <c r="F445" s="10" t="inlineStr">
        <is>
          <t>Separate algorithm from schedule for one MD kernel on paper.</t>
        </is>
      </c>
      <c r="G445" s="11" t="inlineStr"/>
    </row>
    <row r="446">
      <c r="A446" s="11" t="n">
        <v>442</v>
      </c>
      <c r="B446" s="19" t="inlineStr">
        <is>
          <t>Part IV - Performance Engineering</t>
        </is>
      </c>
      <c r="C446" s="10" t="inlineStr">
        <is>
          <t>E.5.7 Paired reading - E.5</t>
        </is>
      </c>
      <c r="D446" s="10" t="inlineStr">
        <is>
          <t>Chen, TVM</t>
        </is>
      </c>
      <c r="E446" s="10" t="inlineStr">
        <is>
          <t>arXiv:1802.04799</t>
        </is>
      </c>
      <c r="F446" s="10" t="inlineStr">
        <is>
          <t>Learned cost models for kernel search. Could you autotune a force kernel?</t>
        </is>
      </c>
      <c r="G446" s="11" t="inlineStr"/>
    </row>
    <row r="447">
      <c r="A447" s="11" t="n">
        <v>443</v>
      </c>
      <c r="B447" s="19" t="inlineStr">
        <is>
          <t>Part IV - Performance Engineering</t>
        </is>
      </c>
      <c r="C447" s="10" t="inlineStr">
        <is>
          <t>E.5.7 Paired reading - E.5</t>
        </is>
      </c>
      <c r="D447" s="10" t="inlineStr">
        <is>
          <t>Schoenholz, JAX MD</t>
        </is>
      </c>
      <c r="E447" s="10" t="inlineStr">
        <is>
          <t>arXiv:1912.04232</t>
        </is>
      </c>
      <c r="F447" s="10" t="inlineStr">
        <is>
          <t>Differentiating through a simulation. What becomes possible?</t>
        </is>
      </c>
      <c r="G447" s="11" t="inlineStr"/>
    </row>
    <row r="448">
      <c r="A448" s="11" t="n">
        <v>444</v>
      </c>
      <c r="B448" s="19" t="inlineStr">
        <is>
          <t>Part IV - Performance Engineering</t>
        </is>
      </c>
      <c r="C448" s="10" t="inlineStr">
        <is>
          <t>E.5.7 Paired reading - E.5</t>
        </is>
      </c>
      <c r="D448" s="10" t="inlineStr">
        <is>
          <t>Köhler, NNs and numerical solvers in JAX</t>
        </is>
      </c>
      <c r="E448" s="10" t="inlineStr">
        <is>
          <t>The accompanying paper</t>
        </is>
      </c>
      <c r="F448" s="10" t="inlineStr">
        <is>
          <t>Where does the gradient through a long trajectory become useless?</t>
        </is>
      </c>
      <c r="G448" s="11" t="inlineStr"/>
    </row>
    <row r="449">
      <c r="A449" s="11" t="n">
        <v>445</v>
      </c>
      <c r="B449" s="19" t="inlineStr">
        <is>
          <t>Part IV - Performance Engineering</t>
        </is>
      </c>
      <c r="C449" s="10" t="inlineStr">
        <is>
          <t>E.5.7 Paired reading - E.5</t>
        </is>
      </c>
      <c r="D449" s="10" t="inlineStr">
        <is>
          <t>Hot Chips session (#40</t>
        </is>
      </c>
      <c r="E449" s="10" t="inlineStr">
        <is>
          <t>Compare the four claims</t>
        </is>
      </c>
      <c r="F449" s="10" t="inlineStr">
        <is>
          <t>Bandwidth, latency, or capacity? Classify each vendor correctly.</t>
        </is>
      </c>
      <c r="G449" s="11" t="inlineStr"/>
    </row>
    <row r="450">
      <c r="A450" s="11" t="n">
        <v>446</v>
      </c>
      <c r="B450" s="19" t="inlineStr">
        <is>
          <t>Part IV - Performance Engineering</t>
        </is>
      </c>
      <c r="C450" s="10" t="inlineStr">
        <is>
          <t>E.5.7 Paired reading - E.5</t>
        </is>
      </c>
      <c r="D450" s="10" t="inlineStr">
        <is>
          <t>Lie, Thinking Outside the Die</t>
        </is>
      </c>
      <c r="E450" s="10" t="inlineStr">
        <is>
          <t>Cerebras WSE papers</t>
        </is>
      </c>
      <c r="F450" s="10" t="inlineStr">
        <is>
          <t>What does wafer-scale buy, and what does it give up?</t>
        </is>
      </c>
      <c r="G450" s="11" t="inlineStr"/>
    </row>
    <row r="451">
      <c r="A451" s="11" t="n">
        <v>447</v>
      </c>
      <c r="B451" s="19" t="inlineStr">
        <is>
          <t>Part IV - Performance Engineering</t>
        </is>
      </c>
      <c r="C451" s="10" t="inlineStr">
        <is>
          <t>E.5.7 Paired reading - E.5</t>
        </is>
      </c>
      <c r="D451" s="10" t="inlineStr">
        <is>
          <t>Shaw, Anton</t>
        </is>
      </c>
      <c r="E451" s="10" t="inlineStr">
        <is>
          <t>Shaw et al., SC09, 10.1145/1654059.1654126</t>
        </is>
      </c>
      <c r="F451" s="10" t="inlineStr">
        <is>
          <t>What was specialized, and what was deliberately left general?</t>
        </is>
      </c>
      <c r="G451" s="11" t="inlineStr"/>
    </row>
    <row r="452">
      <c r="A452" s="11" t="n">
        <v>448</v>
      </c>
      <c r="B452" s="19" t="inlineStr">
        <is>
          <t>Part IV - Performance Engineering</t>
        </is>
      </c>
      <c r="C452" s="10" t="inlineStr">
        <is>
          <t>E.5.7 Paired reading - E.5</t>
        </is>
      </c>
      <c r="D452" s="10" t="inlineStr">
        <is>
          <t>Butts, Anton 3</t>
        </is>
      </c>
      <c r="E452" s="10" t="inlineStr">
        <is>
          <t>Shaw et al., SC21, 10.1145/3458817.3487397</t>
        </is>
      </c>
      <c r="F452" s="10" t="inlineStr">
        <is>
          <t>Twenty microseconds before lunch. What changed from Anton 2?</t>
        </is>
      </c>
      <c r="G452" s="11" t="inlineStr"/>
    </row>
    <row r="453">
      <c r="A453" s="11" t="n">
        <v>449</v>
      </c>
      <c r="B453" s="19" t="inlineStr">
        <is>
          <t>Part IV - Performance Engineering</t>
        </is>
      </c>
      <c r="C453" s="10" t="inlineStr">
        <is>
          <t>E.5.7 Paired reading - E.5</t>
        </is>
      </c>
      <c r="D453" s="10" t="inlineStr">
        <is>
          <t>Shaw, SC23 Test of Time</t>
        </is>
      </c>
      <c r="E453" s="10" t="inlineStr">
        <is>
          <t>The retrospective</t>
        </is>
      </c>
      <c r="F453" s="10" t="inlineStr">
        <is>
          <t>The gap to general-purpose hardware grew to 400×. Why?</t>
        </is>
      </c>
      <c r="G453" s="11" t="inlineStr"/>
    </row>
    <row r="454">
      <c r="A454" s="11" t="n">
        <v>450</v>
      </c>
      <c r="B454" s="19" t="inlineStr">
        <is>
          <t>Part IV - Performance Engineering</t>
        </is>
      </c>
      <c r="C454" s="10" t="inlineStr">
        <is>
          <t>E.5.7 Paired reading - E.5</t>
        </is>
      </c>
      <c r="D454" s="10" t="inlineStr">
        <is>
          <t>Taiji, MDGRAPE-4A</t>
        </is>
      </c>
      <c r="E454" s="10" t="inlineStr">
        <is>
          <t>The MDGRAPE papers</t>
        </is>
      </c>
      <c r="F454" s="10" t="inlineStr">
        <is>
          <t>Why did attached accelerators have to become SoCs?</t>
        </is>
      </c>
      <c r="G454" s="11" t="inlineStr"/>
    </row>
    <row r="455">
      <c r="A455" s="11" t="n">
        <v>451</v>
      </c>
      <c r="B455" s="19" t="inlineStr">
        <is>
          <t>Part IV - Performance Engineering</t>
        </is>
      </c>
      <c r="C455" s="10" t="inlineStr">
        <is>
          <t>E.5.7 Paired reading - E.5</t>
        </is>
      </c>
      <c r="D455" s="10" t="inlineStr">
        <is>
          <t>Young, Codesign from Semiconductors to AI</t>
        </is>
      </c>
      <c r="E455" s="10" t="inlineStr">
        <is>
          <t>Anton ISCA 2007 + TPU ISCA 2017</t>
        </is>
      </c>
      <c r="F455" s="10" t="inlineStr">
        <is>
          <t>The same people built both. What transferred, and what did not?</t>
        </is>
      </c>
      <c r="G455" s="11" t="inlineStr"/>
    </row>
    <row r="456">
      <c r="A456" s="11" t="n">
        <v>452</v>
      </c>
      <c r="B456" s="19" t="inlineStr">
        <is>
          <t>Part IV - Performance Engineering</t>
        </is>
      </c>
      <c r="C456" s="10" t="inlineStr">
        <is>
          <t>E.5.7 Paired reading - E.5</t>
        </is>
      </c>
      <c r="D456" s="10" t="inlineStr">
        <is>
          <t>U. Toronto, FPGA vs Custom CMOS</t>
        </is>
      </c>
      <c r="E456" s="10" t="inlineStr">
        <is>
          <t>The paper</t>
        </is>
      </c>
      <c r="F456" s="10" t="inlineStr">
        <is>
          <t>17–27× area tax. When is an FPGA the right answer?</t>
        </is>
      </c>
      <c r="G456" s="11" t="inlineStr"/>
    </row>
    <row r="457">
      <c r="A457" s="11" t="n">
        <v>453</v>
      </c>
      <c r="B457" s="19" t="inlineStr">
        <is>
          <t>Part IV - Performance Engineering</t>
        </is>
      </c>
      <c r="C457" s="10" t="inlineStr">
        <is>
          <t>E.6.9 Paired reading - E.6</t>
        </is>
      </c>
      <c r="D457" s="10" t="inlineStr">
        <is>
          <t>Alekseenko &amp; Páll, Black box of GROMACS performance</t>
        </is>
      </c>
      <c r="E457" s="10" t="inlineStr">
        <is>
          <t>Your own md.log</t>
        </is>
      </c>
      <c r="F457" s="10" t="inlineStr">
        <is>
          <t>Are you PME-bound, bonded-bound or PCIe-bound? Find out.</t>
        </is>
      </c>
      <c r="G457" s="11" t="inlineStr"/>
    </row>
    <row r="458">
      <c r="A458" s="11" t="n">
        <v>454</v>
      </c>
      <c r="B458" s="19" t="inlineStr">
        <is>
          <t>Part IV - Performance Engineering</t>
        </is>
      </c>
      <c r="C458" s="10" t="inlineStr">
        <is>
          <t>E.6.9 Paired reading - E.6</t>
        </is>
      </c>
      <c r="D458" s="10" t="inlineStr">
        <is>
          <t>Hess, Getting good performance</t>
        </is>
      </c>
      <c r="E458" s="10" t="inlineStr">
        <is>
          <t>Páll et al. 2020, JCP 153:134110</t>
        </is>
      </c>
      <c r="F458" s="10" t="inlineStr">
        <is>
          <t>Which three settings move ns/day most on your hardware?</t>
        </is>
      </c>
      <c r="G458" s="11" t="inlineStr"/>
    </row>
    <row r="459">
      <c r="A459" s="11" t="n">
        <v>455</v>
      </c>
      <c r="B459" s="19" t="inlineStr">
        <is>
          <t>Part IV - Performance Engineering</t>
        </is>
      </c>
      <c r="C459" s="10" t="inlineStr">
        <is>
          <t>E.6.9 Paired reading - E.6</t>
        </is>
      </c>
      <c r="D459" s="10" t="inlineStr">
        <is>
          <t>Páll, Heterogeneous parallelization</t>
        </is>
      </c>
      <c r="E459" s="10" t="inlineStr">
        <is>
          <t>Same paper</t>
        </is>
      </c>
      <c r="F459" s="10" t="inlineStr">
        <is>
          <t>What did GPU-resident mode change about the CPU/GPU balance?</t>
        </is>
      </c>
      <c r="G459" s="11" t="inlineStr"/>
    </row>
    <row r="460">
      <c r="A460" s="11" t="n">
        <v>456</v>
      </c>
      <c r="B460" s="19" t="inlineStr">
        <is>
          <t>Part IV - Performance Engineering</t>
        </is>
      </c>
      <c r="C460" s="10" t="inlineStr">
        <is>
          <t>E.6.9 Paired reading - E.6</t>
        </is>
      </c>
      <c r="D460" s="10" t="inlineStr">
        <is>
          <t>TCBG, Particle-Grid Algorithms</t>
        </is>
      </c>
      <c r="E460" s="10" t="inlineStr">
        <is>
          <t>Essmann et al. 1995, JCP 103:8577</t>
        </is>
      </c>
      <c r="F460" s="10" t="inlineStr">
        <is>
          <t>Derive the PME communication cost. (Checkpoint 68.</t>
        </is>
      </c>
      <c r="G460" s="11" t="inlineStr"/>
    </row>
    <row r="461">
      <c r="A461" s="11" t="n">
        <v>457</v>
      </c>
      <c r="B461" s="19" t="inlineStr">
        <is>
          <t>Part IV - Performance Engineering</t>
        </is>
      </c>
      <c r="C461" s="10" t="inlineStr">
        <is>
          <t>E.6.9 Paired reading - E.6</t>
        </is>
      </c>
      <c r="D461" s="10" t="inlineStr">
        <is>
          <t>Simbios, Customizing Forces in OpenMM</t>
        </is>
      </c>
      <c r="E461" s="10" t="inlineStr">
        <is>
          <t>Eastman et al. 2017, PLoS Comput Biol 13:e1005659</t>
        </is>
      </c>
      <c r="F461" s="10" t="inlineStr">
        <is>
          <t>Runtime kernel compilation. What does that enable?</t>
        </is>
      </c>
      <c r="G461" s="11" t="inlineStr"/>
    </row>
    <row r="462">
      <c r="A462" s="11" t="n">
        <v>458</v>
      </c>
      <c r="B462" s="19" t="inlineStr">
        <is>
          <t>Part IV - Performance Engineering</t>
        </is>
      </c>
      <c r="C462" s="10" t="inlineStr">
        <is>
          <t>E.6.9 Paired reading - E.6</t>
        </is>
      </c>
      <c r="D462" s="10" t="inlineStr">
        <is>
          <t>Simbios, Validation of OpenMM</t>
        </is>
      </c>
      <c r="E462" s="10" t="inlineStr"/>
      <c r="F462" s="10" t="inlineStr">
        <is>
          <t>How would you prove your own simulation is numerically correct?</t>
        </is>
      </c>
      <c r="G462" s="11" t="inlineStr"/>
    </row>
    <row r="463">
      <c r="A463" s="11" t="n">
        <v>459</v>
      </c>
      <c r="B463" s="19" t="inlineStr">
        <is>
          <t>Part IV - Performance Engineering</t>
        </is>
      </c>
      <c r="C463" s="10" t="inlineStr">
        <is>
          <t>E.6.9 Paired reading - E.6</t>
        </is>
      </c>
      <c r="D463" s="10" t="inlineStr">
        <is>
          <t>Hardy, NAMD on Multi-GPU</t>
        </is>
      </c>
      <c r="E463" s="10" t="inlineStr">
        <is>
          <t>Phillips et al. 2020, JCP 153:044130</t>
        </is>
      </c>
      <c r="F463" s="10" t="inlineStr">
        <is>
          <t>As GPUs got faster, what became the bottleneck?</t>
        </is>
      </c>
      <c r="G463" s="11" t="inlineStr"/>
    </row>
    <row r="464">
      <c r="A464" s="11" t="n">
        <v>460</v>
      </c>
      <c r="B464" s="19" t="inlineStr">
        <is>
          <t>Part IV - Performance Engineering</t>
        </is>
      </c>
      <c r="C464" s="10" t="inlineStr">
        <is>
          <t>E.6.9 Paired reading - E.6</t>
        </is>
      </c>
      <c r="D464" s="10" t="inlineStr">
        <is>
          <t>NHR@FAU L7, ccNUMA</t>
        </is>
      </c>
      <c r="E464" s="10" t="inlineStr"/>
      <c r="F464" s="10" t="inlineStr">
        <is>
          <t>Check thread pinning on your own nodes. Is first-touch respected?</t>
        </is>
      </c>
      <c r="G464" s="11" t="inlineStr"/>
    </row>
    <row r="465">
      <c r="A465" s="11" t="n">
        <v>461</v>
      </c>
      <c r="B465" s="19" t="inlineStr">
        <is>
          <t>Part IV - Performance Engineering</t>
        </is>
      </c>
      <c r="C465" s="10" t="inlineStr">
        <is>
          <t>E.6.9 Paired reading - E.6</t>
        </is>
      </c>
      <c r="D465" s="10" t="inlineStr">
        <is>
          <t>NHR@FAU L13, MPI + OpenMP</t>
        </is>
      </c>
      <c r="E465" s="10" t="inlineStr"/>
      <c r="F465" s="10" t="inlineStr">
        <is>
          <t>What are you trading when you set -ntmpi and -ntomp?</t>
        </is>
      </c>
      <c r="G465" s="11" t="inlineStr"/>
    </row>
    <row r="466">
      <c r="A466" s="11" t="n">
        <v>462</v>
      </c>
      <c r="B466" s="19" t="inlineStr">
        <is>
          <t>Part IV - Performance Engineering</t>
        </is>
      </c>
      <c r="C466" s="10" t="inlineStr">
        <is>
          <t>E.6.9 Paired reading - E.6</t>
        </is>
      </c>
      <c r="D466" s="10" t="inlineStr">
        <is>
          <t>McCalpin, Memory Bandwidth and System Balance</t>
        </is>
      </c>
      <c r="E466" s="10" t="inlineStr">
        <is>
          <t>Wulf &amp; McKee 1995</t>
        </is>
      </c>
      <c r="F466" s="10" t="inlineStr">
        <is>
          <t>Compute bytes-per-flop for your machine.</t>
        </is>
      </c>
      <c r="G466" s="11" t="inlineStr"/>
    </row>
    <row r="467">
      <c r="A467" s="11" t="n">
        <v>463</v>
      </c>
      <c r="B467" s="19" t="inlineStr">
        <is>
          <t>Part IV - Performance Engineering</t>
        </is>
      </c>
      <c r="C467" s="10" t="inlineStr">
        <is>
          <t>E.6.9 Paired reading - E.6</t>
        </is>
      </c>
      <c r="D467" s="10" t="inlineStr">
        <is>
          <t>Mutlu, Accelerating Genome Analysis</t>
        </is>
      </c>
      <c r="E467" s="10" t="inlineStr">
        <is>
          <t>The accompanying papers</t>
        </is>
      </c>
      <c r="F467" s="10" t="inlineStr">
        <is>
          <t>The memory wall on a biological workload. Where is the opportunity?</t>
        </is>
      </c>
      <c r="G467" s="11" t="inlineStr"/>
    </row>
    <row r="468">
      <c r="A468" s="11" t="n">
        <v>464</v>
      </c>
      <c r="B468" s="19" t="inlineStr">
        <is>
          <t>Part IV - Performance Engineering</t>
        </is>
      </c>
      <c r="C468" s="10" t="inlineStr">
        <is>
          <t>E.6.9 Paired reading - E.6</t>
        </is>
      </c>
      <c r="D468" s="10" t="inlineStr">
        <is>
          <t>MIT 6.172 L10, Measurement and Timing</t>
        </is>
      </c>
      <c r="E468" s="10" t="inlineStr"/>
      <c r="F468" s="10" t="inlineStr">
        <is>
          <t>Re-run your last benchmark with error bars. Does the conclusion hold?</t>
        </is>
      </c>
      <c r="G468" s="11" t="inlineStr"/>
    </row>
    <row r="469">
      <c r="A469" s="11" t="n">
        <v>465</v>
      </c>
      <c r="B469" s="19" t="inlineStr">
        <is>
          <t>Part IV - Performance Engineering</t>
        </is>
      </c>
      <c r="C469" s="10" t="inlineStr">
        <is>
          <t>E.6.9 Paired reading - E.6</t>
        </is>
      </c>
      <c r="D469" s="10" t="inlineStr">
        <is>
          <t>MIT 6.172 L14, Caching</t>
        </is>
      </c>
      <c r="E469" s="10" t="inlineStr"/>
      <c r="F469" s="10" t="inlineStr">
        <is>
          <t>Design a neighbour-list layout against the cache model.</t>
        </is>
      </c>
      <c r="G469" s="11" t="inlineStr"/>
    </row>
    <row r="470">
      <c r="A470" s="11" t="n">
        <v>466</v>
      </c>
      <c r="B470" s="19" t="inlineStr">
        <is>
          <t>Part IV - Performance Engineering</t>
        </is>
      </c>
      <c r="C470" s="10" t="inlineStr">
        <is>
          <t>E.6.9 Paired reading - E.6</t>
        </is>
      </c>
      <c r="D470" s="10" t="inlineStr">
        <is>
          <t>Trott, Performance Portability</t>
        </is>
      </c>
      <c r="E470" s="10" t="inlineStr">
        <is>
          <t>The Kokkos papers</t>
        </is>
      </c>
      <c r="F470" s="10" t="inlineStr">
        <is>
          <t>One source, every accelerator. What does the abstraction cost?</t>
        </is>
      </c>
      <c r="G470" s="11" t="inlineStr"/>
    </row>
    <row r="471">
      <c r="A471" s="11" t="n">
        <v>467</v>
      </c>
      <c r="B471" s="19" t="inlineStr">
        <is>
          <t>Part IV - Performance Engineering</t>
        </is>
      </c>
      <c r="C471" s="10" t="inlineStr">
        <is>
          <t>E.6.9 Paired reading - E.6</t>
        </is>
      </c>
      <c r="D471" s="10" t="inlineStr">
        <is>
          <t>LLNL, Benchpark</t>
        </is>
      </c>
      <c r="E471" s="10" t="inlineStr"/>
      <c r="F471" s="10" t="inlineStr">
        <is>
          <t>Set up one reproducible benchmark for your fleet. Track it.</t>
        </is>
      </c>
      <c r="G471" s="11" t="inlineStr"/>
    </row>
  </sheetData>
  <autoFilter ref="A4:G471"/>
  <mergeCells count="2">
    <mergeCell ref="A2:F2"/>
    <mergeCell ref="A1:F1"/>
  </mergeCells>
  <dataValidations count="1">
    <dataValidation sqref="G5:G471" showDropDown="0" showInputMessage="0" showErrorMessage="0" allowBlank="1" type="list">
      <formula1>"Yes"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7"/>
  <sheetViews>
    <sheetView showGridLines="0" workbookViewId="0">
      <pane ySplit="4" topLeftCell="A5" activePane="bottomLeft" state="frozen"/>
      <selection pane="bottomLeft" activeCell="A1" sqref="A1"/>
    </sheetView>
  </sheetViews>
  <sheetFormatPr baseColWidth="8" defaultRowHeight="15"/>
  <cols>
    <col width="6" customWidth="1" min="1" max="1"/>
    <col width="34" customWidth="1" min="2" max="2"/>
    <col width="108" customWidth="1" min="3" max="3"/>
    <col width="22" customWidth="1" min="4" max="4"/>
    <col width="12" customWidth="1" min="5" max="5"/>
  </cols>
  <sheetData>
    <row r="1">
      <c r="A1" s="2" t="inlineStr">
        <is>
          <t>Derivation checkpoints</t>
        </is>
      </c>
      <c r="B1" s="1" t="n"/>
      <c r="C1" s="1" t="n"/>
      <c r="D1" s="1" t="n"/>
      <c r="E1" s="1" t="n"/>
    </row>
    <row r="2">
      <c r="A2" s="3" t="inlineStr">
        <is>
          <t>Things to derive from a blank page. Three states, and only the third counts: not started, attempted, can reproduce from blank paper.</t>
        </is>
      </c>
      <c r="B2" s="1" t="n"/>
      <c r="C2" s="1" t="n"/>
      <c r="D2" s="1" t="n"/>
      <c r="E2" s="1" t="n"/>
    </row>
    <row r="3">
      <c r="A3" s="1" t="n"/>
      <c r="B3" s="1" t="n"/>
      <c r="C3" s="1" t="n"/>
      <c r="D3" s="1" t="n"/>
      <c r="E3" s="1" t="n"/>
    </row>
    <row r="4" ht="28" customHeight="1">
      <c r="A4" s="7" t="inlineStr">
        <is>
          <t>#</t>
        </is>
      </c>
      <c r="B4" s="7" t="inlineStr">
        <is>
          <t>Family</t>
        </is>
      </c>
      <c r="C4" s="7" t="inlineStr">
        <is>
          <t>What to derive</t>
        </is>
      </c>
      <c r="D4" s="7" t="inlineStr">
        <is>
          <t>State</t>
        </is>
      </c>
      <c r="E4" s="7" t="inlineStr">
        <is>
          <t>Date</t>
        </is>
      </c>
    </row>
    <row r="5">
      <c r="A5" s="11" t="n">
        <v>1</v>
      </c>
      <c r="B5" s="10" t="inlineStr">
        <is>
          <t>From potential energy functions (Family A</t>
        </is>
      </c>
      <c r="C5" s="10" t="inlineStr">
        <is>
          <t>1. Write down every term in a modern molecular mechanics force field and name</t>
        </is>
      </c>
      <c r="D5" s="11" t="inlineStr">
        <is>
          <t>Not started</t>
        </is>
      </c>
      <c r="E5" s="13" t="n"/>
    </row>
    <row r="6">
      <c r="A6" s="11" t="n">
        <v>2</v>
      </c>
      <c r="B6" s="10" t="inlineStr">
        <is>
          <t>From potential energy functions (Family A</t>
        </is>
      </c>
      <c r="C6" s="10" t="inlineStr">
        <is>
          <t>2. Derive the Lennard-Jones potential's relationship to dispersion and Pauli</t>
        </is>
      </c>
      <c r="D6" s="11" t="inlineStr">
        <is>
          <t>Not started</t>
        </is>
      </c>
      <c r="E6" s="13" t="n"/>
    </row>
    <row r="7">
      <c r="A7" s="11" t="n">
        <v>3</v>
      </c>
      <c r="B7" s="10" t="inlineStr">
        <is>
          <t>From potential energy functions (Family A</t>
        </is>
      </c>
      <c r="C7" s="10" t="inlineStr">
        <is>
          <t>3. Explain Ewald summation and why particle-mesh Ewald is O(N log N). State what</t>
        </is>
      </c>
      <c r="D7" s="11" t="inlineStr">
        <is>
          <t>Not started</t>
        </is>
      </c>
      <c r="E7" s="13" t="n"/>
    </row>
    <row r="8">
      <c r="A8" s="11" t="n">
        <v>4</v>
      </c>
      <c r="B8" s="10" t="inlineStr">
        <is>
          <t>From potential energy functions (Family A</t>
        </is>
      </c>
      <c r="C8" s="10" t="inlineStr">
        <is>
          <t>4. Explain what a polarizable force field adds, and why the added cost has not</t>
        </is>
      </c>
      <c r="D8" s="11" t="inlineStr">
        <is>
          <t>Not started</t>
        </is>
      </c>
      <c r="E8" s="13" t="n"/>
    </row>
    <row r="9">
      <c r="A9" s="11" t="n">
        <v>5</v>
      </c>
      <c r="B9" s="10" t="inlineStr">
        <is>
          <t>From potential energy functions (Family A</t>
        </is>
      </c>
      <c r="C9" s="10" t="inlineStr">
        <is>
          <t>5. Derive the functional form of a machine-learned interatomic potential's</t>
        </is>
      </c>
      <c r="D9" s="11" t="inlineStr">
        <is>
          <t>Not started</t>
        </is>
      </c>
      <c r="E9" s="13" t="n"/>
    </row>
    <row r="10">
      <c r="A10" s="11" t="n">
        <v>6</v>
      </c>
      <c r="B10" s="10" t="inlineStr">
        <is>
          <t>From molecular dynamics (Family B</t>
        </is>
      </c>
      <c r="C10" s="10" t="inlineStr">
        <is>
          <t>6. Show that velocity Verlet is symplectic and time-reversible, and explain what</t>
        </is>
      </c>
      <c r="D10" s="11" t="inlineStr">
        <is>
          <t>Not started</t>
        </is>
      </c>
      <c r="E10" s="13" t="n"/>
    </row>
    <row r="11">
      <c r="A11" s="11" t="n">
        <v>7</v>
      </c>
      <c r="B11" s="10" t="inlineStr">
        <is>
          <t>From molecular dynamics (Family B</t>
        </is>
      </c>
      <c r="C11" s="10" t="inlineStr">
        <is>
          <t>7. Derive the Langevin equation's fluctuation-dissipation relation and explain</t>
        </is>
      </c>
      <c r="D11" s="11" t="inlineStr">
        <is>
          <t>Not started</t>
        </is>
      </c>
      <c r="E11" s="13" t="n"/>
    </row>
    <row r="12">
      <c r="A12" s="11" t="n">
        <v>8</v>
      </c>
      <c r="B12" s="10" t="inlineStr">
        <is>
          <t>From molecular dynamics (Family B</t>
        </is>
      </c>
      <c r="C12" s="10" t="inlineStr">
        <is>
          <t>8. Explain why constraining bonds to hydrogen permits a larger timestep, and</t>
        </is>
      </c>
      <c r="D12" s="11" t="inlineStr">
        <is>
          <t>Not started</t>
        </is>
      </c>
      <c r="E12" s="13" t="n"/>
    </row>
    <row r="13">
      <c r="A13" s="11" t="n">
        <v>9</v>
      </c>
      <c r="B13" s="10" t="inlineStr">
        <is>
          <t>From molecular dynamics (Family B</t>
        </is>
      </c>
      <c r="C13" s="10" t="inlineStr">
        <is>
          <t>9. Show why the Berendsen thermostat does not sample the canonical ensemble, and</t>
        </is>
      </c>
      <c r="D13" s="11" t="inlineStr">
        <is>
          <t>Not started</t>
        </is>
      </c>
      <c r="E13" s="13" t="n"/>
    </row>
    <row r="14">
      <c r="A14" s="11" t="n">
        <v>10</v>
      </c>
      <c r="B14" s="10" t="inlineStr">
        <is>
          <t>From molecular dynamics (Family B</t>
        </is>
      </c>
      <c r="C14" s="10" t="inlineStr">
        <is>
          <t>10. Derive the pressure estimator from the virial, and explain why it is noisy.</t>
        </is>
      </c>
      <c r="D14" s="11" t="inlineStr">
        <is>
          <t>Not started</t>
        </is>
      </c>
      <c r="E14" s="13" t="n"/>
    </row>
    <row r="15">
      <c r="A15" s="11" t="n">
        <v>11</v>
      </c>
      <c r="B15" s="10" t="inlineStr">
        <is>
          <t>From Monte Carlo (Family C</t>
        </is>
      </c>
      <c r="C15" s="10" t="inlineStr">
        <is>
          <t>11. State the Metropolis-Hastings acceptance criterion and prove it satisfies detailed balance for an arbitrary symmetric or asymmetric proposal.</t>
        </is>
      </c>
      <c r="D15" s="11" t="inlineStr">
        <is>
          <t>Not started</t>
        </is>
      </c>
      <c r="E15" s="13" t="n"/>
    </row>
    <row r="16">
      <c r="A16" s="11" t="n">
        <v>12</v>
      </c>
      <c r="B16" s="10" t="inlineStr">
        <is>
          <t>From Monte Carlo (Family C</t>
        </is>
      </c>
      <c r="C16" s="10" t="inlineStr">
        <is>
          <t>12. Explain why detailed balance is sufficient but not necessary for correct sampling, and give one method that is correct without it.</t>
        </is>
      </c>
      <c r="D16" s="11" t="inlineStr">
        <is>
          <t>Not started</t>
        </is>
      </c>
      <c r="E16" s="13" t="n"/>
    </row>
    <row r="17">
      <c r="A17" s="11" t="n">
        <v>13</v>
      </c>
      <c r="B17" s="10" t="inlineStr">
        <is>
          <t>From Monte Carlo (Family C</t>
        </is>
      </c>
      <c r="C17" s="10" t="inlineStr">
        <is>
          <t>13. Derive Hamiltonian Monte Carlo and explain where the Metropolis correction enters and why it is needed despite the dynamics being deterministic.</t>
        </is>
      </c>
      <c r="D17" s="11" t="inlineStr">
        <is>
          <t>Not started</t>
        </is>
      </c>
      <c r="E17" s="13" t="n"/>
    </row>
    <row r="18">
      <c r="A18" s="11" t="n">
        <v>14</v>
      </c>
      <c r="B18" s="10" t="inlineStr">
        <is>
          <t>From Monte Carlo (Family C</t>
        </is>
      </c>
      <c r="C18" s="10" t="inlineStr">
        <is>
          <t>14. Explain configurational bias Monte Carlo and derive its acceptance ratio.</t>
        </is>
      </c>
      <c r="D18" s="11" t="inlineStr">
        <is>
          <t>Not started</t>
        </is>
      </c>
      <c r="E18" s="13" t="n"/>
    </row>
    <row r="19">
      <c r="A19" s="11" t="n">
        <v>15</v>
      </c>
      <c r="B19" s="10" t="inlineStr">
        <is>
          <t>From Monte Carlo (Family C</t>
        </is>
      </c>
      <c r="C19" s="10" t="inlineStr">
        <is>
          <t>15. Derive the Gillespie stochastic simulation algorithm from the chemical master equation.</t>
        </is>
      </c>
      <c r="D19" s="11" t="inlineStr">
        <is>
          <t>Not started</t>
        </is>
      </c>
      <c r="E19" s="13" t="n"/>
    </row>
    <row r="20">
      <c r="A20" s="11" t="n">
        <v>16</v>
      </c>
      <c r="B20" s="10" t="inlineStr">
        <is>
          <t>From Monte Carlo (Family C</t>
        </is>
      </c>
      <c r="C20" s="10" t="inlineStr">
        <is>
          <t>16. Explain Wang-Landau sampling and state what it converges to.</t>
        </is>
      </c>
      <c r="D20" s="11" t="inlineStr">
        <is>
          <t>Not started</t>
        </is>
      </c>
      <c r="E20" s="13" t="n"/>
    </row>
    <row r="21">
      <c r="A21" s="11" t="n">
        <v>17</v>
      </c>
      <c r="B21" s="10" t="inlineStr">
        <is>
          <t>From enhanced sampling (Family D</t>
        </is>
      </c>
      <c r="C21" s="10" t="inlineStr">
        <is>
          <t>17. Derive the weighted histogram analysis method from maximum likelihood.</t>
        </is>
      </c>
      <c r="D21" s="11" t="inlineStr">
        <is>
          <t>Not started</t>
        </is>
      </c>
      <c r="E21" s="13" t="n"/>
    </row>
    <row r="22">
      <c r="A22" s="11" t="n">
        <v>18</v>
      </c>
      <c r="B22" s="10" t="inlineStr">
        <is>
          <t>From enhanced sampling (Family D</t>
        </is>
      </c>
      <c r="C22" s="10" t="inlineStr">
        <is>
          <t>18. Explain why well-tempered metadynamics converges where the original did not, and write the asymptotic form of the bias.</t>
        </is>
      </c>
      <c r="D22" s="11" t="inlineStr">
        <is>
          <t>Not started</t>
        </is>
      </c>
      <c r="E22" s="13" t="n"/>
    </row>
    <row r="23">
      <c r="A23" s="11" t="n">
        <v>19</v>
      </c>
      <c r="B23" s="10" t="inlineStr">
        <is>
          <t>From enhanced sampling (Family D</t>
        </is>
      </c>
      <c r="C23" s="10" t="inlineStr">
        <is>
          <t>19. Derive the scaling of the required replica count with system size in temperature replica exchange, and explain why it is fatal for large systems.</t>
        </is>
      </c>
      <c r="D23" s="11" t="inlineStr">
        <is>
          <t>Not started</t>
        </is>
      </c>
      <c r="E23" s="13" t="n"/>
    </row>
    <row r="24">
      <c r="A24" s="11" t="n">
        <v>20</v>
      </c>
      <c r="B24" s="10" t="inlineStr">
        <is>
          <t>From enhanced sampling (Family D</t>
        </is>
      </c>
      <c r="C24" s="10" t="inlineStr">
        <is>
          <t>20. Derive the weighted ensemble resampling scheme and show it is unbiased.</t>
        </is>
      </c>
      <c r="D24" s="11" t="inlineStr">
        <is>
          <t>Not started</t>
        </is>
      </c>
      <c r="E24" s="13" t="n"/>
    </row>
    <row r="25">
      <c r="A25" s="11" t="n">
        <v>21</v>
      </c>
      <c r="B25" s="10" t="inlineStr">
        <is>
          <t>From enhanced sampling (Family D</t>
        </is>
      </c>
      <c r="C25" s="10" t="inlineStr">
        <is>
          <t>21. Explain transition path sampling's shooting move and why it preserves the path ensemble.</t>
        </is>
      </c>
      <c r="D25" s="11" t="inlineStr">
        <is>
          <t>Not started</t>
        </is>
      </c>
      <c r="E25" s="13" t="n"/>
    </row>
    <row r="26">
      <c r="A26" s="11" t="n">
        <v>22</v>
      </c>
      <c r="B26" s="10" t="inlineStr">
        <is>
          <t>From enhanced sampling (Family D</t>
        </is>
      </c>
      <c r="C26" s="10" t="inlineStr">
        <is>
          <t>22. State and derive the Jarzynski equality, and explain why it is nearly useless in practice without careful attention to the tails.</t>
        </is>
      </c>
      <c r="D26" s="11" t="inlineStr">
        <is>
          <t>Not started</t>
        </is>
      </c>
      <c r="E26" s="13" t="n"/>
    </row>
    <row r="27">
      <c r="A27" s="11" t="n">
        <v>23</v>
      </c>
      <c r="B27" s="10" t="inlineStr">
        <is>
          <t>From free energy (Family E</t>
        </is>
      </c>
      <c r="C27" s="10" t="inlineStr">
        <is>
          <t>23. Derive the free energy perturbation identity and state the overlap condition under which it fails.</t>
        </is>
      </c>
      <c r="D27" s="11" t="inlineStr">
        <is>
          <t>Not started</t>
        </is>
      </c>
      <c r="E27" s="13" t="n"/>
    </row>
    <row r="28">
      <c r="A28" s="11" t="n">
        <v>24</v>
      </c>
      <c r="B28" s="10" t="inlineStr">
        <is>
          <t>From free energy (Family E</t>
        </is>
      </c>
      <c r="C28" s="10" t="inlineStr">
        <is>
          <t>24. Derive the Bennett acceptance ratio estimator and show it is the minimum-variance estimator in its class.</t>
        </is>
      </c>
      <c r="D28" s="11" t="inlineStr">
        <is>
          <t>Not started</t>
        </is>
      </c>
      <c r="E28" s="13" t="n"/>
    </row>
    <row r="29">
      <c r="A29" s="11" t="n">
        <v>25</v>
      </c>
      <c r="B29" s="10" t="inlineStr">
        <is>
          <t>From free energy (Family E</t>
        </is>
      </c>
      <c r="C29" s="10" t="inlineStr">
        <is>
          <t>25. Explain thermodynamic integration and the endpoint singularity problem, and state the standard fix.</t>
        </is>
      </c>
      <c r="D29" s="11" t="inlineStr">
        <is>
          <t>Not started</t>
        </is>
      </c>
      <c r="E29" s="13" t="n"/>
    </row>
    <row r="30">
      <c r="A30" s="11" t="n">
        <v>26</v>
      </c>
      <c r="B30" s="10" t="inlineStr">
        <is>
          <t>From free energy (Family E</t>
        </is>
      </c>
      <c r="C30" s="10" t="inlineStr">
        <is>
          <t>26. Write the thermodynamic cycle for absolute binding free energy and name every correction term.</t>
        </is>
      </c>
      <c r="D30" s="11" t="inlineStr">
        <is>
          <t>Not started</t>
        </is>
      </c>
      <c r="E30" s="13" t="n"/>
    </row>
    <row r="31">
      <c r="A31" s="11" t="n">
        <v>27</v>
      </c>
      <c r="B31" s="10" t="inlineStr">
        <is>
          <t>From free energy (Family E</t>
        </is>
      </c>
      <c r="C31" s="10" t="inlineStr">
        <is>
          <t>27. Explain what MM-GBSA actually computes and why its entropy treatment is usually wrong.</t>
        </is>
      </c>
      <c r="D31" s="11" t="inlineStr">
        <is>
          <t>Not started</t>
        </is>
      </c>
      <c r="E31" s="13" t="n"/>
    </row>
    <row r="32">
      <c r="A32" s="11" t="n">
        <v>28</v>
      </c>
      <c r="B32" s="10" t="inlineStr">
        <is>
          <t>From coarse-graining and polymer theory (Families F, H</t>
        </is>
      </c>
      <c r="C32" s="10" t="inlineStr">
        <is>
          <t>28. Derive the multiscale coarse-graining / force-matching objective and state what it is a projection of.</t>
        </is>
      </c>
      <c r="D32" s="11" t="inlineStr">
        <is>
          <t>Not started</t>
        </is>
      </c>
      <c r="E32" s="13" t="n"/>
    </row>
    <row r="33">
      <c r="A33" s="11" t="n">
        <v>29</v>
      </c>
      <c r="B33" s="10" t="inlineStr">
        <is>
          <t>From coarse-graining and polymer theory (Families F, H</t>
        </is>
      </c>
      <c r="C33" s="10" t="inlineStr">
        <is>
          <t>29. Explain the Mori-Zwanzig decomposition and identify which term coarse-grained models normally discard.</t>
        </is>
      </c>
      <c r="D33" s="11" t="inlineStr">
        <is>
          <t>Not started</t>
        </is>
      </c>
      <c r="E33" s="13" t="n"/>
    </row>
    <row r="34">
      <c r="A34" s="11" t="n">
        <v>30</v>
      </c>
      <c r="B34" s="10" t="inlineStr">
        <is>
          <t>From coarse-graining and polymer theory (Families F, H</t>
        </is>
      </c>
      <c r="C34" s="10" t="inlineStr">
        <is>
          <t>30. Explain why coarse-grained models systematically get entropy and dynamics wrong even when they get structure right.</t>
        </is>
      </c>
      <c r="D34" s="11" t="inlineStr">
        <is>
          <t>Not started</t>
        </is>
      </c>
      <c r="E34" s="13" t="n"/>
    </row>
    <row r="35">
      <c r="A35" s="11" t="n">
        <v>31</v>
      </c>
      <c r="B35" s="10" t="inlineStr">
        <is>
          <t>From coarse-graining and polymer theory (Families F, H</t>
        </is>
      </c>
      <c r="C35" s="10" t="inlineStr">
        <is>
          <t>31. Derive the end-to-end distance distribution of an ideal chain and the worm-like chain's force-extension relation.</t>
        </is>
      </c>
      <c r="D35" s="11" t="inlineStr">
        <is>
          <t>Not started</t>
        </is>
      </c>
      <c r="E35" s="13" t="n"/>
    </row>
    <row r="36">
      <c r="A36" s="11" t="n">
        <v>32</v>
      </c>
      <c r="B36" s="10" t="inlineStr">
        <is>
          <t>From coarse-graining and polymer theory (Families F, H</t>
        </is>
      </c>
      <c r="C36" s="10" t="inlineStr">
        <is>
          <t>32. Derive the Flory scaling exponent and explain what it predicts for a disordered protein versus a folded one.</t>
        </is>
      </c>
      <c r="D36" s="11" t="inlineStr">
        <is>
          <t>Not started</t>
        </is>
      </c>
      <c r="E36" s="13" t="n"/>
    </row>
    <row r="37">
      <c r="A37" s="11" t="n">
        <v>33</v>
      </c>
      <c r="B37" s="10" t="inlineStr">
        <is>
          <t>From coarse-graining and polymer theory (Families F, H</t>
        </is>
      </c>
      <c r="C37" s="10" t="inlineStr">
        <is>
          <t>33. Explain the random energy model of protein folding and derive the condition for a funnel-shaped landscape.</t>
        </is>
      </c>
      <c r="D37" s="11" t="inlineStr">
        <is>
          <t>Not started</t>
        </is>
      </c>
      <c r="E37" s="13" t="n"/>
    </row>
    <row r="38">
      <c r="A38" s="11" t="n">
        <v>34</v>
      </c>
      <c r="B38" s="10" t="inlineStr">
        <is>
          <t>From continuum and mesoscale methods (Family G</t>
        </is>
      </c>
      <c r="C38" s="10" t="inlineStr">
        <is>
          <t>34. Write the Poisson-Boltzmann equation and derive the Debye length. State what the linearized form assumes and when it breaks.</t>
        </is>
      </c>
      <c r="D38" s="11" t="inlineStr">
        <is>
          <t>Not started</t>
        </is>
      </c>
      <c r="E38" s="13" t="n"/>
    </row>
    <row r="39">
      <c r="A39" s="11" t="n">
        <v>35</v>
      </c>
      <c r="B39" s="10" t="inlineStr">
        <is>
          <t>From continuum and mesoscale methods (Family G</t>
        </is>
      </c>
      <c r="C39" s="10" t="inlineStr">
        <is>
          <t>35. Explain the generalized Born approximation and what it approximates.</t>
        </is>
      </c>
      <c r="D39" s="11" t="inlineStr">
        <is>
          <t>Not started</t>
        </is>
      </c>
      <c r="E39" s="13" t="n"/>
    </row>
    <row r="40">
      <c r="A40" s="11" t="n">
        <v>36</v>
      </c>
      <c r="B40" s="10" t="inlineStr">
        <is>
          <t>From continuum and mesoscale methods (Family G</t>
        </is>
      </c>
      <c r="C40" s="10" t="inlineStr">
        <is>
          <t>36. Explain the hydrophobic effect in terms of entropy, and explain why implicit solvent models get the enthalpy-entropy decomposition wrong even when the total free energy is approximately right.</t>
        </is>
      </c>
      <c r="D40" s="11" t="inlineStr">
        <is>
          <t>Not started</t>
        </is>
      </c>
      <c r="E40" s="13" t="n"/>
    </row>
    <row r="41">
      <c r="A41" s="11" t="n">
        <v>37</v>
      </c>
      <c r="B41" s="10" t="inlineStr">
        <is>
          <t>From continuum and mesoscale methods (Family G</t>
        </is>
      </c>
      <c r="C41" s="10" t="inlineStr">
        <is>
          <t>37. Derive the Ermak-McCammon Brownian dynamics propagator and state when the overdamped approximation is valid.</t>
        </is>
      </c>
      <c r="D41" s="11" t="inlineStr">
        <is>
          <t>Not started</t>
        </is>
      </c>
      <c r="E41" s="13" t="n"/>
    </row>
    <row r="42">
      <c r="A42" s="11" t="n">
        <v>38</v>
      </c>
      <c r="B42" s="10" t="inlineStr">
        <is>
          <t>From continuum and mesoscale methods (Family G</t>
        </is>
      </c>
      <c r="C42" s="10" t="inlineStr">
        <is>
          <t>38. Explain why hydrodynamic interactions change association rates and write the Rotne-Prager tensor's role.</t>
        </is>
      </c>
      <c r="D42" s="11" t="inlineStr">
        <is>
          <t>Not started</t>
        </is>
      </c>
      <c r="E42" s="13" t="n"/>
    </row>
    <row r="43">
      <c r="A43" s="11" t="n">
        <v>39</v>
      </c>
      <c r="B43" s="10" t="inlineStr">
        <is>
          <t>From dynamics analysis (Family I</t>
        </is>
      </c>
      <c r="C43" s="10" t="inlineStr">
        <is>
          <t>39. Derive the Gaussian network model and show its connection to the contact matrix's pseudo-inverse.</t>
        </is>
      </c>
      <c r="D43" s="11" t="inlineStr">
        <is>
          <t>Not started</t>
        </is>
      </c>
      <c r="E43" s="13" t="n"/>
    </row>
    <row r="44">
      <c r="A44" s="11" t="n">
        <v>40</v>
      </c>
      <c r="B44" s="10" t="inlineStr">
        <is>
          <t>From dynamics analysis (Family I</t>
        </is>
      </c>
      <c r="C44" s="10" t="inlineStr">
        <is>
          <t>40. Explain why TICA finds slow coordinates where PCA finds high-variance ones.</t>
        </is>
      </c>
      <c r="D44" s="11" t="inlineStr">
        <is>
          <t>Not started</t>
        </is>
      </c>
      <c r="E44" s="13" t="n"/>
    </row>
    <row r="45">
      <c r="A45" s="11" t="n">
        <v>41</v>
      </c>
      <c r="B45" s="10" t="inlineStr">
        <is>
          <t>From dynamics analysis (Family I</t>
        </is>
      </c>
      <c r="C45" s="10" t="inlineStr">
        <is>
          <t>41. Write the transfer operator for a molecular system, explain the relationship between its eigenvalues and implied timescales, and derive why a Markov state model's lag time must exceed the fastest resolved process.</t>
        </is>
      </c>
      <c r="D45" s="11" t="inlineStr">
        <is>
          <t>Not started</t>
        </is>
      </c>
      <c r="E45" s="13" t="n"/>
    </row>
    <row r="46">
      <c r="A46" s="11" t="n">
        <v>42</v>
      </c>
      <c r="B46" s="10" t="inlineStr">
        <is>
          <t>From dynamics analysis (Family I</t>
        </is>
      </c>
      <c r="C46" s="10" t="inlineStr">
        <is>
          <t>42. Explain what a Chapman-Kolmogorov test checks and what passing it does not guarantee.</t>
        </is>
      </c>
      <c r="D46" s="11" t="inlineStr">
        <is>
          <t>Not started</t>
        </is>
      </c>
      <c r="E46" s="13" t="n"/>
    </row>
    <row r="47">
      <c r="A47" s="11" t="n">
        <v>43</v>
      </c>
      <c r="B47" s="10" t="inlineStr">
        <is>
          <t>From structure determination (Families J, K</t>
        </is>
      </c>
      <c r="C47" s="10" t="inlineStr">
        <is>
          <t>43. Explain the crystallographic phase problem and how molecular replacement solves it.</t>
        </is>
      </c>
      <c r="D47" s="11" t="inlineStr">
        <is>
          <t>Not started</t>
        </is>
      </c>
      <c r="E47" s="13" t="n"/>
    </row>
    <row r="48">
      <c r="A48" s="11" t="n">
        <v>44</v>
      </c>
      <c r="B48" s="10" t="inlineStr">
        <is>
          <t>From structure determination (Families J, K</t>
        </is>
      </c>
      <c r="C48" s="10" t="inlineStr">
        <is>
          <t>44. State the relationship between a B-factor, a cryo-EM local resolution, and a conformational ensemble - and why treating any as a per-atom uncertainty is wrong.</t>
        </is>
      </c>
      <c r="D48" s="11" t="inlineStr">
        <is>
          <t>Not started</t>
        </is>
      </c>
      <c r="E48" s="13" t="n"/>
    </row>
    <row r="49">
      <c r="A49" s="11" t="n">
        <v>45</v>
      </c>
      <c r="B49" s="10" t="inlineStr">
        <is>
          <t>From structure determination (Families J, K</t>
        </is>
      </c>
      <c r="C49" s="10" t="inlineStr">
        <is>
          <t>45. Derive the maximum-likelihood objective for single-particle cryo-EM reconstruction and explain what the marginalization is over.</t>
        </is>
      </c>
      <c r="D49" s="11" t="inlineStr">
        <is>
          <t>Not started</t>
        </is>
      </c>
      <c r="E49" s="13" t="n"/>
    </row>
    <row r="50">
      <c r="A50" s="11" t="n">
        <v>46</v>
      </c>
      <c r="B50" s="10" t="inlineStr">
        <is>
          <t>From structure determination (Families J, K</t>
        </is>
      </c>
      <c r="C50" s="10" t="inlineStr">
        <is>
          <t>46. Explain Fourier shell correlation and why the 0.143 threshold is a convention rather than a theorem.</t>
        </is>
      </c>
      <c r="D50" s="11" t="inlineStr">
        <is>
          <t>Not started</t>
        </is>
      </c>
      <c r="E50" s="13" t="n"/>
    </row>
    <row r="51">
      <c r="A51" s="11" t="n">
        <v>47</v>
      </c>
      <c r="B51" s="10" t="inlineStr">
        <is>
          <t>From structure determination (Families J, K</t>
        </is>
      </c>
      <c r="C51" s="10" t="inlineStr">
        <is>
          <t>47. Write the Bayesian formulation of integrative modeling and state where the forward model for each data type enters.</t>
        </is>
      </c>
      <c r="D51" s="11" t="inlineStr">
        <is>
          <t>Not started</t>
        </is>
      </c>
      <c r="E51" s="13" t="n"/>
    </row>
    <row r="52">
      <c r="A52" s="11" t="n">
        <v>48</v>
      </c>
      <c r="B52" s="10" t="inlineStr">
        <is>
          <t>From structure determination (Families J, K</t>
        </is>
      </c>
      <c r="C52" s="10" t="inlineStr">
        <is>
          <t>48. Explain maximum-entropy reweighting of a simulated ensemble against experimental data, and state what it assumes about the prior.</t>
        </is>
      </c>
      <c r="D52" s="11" t="inlineStr">
        <is>
          <t>Not started</t>
        </is>
      </c>
      <c r="E52" s="13" t="n"/>
    </row>
    <row r="53">
      <c r="A53" s="11" t="n">
        <v>49</v>
      </c>
      <c r="B53" s="10" t="inlineStr">
        <is>
          <t>From classical prediction and docking (Families L, M</t>
        </is>
      </c>
      <c r="C53" s="10" t="inlineStr">
        <is>
          <t>49. Derive why side-chain packing with a rotamer library is NP-hard, and explain what dead-end elimination actually eliminates.</t>
        </is>
      </c>
      <c r="D53" s="11" t="inlineStr">
        <is>
          <t>Not started</t>
        </is>
      </c>
      <c r="E53" s="13" t="n"/>
    </row>
    <row r="54">
      <c r="A54" s="11" t="n">
        <v>50</v>
      </c>
      <c r="B54" s="10" t="inlineStr">
        <is>
          <t>From classical prediction and docking (Families L, M</t>
        </is>
      </c>
      <c r="C54" s="10" t="inlineStr">
        <is>
          <t>50. Explain what a Ramachandran plot is a projection of, and what a backbone-dependent rotamer library encodes that an independent one does not.</t>
        </is>
      </c>
      <c r="D54" s="11" t="inlineStr">
        <is>
          <t>Not started</t>
        </is>
      </c>
      <c r="E54" s="13" t="n"/>
    </row>
    <row r="55">
      <c r="A55" s="11" t="n">
        <v>51</v>
      </c>
      <c r="B55" s="10" t="inlineStr">
        <is>
          <t>From classical prediction and docking (Families L, M</t>
        </is>
      </c>
      <c r="C55" s="10" t="inlineStr">
        <is>
          <t>51. Explain the loop closure problem and why it has an analytic solution while loop modeling remains unsolved.</t>
        </is>
      </c>
      <c r="D55" s="11" t="inlineStr">
        <is>
          <t>Not started</t>
        </is>
      </c>
      <c r="E55" s="13" t="n"/>
    </row>
    <row r="56">
      <c r="A56" s="11" t="n">
        <v>52</v>
      </c>
      <c r="B56" s="10" t="inlineStr">
        <is>
          <t>From classical prediction and docking (Families L, M</t>
        </is>
      </c>
      <c r="C56" s="10" t="inlineStr">
        <is>
          <t>52. Explain why docking scoring functions rank poses better than they rank affinities, and what that implies about their functional form.</t>
        </is>
      </c>
      <c r="D56" s="11" t="inlineStr">
        <is>
          <t>Not started</t>
        </is>
      </c>
      <c r="E56" s="13" t="n"/>
    </row>
    <row r="57">
      <c r="A57" s="11" t="n">
        <v>53</v>
      </c>
      <c r="B57" s="10" t="inlineStr">
        <is>
          <t>From sequence and evolution (Family N</t>
        </is>
      </c>
      <c r="C57" s="10" t="inlineStr">
        <is>
          <t>53. Derive the Needleman-Wunsch recursion and state its complexity. Then explain what affine gap penalties change.</t>
        </is>
      </c>
      <c r="D57" s="11" t="inlineStr">
        <is>
          <t>Not started</t>
        </is>
      </c>
      <c r="E57" s="13" t="n"/>
    </row>
    <row r="58">
      <c r="A58" s="11" t="n">
        <v>54</v>
      </c>
      <c r="B58" s="10" t="inlineStr">
        <is>
          <t>From sequence and evolution (Family N</t>
        </is>
      </c>
      <c r="C58" s="10" t="inlineStr">
        <is>
          <t>54. Derive the forward algorithm for a profile HMM and explain the relationship between HMM emission probabilities and a substitution matrix.</t>
        </is>
      </c>
      <c r="D58" s="11" t="inlineStr">
        <is>
          <t>Not started</t>
        </is>
      </c>
      <c r="E58" s="13" t="n"/>
    </row>
    <row r="59">
      <c r="A59" s="11" t="n">
        <v>55</v>
      </c>
      <c r="B59" s="10" t="inlineStr">
        <is>
          <t>From sequence and evolution (Family N</t>
        </is>
      </c>
      <c r="C59" s="10" t="inlineStr">
        <is>
          <t>55. Formalize direct coupling analysis as inference in a Potts model, and state precisely what mean-field DCA approximates and what it costs.</t>
        </is>
      </c>
      <c r="D59" s="11" t="inlineStr">
        <is>
          <t>Not started</t>
        </is>
      </c>
      <c r="E59" s="13" t="n"/>
    </row>
    <row r="60">
      <c r="A60" s="11" t="n">
        <v>56</v>
      </c>
      <c r="B60" s="10" t="inlineStr">
        <is>
          <t>From machine learning (Families O, P, Q, R</t>
        </is>
      </c>
      <c r="C60" s="10" t="inlineStr">
        <is>
          <t>56. Derive backpropagation for an arbitrary computational graph; then derive the adjoint method for differentiating through an ODE solver.</t>
        </is>
      </c>
      <c r="D60" s="11" t="inlineStr">
        <is>
          <t>Not started</t>
        </is>
      </c>
      <c r="E60" s="13" t="n"/>
    </row>
    <row r="61">
      <c r="A61" s="11" t="n">
        <v>57</v>
      </c>
      <c r="B61" s="10" t="inlineStr">
        <is>
          <t>From machine learning (Families O, P, Q, R</t>
        </is>
      </c>
      <c r="C61" s="10" t="inlineStr">
        <is>
          <t>57. Derive the evidence lower bound and show where the reparameterization trick enters and why it is necessary.</t>
        </is>
      </c>
      <c r="D61" s="11" t="inlineStr">
        <is>
          <t>Not started</t>
        </is>
      </c>
      <c r="E61" s="13" t="n"/>
    </row>
    <row r="62">
      <c r="A62" s="11" t="n">
        <v>58</v>
      </c>
      <c r="B62" s="10" t="inlineStr">
        <is>
          <t>From machine learning (Families O, P, Q, R</t>
        </is>
      </c>
      <c r="C62" s="10" t="inlineStr">
        <is>
          <t>58. Derive the denoising diffusion objective from the variational bound, show its equivalence to score matching, and state the relationship between the probability-flow ODE and the reverse SDE. Then show that the learned score is a force up to temperature.</t>
        </is>
      </c>
      <c r="D62" s="11" t="inlineStr">
        <is>
          <t>Not started</t>
        </is>
      </c>
      <c r="E62" s="13" t="n"/>
    </row>
    <row r="63">
      <c r="A63" s="11" t="n">
        <v>59</v>
      </c>
      <c r="B63" s="10" t="inlineStr">
        <is>
          <t>From machine learning (Families O, P, Q, R</t>
        </is>
      </c>
      <c r="C63" s="10" t="inlineStr">
        <is>
          <t>59. Define equivariance and invariance formally for SE(3), prove that a network built from scalar products of relative position vectors is SE(3)-invariant, and explain what is lost by taking invariance instead of equivariance.</t>
        </is>
      </c>
      <c r="D63" s="11" t="inlineStr">
        <is>
          <t>Not started</t>
        </is>
      </c>
      <c r="E63" s="13" t="n"/>
    </row>
    <row r="64">
      <c r="A64" s="11" t="n">
        <v>60</v>
      </c>
      <c r="B64" s="10" t="inlineStr">
        <is>
          <t>From machine learning (Families O, P, Q, R</t>
        </is>
      </c>
      <c r="C64" s="10" t="inlineStr">
        <is>
          <t>60. Derive the triangle inequality constraint on a distance matrix and explain precisely what AlphaFold's triangle multiplicative update enforces - and the sense in which it is only a soft enforcement.</t>
        </is>
      </c>
      <c r="D64" s="11" t="inlineStr">
        <is>
          <t>Not started</t>
        </is>
      </c>
      <c r="E64" s="13" t="n"/>
    </row>
    <row r="65">
      <c r="A65" s="11" t="n">
        <v>61</v>
      </c>
      <c r="B65" s="10" t="inlineStr">
        <is>
          <t>The design-specific trio</t>
        </is>
      </c>
      <c r="C65" s="10" t="inlineStr">
        <is>
          <t>61. Formalize inverse folding as a conditional distribution and explain why maximizing sequence likelihood given a backbone is not the same as maximizing the probability that the sequence folds to that backbone.</t>
        </is>
      </c>
      <c r="D65" s="11" t="inlineStr">
        <is>
          <t>Not started</t>
        </is>
      </c>
      <c r="E65" s="13" t="n"/>
    </row>
    <row r="66">
      <c r="A66" s="11" t="n">
        <v>62</v>
      </c>
      <c r="B66" s="10" t="inlineStr">
        <is>
          <t>The design-specific trio</t>
        </is>
      </c>
      <c r="C66" s="10" t="inlineStr">
        <is>
          <t>62. Explain designability: why some backbone folds admit many sequences and others none, and how that relates to the density of states.</t>
        </is>
      </c>
      <c r="D66" s="11" t="inlineStr">
        <is>
          <t>Not started</t>
        </is>
      </c>
      <c r="E66" s="13" t="n"/>
    </row>
    <row r="67">
      <c r="A67" s="11" t="n">
        <v>63</v>
      </c>
      <c r="B67" s="10" t="inlineStr">
        <is>
          <t>The design-specific trio</t>
        </is>
      </c>
      <c r="C67" s="10" t="inlineStr">
        <is>
          <t>63. Explain what self-consistency validation does and does not establish, and construct a concrete case where a design passes with high confidence and still fails experimentally.</t>
        </is>
      </c>
      <c r="D67" s="11" t="inlineStr">
        <is>
          <t>Not started</t>
        </is>
      </c>
      <c r="E67" s="13" t="n"/>
    </row>
    <row r="68">
      <c r="A68" s="11" t="n">
        <v>64</v>
      </c>
      <c r="B68" s="10" t="inlineStr">
        <is>
          <t>From performance engineering (Part IV</t>
        </is>
      </c>
      <c r="C68" s="10" t="inlineStr">
        <is>
          <t>64. Compute the arithmetic intensity of the triangle multiplicative update in an AlphaFold-class model - floating-point operations per byte of memory traffic - and place it on a roofline for a card you own. Do the same for the pairwise non-bonded force kernel in MD. Explain why the two land in such different places and what that implies about how each community optimizes.</t>
        </is>
      </c>
      <c r="D68" s="11" t="inlineStr">
        <is>
          <t>Not started</t>
        </is>
      </c>
      <c r="E68" s="13" t="n"/>
    </row>
    <row r="69">
      <c r="A69" s="11" t="n">
        <v>65</v>
      </c>
      <c r="B69" s="10" t="inlineStr">
        <is>
          <t>From performance engineering (Part IV</t>
        </is>
      </c>
      <c r="C69" s="10" t="inlineStr">
        <is>
          <t>65. Derive the FlashAttention tiling and prove it computes exactly the same function as standard attention. Then state precisely which term in the memory traffic it eliminates and why the online-softmax trick is what makes it possible.</t>
        </is>
      </c>
      <c r="D69" s="11" t="inlineStr">
        <is>
          <t>Not started</t>
        </is>
      </c>
      <c r="E69" s="13" t="n"/>
    </row>
    <row r="70">
      <c r="A70" s="11" t="n">
        <v>66</v>
      </c>
      <c r="B70" s="10" t="inlineStr">
        <is>
          <t>From performance engineering (Part IV</t>
        </is>
      </c>
      <c r="C70" s="10" t="inlineStr">
        <is>
          <t>66. Write down the memory required to store the pair representation as a function of sequence length, for a given precision and number of channels. Find the length at which it exceeds each card in your fleet. Then find how much chunking and activation recomputation buy you, and at what cost in time.</t>
        </is>
      </c>
      <c r="D70" s="11" t="inlineStr">
        <is>
          <t>Not started</t>
        </is>
      </c>
      <c r="E70" s="13" t="n"/>
    </row>
    <row r="71">
      <c r="A71" s="11" t="n">
        <v>67</v>
      </c>
      <c r="B71" s="10" t="inlineStr">
        <is>
          <t>From performance engineering (Part IV</t>
        </is>
      </c>
      <c r="C71" s="10" t="inlineStr">
        <is>
          <t>67. Explain why GPU molecular dynamics uses cluster pair lists rather than per-atom Verlet neighbor lists. The answer is about warps and memory coalescing, not about algorithmic complexity - and it is the clearest example in this document of hardware dictating an algorithm.</t>
        </is>
      </c>
      <c r="D71" s="11" t="inlineStr">
        <is>
          <t>Not started</t>
        </is>
      </c>
      <c r="E71" s="13" t="n"/>
    </row>
    <row r="72">
      <c r="A72" s="11" t="n">
        <v>68</v>
      </c>
      <c r="B72" s="10" t="inlineStr">
        <is>
          <t>From performance engineering (Part IV</t>
        </is>
      </c>
      <c r="C72" s="10" t="inlineStr">
        <is>
          <t>68. Derive the communication cost of the PME FFT across ranks, and explain the scaling wall it creates. Then explain why separate PME ranks exist and how you would choose their number for a given system and node count.</t>
        </is>
      </c>
      <c r="D72" s="11" t="inlineStr">
        <is>
          <t>Not started</t>
        </is>
      </c>
      <c r="E72" s="13" t="n"/>
    </row>
    <row r="73">
      <c r="A73" s="11" t="n">
        <v>69</v>
      </c>
      <c r="B73" s="10" t="inlineStr">
        <is>
          <t>From performance engineering (Part IV</t>
        </is>
      </c>
      <c r="C73" s="10" t="inlineStr">
        <is>
          <t>69. Work out why reduced precision is safe in attention but dangerous in force accumulation. Write the error analysis. This is the single most useful numerics question in computational biology and almost nobody can answer it cleanly.</t>
        </is>
      </c>
      <c r="D73" s="11" t="inlineStr">
        <is>
          <t>Not started</t>
        </is>
      </c>
      <c r="E73" s="13" t="n"/>
    </row>
    <row r="74">
      <c r="A74" s="11" t="n">
        <v>70</v>
      </c>
      <c r="B74" s="10" t="inlineStr">
        <is>
          <t>From performance engineering (Part IV</t>
        </is>
      </c>
      <c r="C74" s="10" t="inlineStr">
        <is>
          <t>70. For one AlphaFold-class prediction on your own hardware, measure what fraction of wall-clock time is MSA search versus network inference. Most people assume the network dominates. Measure it before you believe it, then decide which one is worth optimizing.</t>
        </is>
      </c>
      <c r="D74" s="11" t="inlineStr">
        <is>
          <t>Not started</t>
        </is>
      </c>
      <c r="E74" s="13" t="n"/>
    </row>
    <row r="75">
      <c r="A75" s="11" t="n">
        <v>71</v>
      </c>
      <c r="B75" s="10" t="inlineStr">
        <is>
          <t>From RNA (Family T</t>
        </is>
      </c>
      <c r="C75" s="10" t="inlineStr">
        <is>
          <t>71. Derive the Nussinov recursion and prove that the non-crossing condition is exactly what makes the interval decomposition valid. Then state what the Zuker loop model adds, and explain why the partition function requires a different recursion rather than the same one with max replaced by sum.</t>
        </is>
      </c>
      <c r="D75" s="11" t="inlineStr">
        <is>
          <t>Not started</t>
        </is>
      </c>
      <c r="E75" s="13" t="n"/>
    </row>
    <row r="76">
      <c r="A76" s="11" t="n">
        <v>72</v>
      </c>
      <c r="B76" s="10" t="inlineStr">
        <is>
          <t>From RNA (Family T</t>
        </is>
      </c>
      <c r="C76" s="10" t="inlineStr">
        <is>
          <t>72. Write down what a SHAPE reactivity profile determines and what it does not. Construct a synthetic two-state mixture, compute its population-averaged reactivity, and attempt to recover the components. The recovery is ill-posed; characterize how ill-posed.</t>
        </is>
      </c>
      <c r="D76" s="11" t="inlineStr">
        <is>
          <t>Not started</t>
        </is>
      </c>
      <c r="E76" s="13" t="n"/>
    </row>
    <row r="77">
      <c r="A77" s="11" t="n">
        <v>73</v>
      </c>
      <c r="B77" s="10" t="inlineStr">
        <is>
          <t>From RNA (Family T</t>
        </is>
      </c>
      <c r="C77" s="10" t="inlineStr">
        <is>
          <t>73. Quantify the RNA-versus-protein data gap from the PDB directly, then decompose the performance gap into the six causes in Atlas T.10 and argue, with evidence, which are contingent and which are structural.</t>
        </is>
      </c>
      <c r="D77" s="11" t="inlineStr">
        <is>
          <t>Not started</t>
        </is>
      </c>
      <c r="E77" s="13" t="n"/>
    </row>
  </sheetData>
  <autoFilter ref="A4:E77"/>
  <mergeCells count="2">
    <mergeCell ref="A2:E2"/>
    <mergeCell ref="A1:E1"/>
  </mergeCells>
  <conditionalFormatting sqref="D5:D77">
    <cfRule type="cellIs" priority="1" operator="equal" dxfId="0">
      <formula>"Can reproduce from blank paper"</formula>
    </cfRule>
    <cfRule type="cellIs" priority="2" operator="equal" dxfId="5">
      <formula>"Attempted"</formula>
    </cfRule>
  </conditionalFormatting>
  <dataValidations count="1">
    <dataValidation sqref="D5:D77" showDropDown="0" showInputMessage="0" showErrorMessage="0" allowBlank="1" type="list">
      <formula1>"Not started,Attempted,Can reproduce from blank paper"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6" customWidth="1" min="1" max="1"/>
    <col width="34" customWidth="1" min="2" max="2"/>
    <col width="26" customWidth="1" min="3" max="3"/>
    <col width="104" customWidth="1" min="4" max="4"/>
    <col width="16" customWidth="1" min="5" max="5"/>
  </cols>
  <sheetData>
    <row r="1">
      <c r="A1" s="2" t="inlineStr">
        <is>
          <t>Capstone projects</t>
        </is>
      </c>
      <c r="B1" s="1" t="n"/>
      <c r="C1" s="1" t="n"/>
      <c r="D1" s="1" t="n"/>
      <c r="E1" s="1" t="n"/>
    </row>
    <row r="2">
      <c r="A2" s="3" t="inlineStr">
        <is>
          <t>Begin each as soon as its prerequisite families are done. Do not wait until the end.</t>
        </is>
      </c>
      <c r="B2" s="1" t="n"/>
      <c r="C2" s="1" t="n"/>
      <c r="D2" s="1" t="n"/>
      <c r="E2" s="1" t="n"/>
    </row>
    <row r="3">
      <c r="A3" s="1" t="n"/>
      <c r="B3" s="1" t="n"/>
      <c r="C3" s="1" t="n"/>
      <c r="D3" s="1" t="n"/>
      <c r="E3" s="1" t="n"/>
    </row>
    <row r="4" ht="28" customHeight="1">
      <c r="A4" s="7" t="inlineStr">
        <is>
          <t>#</t>
        </is>
      </c>
      <c r="B4" s="7" t="inlineStr">
        <is>
          <t>Project</t>
        </is>
      </c>
      <c r="C4" s="7" t="inlineStr">
        <is>
          <t>Start after</t>
        </is>
      </c>
      <c r="D4" s="7" t="inlineStr">
        <is>
          <t>What it is</t>
        </is>
      </c>
      <c r="E4" s="7" t="inlineStr">
        <is>
          <t>Status</t>
        </is>
      </c>
    </row>
    <row r="5">
      <c r="A5" s="11" t="inlineStr">
        <is>
          <t>I</t>
        </is>
      </c>
      <c r="B5" s="10" t="inlineStr">
        <is>
          <t>The reimplementation</t>
        </is>
      </c>
      <c r="C5" s="10" t="inlineStr">
        <is>
          <t>after Families B, C, I</t>
        </is>
      </c>
      <c r="D5" s="10" t="inlineStr">
        <is>
          <t>Build a Markov state model pipeline from scratch. Featurization, TICA, clustering, transition matrix estimation with reversibility, implied timescales, Chapman-Kolmogorov. Validate against PyEMMA on data you already have. Why: it forces you to confront, in code, every place the statistics can silently fail. After this you will never trust an MSM figure without asking about the lag time.</t>
        </is>
      </c>
      <c r="E5" s="11" t="inlineStr">
        <is>
          <t>Not started</t>
        </is>
      </c>
    </row>
    <row r="6">
      <c r="A6" s="11" t="inlineStr">
        <is>
          <t>II</t>
        </is>
      </c>
      <c r="B6" s="10" t="inlineStr">
        <is>
          <t>The equivariance crossover</t>
        </is>
      </c>
      <c r="C6" s="10" t="inlineStr">
        <is>
          <t>after Family O</t>
        </is>
      </c>
      <c r="D6" s="10" t="inlineStr">
        <is>
          <t>Find the dataset size at which an architectural symmetry constraint stops paying for itself. Train equivariant and non-equivariant versions of one architecture on one task across a data-size sweep, and plot the crossover. Why: AlphaFold3 dropped AF2's explicitly equivariant structure module and got better, while low-data molecular problems clearly still benefit. Nobody has published that curve for protein structure, and it would be cited constantly. See Atlas O.3 and O.4.</t>
        </is>
      </c>
      <c r="E6" s="11" t="inlineStr">
        <is>
          <t>Not started</t>
        </is>
      </c>
    </row>
    <row r="7">
      <c r="A7" s="11" t="inlineStr">
        <is>
          <t>III</t>
        </is>
      </c>
      <c r="B7" s="10" t="inlineStr">
        <is>
          <t>The over-optimization curve</t>
        </is>
      </c>
      <c r="C7" s="10" t="inlineStr">
        <is>
          <t>after Families P, R, S</t>
        </is>
      </c>
      <c r="D7" s="10" t="inlineStr">
        <is>
          <t>Measure where your design filters stop tracking reality. Take a target with experimental data at several optimization strengths and plot wet-lab success against filter stringency. The curve has a maximum. Find it. Why: Gao, Schulman &amp; Hilton did exactly this for learned reward models in language and found true performance peaks and then falls while the proxy keeps climbing. Design pipelines optimize against pLDDT and interface pAE with no equivalent measurement. See D.6.1 and Atlas R.10.</t>
        </is>
      </c>
      <c r="E7" s="11" t="inlineStr">
        <is>
          <t>Not started</t>
        </is>
      </c>
    </row>
    <row r="8">
      <c r="A8" s="11" t="inlineStr">
        <is>
          <t>IV</t>
        </is>
      </c>
      <c r="B8" s="10" t="inlineStr">
        <is>
          <t>The Boltzmann-generator audit</t>
        </is>
      </c>
      <c r="C8" s="10" t="inlineStr">
        <is>
          <t>after Family D</t>
        </is>
      </c>
      <c r="D8" s="10" t="inlineStr">
        <is>
          <t>Test whether a learned sampler actually samples the target distribution. Take a system where you can afford converged reference sampling, generate from a flow or diffusion emulator, compute importance weights, and report the effective sample size and the free energy difference against the reference. Why: the claim these methods make is Boltzmann sampling, not plausible structures, and the distinction is checkable. See Atlas D.6.</t>
        </is>
      </c>
      <c r="E8" s="11" t="inlineStr">
        <is>
          <t>Not started</t>
        </is>
      </c>
    </row>
    <row r="9">
      <c r="A9" s="11" t="inlineStr">
        <is>
          <t>V</t>
        </is>
      </c>
      <c r="B9" s="10" t="inlineStr">
        <is>
          <t>The learned prior meets sparse data</t>
        </is>
      </c>
      <c r="C9" s="10" t="inlineStr">
        <is>
          <t>after Family K</t>
        </is>
      </c>
      <c r="D9" s="10" t="inlineStr">
        <is>
          <t>Work out the correct way to combine a learned structural prior with averaged experimental restraints without double-counting. Hummer and Köfinger solved this for simulation ensembles; nobody has solved it for AlphaFold-class priors, which is what every crosslink-guided and density-guided prediction now does informally. Why: it is a well-posed inference question with immediate practical payoff, and it sits directly on top of any restraint-guided prediction work. See Atlas K.3.</t>
        </is>
      </c>
      <c r="E9" s="11" t="inlineStr">
        <is>
          <t>Not started</t>
        </is>
      </c>
    </row>
    <row r="10">
      <c r="A10" s="11" t="inlineStr">
        <is>
          <t>VI</t>
        </is>
      </c>
      <c r="B10" s="10" t="inlineStr">
        <is>
          <t>The whole-cell parameter gap</t>
        </is>
      </c>
      <c r="C10" s="10" t="inlineStr">
        <is>
          <t>after Family G</t>
        </is>
      </c>
      <c r="D10" s="10" t="inlineStr">
        <is>
          <t>Take the minimal-cell whole-cell model and ask what it would take to put a designed protein into it. Enumerate every parameter the model needs, mark which are computable today, and quantify how wrong the computable ones are. Why: it is the clearest statement of the distance between design and cell biology, and nobody in design has written it down. See Atlas G.2.</t>
        </is>
      </c>
      <c r="E10" s="11" t="inlineStr">
        <is>
          <t>Not started</t>
        </is>
      </c>
    </row>
    <row r="11">
      <c r="A11" s="11" t="inlineStr">
        <is>
          <t>VII</t>
        </is>
      </c>
      <c r="B11" s="10" t="inlineStr">
        <is>
          <t>The standing assessment</t>
        </is>
      </c>
      <c r="C11" s="10" t="inlineStr">
        <is>
          <t>ambitious</t>
        </is>
      </c>
      <c r="D11" s="10" t="inlineStr">
        <is>
          <t>Build the blind assessment for de novo design that does not exist. Target set, held out by a third party, experimental readout, published protocol, annual cadence. Adaptyv is the proof it can work; it is not yet CASP. Why: this is the single largest piece of missing infrastructure in the field. It is hard because it needs wet-lab partners, which is exactly why nobody has done it. See Atlas R.4 and S.1.</t>
        </is>
      </c>
      <c r="E11" s="11" t="inlineStr">
        <is>
          <t>Not started</t>
        </is>
      </c>
    </row>
    <row r="12">
      <c r="A12" s="11" t="inlineStr">
        <is>
          <t>VIII</t>
        </is>
      </c>
      <c r="B12" s="10" t="inlineStr">
        <is>
          <t>Interpretability with ground truth</t>
        </is>
      </c>
      <c r="C12" s="10" t="inlineStr">
        <is>
          <t>after Family Q and D.9</t>
        </is>
      </c>
      <c r="D12" s="10" t="inlineStr">
        <is>
          <t>Train sparse autoencoders on an MSA Transformer and evaluate the recovered features against Pfam domains, CATH folds, catalytic-site annotations and transmembrane spans. Report precision and recall of features against real labels - which language interpretability literally cannot do. Why: an MSA Transformer attending across an alignment to find the corresponding residue in a homolog is an induction head doing structural biology, and nobody has looked. This is the most tractable bridge project in this document, and it benefits the AI field more than the biology field. See Atlas Q.4, D.7.5, D.9 and D.10.1.</t>
        </is>
      </c>
      <c r="E12" s="11" t="inlineStr">
        <is>
          <t>Not started</t>
        </is>
      </c>
    </row>
    <row r="13">
      <c r="A13" s="11" t="inlineStr">
        <is>
          <t>IX</t>
        </is>
      </c>
      <c r="B13" s="10" t="inlineStr">
        <is>
          <t>The RNA gap</t>
        </is>
      </c>
      <c r="C13" s="10" t="inlineStr">
        <is>
          <t>after Family Q</t>
        </is>
      </c>
      <c r="D13" s="10" t="inlineStr">
        <is>
          <t>Characterize, quantitatively, why RNA structure prediction is behind protein structure prediction. Is it data volume, conformational heterogeneity, the ion atmosphere, or the absence of a CASP-grade assessment? Decompose it. Why: this is the Rhiju Das question, it is stated honestly nowhere, and the answer determines where effort should go. See Atlas Q.5.</t>
        </is>
      </c>
      <c r="E13" s="11" t="inlineStr">
        <is>
          <t>Not started</t>
        </is>
      </c>
    </row>
    <row r="14">
      <c r="A14" s="11" t="inlineStr">
        <is>
          <t>X</t>
        </is>
      </c>
      <c r="B14" s="10" t="inlineStr">
        <is>
          <t>Scaling laws for structure prediction</t>
        </is>
      </c>
      <c r="C14" s="10" t="inlineStr">
        <is>
          <t>after D.5</t>
        </is>
      </c>
      <c r="D14" s="10" t="inlineStr">
        <is>
          <t>Fit the functional form of structure-prediction performance in data, parameters and compute. Subsample the PDB at many fractions, train a fixed architecture at several sizes, fit the surface, and use Kudugunta's methodology critique as the checklist. Why: it is the quantitative answer to "should we fund more structure determination or more compute," and that question is currently decided by opinion. See D.5.4.</t>
        </is>
      </c>
      <c r="E14" s="11" t="inlineStr">
        <is>
          <t>Not started</t>
        </is>
      </c>
    </row>
    <row r="15">
      <c r="A15" s="11" t="inlineStr">
        <is>
          <t>XI</t>
        </is>
      </c>
      <c r="B15" s="10" t="inlineStr">
        <is>
          <t>The speedup</t>
        </is>
      </c>
      <c r="C15" s="10" t="inlineStr">
        <is>
          <t>after Part IV</t>
        </is>
      </c>
      <c r="D15" s="10" t="inlineStr">
        <is>
          <t>Make one real tool measurably faster and get the change merged. Not a fork, not a benchmark script - an upstream contribution to something people run: GROMACS, OpenMM, OpenFold, Boltz, ColabFold, e3nn, MDAnalysis. Profile it, find the actual bottleneck, fix it, show the number, defend it in review. Why: it is the single most verifiable contribution in this entire document - a speedup either reproduces on someone else's machine or it does not - and it is how you become known to the people who maintain the tools you depend on. It is also the one capstone where the field's gatekeeping is purely technical. See Part IV, especially E.8.</t>
        </is>
      </c>
      <c r="E15" s="11" t="inlineStr">
        <is>
          <t>Not started</t>
        </is>
      </c>
    </row>
  </sheetData>
  <mergeCells count="2">
    <mergeCell ref="A2:E2"/>
    <mergeCell ref="A1:E1"/>
  </mergeCells>
  <dataValidations count="1">
    <dataValidation sqref="E5:E15" showDropDown="0" showInputMessage="0" showErrorMessage="0" allowBlank="1" type="list">
      <formula1>"Not started,In progress,Done"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51"/>
  <sheetViews>
    <sheetView showGridLines="0" workbookViewId="0">
      <pane ySplit="4" topLeftCell="A5" activePane="bottomLeft" state="frozen"/>
      <selection pane="bottomLeft" activeCell="A1" sqref="A1"/>
    </sheetView>
  </sheetViews>
  <sheetFormatPr baseColWidth="8" defaultRowHeight="15"/>
  <cols>
    <col width="6" customWidth="1" min="1" max="1"/>
    <col width="20" customWidth="1" min="2" max="2"/>
    <col width="28" customWidth="1" min="3" max="3"/>
    <col width="96" customWidth="1" min="4" max="4"/>
    <col width="9" customWidth="1" min="5" max="5"/>
  </cols>
  <sheetData>
    <row r="1">
      <c r="A1" s="2" t="inlineStr">
        <is>
          <t>Paired papers</t>
        </is>
      </c>
      <c r="B1" s="1" t="n"/>
      <c r="C1" s="1" t="n"/>
      <c r="D1" s="1" t="n"/>
      <c r="E1" s="1" t="n"/>
    </row>
    <row r="2">
      <c r="A2" s="3" t="inlineStr">
        <is>
          <t>Every citation in the curriculum, with the section that discusses it.</t>
        </is>
      </c>
      <c r="B2" s="1" t="n"/>
      <c r="C2" s="1" t="n"/>
      <c r="D2" s="1" t="n"/>
      <c r="E2" s="1" t="n"/>
    </row>
    <row r="3">
      <c r="A3" s="1" t="n"/>
      <c r="B3" s="1" t="n"/>
      <c r="C3" s="1" t="n"/>
      <c r="D3" s="1" t="n"/>
      <c r="E3" s="1" t="n"/>
    </row>
    <row r="4" ht="28" customHeight="1">
      <c r="A4" s="7" t="inlineStr">
        <is>
          <t>#</t>
        </is>
      </c>
      <c r="B4" s="7" t="inlineStr">
        <is>
          <t>Part</t>
        </is>
      </c>
      <c r="C4" s="7" t="inlineStr">
        <is>
          <t>Section</t>
        </is>
      </c>
      <c r="D4" s="7" t="inlineStr">
        <is>
          <t>Citation</t>
        </is>
      </c>
      <c r="E4" s="7" t="inlineStr">
        <is>
          <t>Read</t>
        </is>
      </c>
    </row>
    <row r="5">
      <c r="A5" s="11" t="n">
        <v>1</v>
      </c>
      <c r="B5" s="8" t="inlineStr">
        <is>
          <t>Part I - Foundations</t>
        </is>
      </c>
      <c r="C5" s="10" t="inlineStr">
        <is>
          <t>B.4.2 The forces, one at a time</t>
        </is>
      </c>
      <c r="D5" s="10" t="inlineStr">
        <is>
          <t>Chandler 2005, Nature 437:640 (interfaces and the driving force of hydrophobic assembly)</t>
        </is>
      </c>
      <c r="E5" s="11" t="inlineStr"/>
    </row>
    <row r="6">
      <c r="A6" s="11" t="n">
        <v>2</v>
      </c>
      <c r="B6" s="8" t="inlineStr">
        <is>
          <t>Part I - Foundations</t>
        </is>
      </c>
      <c r="C6" s="10" t="inlineStr">
        <is>
          <t>B.4.2 The forces, one at a time</t>
        </is>
      </c>
      <c r="D6" s="10" t="inlineStr">
        <is>
          <t>Baldwin 2007, J Mol Biol 371:283</t>
        </is>
      </c>
      <c r="E6" s="11" t="inlineStr"/>
    </row>
    <row r="7">
      <c r="A7" s="11" t="n">
        <v>3</v>
      </c>
      <c r="B7" s="8" t="inlineStr">
        <is>
          <t>Part I - Foundations</t>
        </is>
      </c>
      <c r="C7" s="10" t="inlineStr">
        <is>
          <t>B.4.2 The forces, one at a time</t>
        </is>
      </c>
      <c r="D7" s="10" t="inlineStr">
        <is>
          <t>Pace et al. 2014, J Biol Chem 289:19165 (contribution of hydrogen bonding to stability)</t>
        </is>
      </c>
      <c r="E7" s="11" t="inlineStr"/>
    </row>
    <row r="8">
      <c r="A8" s="11" t="n">
        <v>4</v>
      </c>
      <c r="B8" s="8" t="inlineStr">
        <is>
          <t>Part I - Foundations</t>
        </is>
      </c>
      <c r="C8" s="10" t="inlineStr">
        <is>
          <t>B.4.2 The forces, one at a time</t>
        </is>
      </c>
      <c r="D8" s="10" t="inlineStr">
        <is>
          <t>Fleming &amp; Rose 2005, Protein Sci 14:1911</t>
        </is>
      </c>
      <c r="E8" s="11" t="inlineStr"/>
    </row>
    <row r="9">
      <c r="A9" s="11" t="n">
        <v>5</v>
      </c>
      <c r="B9" s="8" t="inlineStr">
        <is>
          <t>Part I - Foundations</t>
        </is>
      </c>
      <c r="C9" s="10" t="inlineStr">
        <is>
          <t>B.4.2 The forces, one at a time</t>
        </is>
      </c>
      <c r="D9" s="10" t="inlineStr">
        <is>
          <t>Dill 1990, Biochemistry 29:7133 (dominant forces in protein folding - the review to read first)</t>
        </is>
      </c>
      <c r="E9" s="11" t="inlineStr"/>
    </row>
    <row r="10">
      <c r="A10" s="11" t="n">
        <v>6</v>
      </c>
      <c r="B10" s="8" t="inlineStr">
        <is>
          <t>Part I - Foundations</t>
        </is>
      </c>
      <c r="C10" s="10" t="inlineStr">
        <is>
          <t>B.4.3 Protein structure and folding</t>
        </is>
      </c>
      <c r="D10" s="10" t="inlineStr">
        <is>
          <t>Ramachandran et al. 1963, J Mol Biol 7:95</t>
        </is>
      </c>
      <c r="E10" s="11" t="inlineStr"/>
    </row>
    <row r="11">
      <c r="A11" s="11" t="n">
        <v>7</v>
      </c>
      <c r="B11" s="8" t="inlineStr">
        <is>
          <t>Part I - Foundations</t>
        </is>
      </c>
      <c r="C11" s="10" t="inlineStr">
        <is>
          <t>B.4.3 Protein structure and folding</t>
        </is>
      </c>
      <c r="D11" s="10" t="inlineStr">
        <is>
          <t>Anfinsen 1973, Science 181:223</t>
        </is>
      </c>
      <c r="E11" s="11" t="inlineStr"/>
    </row>
    <row r="12">
      <c r="A12" s="11" t="n">
        <v>8</v>
      </c>
      <c r="B12" s="8" t="inlineStr">
        <is>
          <t>Part I - Foundations</t>
        </is>
      </c>
      <c r="C12" s="10" t="inlineStr">
        <is>
          <t>B.4.3 Protein structure and folding</t>
        </is>
      </c>
      <c r="D12" s="10" t="inlineStr">
        <is>
          <t>Richardson 1981, Adv Protein Chem 34:167 (the anatomy and taxonomy of protein structure - still the best single document on folds)</t>
        </is>
      </c>
      <c r="E12" s="11" t="inlineStr"/>
    </row>
    <row r="13">
      <c r="A13" s="11" t="n">
        <v>9</v>
      </c>
      <c r="B13" s="8" t="inlineStr">
        <is>
          <t>Part I - Foundations</t>
        </is>
      </c>
      <c r="C13" s="10" t="inlineStr">
        <is>
          <t>B.4.3 Protein structure and folding</t>
        </is>
      </c>
      <c r="D13" s="10" t="inlineStr">
        <is>
          <t>Levinthal 1969</t>
        </is>
      </c>
      <c r="E13" s="11" t="inlineStr"/>
    </row>
    <row r="14">
      <c r="A14" s="11" t="n">
        <v>10</v>
      </c>
      <c r="B14" s="8" t="inlineStr">
        <is>
          <t>Part I - Foundations</t>
        </is>
      </c>
      <c r="C14" s="10" t="inlineStr">
        <is>
          <t>B.4.3 Protein structure and folding</t>
        </is>
      </c>
      <c r="D14" s="10" t="inlineStr">
        <is>
          <t>Bryngelson &amp; Wolynes 1987, PNAS 84:7524 (the funnel)</t>
        </is>
      </c>
      <c r="E14" s="11" t="inlineStr"/>
    </row>
    <row r="15">
      <c r="A15" s="11" t="n">
        <v>11</v>
      </c>
      <c r="B15" s="8" t="inlineStr">
        <is>
          <t>Part I - Foundations</t>
        </is>
      </c>
      <c r="C15" s="10" t="inlineStr">
        <is>
          <t>B.4.4 Enzymology and catalysis</t>
        </is>
      </c>
      <c r="D15" s="10" t="inlineStr">
        <is>
          <t>Pauling 1946, Chem Eng News 24:1375 (transition state stabilization - two pages)</t>
        </is>
      </c>
      <c r="E15" s="11" t="inlineStr"/>
    </row>
    <row r="16">
      <c r="A16" s="11" t="n">
        <v>12</v>
      </c>
      <c r="B16" s="8" t="inlineStr">
        <is>
          <t>Part I - Foundations</t>
        </is>
      </c>
      <c r="C16" s="10" t="inlineStr">
        <is>
          <t>B.4.4 Enzymology and catalysis</t>
        </is>
      </c>
      <c r="D16" s="10" t="inlineStr">
        <is>
          <t>Warshel et al. 2006, Chem Rev 106:3210 (electrostatic basis for enzyme catalysis)</t>
        </is>
      </c>
      <c r="E16" s="11" t="inlineStr"/>
    </row>
    <row r="17">
      <c r="A17" s="11" t="n">
        <v>13</v>
      </c>
      <c r="B17" s="8" t="inlineStr">
        <is>
          <t>Part I - Foundations</t>
        </is>
      </c>
      <c r="C17" s="10" t="inlineStr">
        <is>
          <t>B.4.4 Enzymology and catalysis</t>
        </is>
      </c>
      <c r="D17" s="10" t="inlineStr">
        <is>
          <t>Bruice 2002, Acc Chem Res 35:139 (near attack conformations)</t>
        </is>
      </c>
      <c r="E17" s="11" t="inlineStr"/>
    </row>
    <row r="18">
      <c r="A18" s="11" t="n">
        <v>14</v>
      </c>
      <c r="B18" s="8" t="inlineStr">
        <is>
          <t>Part I - Foundations</t>
        </is>
      </c>
      <c r="C18" s="10" t="inlineStr">
        <is>
          <t>B.4.4 Enzymology and catalysis</t>
        </is>
      </c>
      <c r="D18" s="10" t="inlineStr">
        <is>
          <t>Kamerlin &amp; Warshel 2010, Proteins 78:1339 (at the dawn of the 21st century: is dynamics the missing link?)</t>
        </is>
      </c>
      <c r="E18" s="11" t="inlineStr"/>
    </row>
    <row r="19">
      <c r="A19" s="11" t="n">
        <v>15</v>
      </c>
      <c r="B19" s="8" t="inlineStr">
        <is>
          <t>Part I - Foundations</t>
        </is>
      </c>
      <c r="C19" s="10" t="inlineStr">
        <is>
          <t>B.4.4 Enzymology and catalysis</t>
        </is>
      </c>
      <c r="D19" s="10" t="inlineStr">
        <is>
          <t>Blomberg et al. 2013, Nature 503:418</t>
        </is>
      </c>
      <c r="E19" s="11" t="inlineStr"/>
    </row>
    <row r="20">
      <c r="A20" s="11" t="n">
        <v>16</v>
      </c>
      <c r="B20" s="8" t="inlineStr">
        <is>
          <t>Part I - Foundations</t>
        </is>
      </c>
      <c r="C20" s="10" t="inlineStr">
        <is>
          <t>B.4.5 Nucleic acids</t>
        </is>
      </c>
      <c r="D20" s="10" t="inlineStr">
        <is>
          <t>SantaLucia 1998, PNAS 95:1460 (unified nearest-neighbor parameters)</t>
        </is>
      </c>
      <c r="E20" s="11" t="inlineStr"/>
    </row>
    <row r="21">
      <c r="A21" s="11" t="n">
        <v>17</v>
      </c>
      <c r="B21" s="8" t="inlineStr">
        <is>
          <t>Part I - Foundations</t>
        </is>
      </c>
      <c r="C21" s="10" t="inlineStr">
        <is>
          <t>B.4.5 Nucleic acids</t>
        </is>
      </c>
      <c r="D21" s="10" t="inlineStr">
        <is>
          <t>Turner &amp; Mathews 2010, NAR 38:D280 (NNDB)</t>
        </is>
      </c>
      <c r="E21" s="11" t="inlineStr"/>
    </row>
    <row r="22">
      <c r="A22" s="11" t="n">
        <v>18</v>
      </c>
      <c r="B22" s="8" t="inlineStr">
        <is>
          <t>Part I - Foundations</t>
        </is>
      </c>
      <c r="C22" s="10" t="inlineStr">
        <is>
          <t>B.4.5 Nucleic acids</t>
        </is>
      </c>
      <c r="D22" s="10" t="inlineStr">
        <is>
          <t>Tinoco &amp; Bustamante 1999, J Mol Biol 293:271 (how RNA folds)</t>
        </is>
      </c>
      <c r="E22" s="11" t="inlineStr"/>
    </row>
    <row r="23">
      <c r="A23" s="11" t="n">
        <v>19</v>
      </c>
      <c r="B23" s="8" t="inlineStr">
        <is>
          <t>Part I - Foundations</t>
        </is>
      </c>
      <c r="C23" s="10" t="inlineStr">
        <is>
          <t>B.4.5 Nucleic acids</t>
        </is>
      </c>
      <c r="D23" s="10" t="inlineStr">
        <is>
          <t>Leontis &amp; Westhof 2001, RNA 7:499 (base-pair classification - the vocabulary RNA structure papers assume you have)</t>
        </is>
      </c>
      <c r="E23" s="11" t="inlineStr"/>
    </row>
    <row r="24">
      <c r="A24" s="11" t="n">
        <v>20</v>
      </c>
      <c r="B24" s="8" t="inlineStr">
        <is>
          <t>Part I - Foundations</t>
        </is>
      </c>
      <c r="C24" s="10" t="inlineStr">
        <is>
          <t>B.4.6 Experimental methods - enough to read a figure honestly</t>
        </is>
      </c>
      <c r="D24" s="10" t="inlineStr">
        <is>
          <t>Fowler &amp; Fields 2014, Nat Methods 11:801 (deep mutational scanning)</t>
        </is>
      </c>
      <c r="E24" s="11" t="inlineStr"/>
    </row>
    <row r="25">
      <c r="A25" s="11" t="n">
        <v>21</v>
      </c>
      <c r="B25" s="8" t="inlineStr">
        <is>
          <t>Part I - Foundations</t>
        </is>
      </c>
      <c r="C25" s="10" t="inlineStr">
        <is>
          <t>B.4.6 Experimental methods - enough to read a figure honestly</t>
        </is>
      </c>
      <c r="D25" s="10" t="inlineStr">
        <is>
          <t>Rodrigues &amp; Bonvin 2014 (on interpreting interface data)</t>
        </is>
      </c>
      <c r="E25" s="11" t="inlineStr"/>
    </row>
    <row r="26">
      <c r="A26" s="11" t="n">
        <v>22</v>
      </c>
      <c r="B26" s="8" t="inlineStr">
        <is>
          <t>Part I - Foundations</t>
        </is>
      </c>
      <c r="C26" s="10" t="inlineStr">
        <is>
          <t>B.4.6 Experimental methods - enough to read a figure honestly</t>
        </is>
      </c>
      <c r="D26" s="10" t="inlineStr">
        <is>
          <t>Wlodawer et al. 2008, FEBS J 275:1 (protein crystallography for non-crystallographers - read before you trust a PDB entry)</t>
        </is>
      </c>
      <c r="E26" s="11" t="inlineStr"/>
    </row>
    <row r="27">
      <c r="A27" s="11" t="n">
        <v>23</v>
      </c>
      <c r="B27" s="15" t="inlineStr">
        <is>
          <t>Part II - The Method Atlas</t>
        </is>
      </c>
      <c r="C27" s="10" t="inlineStr">
        <is>
          <t>B.2 Anton and the long-timescale program</t>
        </is>
      </c>
      <c r="D27" s="10" t="inlineStr">
        <is>
          <t>, and read them as a sequence: Shaw et al. 2010, Science 330:341 (Anton, atomic-level characterization of folding)</t>
        </is>
      </c>
      <c r="E27" s="11" t="inlineStr"/>
    </row>
    <row r="28">
      <c r="A28" s="11" t="n">
        <v>24</v>
      </c>
      <c r="B28" s="15" t="inlineStr">
        <is>
          <t>Part II - The Method Atlas</t>
        </is>
      </c>
      <c r="C28" s="10" t="inlineStr">
        <is>
          <t>B.2 Anton and the long-timescale program</t>
        </is>
      </c>
      <c r="D28" s="10" t="inlineStr">
        <is>
          <t>Lindorff-Larsen et al. 2011, Science 334:517 (How fast-folding proteins fold)</t>
        </is>
      </c>
      <c r="E28" s="11" t="inlineStr"/>
    </row>
    <row r="29">
      <c r="A29" s="11" t="n">
        <v>25</v>
      </c>
      <c r="B29" s="15" t="inlineStr">
        <is>
          <t>Part II - The Method Atlas</t>
        </is>
      </c>
      <c r="C29" s="10" t="inlineStr">
        <is>
          <t>B.2 Anton and the long-timescale program</t>
        </is>
      </c>
      <c r="D29" s="10" t="inlineStr">
        <is>
          <t>Shaw et al. 2014, SC'14 (Anton 2)</t>
        </is>
      </c>
      <c r="E29" s="11" t="inlineStr"/>
    </row>
    <row r="30">
      <c r="A30" s="11" t="n">
        <v>26</v>
      </c>
      <c r="B30" s="15" t="inlineStr">
        <is>
          <t>Part II - The Method Atlas</t>
        </is>
      </c>
      <c r="C30" s="10" t="inlineStr">
        <is>
          <t>B.2 Anton and the long-timescale program</t>
        </is>
      </c>
      <c r="D30" s="10" t="inlineStr">
        <is>
          <t>Shaw et al. 2021 (Anton 3)</t>
        </is>
      </c>
      <c r="E30" s="11" t="inlineStr"/>
    </row>
    <row r="31">
      <c r="A31" s="11" t="n">
        <v>27</v>
      </c>
      <c r="B31" s="15" t="inlineStr">
        <is>
          <t>Part II - The Method Atlas</t>
        </is>
      </c>
      <c r="C31" s="10" t="inlineStr">
        <is>
          <t>B.2 Anton and the long-timescale program</t>
        </is>
      </c>
      <c r="D31" s="10" t="inlineStr">
        <is>
          <t>Dror et al. 2012, Annu Rev Biophys 41:429 (biomolecular simulation review)</t>
        </is>
      </c>
      <c r="E31" s="11" t="inlineStr"/>
    </row>
    <row r="32">
      <c r="A32" s="11" t="n">
        <v>28</v>
      </c>
      <c r="B32" s="15" t="inlineStr">
        <is>
          <t>Part II - The Method Atlas</t>
        </is>
      </c>
      <c r="C32" s="10" t="inlineStr">
        <is>
          <t>B.3 Force fields in practice - and the parts that are wrong</t>
        </is>
      </c>
      <c r="D32" s="10" t="inlineStr">
        <is>
          <t>Best et al. 2012, JCTC 8:3257 (CHARMM36)</t>
        </is>
      </c>
      <c r="E32" s="11" t="inlineStr"/>
    </row>
    <row r="33">
      <c r="A33" s="11" t="n">
        <v>29</v>
      </c>
      <c r="B33" s="15" t="inlineStr">
        <is>
          <t>Part II - The Method Atlas</t>
        </is>
      </c>
      <c r="C33" s="10" t="inlineStr">
        <is>
          <t>B.3 Force fields in practice - and the parts that are wrong</t>
        </is>
      </c>
      <c r="D33" s="10" t="inlineStr">
        <is>
          <t>Huang et al. 2017, Nat Methods 14:71 (CHARMM36m - the IDP correction)</t>
        </is>
      </c>
      <c r="E33" s="11" t="inlineStr"/>
    </row>
    <row r="34">
      <c r="A34" s="11" t="n">
        <v>30</v>
      </c>
      <c r="B34" s="15" t="inlineStr">
        <is>
          <t>Part II - The Method Atlas</t>
        </is>
      </c>
      <c r="C34" s="10" t="inlineStr">
        <is>
          <t>B.3 Force fields in practice - and the parts that are wrong</t>
        </is>
      </c>
      <c r="D34" s="10" t="inlineStr">
        <is>
          <t>Maier et al. 2015, JCTC 11:3696 (ff14SB)</t>
        </is>
      </c>
      <c r="E34" s="11" t="inlineStr"/>
    </row>
    <row r="35">
      <c r="A35" s="11" t="n">
        <v>31</v>
      </c>
      <c r="B35" s="15" t="inlineStr">
        <is>
          <t>Part II - The Method Atlas</t>
        </is>
      </c>
      <c r="C35" s="10" t="inlineStr">
        <is>
          <t>B.3 Force fields in practice - and the parts that are wrong</t>
        </is>
      </c>
      <c r="D35" s="10" t="inlineStr">
        <is>
          <t>Tian et al. 2020, JCTC 16:528 (ff19SB)</t>
        </is>
      </c>
      <c r="E35" s="11" t="inlineStr"/>
    </row>
    <row r="36">
      <c r="A36" s="11" t="n">
        <v>32</v>
      </c>
      <c r="B36" s="15" t="inlineStr">
        <is>
          <t>Part II - The Method Atlas</t>
        </is>
      </c>
      <c r="C36" s="10" t="inlineStr">
        <is>
          <t>B.3 Force fields in practice - and the parts that are wrong</t>
        </is>
      </c>
      <c r="D36" s="10" t="inlineStr">
        <is>
          <t>Robustelli et al. 2018, PNAS 115:E4758 (a99SB-disp, the honest IDP comparison)</t>
        </is>
      </c>
      <c r="E36" s="11" t="inlineStr"/>
    </row>
    <row r="37">
      <c r="A37" s="11" t="n">
        <v>33</v>
      </c>
      <c r="B37" s="15" t="inlineStr">
        <is>
          <t>Part II - The Method Atlas</t>
        </is>
      </c>
      <c r="C37" s="10" t="inlineStr">
        <is>
          <t>B.3 Force fields in practice - and the parts that are wrong</t>
        </is>
      </c>
      <c r="D37" s="10" t="inlineStr">
        <is>
          <t>Batzner et al. 2022, Nat Commun 13:2453 (NequIP)</t>
        </is>
      </c>
      <c r="E37" s="11" t="inlineStr"/>
    </row>
    <row r="38">
      <c r="A38" s="11" t="n">
        <v>34</v>
      </c>
      <c r="B38" s="15" t="inlineStr">
        <is>
          <t>Part II - The Method Atlas</t>
        </is>
      </c>
      <c r="C38" s="10" t="inlineStr">
        <is>
          <t>B.3 Force fields in practice - and the parts that are wrong</t>
        </is>
      </c>
      <c r="D38" s="10" t="inlineStr">
        <is>
          <t>Musaelian et al. 2023, Nat Commun 14:579 (Allegro)</t>
        </is>
      </c>
      <c r="E38" s="11" t="inlineStr"/>
    </row>
    <row r="39">
      <c r="A39" s="11" t="n">
        <v>35</v>
      </c>
      <c r="B39" s="15" t="inlineStr">
        <is>
          <t>Part II - The Method Atlas</t>
        </is>
      </c>
      <c r="C39" s="10" t="inlineStr">
        <is>
          <t>B.3 Force fields in practice - and the parts that are wrong</t>
        </is>
      </c>
      <c r="D39" s="10" t="inlineStr">
        <is>
          <t>Batatia et al. 2022, NeurIPS (MACE)</t>
        </is>
      </c>
      <c r="E39" s="11" t="inlineStr"/>
    </row>
    <row r="40">
      <c r="A40" s="11" t="n">
        <v>36</v>
      </c>
      <c r="B40" s="15" t="inlineStr">
        <is>
          <t>Part II - The Method Atlas</t>
        </is>
      </c>
      <c r="C40" s="10" t="inlineStr">
        <is>
          <t>B.3 Force fields in practice - and the parts that are wrong</t>
        </is>
      </c>
      <c r="D40" s="10" t="inlineStr">
        <is>
          <t>Fu et al. 2023, TMLR (the ML force field benchmark that shows low force MAE does not imply stable simulation)</t>
        </is>
      </c>
      <c r="E40" s="11" t="inlineStr"/>
    </row>
    <row r="41">
      <c r="A41" s="11" t="n">
        <v>37</v>
      </c>
      <c r="B41" s="15" t="inlineStr">
        <is>
          <t>Part II - The Method Atlas</t>
        </is>
      </c>
      <c r="C41" s="10" t="inlineStr">
        <is>
          <t>B.5 Convergence, error bars, and what a trajectory does not tell you</t>
        </is>
      </c>
      <c r="D41" s="10" t="inlineStr">
        <is>
          <t>Grossfield &amp; Zuckerman 2009, Annu Rep Comput Chem 5:23 (Quantifying uncertainty and sampling quality) [read this one twice]</t>
        </is>
      </c>
      <c r="E41" s="11" t="inlineStr"/>
    </row>
    <row r="42">
      <c r="A42" s="11" t="n">
        <v>38</v>
      </c>
      <c r="B42" s="15" t="inlineStr">
        <is>
          <t>Part II - The Method Atlas</t>
        </is>
      </c>
      <c r="C42" s="10" t="inlineStr">
        <is>
          <t>B.5 Convergence, error bars, and what a trajectory does not tell you</t>
        </is>
      </c>
      <c r="D42" s="10" t="inlineStr">
        <is>
          <t>Chodera 2016, JCTC 12:1799 (automatic equilibration detection)</t>
        </is>
      </c>
      <c r="E42" s="11" t="inlineStr"/>
    </row>
    <row r="43">
      <c r="A43" s="11" t="n">
        <v>39</v>
      </c>
      <c r="B43" s="15" t="inlineStr">
        <is>
          <t>Part II - The Method Atlas</t>
        </is>
      </c>
      <c r="C43" s="10" t="inlineStr">
        <is>
          <t>B.5 Convergence, error bars, and what a trajectory does not tell you</t>
        </is>
      </c>
      <c r="D43" s="10" t="inlineStr">
        <is>
          <t>Zuckerman &amp; Chong 2017, Annu Rev Biophys 46:43 (weighted ensemble)</t>
        </is>
      </c>
      <c r="E43" s="11" t="inlineStr"/>
    </row>
    <row r="44">
      <c r="A44" s="11" t="n">
        <v>40</v>
      </c>
      <c r="B44" s="15" t="inlineStr">
        <is>
          <t>Part II - The Method Atlas</t>
        </is>
      </c>
      <c r="C44" s="10" t="inlineStr">
        <is>
          <t>B.5 Convergence, error bars, and what a trajectory does not tell you</t>
        </is>
      </c>
      <c r="D44" s="10" t="inlineStr">
        <is>
          <t>Shirts &amp; Chodera 2008, JCP 129:124105 (MBAR)</t>
        </is>
      </c>
      <c r="E44" s="11" t="inlineStr"/>
    </row>
    <row r="45">
      <c r="A45" s="11" t="n">
        <v>41</v>
      </c>
      <c r="B45" s="15" t="inlineStr">
        <is>
          <t>Part II - The Method Atlas</t>
        </is>
      </c>
      <c r="C45" s="10" t="inlineStr">
        <is>
          <t>B.5 Convergence, error bars, and what a trajectory does not tell you</t>
        </is>
      </c>
      <c r="D45" s="10" t="inlineStr">
        <is>
          <t>Flyvbjerg &amp; Petersen 1989, JCP 91:461 (block averaging)</t>
        </is>
      </c>
      <c r="E45" s="11" t="inlineStr"/>
    </row>
    <row r="46">
      <c r="A46" s="11" t="n">
        <v>42</v>
      </c>
      <c r="B46" s="15" t="inlineStr">
        <is>
          <t>Part II - The Method Atlas</t>
        </is>
      </c>
      <c r="C46" s="10" t="inlineStr">
        <is>
          <t>B.5 Convergence, error bars, and what a trajectory does not tell you</t>
        </is>
      </c>
      <c r="D46" s="10" t="inlineStr">
        <is>
          <t>Romo &amp; Grossfield 2011, JCTC 7:2464</t>
        </is>
      </c>
      <c r="E46" s="11" t="inlineStr"/>
    </row>
    <row r="47">
      <c r="A47" s="11" t="n">
        <v>43</v>
      </c>
      <c r="B47" s="15" t="inlineStr">
        <is>
          <t>Part II - The Method Atlas</t>
        </is>
      </c>
      <c r="C47" s="10" t="inlineStr">
        <is>
          <t>B.6 Specialized regimes</t>
        </is>
      </c>
      <c r="D47" s="10" t="inlineStr">
        <is>
          <t>for nucleic acids specifically, because the Atlas is otherwise protein-heavy and this is where DNA/RNA simulation lives: Zgarbová et al. 2011, JCTC 7:2886 (χOL3 for RNA)</t>
        </is>
      </c>
      <c r="E47" s="11" t="inlineStr"/>
    </row>
    <row r="48">
      <c r="A48" s="11" t="n">
        <v>44</v>
      </c>
      <c r="B48" s="15" t="inlineStr">
        <is>
          <t>Part II - The Method Atlas</t>
        </is>
      </c>
      <c r="C48" s="10" t="inlineStr">
        <is>
          <t>B.6 Specialized regimes</t>
        </is>
      </c>
      <c r="D48" s="10" t="inlineStr">
        <is>
          <t>Galindo-Murillo et al. 2016, JCTC 12:4114 (OL15 for DNA)</t>
        </is>
      </c>
      <c r="E48" s="11" t="inlineStr"/>
    </row>
    <row r="49">
      <c r="A49" s="11" t="n">
        <v>45</v>
      </c>
      <c r="B49" s="15" t="inlineStr">
        <is>
          <t>Part II - The Method Atlas</t>
        </is>
      </c>
      <c r="C49" s="10" t="inlineStr">
        <is>
          <t>B.6 Specialized regimes</t>
        </is>
      </c>
      <c r="D49" s="10" t="inlineStr">
        <is>
          <t>Šponer et al. 2018, Chem Rev 118:4177 (RNA structural dynamics - the honest review of what RNA force fields get wrong)</t>
        </is>
      </c>
      <c r="E49" s="11" t="inlineStr"/>
    </row>
    <row r="50">
      <c r="A50" s="11" t="n">
        <v>46</v>
      </c>
      <c r="B50" s="15" t="inlineStr">
        <is>
          <t>Part II - The Method Atlas</t>
        </is>
      </c>
      <c r="C50" s="10" t="inlineStr">
        <is>
          <t>D.2 Collective-variable methods</t>
        </is>
      </c>
      <c r="D50" s="10" t="inlineStr">
        <is>
          <t>Torrie &amp; Valleau 1977, J Comput Phys 23:187 (umbrella sampling)</t>
        </is>
      </c>
      <c r="E50" s="11" t="inlineStr"/>
    </row>
    <row r="51">
      <c r="A51" s="11" t="n">
        <v>47</v>
      </c>
      <c r="B51" s="15" t="inlineStr">
        <is>
          <t>Part II - The Method Atlas</t>
        </is>
      </c>
      <c r="C51" s="10" t="inlineStr">
        <is>
          <t>D.2 Collective-variable methods</t>
        </is>
      </c>
      <c r="D51" s="10" t="inlineStr">
        <is>
          <t>Kumar et al. 1992, J Comput Chem 13:1011 (WHAM)</t>
        </is>
      </c>
      <c r="E51" s="11" t="inlineStr"/>
    </row>
    <row r="52">
      <c r="A52" s="11" t="n">
        <v>48</v>
      </c>
      <c r="B52" s="15" t="inlineStr">
        <is>
          <t>Part II - The Method Atlas</t>
        </is>
      </c>
      <c r="C52" s="10" t="inlineStr">
        <is>
          <t>D.2 Collective-variable methods</t>
        </is>
      </c>
      <c r="D52" s="10" t="inlineStr">
        <is>
          <t>Laio &amp; Parrinello 2002, PNAS 99:12562 (metadynamics)</t>
        </is>
      </c>
      <c r="E52" s="11" t="inlineStr"/>
    </row>
    <row r="53">
      <c r="A53" s="11" t="n">
        <v>49</v>
      </c>
      <c r="B53" s="15" t="inlineStr">
        <is>
          <t>Part II - The Method Atlas</t>
        </is>
      </c>
      <c r="C53" s="10" t="inlineStr">
        <is>
          <t>D.2 Collective-variable methods</t>
        </is>
      </c>
      <c r="D53" s="10" t="inlineStr">
        <is>
          <t>Barducci et al. 2008, PRL 100:020603 (well-tempered metadynamics)</t>
        </is>
      </c>
      <c r="E53" s="11" t="inlineStr"/>
    </row>
    <row r="54">
      <c r="A54" s="11" t="n">
        <v>50</v>
      </c>
      <c r="B54" s="15" t="inlineStr">
        <is>
          <t>Part II - The Method Atlas</t>
        </is>
      </c>
      <c r="C54" s="10" t="inlineStr">
        <is>
          <t>D.2 Collective-variable methods</t>
        </is>
      </c>
      <c r="D54" s="10" t="inlineStr">
        <is>
          <t>Invernizzi &amp; Parrinello 2020, JPCL 11:2731 (OPES)</t>
        </is>
      </c>
      <c r="E54" s="11" t="inlineStr"/>
    </row>
    <row r="55">
      <c r="A55" s="11" t="n">
        <v>51</v>
      </c>
      <c r="B55" s="15" t="inlineStr">
        <is>
          <t>Part II - The Method Atlas</t>
        </is>
      </c>
      <c r="C55" s="10" t="inlineStr">
        <is>
          <t>D.2 Collective-variable methods</t>
        </is>
      </c>
      <c r="D55" s="10" t="inlineStr">
        <is>
          <t>Darve et al. 2008, JCP 128:144120 (ABF)</t>
        </is>
      </c>
      <c r="E55" s="11" t="inlineStr"/>
    </row>
    <row r="56">
      <c r="A56" s="11" t="n">
        <v>52</v>
      </c>
      <c r="B56" s="15" t="inlineStr">
        <is>
          <t>Part II - The Method Atlas</t>
        </is>
      </c>
      <c r="C56" s="10" t="inlineStr">
        <is>
          <t>D.2 Collective-variable methods</t>
        </is>
      </c>
      <c r="D56" s="10" t="inlineStr">
        <is>
          <t>Tiwary &amp; Berne 2016, PNAS 113:2839 (SGOOP - learning the CV)</t>
        </is>
      </c>
      <c r="E56" s="11" t="inlineStr"/>
    </row>
    <row r="57">
      <c r="A57" s="11" t="n">
        <v>53</v>
      </c>
      <c r="B57" s="15" t="inlineStr">
        <is>
          <t>Part II - The Method Atlas</t>
        </is>
      </c>
      <c r="C57" s="10" t="inlineStr">
        <is>
          <t>D.2 Collective-variable methods</t>
        </is>
      </c>
      <c r="D57" s="10" t="inlineStr">
        <is>
          <t>Bonati et al. 2021, PNAS 118:e2113533118 (deep-LDA CVs)</t>
        </is>
      </c>
      <c r="E57" s="11" t="inlineStr"/>
    </row>
    <row r="58">
      <c r="A58" s="11" t="n">
        <v>54</v>
      </c>
      <c r="B58" s="15" t="inlineStr">
        <is>
          <t>Part II - The Method Atlas</t>
        </is>
      </c>
      <c r="C58" s="10" t="inlineStr">
        <is>
          <t>D.2 Collective-variable methods</t>
        </is>
      </c>
      <c r="D58" s="10" t="inlineStr">
        <is>
          <t>Ribeiro et al. 2018, JCP 149:072301 (RAVE)</t>
        </is>
      </c>
      <c r="E58" s="11" t="inlineStr"/>
    </row>
    <row r="59">
      <c r="A59" s="11" t="n">
        <v>55</v>
      </c>
      <c r="B59" s="15" t="inlineStr">
        <is>
          <t>Part II - The Method Atlas</t>
        </is>
      </c>
      <c r="C59" s="10" t="inlineStr">
        <is>
          <t>D.3 Replica exchange and tempering</t>
        </is>
      </c>
      <c r="D59" s="10" t="inlineStr">
        <is>
          <t>Sugita &amp; Okamoto 1999, Chem Phys Lett 314:141 (REMD)</t>
        </is>
      </c>
      <c r="E59" s="11" t="inlineStr"/>
    </row>
    <row r="60">
      <c r="A60" s="11" t="n">
        <v>56</v>
      </c>
      <c r="B60" s="15" t="inlineStr">
        <is>
          <t>Part II - The Method Atlas</t>
        </is>
      </c>
      <c r="C60" s="10" t="inlineStr">
        <is>
          <t>D.3 Replica exchange and tempering</t>
        </is>
      </c>
      <c r="D60" s="10" t="inlineStr">
        <is>
          <t>Wang, Friesner &amp; Berne 2011, JPCB 115:9431 (REST2)</t>
        </is>
      </c>
      <c r="E60" s="11" t="inlineStr"/>
    </row>
    <row r="61">
      <c r="A61" s="11" t="n">
        <v>57</v>
      </c>
      <c r="B61" s="15" t="inlineStr">
        <is>
          <t>Part II - The Method Atlas</t>
        </is>
      </c>
      <c r="C61" s="10" t="inlineStr">
        <is>
          <t>D.3 Replica exchange and tempering</t>
        </is>
      </c>
      <c r="D61" s="10" t="inlineStr">
        <is>
          <t>Rosta &amp; Hummer 2009, JCP 131:165102 (the paper showing REMD's efficiency gain is smaller than usually claimed)</t>
        </is>
      </c>
      <c r="E61" s="11" t="inlineStr"/>
    </row>
    <row r="62">
      <c r="A62" s="11" t="n">
        <v>58</v>
      </c>
      <c r="B62" s="15" t="inlineStr">
        <is>
          <t>Part II - The Method Atlas</t>
        </is>
      </c>
      <c r="C62" s="10" t="inlineStr">
        <is>
          <t>D.3 Replica exchange and tempering</t>
        </is>
      </c>
      <c r="D62" s="10" t="inlineStr">
        <is>
          <t>Nymeyer 2008, JCTC 4:626</t>
        </is>
      </c>
      <c r="E62" s="11" t="inlineStr"/>
    </row>
    <row r="63">
      <c r="A63" s="11" t="n">
        <v>59</v>
      </c>
      <c r="B63" s="15" t="inlineStr">
        <is>
          <t>Part II - The Method Atlas</t>
        </is>
      </c>
      <c r="C63" s="10" t="inlineStr">
        <is>
          <t>D.4 Path and trajectory-space methods</t>
        </is>
      </c>
      <c r="D63" s="10" t="inlineStr">
        <is>
          <t>Huber &amp; Kim 1996, Biophys J 70:97 (weighted ensemble, the original)</t>
        </is>
      </c>
      <c r="E63" s="11" t="inlineStr"/>
    </row>
    <row r="64">
      <c r="A64" s="11" t="n">
        <v>60</v>
      </c>
      <c r="B64" s="15" t="inlineStr">
        <is>
          <t>Part II - The Method Atlas</t>
        </is>
      </c>
      <c r="C64" s="10" t="inlineStr">
        <is>
          <t>D.4 Path and trajectory-space methods</t>
        </is>
      </c>
      <c r="D64" s="10" t="inlineStr">
        <is>
          <t>Zuckerman &amp; Chong 2017, Annu Rev Biophys 46:43 (the review to read)</t>
        </is>
      </c>
      <c r="E64" s="11" t="inlineStr"/>
    </row>
    <row r="65">
      <c r="A65" s="11" t="n">
        <v>61</v>
      </c>
      <c r="B65" s="15" t="inlineStr">
        <is>
          <t>Part II - The Method Atlas</t>
        </is>
      </c>
      <c r="C65" s="10" t="inlineStr">
        <is>
          <t>D.4 Path and trajectory-space methods</t>
        </is>
      </c>
      <c r="D65" s="10" t="inlineStr">
        <is>
          <t>Zwier et al. 2015, JCTC 11:800 (WESTPA)</t>
        </is>
      </c>
      <c r="E65" s="11" t="inlineStr"/>
    </row>
    <row r="66">
      <c r="A66" s="11" t="n">
        <v>62</v>
      </c>
      <c r="B66" s="15" t="inlineStr">
        <is>
          <t>Part II - The Method Atlas</t>
        </is>
      </c>
      <c r="C66" s="10" t="inlineStr">
        <is>
          <t>D.4 Path and trajectory-space methods</t>
        </is>
      </c>
      <c r="D66" s="10" t="inlineStr">
        <is>
          <t>Bolhuis et al. 2002, Annu Rev Phys Chem 53:291 (TPS)</t>
        </is>
      </c>
      <c r="E66" s="11" t="inlineStr"/>
    </row>
    <row r="67">
      <c r="A67" s="11" t="n">
        <v>63</v>
      </c>
      <c r="B67" s="15" t="inlineStr">
        <is>
          <t>Part II - The Method Atlas</t>
        </is>
      </c>
      <c r="C67" s="10" t="inlineStr">
        <is>
          <t>D.4 Path and trajectory-space methods</t>
        </is>
      </c>
      <c r="D67" s="10" t="inlineStr">
        <is>
          <t>Allen et al. 2009, J Phys Condens Matter 21:463102 (forward flux)</t>
        </is>
      </c>
      <c r="E67" s="11" t="inlineStr"/>
    </row>
    <row r="68">
      <c r="A68" s="11" t="n">
        <v>64</v>
      </c>
      <c r="B68" s="15" t="inlineStr">
        <is>
          <t>Part II - The Method Atlas</t>
        </is>
      </c>
      <c r="C68" s="10" t="inlineStr">
        <is>
          <t>D.4 Path and trajectory-space methods</t>
        </is>
      </c>
      <c r="D68" s="10" t="inlineStr">
        <is>
          <t>Faradjian &amp; Elber 2004, JCP 120:10880</t>
        </is>
      </c>
      <c r="E68" s="11" t="inlineStr"/>
    </row>
    <row r="69">
      <c r="A69" s="11" t="n">
        <v>65</v>
      </c>
      <c r="B69" s="15" t="inlineStr">
        <is>
          <t>Part II - The Method Atlas</t>
        </is>
      </c>
      <c r="C69" s="10" t="inlineStr">
        <is>
          <t>D.5 Markov state models - many short runs instead of one long one</t>
        </is>
      </c>
      <c r="D69" s="10" t="inlineStr">
        <is>
          <t>Prinz et al. 2011, JCP 134:174105 (MSMs: the definitive construction paper)</t>
        </is>
      </c>
      <c r="E69" s="11" t="inlineStr"/>
    </row>
    <row r="70">
      <c r="A70" s="11" t="n">
        <v>66</v>
      </c>
      <c r="B70" s="15" t="inlineStr">
        <is>
          <t>Part II - The Method Atlas</t>
        </is>
      </c>
      <c r="C70" s="10" t="inlineStr">
        <is>
          <t>D.5 Markov state models - many short runs instead of one long one</t>
        </is>
      </c>
      <c r="D70" s="10" t="inlineStr">
        <is>
          <t>Husic &amp; Pande 2018, JACS 140:2386 (MSM review)</t>
        </is>
      </c>
      <c r="E70" s="11" t="inlineStr"/>
    </row>
    <row r="71">
      <c r="A71" s="11" t="n">
        <v>67</v>
      </c>
      <c r="B71" s="15" t="inlineStr">
        <is>
          <t>Part II - The Method Atlas</t>
        </is>
      </c>
      <c r="C71" s="10" t="inlineStr">
        <is>
          <t>D.5 Markov state models - many short runs instead of one long one</t>
        </is>
      </c>
      <c r="D71" s="10" t="inlineStr">
        <is>
          <t>Bowman et al. 2009, Methods 49:197</t>
        </is>
      </c>
      <c r="E71" s="11" t="inlineStr"/>
    </row>
    <row r="72">
      <c r="A72" s="11" t="n">
        <v>68</v>
      </c>
      <c r="B72" s="15" t="inlineStr">
        <is>
          <t>Part II - The Method Atlas</t>
        </is>
      </c>
      <c r="C72" s="10" t="inlineStr">
        <is>
          <t>D.5 Markov state models - many short runs instead of one long one</t>
        </is>
      </c>
      <c r="D72" s="10" t="inlineStr">
        <is>
          <t>Bowman &amp; Geissler 2012, PNAS 109:11681 (equilibrium fluctuations reveal cryptic pockets)</t>
        </is>
      </c>
      <c r="E72" s="11" t="inlineStr"/>
    </row>
    <row r="73">
      <c r="A73" s="11" t="n">
        <v>69</v>
      </c>
      <c r="B73" s="15" t="inlineStr">
        <is>
          <t>Part II - The Method Atlas</t>
        </is>
      </c>
      <c r="C73" s="10" t="inlineStr">
        <is>
          <t>D.5 Markov state models - many short runs instead of one long one</t>
        </is>
      </c>
      <c r="D73" s="10" t="inlineStr">
        <is>
          <t>Mardt et al. 2018, Nat Commun 9:5 (VAMPnets)</t>
        </is>
      </c>
      <c r="E73" s="11" t="inlineStr"/>
    </row>
    <row r="74">
      <c r="A74" s="11" t="n">
        <v>70</v>
      </c>
      <c r="B74" s="15" t="inlineStr">
        <is>
          <t>Part II - The Method Atlas</t>
        </is>
      </c>
      <c r="C74" s="10" t="inlineStr">
        <is>
          <t>D.5 Markov state models - many short runs instead of one long one</t>
        </is>
      </c>
      <c r="D74" s="10" t="inlineStr">
        <is>
          <t>Wu &amp; Noé 2020, J Nonlinear Sci 30:23 (variational approach to Markov processes)</t>
        </is>
      </c>
      <c r="E74" s="11" t="inlineStr"/>
    </row>
    <row r="75">
      <c r="A75" s="11" t="n">
        <v>71</v>
      </c>
      <c r="B75" s="15" t="inlineStr">
        <is>
          <t>Part II - The Method Atlas</t>
        </is>
      </c>
      <c r="C75" s="10" t="inlineStr">
        <is>
          <t>D.5 Markov state models - many short runs instead of one long one</t>
        </is>
      </c>
      <c r="D75" s="10" t="inlineStr">
        <is>
          <t>Meller et al. 2023, Nat Commun 14:1177 (PocketMiner)</t>
        </is>
      </c>
      <c r="E75" s="11" t="inlineStr"/>
    </row>
    <row r="76">
      <c r="A76" s="11" t="n">
        <v>72</v>
      </c>
      <c r="B76" s="15" t="inlineStr">
        <is>
          <t>Part II - The Method Atlas</t>
        </is>
      </c>
      <c r="C76" s="10" t="inlineStr">
        <is>
          <t>D.6 The learned-sampler frontier</t>
        </is>
      </c>
      <c r="D76" s="10" t="inlineStr">
        <is>
          <t>Noé et al. 2019, Science 365:eaaw1147 (Boltzmann generators) [landmark]</t>
        </is>
      </c>
      <c r="E76" s="11" t="inlineStr"/>
    </row>
    <row r="77">
      <c r="A77" s="11" t="n">
        <v>73</v>
      </c>
      <c r="B77" s="15" t="inlineStr">
        <is>
          <t>Part II - The Method Atlas</t>
        </is>
      </c>
      <c r="C77" s="10" t="inlineStr">
        <is>
          <t>D.6 The learned-sampler frontier</t>
        </is>
      </c>
      <c r="D77" s="10" t="inlineStr">
        <is>
          <t>Klein et al. 2023, NeurIPS (Timewarp)</t>
        </is>
      </c>
      <c r="E77" s="11" t="inlineStr"/>
    </row>
    <row r="78">
      <c r="A78" s="11" t="n">
        <v>74</v>
      </c>
      <c r="B78" s="15" t="inlineStr">
        <is>
          <t>Part II - The Method Atlas</t>
        </is>
      </c>
      <c r="C78" s="10" t="inlineStr">
        <is>
          <t>D.6 The learned-sampler frontier</t>
        </is>
      </c>
      <c r="D78" s="10" t="inlineStr">
        <is>
          <t>Lewis et al. 2025, Science 389:eadv9817 (BioEmu)</t>
        </is>
      </c>
      <c r="E78" s="11" t="inlineStr"/>
    </row>
    <row r="79">
      <c r="A79" s="11" t="n">
        <v>75</v>
      </c>
      <c r="B79" s="15" t="inlineStr">
        <is>
          <t>Part II - The Method Atlas</t>
        </is>
      </c>
      <c r="C79" s="10" t="inlineStr">
        <is>
          <t>D.6 The learned-sampler frontier</t>
        </is>
      </c>
      <c r="D79" s="10" t="inlineStr">
        <is>
          <t>Jing et al. 2024, ICML (AlphaFlow)</t>
        </is>
      </c>
      <c r="E79" s="11" t="inlineStr"/>
    </row>
    <row r="80">
      <c r="A80" s="11" t="n">
        <v>76</v>
      </c>
      <c r="B80" s="15" t="inlineStr">
        <is>
          <t>Part II - The Method Atlas</t>
        </is>
      </c>
      <c r="C80" s="10" t="inlineStr">
        <is>
          <t>D.6 The learned-sampler frontier</t>
        </is>
      </c>
      <c r="D80" s="10" t="inlineStr">
        <is>
          <t>Zheng et al. 2024, Nat Mach Intell 6:558 (DiG)</t>
        </is>
      </c>
      <c r="E80" s="11" t="inlineStr"/>
    </row>
    <row r="81">
      <c r="A81" s="11" t="n">
        <v>77</v>
      </c>
      <c r="B81" s="15" t="inlineStr">
        <is>
          <t>Part II - The Method Atlas</t>
        </is>
      </c>
      <c r="C81" s="10" t="inlineStr">
        <is>
          <t>D.6 The learned-sampler frontier</t>
        </is>
      </c>
      <c r="D81" s="10" t="inlineStr">
        <is>
          <t>Köhler et al. 2020, ICML (equivariant flows)</t>
        </is>
      </c>
      <c r="E81" s="11" t="inlineStr"/>
    </row>
    <row r="82">
      <c r="A82" s="11" t="n">
        <v>78</v>
      </c>
      <c r="B82" s="15" t="inlineStr">
        <is>
          <t>Part II - The Method Atlas</t>
        </is>
      </c>
      <c r="C82" s="10" t="inlineStr">
        <is>
          <t>D.6 The learned-sampler frontier</t>
        </is>
      </c>
      <c r="D82" s="10" t="inlineStr">
        <is>
          <t>Midgley et al. 2023, ICLR (flow annealed importance sampling bootstrap)</t>
        </is>
      </c>
      <c r="E82" s="11" t="inlineStr"/>
    </row>
    <row r="83">
      <c r="A83" s="11" t="n">
        <v>79</v>
      </c>
      <c r="B83" s="15" t="inlineStr">
        <is>
          <t>Part II - The Method Atlas</t>
        </is>
      </c>
      <c r="C83" s="10" t="inlineStr">
        <is>
          <t>E.2 The estimators</t>
        </is>
      </c>
      <c r="D83" s="10" t="inlineStr">
        <is>
          <t>, and this is a short canonical list: Zwanzig 1954, JCP 22:1420 (FEP)</t>
        </is>
      </c>
      <c r="E83" s="11" t="inlineStr"/>
    </row>
    <row r="84">
      <c r="A84" s="11" t="n">
        <v>80</v>
      </c>
      <c r="B84" s="15" t="inlineStr">
        <is>
          <t>Part II - The Method Atlas</t>
        </is>
      </c>
      <c r="C84" s="10" t="inlineStr">
        <is>
          <t>E.2 The estimators</t>
        </is>
      </c>
      <c r="D84" s="10" t="inlineStr">
        <is>
          <t>Kirkwood 1935, JCP 3:300 (thermodynamic integration)</t>
        </is>
      </c>
      <c r="E84" s="11" t="inlineStr"/>
    </row>
    <row r="85">
      <c r="A85" s="11" t="n">
        <v>81</v>
      </c>
      <c r="B85" s="15" t="inlineStr">
        <is>
          <t>Part II - The Method Atlas</t>
        </is>
      </c>
      <c r="C85" s="10" t="inlineStr">
        <is>
          <t>E.2 The estimators</t>
        </is>
      </c>
      <c r="D85" s="10" t="inlineStr">
        <is>
          <t>Bennett 1976, J Comput Phys 22:245 (BAR)</t>
        </is>
      </c>
      <c r="E85" s="11" t="inlineStr"/>
    </row>
    <row r="86">
      <c r="A86" s="11" t="n">
        <v>82</v>
      </c>
      <c r="B86" s="15" t="inlineStr">
        <is>
          <t>Part II - The Method Atlas</t>
        </is>
      </c>
      <c r="C86" s="10" t="inlineStr">
        <is>
          <t>E.2 The estimators</t>
        </is>
      </c>
      <c r="D86" s="10" t="inlineStr">
        <is>
          <t>Shirts &amp; Chodera 2008, JCP 129:124105 (MBAR) [the one to internalize]</t>
        </is>
      </c>
      <c r="E86" s="11" t="inlineStr"/>
    </row>
    <row r="87">
      <c r="A87" s="11" t="n">
        <v>83</v>
      </c>
      <c r="B87" s="15" t="inlineStr">
        <is>
          <t>Part II - The Method Atlas</t>
        </is>
      </c>
      <c r="C87" s="10" t="inlineStr">
        <is>
          <t>E.2 The estimators</t>
        </is>
      </c>
      <c r="D87" s="10" t="inlineStr">
        <is>
          <t>Crooks 1999, PRE 60:2721 (the fluctuation theorem)</t>
        </is>
      </c>
      <c r="E87" s="11" t="inlineStr"/>
    </row>
    <row r="88">
      <c r="A88" s="11" t="n">
        <v>84</v>
      </c>
      <c r="B88" s="15" t="inlineStr">
        <is>
          <t>Part II - The Method Atlas</t>
        </is>
      </c>
      <c r="C88" s="10" t="inlineStr">
        <is>
          <t>E.2 The estimators</t>
        </is>
      </c>
      <c r="D88" s="10" t="inlineStr">
        <is>
          <t>Jarzynski 1997, PRL 78:2690</t>
        </is>
      </c>
      <c r="E88" s="11" t="inlineStr"/>
    </row>
    <row r="89">
      <c r="A89" s="11" t="n">
        <v>85</v>
      </c>
      <c r="B89" s="15" t="inlineStr">
        <is>
          <t>Part II - The Method Atlas</t>
        </is>
      </c>
      <c r="C89" s="10" t="inlineStr">
        <is>
          <t>E.2 The estimators</t>
        </is>
      </c>
      <c r="D89" s="10" t="inlineStr">
        <is>
          <t>Pohorille, Jarzynski &amp; Chipot 2010, JPCB 114:10235 (good practices)</t>
        </is>
      </c>
      <c r="E89" s="11" t="inlineStr"/>
    </row>
    <row r="90">
      <c r="A90" s="11" t="n">
        <v>86</v>
      </c>
      <c r="B90" s="15" t="inlineStr">
        <is>
          <t>Part II - The Method Atlas</t>
        </is>
      </c>
      <c r="C90" s="10" t="inlineStr">
        <is>
          <t>E.3 Binding free energies</t>
        </is>
      </c>
      <c r="D90" s="10" t="inlineStr">
        <is>
          <t>Gilson et al. 1997, Biophys J 72:1047 (the statistical-thermodynamic basis)</t>
        </is>
      </c>
      <c r="E90" s="11" t="inlineStr"/>
    </row>
    <row r="91">
      <c r="A91" s="11" t="n">
        <v>87</v>
      </c>
      <c r="B91" s="15" t="inlineStr">
        <is>
          <t>Part II - The Method Atlas</t>
        </is>
      </c>
      <c r="C91" s="10" t="inlineStr">
        <is>
          <t>E.3 Binding free energies</t>
        </is>
      </c>
      <c r="D91" s="10" t="inlineStr">
        <is>
          <t>Mobley &amp; Gilson 2017, Annu Rev Biophys 46:531 (binding free energy calculations - the review)</t>
        </is>
      </c>
      <c r="E91" s="11" t="inlineStr"/>
    </row>
    <row r="92">
      <c r="A92" s="11" t="n">
        <v>88</v>
      </c>
      <c r="B92" s="15" t="inlineStr">
        <is>
          <t>Part II - The Method Atlas</t>
        </is>
      </c>
      <c r="C92" s="10" t="inlineStr">
        <is>
          <t>E.3 Binding free energies</t>
        </is>
      </c>
      <c r="D92" s="10" t="inlineStr">
        <is>
          <t>Wang et al. 2015, JACS 137:2695 (FEP+ on congeneric series)</t>
        </is>
      </c>
      <c r="E92" s="11" t="inlineStr"/>
    </row>
    <row r="93">
      <c r="A93" s="11" t="n">
        <v>89</v>
      </c>
      <c r="B93" s="15" t="inlineStr">
        <is>
          <t>Part II - The Method Atlas</t>
        </is>
      </c>
      <c r="C93" s="10" t="inlineStr">
        <is>
          <t>E.3 Binding free energies</t>
        </is>
      </c>
      <c r="D93" s="10" t="inlineStr">
        <is>
          <t>Cournia et al. 2017, JCIM 57:2911</t>
        </is>
      </c>
      <c r="E93" s="11" t="inlineStr"/>
    </row>
    <row r="94">
      <c r="A94" s="11" t="n">
        <v>90</v>
      </c>
      <c r="B94" s="15" t="inlineStr">
        <is>
          <t>Part II - The Method Atlas</t>
        </is>
      </c>
      <c r="C94" s="10" t="inlineStr">
        <is>
          <t>E.3 Binding free energies</t>
        </is>
      </c>
      <c r="D94" s="10" t="inlineStr">
        <is>
          <t>Schindler et al. 2020, JCIM 60:5457 (large-scale industrial FEP benchmark)</t>
        </is>
      </c>
      <c r="E94" s="11" t="inlineStr"/>
    </row>
    <row r="95">
      <c r="A95" s="11" t="n">
        <v>91</v>
      </c>
      <c r="B95" s="15" t="inlineStr">
        <is>
          <t>Part II - The Method Atlas</t>
        </is>
      </c>
      <c r="C95" s="10" t="inlineStr">
        <is>
          <t>E.3 Binding free energies</t>
        </is>
      </c>
      <c r="D95" s="10" t="inlineStr">
        <is>
          <t>Genheden &amp; Ryde 2015, Expert Opin Drug Discov 10:449 (MM-PBSA/GBSA review)</t>
        </is>
      </c>
      <c r="E95" s="11" t="inlineStr"/>
    </row>
    <row r="96">
      <c r="A96" s="11" t="n">
        <v>92</v>
      </c>
      <c r="B96" s="15" t="inlineStr">
        <is>
          <t>Part II - The Method Atlas</t>
        </is>
      </c>
      <c r="C96" s="10" t="inlineStr">
        <is>
          <t>E.4 ΔΔG of mutation and protein stability</t>
        </is>
      </c>
      <c r="D96" s="10" t="inlineStr">
        <is>
          <t>Gapsys et al. 2016, Chem Sci 7:4728 (PMX, accurate alchemical ΔΔG)</t>
        </is>
      </c>
      <c r="E96" s="11" t="inlineStr"/>
    </row>
    <row r="97">
      <c r="A97" s="11" t="n">
        <v>93</v>
      </c>
      <c r="B97" s="15" t="inlineStr">
        <is>
          <t>Part II - The Method Atlas</t>
        </is>
      </c>
      <c r="C97" s="10" t="inlineStr">
        <is>
          <t>E.4 ΔΔG of mutation and protein stability</t>
        </is>
      </c>
      <c r="D97" s="10" t="inlineStr">
        <is>
          <t>Steinbrecher et al. 2017, J Mol Biol 429:948</t>
        </is>
      </c>
      <c r="E97" s="11" t="inlineStr"/>
    </row>
    <row r="98">
      <c r="A98" s="11" t="n">
        <v>94</v>
      </c>
      <c r="B98" s="15" t="inlineStr">
        <is>
          <t>Part II - The Method Atlas</t>
        </is>
      </c>
      <c r="C98" s="10" t="inlineStr">
        <is>
          <t>E.4 ΔΔG of mutation and protein stability</t>
        </is>
      </c>
      <c r="D98" s="10" t="inlineStr">
        <is>
          <t>Tsuboyama et al. 2023, Nature 620:434 (the 500,000-measurement dataset that changed what is trainable)</t>
        </is>
      </c>
      <c r="E98" s="11" t="inlineStr"/>
    </row>
    <row r="99">
      <c r="A99" s="11" t="n">
        <v>95</v>
      </c>
      <c r="B99" s="15" t="inlineStr">
        <is>
          <t>Part II - The Method Atlas</t>
        </is>
      </c>
      <c r="C99" s="10" t="inlineStr">
        <is>
          <t>E.4 ΔΔG of mutation and protein stability</t>
        </is>
      </c>
      <c r="D99" s="10" t="inlineStr">
        <is>
          <t>Dieckhaus et al. 2024, PNAS 121:e2314853121 (ThermoMPNN)</t>
        </is>
      </c>
      <c r="E99" s="11" t="inlineStr"/>
    </row>
    <row r="100">
      <c r="A100" s="11" t="n">
        <v>96</v>
      </c>
      <c r="B100" s="15" t="inlineStr">
        <is>
          <t>Part II - The Method Atlas</t>
        </is>
      </c>
      <c r="C100" s="10" t="inlineStr">
        <is>
          <t>E.4 ΔΔG of mutation and protein stability</t>
        </is>
      </c>
      <c r="D100" s="10" t="inlineStr">
        <is>
          <t>Nisthal et al. 2019, PNAS 116:16367</t>
        </is>
      </c>
      <c r="E100" s="11" t="inlineStr"/>
    </row>
    <row r="101">
      <c r="A101" s="11" t="n">
        <v>97</v>
      </c>
      <c r="B101" s="15" t="inlineStr">
        <is>
          <t>Part II - The Method Atlas</t>
        </is>
      </c>
      <c r="C101" s="10" t="inlineStr">
        <is>
          <t>E.4 ΔΔG of mutation and protein stability</t>
        </is>
      </c>
      <c r="D101" s="10" t="inlineStr">
        <is>
          <t>Pancotti et al. 2022, Brief Bioinform 23:bbab555 (the anti-symmetry audit - most ΔΔG predictors fail the simple test that ΔΔG(A→B) = −ΔΔG(B→A))</t>
        </is>
      </c>
      <c r="E101" s="11" t="inlineStr"/>
    </row>
    <row r="102">
      <c r="A102" s="11" t="n">
        <v>98</v>
      </c>
      <c r="B102" s="15" t="inlineStr">
        <is>
          <t>Part II - The Method Atlas</t>
        </is>
      </c>
      <c r="C102" s="10" t="inlineStr">
        <is>
          <t>G.1 Brownian and Langevin dynamics, and association kinetics</t>
        </is>
      </c>
      <c r="D102" s="10" t="inlineStr">
        <is>
          <t>Ermak &amp; McCammon 1978, JCP 69:1352</t>
        </is>
      </c>
      <c r="E102" s="11" t="inlineStr"/>
    </row>
    <row r="103">
      <c r="A103" s="11" t="n">
        <v>99</v>
      </c>
      <c r="B103" s="15" t="inlineStr">
        <is>
          <t>Part II - The Method Atlas</t>
        </is>
      </c>
      <c r="C103" s="10" t="inlineStr">
        <is>
          <t>G.1 Brownian and Langevin dynamics, and association kinetics</t>
        </is>
      </c>
      <c r="D103" s="10" t="inlineStr">
        <is>
          <t>Northrup, Allison &amp; McCammon 1984, JCP 80:1517</t>
        </is>
      </c>
      <c r="E103" s="11" t="inlineStr"/>
    </row>
    <row r="104">
      <c r="A104" s="11" t="n">
        <v>100</v>
      </c>
      <c r="B104" s="15" t="inlineStr">
        <is>
          <t>Part II - The Method Atlas</t>
        </is>
      </c>
      <c r="C104" s="10" t="inlineStr">
        <is>
          <t>G.1 Brownian and Langevin dynamics, and association kinetics</t>
        </is>
      </c>
      <c r="D104" s="10" t="inlineStr">
        <is>
          <t>Schreiber, Haran &amp; Zhou 2009, Chem Rev 109:839</t>
        </is>
      </c>
      <c r="E104" s="11" t="inlineStr"/>
    </row>
    <row r="105">
      <c r="A105" s="11" t="n">
        <v>101</v>
      </c>
      <c r="B105" s="15" t="inlineStr">
        <is>
          <t>Part II - The Method Atlas</t>
        </is>
      </c>
      <c r="C105" s="10" t="inlineStr">
        <is>
          <t>G.1 Brownian and Langevin dynamics, and association kinetics</t>
        </is>
      </c>
      <c r="D105" s="10" t="inlineStr">
        <is>
          <t>Huber &amp; McCammon 2010, Comput Phys Commun 181:1896 (BrownDye)</t>
        </is>
      </c>
      <c r="E105" s="11" t="inlineStr"/>
    </row>
    <row r="106">
      <c r="A106" s="11" t="n">
        <v>102</v>
      </c>
      <c r="B106" s="15" t="inlineStr">
        <is>
          <t>Part II - The Method Atlas</t>
        </is>
      </c>
      <c r="C106" s="10" t="inlineStr">
        <is>
          <t>G.1 Brownian and Langevin dynamics, and association kinetics</t>
        </is>
      </c>
      <c r="D106" s="10" t="inlineStr">
        <is>
          <t>Sharp, Fine &amp; Honig 1987, Science 236:1460 (SOD electrostatic steering)</t>
        </is>
      </c>
      <c r="E106" s="11" t="inlineStr"/>
    </row>
    <row r="107">
      <c r="A107" s="11" t="n">
        <v>103</v>
      </c>
      <c r="B107" s="15" t="inlineStr">
        <is>
          <t>Part II - The Method Atlas</t>
        </is>
      </c>
      <c r="C107" s="10" t="inlineStr">
        <is>
          <t>G.1 Brownian and Langevin dynamics, and association kinetics</t>
        </is>
      </c>
      <c r="D107" s="10" t="inlineStr">
        <is>
          <t>Zwanzig 1961, Phys Rev 124:983</t>
        </is>
      </c>
      <c r="E107" s="11" t="inlineStr"/>
    </row>
    <row r="108">
      <c r="A108" s="11" t="n">
        <v>104</v>
      </c>
      <c r="B108" s="15" t="inlineStr">
        <is>
          <t>Part II - The Method Atlas</t>
        </is>
      </c>
      <c r="C108" s="10" t="inlineStr">
        <is>
          <t>G.2 Reaction-diffusion and particle-based cell simulation</t>
        </is>
      </c>
      <c r="D108" s="10" t="inlineStr">
        <is>
          <t>Gillespie 1977, J Phys Chem 81:2340</t>
        </is>
      </c>
      <c r="E108" s="11" t="inlineStr"/>
    </row>
    <row r="109">
      <c r="A109" s="11" t="n">
        <v>105</v>
      </c>
      <c r="B109" s="15" t="inlineStr">
        <is>
          <t>Part II - The Method Atlas</t>
        </is>
      </c>
      <c r="C109" s="10" t="inlineStr">
        <is>
          <t>G.2 Reaction-diffusion and particle-based cell simulation</t>
        </is>
      </c>
      <c r="D109" s="10" t="inlineStr">
        <is>
          <t>Gillespie 2001, JCP 115:1716 (tau-leaping)</t>
        </is>
      </c>
      <c r="E109" s="11" t="inlineStr"/>
    </row>
    <row r="110">
      <c r="A110" s="11" t="n">
        <v>106</v>
      </c>
      <c r="B110" s="15" t="inlineStr">
        <is>
          <t>Part II - The Method Atlas</t>
        </is>
      </c>
      <c r="C110" s="10" t="inlineStr">
        <is>
          <t>G.2 Reaction-diffusion and particle-based cell simulation</t>
        </is>
      </c>
      <c r="D110" s="10" t="inlineStr">
        <is>
          <t>Andrews &amp; Bray 2004, Phys Biol 1:137 (Smoldyn)</t>
        </is>
      </c>
      <c r="E110" s="11" t="inlineStr"/>
    </row>
    <row r="111">
      <c r="A111" s="11" t="n">
        <v>107</v>
      </c>
      <c r="B111" s="15" t="inlineStr">
        <is>
          <t>Part II - The Method Atlas</t>
        </is>
      </c>
      <c r="C111" s="10" t="inlineStr">
        <is>
          <t>G.2 Reaction-diffusion and particle-based cell simulation</t>
        </is>
      </c>
      <c r="D111" s="10" t="inlineStr">
        <is>
          <t>Kerr et al. 2008, SIAM J Sci Comput 30:3126 (MCell)</t>
        </is>
      </c>
      <c r="E111" s="11" t="inlineStr"/>
    </row>
    <row r="112">
      <c r="A112" s="11" t="n">
        <v>108</v>
      </c>
      <c r="B112" s="15" t="inlineStr">
        <is>
          <t>Part II - The Method Atlas</t>
        </is>
      </c>
      <c r="C112" s="10" t="inlineStr">
        <is>
          <t>G.2 Reaction-diffusion and particle-based cell simulation</t>
        </is>
      </c>
      <c r="D112" s="10" t="inlineStr">
        <is>
          <t>Isaacson 2009, SIAM J Appl Math 70:77</t>
        </is>
      </c>
      <c r="E112" s="11" t="inlineStr"/>
    </row>
    <row r="113">
      <c r="A113" s="11" t="n">
        <v>109</v>
      </c>
      <c r="B113" s="15" t="inlineStr">
        <is>
          <t>Part II - The Method Atlas</t>
        </is>
      </c>
      <c r="C113" s="10" t="inlineStr">
        <is>
          <t>G.2 Reaction-diffusion and particle-based cell simulation</t>
        </is>
      </c>
      <c r="D113" s="10" t="inlineStr">
        <is>
          <t>Hepburn et al. 2012, BMC Syst Biol 6:36 (STEPS)</t>
        </is>
      </c>
      <c r="E113" s="11" t="inlineStr"/>
    </row>
    <row r="114">
      <c r="A114" s="11" t="n">
        <v>110</v>
      </c>
      <c r="B114" s="15" t="inlineStr">
        <is>
          <t>Part II - The Method Atlas</t>
        </is>
      </c>
      <c r="C114" s="10" t="inlineStr">
        <is>
          <t>G.3 Whole-cell modeling</t>
        </is>
      </c>
      <c r="D114" s="10" t="inlineStr">
        <is>
          <t>Thornburg et al. 2022, Cell 185:345 (a whole minimal cell)</t>
        </is>
      </c>
      <c r="E114" s="11" t="inlineStr"/>
    </row>
    <row r="115">
      <c r="A115" s="11" t="n">
        <v>111</v>
      </c>
      <c r="B115" s="15" t="inlineStr">
        <is>
          <t>Part II - The Method Atlas</t>
        </is>
      </c>
      <c r="C115" s="10" t="inlineStr">
        <is>
          <t>G.3 Whole-cell modeling</t>
        </is>
      </c>
      <c r="D115" s="10" t="inlineStr">
        <is>
          <t>Karr et al. 2012, Cell 150:389 (the first whole-cell model)</t>
        </is>
      </c>
      <c r="E115" s="11" t="inlineStr"/>
    </row>
    <row r="116">
      <c r="A116" s="11" t="n">
        <v>112</v>
      </c>
      <c r="B116" s="15" t="inlineStr">
        <is>
          <t>Part II - The Method Atlas</t>
        </is>
      </c>
      <c r="C116" s="10" t="inlineStr">
        <is>
          <t>G.3 Whole-cell modeling</t>
        </is>
      </c>
      <c r="D116" s="10" t="inlineStr">
        <is>
          <t>Roberts, Stone &amp; Luthey-Schulten 2013, J Comput Chem 34:245 (Lattice Microbes)</t>
        </is>
      </c>
      <c r="E116" s="11" t="inlineStr"/>
    </row>
    <row r="117">
      <c r="A117" s="11" t="n">
        <v>113</v>
      </c>
      <c r="B117" s="15" t="inlineStr">
        <is>
          <t>Part II - The Method Atlas</t>
        </is>
      </c>
      <c r="C117" s="10" t="inlineStr">
        <is>
          <t>G.3 Whole-cell modeling</t>
        </is>
      </c>
      <c r="D117" s="10" t="inlineStr">
        <is>
          <t>Earnest et al. 2018, Biophys J 114:473</t>
        </is>
      </c>
      <c r="E117" s="11" t="inlineStr"/>
    </row>
    <row r="118">
      <c r="A118" s="11" t="n">
        <v>114</v>
      </c>
      <c r="B118" s="15" t="inlineStr">
        <is>
          <t>Part II - The Method Atlas</t>
        </is>
      </c>
      <c r="C118" s="10" t="inlineStr">
        <is>
          <t>G.3 Whole-cell modeling</t>
        </is>
      </c>
      <c r="D118" s="10" t="inlineStr">
        <is>
          <t>Johnson et al. 2015, Nat Methods 12:85 (cellPACK)</t>
        </is>
      </c>
      <c r="E118" s="11" t="inlineStr"/>
    </row>
    <row r="119">
      <c r="A119" s="11" t="n">
        <v>115</v>
      </c>
      <c r="B119" s="15" t="inlineStr">
        <is>
          <t>Part II - The Method Atlas</t>
        </is>
      </c>
      <c r="C119" s="10" t="inlineStr">
        <is>
          <t>G.4 Crowding and the cytoplasm</t>
        </is>
      </c>
      <c r="D119" s="10" t="inlineStr">
        <is>
          <t>Ellis 2001, Trends Biochem Sci 26:597</t>
        </is>
      </c>
      <c r="E119" s="11" t="inlineStr"/>
    </row>
    <row r="120">
      <c r="A120" s="11" t="n">
        <v>116</v>
      </c>
      <c r="B120" s="15" t="inlineStr">
        <is>
          <t>Part II - The Method Atlas</t>
        </is>
      </c>
      <c r="C120" s="10" t="inlineStr">
        <is>
          <t>G.4 Crowding and the cytoplasm</t>
        </is>
      </c>
      <c r="D120" s="10" t="inlineStr">
        <is>
          <t>McGuffee &amp; Elcock 2010, PLoS Comput Biol 6:e1000694 (atomistic cytoplasm)</t>
        </is>
      </c>
      <c r="E120" s="11" t="inlineStr"/>
    </row>
    <row r="121">
      <c r="A121" s="11" t="n">
        <v>117</v>
      </c>
      <c r="B121" s="15" t="inlineStr">
        <is>
          <t>Part II - The Method Atlas</t>
        </is>
      </c>
      <c r="C121" s="10" t="inlineStr">
        <is>
          <t>G.4 Crowding and the cytoplasm</t>
        </is>
      </c>
      <c r="D121" s="10" t="inlineStr">
        <is>
          <t>Yu et al. 2016, eLife 5:e19274 (100-million-atom Mycoplasma cytoplasm)</t>
        </is>
      </c>
      <c r="E121" s="11" t="inlineStr"/>
    </row>
    <row r="122">
      <c r="A122" s="11" t="n">
        <v>118</v>
      </c>
      <c r="B122" s="15" t="inlineStr">
        <is>
          <t>Part II - The Method Atlas</t>
        </is>
      </c>
      <c r="C122" s="10" t="inlineStr">
        <is>
          <t>G.4 Crowding and the cytoplasm</t>
        </is>
      </c>
      <c r="D122" s="10" t="inlineStr">
        <is>
          <t>Nawrocki et al. 2019, PCCP 21:876</t>
        </is>
      </c>
      <c r="E122" s="11" t="inlineStr"/>
    </row>
    <row r="123">
      <c r="A123" s="11" t="n">
        <v>119</v>
      </c>
      <c r="B123" s="15" t="inlineStr">
        <is>
          <t>Part II - The Method Atlas</t>
        </is>
      </c>
      <c r="C123" s="10" t="inlineStr">
        <is>
          <t>G.4 Crowding and the cytoplasm</t>
        </is>
      </c>
      <c r="D123" s="10" t="inlineStr">
        <is>
          <t>Delarue et al. 2018, Cell 174:338 (GEMs)</t>
        </is>
      </c>
      <c r="E123" s="11" t="inlineStr"/>
    </row>
    <row r="124">
      <c r="A124" s="11" t="n">
        <v>120</v>
      </c>
      <c r="B124" s="15" t="inlineStr">
        <is>
          <t>Part II - The Method Atlas</t>
        </is>
      </c>
      <c r="C124" s="10" t="inlineStr">
        <is>
          <t>G.4 Crowding and the cytoplasm</t>
        </is>
      </c>
      <c r="D124" s="10" t="inlineStr">
        <is>
          <t>Minton 2006, J Cell Sci 119:2863</t>
        </is>
      </c>
      <c r="E124" s="11" t="inlineStr"/>
    </row>
    <row r="125">
      <c r="A125" s="11" t="n">
        <v>121</v>
      </c>
      <c r="B125" s="15" t="inlineStr">
        <is>
          <t>Part II - The Method Atlas</t>
        </is>
      </c>
      <c r="C125" s="10" t="inlineStr">
        <is>
          <t>G.5 Condensates and phase separation</t>
        </is>
      </c>
      <c r="D125" s="10" t="inlineStr">
        <is>
          <t>Banani et al. 2017, Nat Rev Mol Cell Biol 18:285</t>
        </is>
      </c>
      <c r="E125" s="11" t="inlineStr"/>
    </row>
    <row r="126">
      <c r="A126" s="11" t="n">
        <v>122</v>
      </c>
      <c r="B126" s="15" t="inlineStr">
        <is>
          <t>Part II - The Method Atlas</t>
        </is>
      </c>
      <c r="C126" s="10" t="inlineStr">
        <is>
          <t>G.5 Condensates and phase separation</t>
        </is>
      </c>
      <c r="D126" s="10" t="inlineStr">
        <is>
          <t>Dignon, Zheng, Kim, Best &amp; Mittal 2018, PLoS Comput Biol 14:e1005941 (the HPS coarse-grained model most LLPS simulation rests on)</t>
        </is>
      </c>
      <c r="E126" s="11" t="inlineStr"/>
    </row>
    <row r="127">
      <c r="A127" s="11" t="n">
        <v>123</v>
      </c>
      <c r="B127" s="15" t="inlineStr">
        <is>
          <t>Part II - The Method Atlas</t>
        </is>
      </c>
      <c r="C127" s="10" t="inlineStr">
        <is>
          <t>G.5 Condensates and phase separation</t>
        </is>
      </c>
      <c r="D127" s="10" t="inlineStr">
        <is>
          <t>Martin et al. 2020, Science 367:694 (stickers and spacers)</t>
        </is>
      </c>
      <c r="E127" s="11" t="inlineStr"/>
    </row>
    <row r="128">
      <c r="A128" s="11" t="n">
        <v>124</v>
      </c>
      <c r="B128" s="15" t="inlineStr">
        <is>
          <t>Part II - The Method Atlas</t>
        </is>
      </c>
      <c r="C128" s="10" t="inlineStr">
        <is>
          <t>G.5 Condensates and phase separation</t>
        </is>
      </c>
      <c r="D128" s="10" t="inlineStr">
        <is>
          <t>Tesei et al. 2021, PNAS 118:e2111696118 (CALVADOS)</t>
        </is>
      </c>
      <c r="E128" s="11" t="inlineStr"/>
    </row>
    <row r="129">
      <c r="A129" s="11" t="n">
        <v>125</v>
      </c>
      <c r="B129" s="15" t="inlineStr">
        <is>
          <t>Part II - The Method Atlas</t>
        </is>
      </c>
      <c r="C129" s="10" t="inlineStr">
        <is>
          <t>G.5 Condensates and phase separation</t>
        </is>
      </c>
      <c r="D129" s="10" t="inlineStr">
        <is>
          <t>Brangwynne et al. 2009, Science 324:1729</t>
        </is>
      </c>
      <c r="E129" s="11" t="inlineStr"/>
    </row>
    <row r="130">
      <c r="A130" s="11" t="n">
        <v>126</v>
      </c>
      <c r="B130" s="15" t="inlineStr">
        <is>
          <t>Part II - The Method Atlas</t>
        </is>
      </c>
      <c r="C130" s="10" t="inlineStr">
        <is>
          <t>G.5 Condensates and phase separation</t>
        </is>
      </c>
      <c r="D130" s="10" t="inlineStr">
        <is>
          <t>Li et al. 2012, Nature 483:336 (multivalency)</t>
        </is>
      </c>
      <c r="E130" s="11" t="inlineStr"/>
    </row>
    <row r="131">
      <c r="A131" s="11" t="n">
        <v>127</v>
      </c>
      <c r="B131" s="15" t="inlineStr">
        <is>
          <t>Part II - The Method Atlas</t>
        </is>
      </c>
      <c r="C131" s="10" t="inlineStr">
        <is>
          <t>G.5 Condensates and phase separation</t>
        </is>
      </c>
      <c r="D131" s="10" t="inlineStr">
        <is>
          <t>Zwicker et al. 2017, Nat Phys 13:408</t>
        </is>
      </c>
      <c r="E131" s="11" t="inlineStr"/>
    </row>
    <row r="132">
      <c r="A132" s="11" t="n">
        <v>128</v>
      </c>
      <c r="B132" s="15" t="inlineStr">
        <is>
          <t>Part II - The Method Atlas</t>
        </is>
      </c>
      <c r="C132" s="10" t="inlineStr">
        <is>
          <t>G.5 Condensates and phase separation</t>
        </is>
      </c>
      <c r="D132" s="10" t="inlineStr">
        <is>
          <t>Lin, Forman-Kay &amp; Chan 2016, PRL 117:178101</t>
        </is>
      </c>
      <c r="E132" s="11" t="inlineStr"/>
    </row>
    <row r="133">
      <c r="A133" s="11" t="n">
        <v>129</v>
      </c>
      <c r="B133" s="15" t="inlineStr">
        <is>
          <t>Part II - The Method Atlas</t>
        </is>
      </c>
      <c r="C133" s="10" t="inlineStr">
        <is>
          <t>G.6 Continuum electrostatics and mesoscale hydrodynamics</t>
        </is>
      </c>
      <c r="D133" s="10" t="inlineStr">
        <is>
          <t>Baker et al. 2001, PNAS 98:10037 (APBS)</t>
        </is>
      </c>
      <c r="E133" s="11" t="inlineStr"/>
    </row>
    <row r="134">
      <c r="A134" s="11" t="n">
        <v>130</v>
      </c>
      <c r="B134" s="15" t="inlineStr">
        <is>
          <t>Part II - The Method Atlas</t>
        </is>
      </c>
      <c r="C134" s="10" t="inlineStr">
        <is>
          <t>G.6 Continuum electrostatics and mesoscale hydrodynamics</t>
        </is>
      </c>
      <c r="D134" s="10" t="inlineStr">
        <is>
          <t>Jurrus et al. 2018, Protein Sci 27:112</t>
        </is>
      </c>
      <c r="E134" s="11" t="inlineStr"/>
    </row>
    <row r="135">
      <c r="A135" s="11" t="n">
        <v>131</v>
      </c>
      <c r="B135" s="15" t="inlineStr">
        <is>
          <t>Part II - The Method Atlas</t>
        </is>
      </c>
      <c r="C135" s="10" t="inlineStr">
        <is>
          <t>G.6 Continuum electrostatics and mesoscale hydrodynamics</t>
        </is>
      </c>
      <c r="D135" s="10" t="inlineStr">
        <is>
          <t>Honig &amp; Nicholls 1995, Science 268:1144</t>
        </is>
      </c>
      <c r="E135" s="11" t="inlineStr"/>
    </row>
    <row r="136">
      <c r="A136" s="11" t="n">
        <v>132</v>
      </c>
      <c r="B136" s="15" t="inlineStr">
        <is>
          <t>Part II - The Method Atlas</t>
        </is>
      </c>
      <c r="C136" s="10" t="inlineStr">
        <is>
          <t>G.6 Continuum electrostatics and mesoscale hydrodynamics</t>
        </is>
      </c>
      <c r="D136" s="10" t="inlineStr">
        <is>
          <t>Onufriev &amp; Case 2019, Annu Rev Biophys 48:275 (the implicit-solvent critique)</t>
        </is>
      </c>
      <c r="E136" s="11" t="inlineStr"/>
    </row>
    <row r="137">
      <c r="A137" s="11" t="n">
        <v>133</v>
      </c>
      <c r="B137" s="15" t="inlineStr">
        <is>
          <t>Part II - The Method Atlas</t>
        </is>
      </c>
      <c r="C137" s="10" t="inlineStr">
        <is>
          <t>G.6 Continuum electrostatics and mesoscale hydrodynamics</t>
        </is>
      </c>
      <c r="D137" s="10" t="inlineStr">
        <is>
          <t>Groot &amp; Warren 1997, JCP 107:4423 (DPD)</t>
        </is>
      </c>
      <c r="E137" s="11" t="inlineStr"/>
    </row>
    <row r="138">
      <c r="A138" s="11" t="n">
        <v>134</v>
      </c>
      <c r="B138" s="15" t="inlineStr">
        <is>
          <t>Part II - The Method Atlas</t>
        </is>
      </c>
      <c r="C138" s="10" t="inlineStr">
        <is>
          <t>G.6 Continuum electrostatics and mesoscale hydrodynamics</t>
        </is>
      </c>
      <c r="D138" s="10" t="inlineStr">
        <is>
          <t>Brady &amp; Bossis 1988, Annu Rev Fluid Mech 20:111</t>
        </is>
      </c>
      <c r="E138" s="11" t="inlineStr"/>
    </row>
    <row r="139">
      <c r="A139" s="11" t="n">
        <v>135</v>
      </c>
      <c r="B139" s="15" t="inlineStr">
        <is>
          <t>Part II - The Method Atlas</t>
        </is>
      </c>
      <c r="C139" s="10" t="inlineStr">
        <is>
          <t>K.1 The integrative modeling platform</t>
        </is>
      </c>
      <c r="D139" s="10" t="inlineStr">
        <is>
          <t>Russel et al. 2012, PLoS Biol 10:e1001244 (Putting the pieces together: integrative modeling platform software)</t>
        </is>
      </c>
      <c r="E139" s="11" t="inlineStr"/>
    </row>
    <row r="140">
      <c r="A140" s="11" t="n">
        <v>136</v>
      </c>
      <c r="B140" s="15" t="inlineStr">
        <is>
          <t>Part II - The Method Atlas</t>
        </is>
      </c>
      <c r="C140" s="10" t="inlineStr">
        <is>
          <t>K.1 The integrative modeling platform</t>
        </is>
      </c>
      <c r="D140" s="10" t="inlineStr">
        <is>
          <t>Alber et al. 2007, Nature 450:683 (the nuclear pore complex - the landmark application)</t>
        </is>
      </c>
      <c r="E140" s="11" t="inlineStr"/>
    </row>
    <row r="141">
      <c r="A141" s="11" t="n">
        <v>137</v>
      </c>
      <c r="B141" s="15" t="inlineStr">
        <is>
          <t>Part II - The Method Atlas</t>
        </is>
      </c>
      <c r="C141" s="10" t="inlineStr">
        <is>
          <t>K.1 The integrative modeling platform</t>
        </is>
      </c>
      <c r="D141" s="10" t="inlineStr">
        <is>
          <t>Rout &amp; Sali 2019, Cell 177:1384</t>
        </is>
      </c>
      <c r="E141" s="11" t="inlineStr"/>
    </row>
    <row r="142">
      <c r="A142" s="11" t="n">
        <v>138</v>
      </c>
      <c r="B142" s="15" t="inlineStr">
        <is>
          <t>Part II - The Method Atlas</t>
        </is>
      </c>
      <c r="C142" s="10" t="inlineStr">
        <is>
          <t>K.1 The integrative modeling platform</t>
        </is>
      </c>
      <c r="D142" s="10" t="inlineStr">
        <is>
          <t>Sali et al. 2015, Structure 23:1156 (outcome of the first wwPDB hybrid/integrative methods task force)</t>
        </is>
      </c>
      <c r="E142" s="11" t="inlineStr"/>
    </row>
    <row r="143">
      <c r="A143" s="11" t="n">
        <v>139</v>
      </c>
      <c r="B143" s="15" t="inlineStr">
        <is>
          <t>Part II - The Method Atlas</t>
        </is>
      </c>
      <c r="C143" s="10" t="inlineStr">
        <is>
          <t>K.1 The integrative modeling platform</t>
        </is>
      </c>
      <c r="D143" s="10" t="inlineStr">
        <is>
          <t>Schneidman-Duhovny et al. 2014, Curr Opin Struct Biol 28:96</t>
        </is>
      </c>
      <c r="E143" s="11" t="inlineStr"/>
    </row>
    <row r="144">
      <c r="A144" s="11" t="n">
        <v>140</v>
      </c>
      <c r="B144" s="15" t="inlineStr">
        <is>
          <t>Part II - The Method Atlas</t>
        </is>
      </c>
      <c r="C144" s="10" t="inlineStr">
        <is>
          <t>Prediction plus sparse restraints</t>
        </is>
      </c>
      <c r="D144" s="10" t="inlineStr">
        <is>
          <t>Schneidman-Duhovny et al. 2016, NAR 44:W424 (FoXS/MultiFoXS)</t>
        </is>
      </c>
      <c r="E144" s="11" t="inlineStr"/>
    </row>
    <row r="145">
      <c r="A145" s="11" t="n">
        <v>141</v>
      </c>
      <c r="B145" s="15" t="inlineStr">
        <is>
          <t>Part II - The Method Atlas</t>
        </is>
      </c>
      <c r="C145" s="10" t="inlineStr">
        <is>
          <t>Prediction plus sparse restraints</t>
        </is>
      </c>
      <c r="D145" s="10" t="inlineStr">
        <is>
          <t>Bernadó et al. 2007, JACS 129:5656 (EOM)</t>
        </is>
      </c>
      <c r="E145" s="11" t="inlineStr"/>
    </row>
    <row r="146">
      <c r="A146" s="11" t="n">
        <v>142</v>
      </c>
      <c r="B146" s="15" t="inlineStr">
        <is>
          <t>Part II - The Method Atlas</t>
        </is>
      </c>
      <c r="C146" s="10" t="inlineStr">
        <is>
          <t>Prediction plus sparse restraints</t>
        </is>
      </c>
      <c r="D146" s="10" t="inlineStr">
        <is>
          <t>Leitner et al. 2016, Trends Biochem Sci 41:20 (XL-MS)</t>
        </is>
      </c>
      <c r="E146" s="11" t="inlineStr"/>
    </row>
    <row r="147">
      <c r="A147" s="11" t="n">
        <v>143</v>
      </c>
      <c r="B147" s="15" t="inlineStr">
        <is>
          <t>Part II - The Method Atlas</t>
        </is>
      </c>
      <c r="C147" s="10" t="inlineStr">
        <is>
          <t>Prediction plus sparse restraints</t>
        </is>
      </c>
      <c r="D147" s="10" t="inlineStr">
        <is>
          <t>Stahl, Graef &amp; Hummer 2024, Nat Methods 21:2224 (AlphaFold with experimental restraints)</t>
        </is>
      </c>
      <c r="E147" s="11" t="inlineStr"/>
    </row>
    <row r="148">
      <c r="A148" s="11" t="n">
        <v>144</v>
      </c>
      <c r="B148" s="15" t="inlineStr">
        <is>
          <t>Part II - The Method Atlas</t>
        </is>
      </c>
      <c r="C148" s="10" t="inlineStr">
        <is>
          <t>K.2 Fitting models into maps</t>
        </is>
      </c>
      <c r="D148" s="10" t="inlineStr">
        <is>
          <t>Trabuco et al. 2008, Structure 16:673 (MDFF - molecular dynamics flexible fitting)</t>
        </is>
      </c>
      <c r="E148" s="11" t="inlineStr"/>
    </row>
    <row r="149">
      <c r="A149" s="11" t="n">
        <v>145</v>
      </c>
      <c r="B149" s="15" t="inlineStr">
        <is>
          <t>Part II - The Method Atlas</t>
        </is>
      </c>
      <c r="C149" s="10" t="inlineStr">
        <is>
          <t>K.2 Fitting models into maps</t>
        </is>
      </c>
      <c r="D149" s="10" t="inlineStr">
        <is>
          <t>DiMaio et al. 2015, Nat Methods 12:361 (Rosetta density refinement)</t>
        </is>
      </c>
      <c r="E149" s="11" t="inlineStr"/>
    </row>
    <row r="150">
      <c r="A150" s="11" t="n">
        <v>146</v>
      </c>
      <c r="B150" s="15" t="inlineStr">
        <is>
          <t>Part II - The Method Atlas</t>
        </is>
      </c>
      <c r="C150" s="10" t="inlineStr">
        <is>
          <t>K.2 Fitting models into maps</t>
        </is>
      </c>
      <c r="D150" s="10" t="inlineStr">
        <is>
          <t>Wriggers 2010, Biophys Rev 2:21 (Situs)</t>
        </is>
      </c>
      <c r="E150" s="11" t="inlineStr"/>
    </row>
    <row r="151">
      <c r="A151" s="11" t="n">
        <v>147</v>
      </c>
      <c r="B151" s="15" t="inlineStr">
        <is>
          <t>Part II - The Method Atlas</t>
        </is>
      </c>
      <c r="C151" s="10" t="inlineStr">
        <is>
          <t>K.2 Fitting models into maps</t>
        </is>
      </c>
      <c r="D151" s="10" t="inlineStr">
        <is>
          <t>Pintilie et al. 2010, J Struct Biol 170:427 (Segger)</t>
        </is>
      </c>
      <c r="E151" s="11" t="inlineStr"/>
    </row>
    <row r="152">
      <c r="A152" s="11" t="n">
        <v>148</v>
      </c>
      <c r="B152" s="15" t="inlineStr">
        <is>
          <t>Part II - The Method Atlas</t>
        </is>
      </c>
      <c r="C152" s="10" t="inlineStr">
        <is>
          <t>K.3 Combining prediction with sparse experimental data</t>
        </is>
      </c>
      <c r="D152" s="10" t="inlineStr">
        <is>
          <t>Hummer &amp; Köfinger 2015, JCP 143:243150 (Bayesian inference of ensembles - the correct way to combine simulation with averaged data)</t>
        </is>
      </c>
      <c r="E152" s="11" t="inlineStr"/>
    </row>
    <row r="153">
      <c r="A153" s="11" t="n">
        <v>149</v>
      </c>
      <c r="B153" s="15" t="inlineStr">
        <is>
          <t>Part II - The Method Atlas</t>
        </is>
      </c>
      <c r="C153" s="10" t="inlineStr">
        <is>
          <t>K.3 Combining prediction with sparse experimental data</t>
        </is>
      </c>
      <c r="D153" s="10" t="inlineStr">
        <is>
          <t>Bonomi et al. 2017, Curr Opin Struct Biol 42:106 (metainference)</t>
        </is>
      </c>
      <c r="E153" s="11" t="inlineStr"/>
    </row>
    <row r="154">
      <c r="A154" s="11" t="n">
        <v>150</v>
      </c>
      <c r="B154" s="15" t="inlineStr">
        <is>
          <t>Part II - The Method Atlas</t>
        </is>
      </c>
      <c r="C154" s="10" t="inlineStr">
        <is>
          <t>K.3 Combining prediction with sparse experimental data</t>
        </is>
      </c>
      <c r="D154" s="10" t="inlineStr">
        <is>
          <t>Rieping, Habeck &amp; Nilges 2005, Science 309:303 (inferential structure determination - the paper that made structure determination explicitly Bayesian)</t>
        </is>
      </c>
      <c r="E154" s="11" t="inlineStr"/>
    </row>
    <row r="155">
      <c r="A155" s="11" t="n">
        <v>151</v>
      </c>
      <c r="B155" s="15" t="inlineStr">
        <is>
          <t>Part II - The Method Atlas</t>
        </is>
      </c>
      <c r="C155" s="10" t="inlineStr">
        <is>
          <t>K.3 Combining prediction with sparse experimental data</t>
        </is>
      </c>
      <c r="D155" s="10" t="inlineStr">
        <is>
          <t>Stevens et al. 2024 (AF2 with experimental restraints)</t>
        </is>
      </c>
      <c r="E155" s="11" t="inlineStr"/>
    </row>
    <row r="156">
      <c r="A156" s="11" t="n">
        <v>152</v>
      </c>
      <c r="B156" s="15" t="inlineStr">
        <is>
          <t>Part II - The Method Atlas</t>
        </is>
      </c>
      <c r="C156" s="10" t="inlineStr">
        <is>
          <t>L.2 Fragment assembly and the Rosetta energy function</t>
        </is>
      </c>
      <c r="D156" s="10" t="inlineStr">
        <is>
          <t>Simons et al. 1997, J Mol Biol 268:209 (fragment assembly - the founding paper)</t>
        </is>
      </c>
      <c r="E156" s="11" t="inlineStr"/>
    </row>
    <row r="157">
      <c r="A157" s="11" t="n">
        <v>153</v>
      </c>
      <c r="B157" s="15" t="inlineStr">
        <is>
          <t>Part II - The Method Atlas</t>
        </is>
      </c>
      <c r="C157" s="10" t="inlineStr">
        <is>
          <t>L.2 Fragment assembly and the Rosetta energy function</t>
        </is>
      </c>
      <c r="D157" s="10" t="inlineStr">
        <is>
          <t>Rohl et al. 2004, Methods Enzymol 383:66 (protein structure prediction using Rosetta)</t>
        </is>
      </c>
      <c r="E157" s="11" t="inlineStr"/>
    </row>
    <row r="158">
      <c r="A158" s="11" t="n">
        <v>154</v>
      </c>
      <c r="B158" s="15" t="inlineStr">
        <is>
          <t>Part II - The Method Atlas</t>
        </is>
      </c>
      <c r="C158" s="10" t="inlineStr">
        <is>
          <t>L.2 Fragment assembly and the Rosetta energy function</t>
        </is>
      </c>
      <c r="D158" s="10" t="inlineStr">
        <is>
          <t>Alford et al. 2017, JCTC 13:3031 (the Rosetta energy function REF15 - read the whole thing)</t>
        </is>
      </c>
      <c r="E158" s="11" t="inlineStr"/>
    </row>
    <row r="159">
      <c r="A159" s="11" t="n">
        <v>155</v>
      </c>
      <c r="B159" s="15" t="inlineStr">
        <is>
          <t>Part II - The Method Atlas</t>
        </is>
      </c>
      <c r="C159" s="10" t="inlineStr">
        <is>
          <t>L.2 Fragment assembly and the Rosetta energy function</t>
        </is>
      </c>
      <c r="D159" s="10" t="inlineStr">
        <is>
          <t>Park et al. 2016, JCTC 12:6201 (energy function optimization)</t>
        </is>
      </c>
      <c r="E159" s="11" t="inlineStr"/>
    </row>
    <row r="160">
      <c r="A160" s="11" t="n">
        <v>156</v>
      </c>
      <c r="B160" s="15" t="inlineStr">
        <is>
          <t>Part II - The Method Atlas</t>
        </is>
      </c>
      <c r="C160" s="10" t="inlineStr">
        <is>
          <t>L.2 Fragment assembly and the Rosetta energy function</t>
        </is>
      </c>
      <c r="D160" s="10" t="inlineStr">
        <is>
          <t>Leaver-Fay et al. 2011, Methods Enzymol 487:545</t>
        </is>
      </c>
      <c r="E160" s="11" t="inlineStr"/>
    </row>
    <row r="161">
      <c r="A161" s="11" t="n">
        <v>157</v>
      </c>
      <c r="B161" s="15" t="inlineStr">
        <is>
          <t>Part II - The Method Atlas</t>
        </is>
      </c>
      <c r="C161" s="10" t="inlineStr">
        <is>
          <t>L.2 Fragment assembly and the Rosetta energy function</t>
        </is>
      </c>
      <c r="D161" s="10" t="inlineStr">
        <is>
          <t>Dunbrack &amp; Karplus 1993, J Mol Biol 230:543 (backbone-dependent rotamer library)</t>
        </is>
      </c>
      <c r="E161" s="11" t="inlineStr"/>
    </row>
    <row r="162">
      <c r="A162" s="11" t="n">
        <v>158</v>
      </c>
      <c r="B162" s="15" t="inlineStr">
        <is>
          <t>Part II - The Method Atlas</t>
        </is>
      </c>
      <c r="C162" s="10" t="inlineStr">
        <is>
          <t>L.2 Fragment assembly and the Rosetta energy function</t>
        </is>
      </c>
      <c r="D162" s="10" t="inlineStr">
        <is>
          <t>Shapovalov &amp; Dunbrack 2011, Structure 19:844</t>
        </is>
      </c>
      <c r="E162" s="11" t="inlineStr"/>
    </row>
    <row r="163">
      <c r="A163" s="11" t="n">
        <v>159</v>
      </c>
      <c r="B163" s="15" t="inlineStr">
        <is>
          <t>Part II - The Method Atlas</t>
        </is>
      </c>
      <c r="C163" s="10" t="inlineStr">
        <is>
          <t>N.1 Alignment and search</t>
        </is>
      </c>
      <c r="D163" s="10" t="inlineStr">
        <is>
          <t>Needleman &amp; Wunsch 1970; Smith &amp; Waterman 1981</t>
        </is>
      </c>
      <c r="E163" s="11" t="inlineStr"/>
    </row>
    <row r="164">
      <c r="A164" s="11" t="n">
        <v>160</v>
      </c>
      <c r="B164" s="15" t="inlineStr">
        <is>
          <t>Part II - The Method Atlas</t>
        </is>
      </c>
      <c r="C164" s="10" t="inlineStr">
        <is>
          <t>N.1 Alignment and search</t>
        </is>
      </c>
      <c r="D164" s="10" t="inlineStr">
        <is>
          <t>Eddy 1998, Bioinformatics 14:755 (profile HMMs) and Eddy 2011, PLoS Comput Biol 7:e1002195 (HMMER3)</t>
        </is>
      </c>
      <c r="E164" s="11" t="inlineStr"/>
    </row>
    <row r="165">
      <c r="A165" s="11" t="n">
        <v>161</v>
      </c>
      <c r="B165" s="15" t="inlineStr">
        <is>
          <t>Part II - The Method Atlas</t>
        </is>
      </c>
      <c r="C165" s="10" t="inlineStr">
        <is>
          <t>N.1 Alignment and search</t>
        </is>
      </c>
      <c r="D165" s="10" t="inlineStr">
        <is>
          <t>Söding 2005, Bioinformatics 21:951</t>
        </is>
      </c>
      <c r="E165" s="11" t="inlineStr"/>
    </row>
    <row r="166">
      <c r="A166" s="11" t="n">
        <v>162</v>
      </c>
      <c r="B166" s="15" t="inlineStr">
        <is>
          <t>Part II - The Method Atlas</t>
        </is>
      </c>
      <c r="C166" s="10" t="inlineStr">
        <is>
          <t>N.1 Alignment and search</t>
        </is>
      </c>
      <c r="D166" s="10" t="inlineStr">
        <is>
          <t>Steinegger &amp; Söding 2017, Nat Biotechnol 35:1026 (MMseqs2)</t>
        </is>
      </c>
      <c r="E166" s="11" t="inlineStr"/>
    </row>
    <row r="167">
      <c r="A167" s="11" t="n">
        <v>163</v>
      </c>
      <c r="B167" s="15" t="inlineStr">
        <is>
          <t>Part II - The Method Atlas</t>
        </is>
      </c>
      <c r="C167" s="10" t="inlineStr">
        <is>
          <t>N.1 Alignment and search</t>
        </is>
      </c>
      <c r="D167" s="10" t="inlineStr">
        <is>
          <t>van Kempen et al. 2024, Nat Biotechnol 42:243 (Foldseek)</t>
        </is>
      </c>
      <c r="E167" s="11" t="inlineStr"/>
    </row>
    <row r="168">
      <c r="A168" s="11" t="n">
        <v>164</v>
      </c>
      <c r="B168" s="15" t="inlineStr">
        <is>
          <t>Part II - The Method Atlas</t>
        </is>
      </c>
      <c r="C168" s="10" t="inlineStr">
        <is>
          <t>N.1 Alignment and search</t>
        </is>
      </c>
      <c r="D168" s="10" t="inlineStr">
        <is>
          <t>Mirdita et al. 2022, Nat Methods 19:679 (ColabFold - the MSA is the bottleneck)</t>
        </is>
      </c>
      <c r="E168" s="11" t="inlineStr"/>
    </row>
    <row r="169">
      <c r="A169" s="11" t="n">
        <v>165</v>
      </c>
      <c r="B169" s="15" t="inlineStr">
        <is>
          <t>Part II - The Method Atlas</t>
        </is>
      </c>
      <c r="C169" s="10" t="inlineStr">
        <is>
          <t>N.2 Phylogenetics and the non-independence problem</t>
        </is>
      </c>
      <c r="D169" s="10" t="inlineStr">
        <is>
          <t>Felsenstein 1981, J Mol Evol 17:368 (ML phylogeny)</t>
        </is>
      </c>
      <c r="E169" s="11" t="inlineStr"/>
    </row>
    <row r="170">
      <c r="A170" s="11" t="n">
        <v>166</v>
      </c>
      <c r="B170" s="15" t="inlineStr">
        <is>
          <t>Part II - The Method Atlas</t>
        </is>
      </c>
      <c r="C170" s="10" t="inlineStr">
        <is>
          <t>N.2 Phylogenetics and the non-independence problem</t>
        </is>
      </c>
      <c r="D170" s="10" t="inlineStr">
        <is>
          <t>Felsenstein 1985, Evolution 39:783 (phylogenies and the comparative method - the non-independence paper)</t>
        </is>
      </c>
      <c r="E170" s="11" t="inlineStr"/>
    </row>
    <row r="171">
      <c r="A171" s="11" t="n">
        <v>167</v>
      </c>
      <c r="B171" s="15" t="inlineStr">
        <is>
          <t>Part II - The Method Atlas</t>
        </is>
      </c>
      <c r="C171" s="10" t="inlineStr">
        <is>
          <t>N.2 Phylogenetics and the non-independence problem</t>
        </is>
      </c>
      <c r="D171" s="10" t="inlineStr">
        <is>
          <t>Yang &amp; Rannala 2012, Nat Rev Genet 13:303</t>
        </is>
      </c>
      <c r="E171" s="11" t="inlineStr"/>
    </row>
    <row r="172">
      <c r="A172" s="11" t="n">
        <v>168</v>
      </c>
      <c r="B172" s="15" t="inlineStr">
        <is>
          <t>Part II - The Method Atlas</t>
        </is>
      </c>
      <c r="C172" s="10" t="inlineStr">
        <is>
          <t>N.2 Phylogenetics and the non-independence problem</t>
        </is>
      </c>
      <c r="D172" s="10" t="inlineStr">
        <is>
          <t>Thornton 2004, Nat Rev Genet 5:366 (ancestral sequence resurrection)</t>
        </is>
      </c>
      <c r="E172" s="11" t="inlineStr"/>
    </row>
    <row r="173">
      <c r="A173" s="11" t="n">
        <v>169</v>
      </c>
      <c r="B173" s="15" t="inlineStr">
        <is>
          <t>Part II - The Method Atlas</t>
        </is>
      </c>
      <c r="C173" s="10" t="inlineStr">
        <is>
          <t>N.2 Phylogenetics and the non-independence problem</t>
        </is>
      </c>
      <c r="D173" s="10" t="inlineStr">
        <is>
          <t>Harms &amp; Thornton 2013, Nat Rev Genet 14:559</t>
        </is>
      </c>
      <c r="E173" s="11" t="inlineStr"/>
    </row>
    <row r="174">
      <c r="A174" s="11" t="n">
        <v>170</v>
      </c>
      <c r="B174" s="15" t="inlineStr">
        <is>
          <t>Part II - The Method Atlas</t>
        </is>
      </c>
      <c r="C174" s="10" t="inlineStr">
        <is>
          <t>N.3 Coevolution and statistical models of families</t>
        </is>
      </c>
      <c r="D174" s="10" t="inlineStr">
        <is>
          <t>Morcos et al. 2011, PNAS 108:E1293</t>
        </is>
      </c>
      <c r="E174" s="11" t="inlineStr"/>
    </row>
    <row r="175">
      <c r="A175" s="11" t="n">
        <v>171</v>
      </c>
      <c r="B175" s="15" t="inlineStr">
        <is>
          <t>Part II - The Method Atlas</t>
        </is>
      </c>
      <c r="C175" s="10" t="inlineStr">
        <is>
          <t>N.3 Coevolution and statistical models of families</t>
        </is>
      </c>
      <c r="D175" s="10" t="inlineStr">
        <is>
          <t>Figliuzzi et al. 2016, Mol Biol Evol 33:268 (DCA for fitness)</t>
        </is>
      </c>
      <c r="E175" s="11" t="inlineStr"/>
    </row>
    <row r="176">
      <c r="A176" s="11" t="n">
        <v>172</v>
      </c>
      <c r="B176" s="15" t="inlineStr">
        <is>
          <t>Part II - The Method Atlas</t>
        </is>
      </c>
      <c r="C176" s="10" t="inlineStr">
        <is>
          <t>N.3 Coevolution and statistical models of families</t>
        </is>
      </c>
      <c r="D176" s="10" t="inlineStr">
        <is>
          <t>Russ et al. 2020, Science 369:440 (an evolution-based model for designing chorismate mutase enzymes - a Potts model designed working enzymes)</t>
        </is>
      </c>
      <c r="E176" s="11" t="inlineStr"/>
    </row>
    <row r="177">
      <c r="A177" s="11" t="n">
        <v>173</v>
      </c>
      <c r="B177" s="15" t="inlineStr">
        <is>
          <t>Part II - The Method Atlas</t>
        </is>
      </c>
      <c r="C177" s="10" t="inlineStr">
        <is>
          <t>N.3 Coevolution and statistical models of families</t>
        </is>
      </c>
      <c r="D177" s="10" t="inlineStr">
        <is>
          <t>Poelwijk et al. 2019, Nat Commun 10:4213 (sparse epistasis in a Fourier basis)</t>
        </is>
      </c>
      <c r="E177" s="11" t="inlineStr"/>
    </row>
    <row r="178">
      <c r="A178" s="11" t="n">
        <v>174</v>
      </c>
      <c r="B178" s="15" t="inlineStr">
        <is>
          <t>Part II - The Method Atlas</t>
        </is>
      </c>
      <c r="C178" s="10" t="inlineStr">
        <is>
          <t>N.3 Coevolution and statistical models of families</t>
        </is>
      </c>
      <c r="D178" s="10" t="inlineStr">
        <is>
          <t>Starr &amp; Thornton 2016, Protein Sci 25:1204 (epistasis review)</t>
        </is>
      </c>
      <c r="E178" s="11" t="inlineStr"/>
    </row>
    <row r="179">
      <c r="A179" s="11" t="n">
        <v>175</v>
      </c>
      <c r="B179" s="15" t="inlineStr">
        <is>
          <t>Part II - The Method Atlas</t>
        </is>
      </c>
      <c r="C179" s="10" t="inlineStr">
        <is>
          <t>O.1 The framework</t>
        </is>
      </c>
      <c r="D179" s="10" t="inlineStr">
        <is>
          <t>Bronstein et al. 2021, arXiv:2104.13478 (Geometric Deep Learning: Grids, Groups, Graphs, Geodesics, and Gauges)</t>
        </is>
      </c>
      <c r="E179" s="11" t="inlineStr"/>
    </row>
    <row r="180">
      <c r="A180" s="11" t="n">
        <v>176</v>
      </c>
      <c r="B180" s="15" t="inlineStr">
        <is>
          <t>Part II - The Method Atlas</t>
        </is>
      </c>
      <c r="C180" s="10" t="inlineStr">
        <is>
          <t>O.1 The framework</t>
        </is>
      </c>
      <c r="D180" s="10" t="inlineStr">
        <is>
          <t>Gilmer et al. 2017, ICML (message passing neural networks)</t>
        </is>
      </c>
      <c r="E180" s="11" t="inlineStr"/>
    </row>
    <row r="181">
      <c r="A181" s="11" t="n">
        <v>177</v>
      </c>
      <c r="B181" s="15" t="inlineStr">
        <is>
          <t>Part II - The Method Atlas</t>
        </is>
      </c>
      <c r="C181" s="10" t="inlineStr">
        <is>
          <t>O.1 The framework</t>
        </is>
      </c>
      <c r="D181" s="10" t="inlineStr">
        <is>
          <t>Battaglia et al. 2018, arXiv:1806.01261 (relational inductive biases)</t>
        </is>
      </c>
      <c r="E181" s="11" t="inlineStr"/>
    </row>
    <row r="182">
      <c r="A182" s="11" t="n">
        <v>178</v>
      </c>
      <c r="B182" s="15" t="inlineStr">
        <is>
          <t>Part II - The Method Atlas</t>
        </is>
      </c>
      <c r="C182" s="10" t="inlineStr">
        <is>
          <t>O.2 Equivariant architectures for atoms</t>
        </is>
      </c>
      <c r="D182" s="10" t="inlineStr">
        <is>
          <t>Thomas et al. 2018, arXiv:1802.08219 (tensor field networks)</t>
        </is>
      </c>
      <c r="E182" s="11" t="inlineStr"/>
    </row>
    <row r="183">
      <c r="A183" s="11" t="n">
        <v>179</v>
      </c>
      <c r="B183" s="15" t="inlineStr">
        <is>
          <t>Part II - The Method Atlas</t>
        </is>
      </c>
      <c r="C183" s="10" t="inlineStr">
        <is>
          <t>O.2 Equivariant architectures for atoms</t>
        </is>
      </c>
      <c r="D183" s="10" t="inlineStr">
        <is>
          <t>Fuchs et al. 2020, NeurIPS (SE(3)-Transformers)</t>
        </is>
      </c>
      <c r="E183" s="11" t="inlineStr"/>
    </row>
    <row r="184">
      <c r="A184" s="11" t="n">
        <v>180</v>
      </c>
      <c r="B184" s="15" t="inlineStr">
        <is>
          <t>Part II - The Method Atlas</t>
        </is>
      </c>
      <c r="C184" s="10" t="inlineStr">
        <is>
          <t>O.2 Equivariant architectures for atoms</t>
        </is>
      </c>
      <c r="D184" s="10" t="inlineStr">
        <is>
          <t>Satorras et al. 2021, ICML (EGNN - equivariance without spherical harmonics)</t>
        </is>
      </c>
      <c r="E184" s="11" t="inlineStr"/>
    </row>
    <row r="185">
      <c r="A185" s="11" t="n">
        <v>181</v>
      </c>
      <c r="B185" s="15" t="inlineStr">
        <is>
          <t>Part II - The Method Atlas</t>
        </is>
      </c>
      <c r="C185" s="10" t="inlineStr">
        <is>
          <t>O.2 Equivariant architectures for atoms</t>
        </is>
      </c>
      <c r="D185" s="10" t="inlineStr">
        <is>
          <t>Batzner et al. 2022, Nat Commun 13:2453 (NequIP)</t>
        </is>
      </c>
      <c r="E185" s="11" t="inlineStr"/>
    </row>
    <row r="186">
      <c r="A186" s="11" t="n">
        <v>182</v>
      </c>
      <c r="B186" s="15" t="inlineStr">
        <is>
          <t>Part II - The Method Atlas</t>
        </is>
      </c>
      <c r="C186" s="10" t="inlineStr">
        <is>
          <t>O.2 Equivariant architectures for atoms</t>
        </is>
      </c>
      <c r="D186" s="10" t="inlineStr">
        <is>
          <t>Batatia et al. 2022, NeurIPS (MACE)</t>
        </is>
      </c>
      <c r="E186" s="11" t="inlineStr"/>
    </row>
    <row r="187">
      <c r="A187" s="11" t="n">
        <v>183</v>
      </c>
      <c r="B187" s="15" t="inlineStr">
        <is>
          <t>Part II - The Method Atlas</t>
        </is>
      </c>
      <c r="C187" s="10" t="inlineStr">
        <is>
          <t>O.2 Equivariant architectures for atoms</t>
        </is>
      </c>
      <c r="D187" s="10" t="inlineStr">
        <is>
          <t>Jumper et al. 2021 supplement, Algorithm 22 (Invariant Point Attention)</t>
        </is>
      </c>
      <c r="E187" s="11" t="inlineStr"/>
    </row>
    <row r="188">
      <c r="A188" s="11" t="n">
        <v>184</v>
      </c>
      <c r="B188" s="15" t="inlineStr">
        <is>
          <t>Part II - The Method Atlas</t>
        </is>
      </c>
      <c r="C188" s="10" t="inlineStr">
        <is>
          <t>O.2 Equivariant architectures for atoms</t>
        </is>
      </c>
      <c r="D188" s="10" t="inlineStr">
        <is>
          <t>Köhler et al. 2020, ICML (equivariant flows)</t>
        </is>
      </c>
      <c r="E188" s="11" t="inlineStr"/>
    </row>
    <row r="189">
      <c r="A189" s="11" t="n">
        <v>185</v>
      </c>
      <c r="B189" s="15" t="inlineStr">
        <is>
          <t>Part II - The Method Atlas</t>
        </is>
      </c>
      <c r="C189" s="10" t="inlineStr">
        <is>
          <t>O.3 The challenge to the orthodoxy</t>
        </is>
      </c>
      <c r="D189" s="10" t="inlineStr">
        <is>
          <t>Brehmer et al. 2024, arXiv:2410.23179 (Does equivariance matter at scale?)</t>
        </is>
      </c>
      <c r="E189" s="11" t="inlineStr"/>
    </row>
    <row r="190">
      <c r="A190" s="11" t="n">
        <v>186</v>
      </c>
      <c r="B190" s="15" t="inlineStr">
        <is>
          <t>Part II - The Method Atlas</t>
        </is>
      </c>
      <c r="C190" s="10" t="inlineStr">
        <is>
          <t>O.3 The challenge to the orthodoxy</t>
        </is>
      </c>
      <c r="D190" s="10" t="inlineStr">
        <is>
          <t>Abramson et al. 2024, Nature 630:493 (AlphaFold3 - which dropped the equivariant frame machinery for a diffusion module with data augmentation)</t>
        </is>
      </c>
      <c r="E190" s="11" t="inlineStr"/>
    </row>
    <row r="191">
      <c r="A191" s="11" t="n">
        <v>187</v>
      </c>
      <c r="B191" s="15" t="inlineStr">
        <is>
          <t>Part II - The Method Atlas</t>
        </is>
      </c>
      <c r="C191" s="10" t="inlineStr">
        <is>
          <t>O.3 The challenge to the orthodoxy</t>
        </is>
      </c>
      <c r="D191" s="10" t="inlineStr">
        <is>
          <t>Wang et al. 2024 (on the surprising effectiveness of non-equivariant models given enough data)</t>
        </is>
      </c>
      <c r="E191" s="11" t="inlineStr"/>
    </row>
    <row r="192">
      <c r="A192" s="11" t="n">
        <v>188</v>
      </c>
      <c r="B192" s="15" t="inlineStr">
        <is>
          <t>Part II - The Method Atlas</t>
        </is>
      </c>
      <c r="C192" s="10" t="inlineStr">
        <is>
          <t>P.1 The architecture, properly</t>
        </is>
      </c>
      <c r="D192" s="10" t="inlineStr">
        <is>
          <t>Senior et al. 2020, Nature 577 (AF1)</t>
        </is>
      </c>
      <c r="E192" s="11" t="inlineStr"/>
    </row>
    <row r="193">
      <c r="A193" s="11" t="n">
        <v>189</v>
      </c>
      <c r="B193" s="15" t="inlineStr">
        <is>
          <t>Part II - The Method Atlas</t>
        </is>
      </c>
      <c r="C193" s="10" t="inlineStr">
        <is>
          <t>P.1 The architecture, properly</t>
        </is>
      </c>
      <c r="D193" s="10" t="inlineStr">
        <is>
          <t>Jumper et al. 2021, Nature 596 - and the Supplementary Information, which is the real paper</t>
        </is>
      </c>
      <c r="E193" s="11" t="inlineStr"/>
    </row>
    <row r="194">
      <c r="A194" s="11" t="n">
        <v>190</v>
      </c>
      <c r="B194" s="15" t="inlineStr">
        <is>
          <t>Part II - The Method Atlas</t>
        </is>
      </c>
      <c r="C194" s="10" t="inlineStr">
        <is>
          <t>P.2 OpenFold - what retraining revealed</t>
        </is>
      </c>
      <c r="D194" s="10" t="inlineStr">
        <is>
          <t>Ahdritz et al. 2024, Nature Methods 21 - [landmark]. The only systematic account of what AF2 actually learns, in what order, and how much training data it needs. Retraining is the one experiment that turns a black box into an object of study</t>
        </is>
      </c>
      <c r="E194" s="11" t="inlineStr"/>
    </row>
    <row r="195">
      <c r="A195" s="11" t="n">
        <v>191</v>
      </c>
      <c r="B195" s="15" t="inlineStr">
        <is>
          <t>Part II - The Method Atlas</t>
        </is>
      </c>
      <c r="C195" s="10" t="inlineStr">
        <is>
          <t>P.3 The RoseTTAFold line</t>
        </is>
      </c>
      <c r="D195" s="10" t="inlineStr">
        <is>
          <t>Baek et al. 2021, Science 373</t>
        </is>
      </c>
      <c r="E195" s="11" t="inlineStr"/>
    </row>
    <row r="196">
      <c r="A196" s="11" t="n">
        <v>192</v>
      </c>
      <c r="B196" s="15" t="inlineStr">
        <is>
          <t>Part II - The Method Atlas</t>
        </is>
      </c>
      <c r="C196" s="10" t="inlineStr">
        <is>
          <t>P.3 The RoseTTAFold line</t>
        </is>
      </c>
      <c r="D196" s="10" t="inlineStr">
        <is>
          <t>Baek et al. 2023, bioRxiv (RF2)</t>
        </is>
      </c>
      <c r="E196" s="11" t="inlineStr"/>
    </row>
    <row r="197">
      <c r="A197" s="11" t="n">
        <v>193</v>
      </c>
      <c r="B197" s="15" t="inlineStr">
        <is>
          <t>Part II - The Method Atlas</t>
        </is>
      </c>
      <c r="C197" s="10" t="inlineStr">
        <is>
          <t>P.3 The RoseTTAFold line</t>
        </is>
      </c>
      <c r="D197" s="10" t="inlineStr">
        <is>
          <t>Krishna et al. 2024, Science 384 (RFAA)</t>
        </is>
      </c>
      <c r="E197" s="11" t="inlineStr"/>
    </row>
    <row r="198">
      <c r="A198" s="11" t="n">
        <v>194</v>
      </c>
      <c r="B198" s="15" t="inlineStr">
        <is>
          <t>Part II - The Method Atlas</t>
        </is>
      </c>
      <c r="C198" s="10" t="inlineStr">
        <is>
          <t>P.4 AlphaFold3 and the co-folding era</t>
        </is>
      </c>
      <c r="D198" s="10" t="inlineStr">
        <is>
          <t>Abramson et al. 2024, Nature 630 (AF3) [landmark]</t>
        </is>
      </c>
      <c r="E198" s="11" t="inlineStr"/>
    </row>
    <row r="199">
      <c r="A199" s="11" t="n">
        <v>195</v>
      </c>
      <c r="B199" s="15" t="inlineStr">
        <is>
          <t>Part II - The Method Atlas</t>
        </is>
      </c>
      <c r="C199" s="10" t="inlineStr">
        <is>
          <t>P.4 AlphaFold3 and the co-folding era</t>
        </is>
      </c>
      <c r="D199" s="10" t="inlineStr">
        <is>
          <t>Evans et al. 2021, bioRxiv (AF-Multimer)</t>
        </is>
      </c>
      <c r="E199" s="11" t="inlineStr"/>
    </row>
    <row r="200">
      <c r="A200" s="11" t="n">
        <v>196</v>
      </c>
      <c r="B200" s="15" t="inlineStr">
        <is>
          <t>Part II - The Method Atlas</t>
        </is>
      </c>
      <c r="C200" s="10" t="inlineStr">
        <is>
          <t>P.4 AlphaFold3 and the co-folding era</t>
        </is>
      </c>
      <c r="D200" s="10" t="inlineStr">
        <is>
          <t>Wohlwend et al. 2024 (Boltz-1)</t>
        </is>
      </c>
      <c r="E200" s="11" t="inlineStr"/>
    </row>
    <row r="201">
      <c r="A201" s="11" t="n">
        <v>197</v>
      </c>
      <c r="B201" s="15" t="inlineStr">
        <is>
          <t>Part II - The Method Atlas</t>
        </is>
      </c>
      <c r="C201" s="10" t="inlineStr">
        <is>
          <t>P.4 AlphaFold3 and the co-folding era</t>
        </is>
      </c>
      <c r="D201" s="10" t="inlineStr">
        <is>
          <t>Passaro et al. 2025 (Boltz-2)</t>
        </is>
      </c>
      <c r="E201" s="11" t="inlineStr"/>
    </row>
    <row r="202">
      <c r="A202" s="11" t="n">
        <v>198</v>
      </c>
      <c r="B202" s="15" t="inlineStr">
        <is>
          <t>Part II - The Method Atlas</t>
        </is>
      </c>
      <c r="C202" s="10" t="inlineStr">
        <is>
          <t>P.4 AlphaFold3 and the co-folding era</t>
        </is>
      </c>
      <c r="D202" s="10" t="inlineStr">
        <is>
          <t>Chai Discovery Team 2024</t>
        </is>
      </c>
      <c r="E202" s="11" t="inlineStr"/>
    </row>
    <row r="203">
      <c r="A203" s="11" t="n">
        <v>199</v>
      </c>
      <c r="B203" s="15" t="inlineStr">
        <is>
          <t>Part II - The Method Atlas</t>
        </is>
      </c>
      <c r="C203" s="10" t="inlineStr">
        <is>
          <t>P.5 Older lineages and single-sequence prediction</t>
        </is>
      </c>
      <c r="D203" s="10" t="inlineStr">
        <is>
          <t>Yang et al. 2020, PNAS 117 (trRosetta)</t>
        </is>
      </c>
      <c r="E203" s="11" t="inlineStr"/>
    </row>
    <row r="204">
      <c r="A204" s="11" t="n">
        <v>200</v>
      </c>
      <c r="B204" s="15" t="inlineStr">
        <is>
          <t>Part II - The Method Atlas</t>
        </is>
      </c>
      <c r="C204" s="10" t="inlineStr">
        <is>
          <t>P.5 Older lineages and single-sequence prediction</t>
        </is>
      </c>
      <c r="D204" s="10" t="inlineStr">
        <is>
          <t>Yang et al. 2015, Nat Methods 12 (I-TASSER)</t>
        </is>
      </c>
      <c r="E204" s="11" t="inlineStr"/>
    </row>
    <row r="205">
      <c r="A205" s="11" t="n">
        <v>201</v>
      </c>
      <c r="B205" s="15" t="inlineStr">
        <is>
          <t>Part II - The Method Atlas</t>
        </is>
      </c>
      <c r="C205" s="10" t="inlineStr">
        <is>
          <t>P.5 Older lineages and single-sequence prediction</t>
        </is>
      </c>
      <c r="D205" s="10" t="inlineStr">
        <is>
          <t>Lin et al. 2023, Science 379 (ESMFold)</t>
        </is>
      </c>
      <c r="E205" s="11" t="inlineStr"/>
    </row>
    <row r="206">
      <c r="A206" s="11" t="n">
        <v>202</v>
      </c>
      <c r="B206" s="15" t="inlineStr">
        <is>
          <t>Part II - The Method Atlas</t>
        </is>
      </c>
      <c r="C206" s="10" t="inlineStr">
        <is>
          <t>P.5 Older lineages and single-sequence prediction</t>
        </is>
      </c>
      <c r="D206" s="10" t="inlineStr">
        <is>
          <t>Chowdhury et al. 2022, Nat Biotechnol 40 (RGN2)</t>
        </is>
      </c>
      <c r="E206" s="11" t="inlineStr"/>
    </row>
    <row r="207">
      <c r="A207" s="11" t="n">
        <v>203</v>
      </c>
      <c r="B207" s="15" t="inlineStr">
        <is>
          <t>Part II - The Method Atlas</t>
        </is>
      </c>
      <c r="C207" s="10" t="inlineStr">
        <is>
          <t>P.5 Older lineages and single-sequence prediction</t>
        </is>
      </c>
      <c r="D207" s="10" t="inlineStr">
        <is>
          <t>AlQuraishi 2019, Cell Systems 8 (RGN)</t>
        </is>
      </c>
      <c r="E207" s="11" t="inlineStr"/>
    </row>
    <row r="208">
      <c r="A208" s="11" t="n">
        <v>204</v>
      </c>
      <c r="B208" s="15" t="inlineStr">
        <is>
          <t>Part II - The Method Atlas</t>
        </is>
      </c>
      <c r="C208" s="10" t="inlineStr">
        <is>
          <t>P.5 Older lineages and single-sequence prediction</t>
        </is>
      </c>
      <c r="D208" s="10" t="inlineStr">
        <is>
          <t>Mirdita et al. 2022, Nat Methods 19 (ColabFold)</t>
        </is>
      </c>
      <c r="E208" s="11" t="inlineStr"/>
    </row>
    <row r="209">
      <c r="A209" s="11" t="n">
        <v>205</v>
      </c>
      <c r="B209" s="15" t="inlineStr">
        <is>
          <t>Part II - The Method Atlas</t>
        </is>
      </c>
      <c r="C209" s="10" t="inlineStr">
        <is>
          <t>P.6 Conformational ensembles - the frontier</t>
        </is>
      </c>
      <c r="D209" s="10" t="inlineStr">
        <is>
          <t>Wayment-Steele et al. 2024, Nature 625 [landmark]</t>
        </is>
      </c>
      <c r="E209" s="11" t="inlineStr"/>
    </row>
    <row r="210">
      <c r="A210" s="11" t="n">
        <v>206</v>
      </c>
      <c r="B210" s="15" t="inlineStr">
        <is>
          <t>Part II - The Method Atlas</t>
        </is>
      </c>
      <c r="C210" s="10" t="inlineStr">
        <is>
          <t>P.6 Conformational ensembles - the frontier</t>
        </is>
      </c>
      <c r="D210" s="10" t="inlineStr">
        <is>
          <t>Wallner 2023, Bioinformatics 39</t>
        </is>
      </c>
      <c r="E210" s="11" t="inlineStr"/>
    </row>
    <row r="211">
      <c r="A211" s="11" t="n">
        <v>207</v>
      </c>
      <c r="B211" s="15" t="inlineStr">
        <is>
          <t>Part II - The Method Atlas</t>
        </is>
      </c>
      <c r="C211" s="10" t="inlineStr">
        <is>
          <t>P.6 Conformational ensembles - the frontier</t>
        </is>
      </c>
      <c r="D211" s="10" t="inlineStr">
        <is>
          <t>Jing et al. 2024, ICML (AlphaFlow)</t>
        </is>
      </c>
      <c r="E211" s="11" t="inlineStr"/>
    </row>
    <row r="212">
      <c r="A212" s="11" t="n">
        <v>208</v>
      </c>
      <c r="B212" s="15" t="inlineStr">
        <is>
          <t>Part II - The Method Atlas</t>
        </is>
      </c>
      <c r="C212" s="10" t="inlineStr">
        <is>
          <t>P.6 Conformational ensembles - the frontier</t>
        </is>
      </c>
      <c r="D212" s="10" t="inlineStr">
        <is>
          <t>Lewis et al. 2025, Science 389 (BioEmu)</t>
        </is>
      </c>
      <c r="E212" s="11" t="inlineStr"/>
    </row>
    <row r="213">
      <c r="A213" s="11" t="n">
        <v>209</v>
      </c>
      <c r="B213" s="15" t="inlineStr">
        <is>
          <t>Part II - The Method Atlas</t>
        </is>
      </c>
      <c r="C213" s="10" t="inlineStr">
        <is>
          <t>P.6 Conformational ensembles - the frontier</t>
        </is>
      </c>
      <c r="D213" s="10" t="inlineStr">
        <is>
          <t>Zheng et al. 2024, Nat Mach Intell 6 (DiG)</t>
        </is>
      </c>
      <c r="E213" s="11" t="inlineStr"/>
    </row>
    <row r="214">
      <c r="A214" s="11" t="n">
        <v>210</v>
      </c>
      <c r="B214" s="15" t="inlineStr">
        <is>
          <t>Part II - The Method Atlas</t>
        </is>
      </c>
      <c r="C214" s="10" t="inlineStr">
        <is>
          <t>P.6 Conformational ensembles - the frontier</t>
        </is>
      </c>
      <c r="D214" s="10" t="inlineStr">
        <is>
          <t>Noé et al. 2019, Science 365 (Boltzmann generators)</t>
        </is>
      </c>
      <c r="E214" s="11" t="inlineStr"/>
    </row>
    <row r="215">
      <c r="A215" s="11" t="n">
        <v>211</v>
      </c>
      <c r="B215" s="15" t="inlineStr">
        <is>
          <t>Part II - The Method Atlas</t>
        </is>
      </c>
      <c r="C215" s="10" t="inlineStr">
        <is>
          <t>P.6 Conformational ensembles - the frontier</t>
        </is>
      </c>
      <c r="D215" s="10" t="inlineStr">
        <is>
          <t>Abdin &amp; Kim 2024, Nat Mach Intell 6 (PepFlow)</t>
        </is>
      </c>
      <c r="E215" s="11" t="inlineStr"/>
    </row>
    <row r="216">
      <c r="A216" s="11" t="n">
        <v>212</v>
      </c>
      <c r="B216" s="15" t="inlineStr">
        <is>
          <t>Part II - The Method Atlas</t>
        </is>
      </c>
      <c r="C216" s="10" t="inlineStr">
        <is>
          <t>P.7 Co-folding, ligands, and the validity critique</t>
        </is>
      </c>
      <c r="D216" s="10" t="inlineStr">
        <is>
          <t>Corso et al. 2023, ICLR (DiffDock)</t>
        </is>
      </c>
      <c r="E216" s="11" t="inlineStr"/>
    </row>
    <row r="217">
      <c r="A217" s="11" t="n">
        <v>213</v>
      </c>
      <c r="B217" s="15" t="inlineStr">
        <is>
          <t>Part II - The Method Atlas</t>
        </is>
      </c>
      <c r="C217" s="10" t="inlineStr">
        <is>
          <t>P.7 Co-folding, ligands, and the validity critique</t>
        </is>
      </c>
      <c r="D217" s="10" t="inlineStr">
        <is>
          <t>Buttenschoen, Morris &amp; Deane 2024, Chem Sci 15 (PoseBusters) [landmark]</t>
        </is>
      </c>
      <c r="E217" s="11" t="inlineStr"/>
    </row>
    <row r="218">
      <c r="A218" s="11" t="n">
        <v>214</v>
      </c>
      <c r="B218" s="15" t="inlineStr">
        <is>
          <t>Part II - The Method Atlas</t>
        </is>
      </c>
      <c r="C218" s="10" t="inlineStr">
        <is>
          <t>P.7 Co-folding, ligands, and the validity critique</t>
        </is>
      </c>
      <c r="D218" s="10" t="inlineStr">
        <is>
          <t>Durairaj et al. 2024, ICML ML4LMS (PLINDER)</t>
        </is>
      </c>
      <c r="E218" s="11" t="inlineStr"/>
    </row>
    <row r="219">
      <c r="A219" s="11" t="n">
        <v>215</v>
      </c>
      <c r="B219" s="15" t="inlineStr">
        <is>
          <t>Part II - The Method Atlas</t>
        </is>
      </c>
      <c r="C219" s="10" t="inlineStr">
        <is>
          <t>P.7 Co-folding, ligands, and the validity critique</t>
        </is>
      </c>
      <c r="D219" s="10" t="inlineStr">
        <is>
          <t>Bryant et al. 2024, Nat Commun 15 (Umol)</t>
        </is>
      </c>
      <c r="E219" s="11" t="inlineStr"/>
    </row>
    <row r="220">
      <c r="A220" s="11" t="n">
        <v>216</v>
      </c>
      <c r="B220" s="15" t="inlineStr">
        <is>
          <t>Part II - The Method Atlas</t>
        </is>
      </c>
      <c r="C220" s="10" t="inlineStr">
        <is>
          <t>P.7 Co-folding, ligands, and the validity critique</t>
        </is>
      </c>
      <c r="D220" s="10" t="inlineStr">
        <is>
          <t>Qiao et al. 2024, Nat Mach Intell 6</t>
        </is>
      </c>
      <c r="E220" s="11" t="inlineStr"/>
    </row>
    <row r="221">
      <c r="A221" s="11" t="n">
        <v>217</v>
      </c>
      <c r="B221" s="15" t="inlineStr">
        <is>
          <t>Part II - The Method Atlas</t>
        </is>
      </c>
      <c r="C221" s="10" t="inlineStr">
        <is>
          <t>P.7 Co-folding, ligands, and the validity critique</t>
        </is>
      </c>
      <c r="D221" s="10" t="inlineStr">
        <is>
          <t>Stärk et al. 2024, ICML</t>
        </is>
      </c>
      <c r="E221" s="11" t="inlineStr"/>
    </row>
    <row r="222">
      <c r="A222" s="11" t="n">
        <v>218</v>
      </c>
      <c r="B222" s="15" t="inlineStr">
        <is>
          <t>Part II - The Method Atlas</t>
        </is>
      </c>
      <c r="C222" s="10" t="inlineStr">
        <is>
          <t>Q.1 The ESM line</t>
        </is>
      </c>
      <c r="D222" s="10" t="inlineStr">
        <is>
          <t>Rives et al. 2021, PNAS 118:e2016239118 (ESM-1b)</t>
        </is>
      </c>
      <c r="E222" s="11" t="inlineStr"/>
    </row>
    <row r="223">
      <c r="A223" s="11" t="n">
        <v>219</v>
      </c>
      <c r="B223" s="15" t="inlineStr">
        <is>
          <t>Part II - The Method Atlas</t>
        </is>
      </c>
      <c r="C223" s="10" t="inlineStr">
        <is>
          <t>Q.1 The ESM line</t>
        </is>
      </c>
      <c r="D223" s="10" t="inlineStr">
        <is>
          <t>Lin et al. 2023, Science 379:1123 (ESM-2 / ESMFold)</t>
        </is>
      </c>
      <c r="E223" s="11" t="inlineStr"/>
    </row>
    <row r="224">
      <c r="A224" s="11" t="n">
        <v>220</v>
      </c>
      <c r="B224" s="15" t="inlineStr">
        <is>
          <t>Part II - The Method Atlas</t>
        </is>
      </c>
      <c r="C224" s="10" t="inlineStr">
        <is>
          <t>Q.1 The ESM line</t>
        </is>
      </c>
      <c r="D224" s="10" t="inlineStr">
        <is>
          <t>Hayes et al. 2025, Science 387:850 (ESM3)</t>
        </is>
      </c>
      <c r="E224" s="11" t="inlineStr"/>
    </row>
    <row r="225">
      <c r="A225" s="11" t="n">
        <v>221</v>
      </c>
      <c r="B225" s="15" t="inlineStr">
        <is>
          <t>Part II - The Method Atlas</t>
        </is>
      </c>
      <c r="C225" s="10" t="inlineStr">
        <is>
          <t>Q.1 The ESM line</t>
        </is>
      </c>
      <c r="D225" s="10" t="inlineStr">
        <is>
          <t>Hie et al. 2024, Nat Biotechnol 42:275 (antibody evolution)</t>
        </is>
      </c>
      <c r="E225" s="11" t="inlineStr"/>
    </row>
    <row r="226">
      <c r="A226" s="11" t="n">
        <v>222</v>
      </c>
      <c r="B226" s="15" t="inlineStr">
        <is>
          <t>Part II - The Method Atlas</t>
        </is>
      </c>
      <c r="C226" s="10" t="inlineStr">
        <is>
          <t>Q.1 The ESM line</t>
        </is>
      </c>
      <c r="D226" s="10" t="inlineStr">
        <is>
          <t>Meier et al. 2021, NeurIPS (ESM-1v zero-shot variant effects)</t>
        </is>
      </c>
      <c r="E226" s="11" t="inlineStr"/>
    </row>
    <row r="227">
      <c r="A227" s="11" t="n">
        <v>223</v>
      </c>
      <c r="B227" s="15" t="inlineStr">
        <is>
          <t>Part II - The Method Atlas</t>
        </is>
      </c>
      <c r="C227" s="10" t="inlineStr">
        <is>
          <t>Q.2 Generative protein language models</t>
        </is>
      </c>
      <c r="D227" s="10" t="inlineStr">
        <is>
          <t>Ferruz et al. 2022, Nat Commun 13:4348 (ProtGPT2)</t>
        </is>
      </c>
      <c r="E227" s="11" t="inlineStr"/>
    </row>
    <row r="228">
      <c r="A228" s="11" t="n">
        <v>224</v>
      </c>
      <c r="B228" s="15" t="inlineStr">
        <is>
          <t>Part II - The Method Atlas</t>
        </is>
      </c>
      <c r="C228" s="10" t="inlineStr">
        <is>
          <t>Q.2 Generative protein language models</t>
        </is>
      </c>
      <c r="D228" s="10" t="inlineStr">
        <is>
          <t>Madani et al. 2023, Nat Biotechnol 41:1099 (ProGen)</t>
        </is>
      </c>
      <c r="E228" s="11" t="inlineStr"/>
    </row>
    <row r="229">
      <c r="A229" s="11" t="n">
        <v>225</v>
      </c>
      <c r="B229" s="15" t="inlineStr">
        <is>
          <t>Part II - The Method Atlas</t>
        </is>
      </c>
      <c r="C229" s="10" t="inlineStr">
        <is>
          <t>Q.2 Generative protein language models</t>
        </is>
      </c>
      <c r="D229" s="10" t="inlineStr">
        <is>
          <t>Nijkamp et al. 2023, Cell Systems 14:968 (ProGen2)</t>
        </is>
      </c>
      <c r="E229" s="11" t="inlineStr"/>
    </row>
    <row r="230">
      <c r="A230" s="11" t="n">
        <v>226</v>
      </c>
      <c r="B230" s="15" t="inlineStr">
        <is>
          <t>Part II - The Method Atlas</t>
        </is>
      </c>
      <c r="C230" s="10" t="inlineStr">
        <is>
          <t>Q.2 Generative protein language models</t>
        </is>
      </c>
      <c r="D230" s="10" t="inlineStr">
        <is>
          <t>Truong &amp; Bepler 2023, NeurIPS (PoET)</t>
        </is>
      </c>
      <c r="E230" s="11" t="inlineStr"/>
    </row>
    <row r="231">
      <c r="A231" s="11" t="n">
        <v>227</v>
      </c>
      <c r="B231" s="15" t="inlineStr">
        <is>
          <t>Part II - The Method Atlas</t>
        </is>
      </c>
      <c r="C231" s="10" t="inlineStr">
        <is>
          <t>Q.2 Generative protein language models</t>
        </is>
      </c>
      <c r="D231" s="10" t="inlineStr">
        <is>
          <t>Alamdari et al. 2023, bioRxiv (EvoDiff)</t>
        </is>
      </c>
      <c r="E231" s="11" t="inlineStr"/>
    </row>
    <row r="232">
      <c r="A232" s="11" t="n">
        <v>228</v>
      </c>
      <c r="B232" s="15" t="inlineStr">
        <is>
          <t>Part II - The Method Atlas</t>
        </is>
      </c>
      <c r="C232" s="10" t="inlineStr">
        <is>
          <t>Q.2 Generative protein language models</t>
        </is>
      </c>
      <c r="D232" s="10" t="inlineStr">
        <is>
          <t>Ruffolo et al. 2024, Nature 637:1176 (OpenCRISPR-1)</t>
        </is>
      </c>
      <c r="E232" s="11" t="inlineStr"/>
    </row>
    <row r="233">
      <c r="A233" s="11" t="n">
        <v>229</v>
      </c>
      <c r="B233" s="15" t="inlineStr">
        <is>
          <t>Part II - The Method Atlas</t>
        </is>
      </c>
      <c r="C233" s="10" t="inlineStr">
        <is>
          <t>Q.2 Generative protein language models</t>
        </is>
      </c>
      <c r="D233" s="10" t="inlineStr">
        <is>
          <t>Elnaggar et al. 2022, IEEE TPAMI 44:7112 (ProtTrans)</t>
        </is>
      </c>
      <c r="E233" s="11" t="inlineStr"/>
    </row>
    <row r="234">
      <c r="A234" s="11" t="n">
        <v>230</v>
      </c>
      <c r="B234" s="15" t="inlineStr">
        <is>
          <t>Part II - The Method Atlas</t>
        </is>
      </c>
      <c r="C234" s="10" t="inlineStr">
        <is>
          <t>Q.3 Fitness prediction and variant effects</t>
        </is>
      </c>
      <c r="D234" s="10" t="inlineStr">
        <is>
          <t>Riesselman et al. 2018, Nat Methods 15:816 (DeepSequence)</t>
        </is>
      </c>
      <c r="E234" s="11" t="inlineStr"/>
    </row>
    <row r="235">
      <c r="A235" s="11" t="n">
        <v>231</v>
      </c>
      <c r="B235" s="15" t="inlineStr">
        <is>
          <t>Part II - The Method Atlas</t>
        </is>
      </c>
      <c r="C235" s="10" t="inlineStr">
        <is>
          <t>Q.3 Fitness prediction and variant effects</t>
        </is>
      </c>
      <c r="D235" s="10" t="inlineStr">
        <is>
          <t>Frazer et al. 2021, Nature 599:91 (EVE)</t>
        </is>
      </c>
      <c r="E235" s="11" t="inlineStr"/>
    </row>
    <row r="236">
      <c r="A236" s="11" t="n">
        <v>232</v>
      </c>
      <c r="B236" s="15" t="inlineStr">
        <is>
          <t>Part II - The Method Atlas</t>
        </is>
      </c>
      <c r="C236" s="10" t="inlineStr">
        <is>
          <t>Q.3 Fitness prediction and variant effects</t>
        </is>
      </c>
      <c r="D236" s="10" t="inlineStr">
        <is>
          <t>Notin et al. 2022, ICML (Tranception); Notin et al. 2023, NeurIPS (ProteinGym)</t>
        </is>
      </c>
      <c r="E236" s="11" t="inlineStr"/>
    </row>
    <row r="237">
      <c r="A237" s="11" t="n">
        <v>233</v>
      </c>
      <c r="B237" s="15" t="inlineStr">
        <is>
          <t>Part II - The Method Atlas</t>
        </is>
      </c>
      <c r="C237" s="10" t="inlineStr">
        <is>
          <t>Q.3 Fitness prediction and variant effects</t>
        </is>
      </c>
      <c r="D237" s="10" t="inlineStr">
        <is>
          <t>Cheng et al. 2023, Science 381:eadg7492 (AlphaMissense)</t>
        </is>
      </c>
      <c r="E237" s="11" t="inlineStr"/>
    </row>
    <row r="238">
      <c r="A238" s="11" t="n">
        <v>234</v>
      </c>
      <c r="B238" s="15" t="inlineStr">
        <is>
          <t>Part II - The Method Atlas</t>
        </is>
      </c>
      <c r="C238" s="10" t="inlineStr">
        <is>
          <t>Q.3 Fitness prediction and variant effects</t>
        </is>
      </c>
      <c r="D238" s="10" t="inlineStr">
        <is>
          <t>Hopf et al. 2017, Nat Biotechnol 35:128 (EVcouplings)</t>
        </is>
      </c>
      <c r="E238" s="11" t="inlineStr"/>
    </row>
    <row r="239">
      <c r="A239" s="11" t="n">
        <v>235</v>
      </c>
      <c r="B239" s="15" t="inlineStr">
        <is>
          <t>Part II - The Method Atlas</t>
        </is>
      </c>
      <c r="C239" s="10" t="inlineStr">
        <is>
          <t>Q.3 Fitness prediction and variant effects</t>
        </is>
      </c>
      <c r="D239" s="10" t="inlineStr">
        <is>
          <t>Fannjiang &amp; Listgarten 2020, NeurIPS (design by adaptive sampling); Fannjiang et al. 2022, NeurIPS (conformal under FCS)</t>
        </is>
      </c>
      <c r="E239" s="11" t="inlineStr"/>
    </row>
    <row r="240">
      <c r="A240" s="11" t="n">
        <v>236</v>
      </c>
      <c r="B240" s="15" t="inlineStr">
        <is>
          <t>Part II - The Method Atlas</t>
        </is>
      </c>
      <c r="C240" s="10" t="inlineStr">
        <is>
          <t>Q.4 Interpretability of protein models</t>
        </is>
      </c>
      <c r="D240" s="10" t="inlineStr">
        <is>
          <t>Simon &amp; Zou 2024, bioRxiv (InterPLM)</t>
        </is>
      </c>
      <c r="E240" s="11" t="inlineStr"/>
    </row>
    <row r="241">
      <c r="A241" s="11" t="n">
        <v>237</v>
      </c>
      <c r="B241" s="15" t="inlineStr">
        <is>
          <t>Part II - The Method Atlas</t>
        </is>
      </c>
      <c r="C241" s="10" t="inlineStr">
        <is>
          <t>Q.4 Interpretability of protein models</t>
        </is>
      </c>
      <c r="D241" s="10" t="inlineStr">
        <is>
          <t>Rao et al. 2021, ICML (MSA Transformer)</t>
        </is>
      </c>
      <c r="E241" s="11" t="inlineStr"/>
    </row>
    <row r="242">
      <c r="A242" s="11" t="n">
        <v>238</v>
      </c>
      <c r="B242" s="15" t="inlineStr">
        <is>
          <t>Part II - The Method Atlas</t>
        </is>
      </c>
      <c r="C242" s="10" t="inlineStr">
        <is>
          <t>Q.4 Interpretability of protein models</t>
        </is>
      </c>
      <c r="D242" s="10" t="inlineStr">
        <is>
          <t>Vig et al. 2021, ICLR (BERTology meets biology - attention recovers contacts)</t>
        </is>
      </c>
      <c r="E242" s="11" t="inlineStr"/>
    </row>
    <row r="243">
      <c r="A243" s="11" t="n">
        <v>239</v>
      </c>
      <c r="B243" s="15" t="inlineStr">
        <is>
          <t>Part II - The Method Atlas</t>
        </is>
      </c>
      <c r="C243" s="10" t="inlineStr">
        <is>
          <t>Q.4 Interpretability of protein models</t>
        </is>
      </c>
      <c r="D243" s="10" t="inlineStr">
        <is>
          <t>Bhattacharya et al. 2022, Bioinformatics 38:ii119</t>
        </is>
      </c>
      <c r="E243" s="11" t="inlineStr"/>
    </row>
    <row r="244">
      <c r="A244" s="11" t="n">
        <v>240</v>
      </c>
      <c r="B244" s="15" t="inlineStr">
        <is>
          <t>Part II - The Method Atlas</t>
        </is>
      </c>
      <c r="C244" s="10" t="inlineStr">
        <is>
          <t>Q.5 Genomic and RNA language models</t>
        </is>
      </c>
      <c r="D244" s="10" t="inlineStr">
        <is>
          <t>Nguyen et al. 2024, Science 386:eado9336 (Evo)</t>
        </is>
      </c>
      <c r="E244" s="11" t="inlineStr"/>
    </row>
    <row r="245">
      <c r="A245" s="11" t="n">
        <v>241</v>
      </c>
      <c r="B245" s="15" t="inlineStr">
        <is>
          <t>Part II - The Method Atlas</t>
        </is>
      </c>
      <c r="C245" s="10" t="inlineStr">
        <is>
          <t>Q.5 Genomic and RNA language models</t>
        </is>
      </c>
      <c r="D245" s="10" t="inlineStr">
        <is>
          <t>Brixi et al. 2025, bioRxiv (Evo 2)</t>
        </is>
      </c>
      <c r="E245" s="11" t="inlineStr"/>
    </row>
    <row r="246">
      <c r="A246" s="11" t="n">
        <v>242</v>
      </c>
      <c r="B246" s="15" t="inlineStr">
        <is>
          <t>Part II - The Method Atlas</t>
        </is>
      </c>
      <c r="C246" s="10" t="inlineStr">
        <is>
          <t>Q.5 Genomic and RNA language models</t>
        </is>
      </c>
      <c r="D246" s="10" t="inlineStr">
        <is>
          <t>Nguyen et al. 2023, NeurIPS (HyenaDNA)</t>
        </is>
      </c>
      <c r="E246" s="11" t="inlineStr"/>
    </row>
    <row r="247">
      <c r="A247" s="11" t="n">
        <v>243</v>
      </c>
      <c r="B247" s="15" t="inlineStr">
        <is>
          <t>Part II - The Method Atlas</t>
        </is>
      </c>
      <c r="C247" s="10" t="inlineStr">
        <is>
          <t>Q.5 Genomic and RNA language models</t>
        </is>
      </c>
      <c r="D247" s="10" t="inlineStr">
        <is>
          <t>Dalla-Torre et al. 2025, Nat Methods 22:287 (Nucleotide Transformer)</t>
        </is>
      </c>
      <c r="E247" s="11" t="inlineStr"/>
    </row>
    <row r="248">
      <c r="A248" s="11" t="n">
        <v>244</v>
      </c>
      <c r="B248" s="15" t="inlineStr">
        <is>
          <t>Part II - The Method Atlas</t>
        </is>
      </c>
      <c r="C248" s="10" t="inlineStr">
        <is>
          <t>Q.5 Genomic and RNA language models</t>
        </is>
      </c>
      <c r="D248" s="10" t="inlineStr">
        <is>
          <t>Avsec et al. 2021, Nat Methods 18:1196 (Enformer)</t>
        </is>
      </c>
      <c r="E248" s="11" t="inlineStr"/>
    </row>
    <row r="249">
      <c r="A249" s="11" t="n">
        <v>245</v>
      </c>
      <c r="B249" s="15" t="inlineStr">
        <is>
          <t>Part II - The Method Atlas</t>
        </is>
      </c>
      <c r="C249" s="10" t="inlineStr">
        <is>
          <t>Q.5 Genomic and RNA language models</t>
        </is>
      </c>
      <c r="D249" s="10" t="inlineStr">
        <is>
          <t>Linder et al. 2025, Nat Methods 22:2422 (Borzoi)</t>
        </is>
      </c>
      <c r="E249" s="11" t="inlineStr"/>
    </row>
    <row r="250">
      <c r="A250" s="11" t="n">
        <v>246</v>
      </c>
      <c r="B250" s="15" t="inlineStr">
        <is>
          <t>Part II - The Method Atlas</t>
        </is>
      </c>
      <c r="C250" s="10" t="inlineStr">
        <is>
          <t>Q.5 Genomic and RNA language models</t>
        </is>
      </c>
      <c r="D250" s="10" t="inlineStr">
        <is>
          <t>Avsec et al. 2025, Nature (AlphaGenome)</t>
        </is>
      </c>
      <c r="E250" s="11" t="inlineStr"/>
    </row>
    <row r="251">
      <c r="A251" s="11" t="n">
        <v>247</v>
      </c>
      <c r="B251" s="15" t="inlineStr">
        <is>
          <t>Part II - The Method Atlas</t>
        </is>
      </c>
      <c r="C251" s="10" t="inlineStr">
        <is>
          <t>Q.5 Genomic and RNA language models</t>
        </is>
      </c>
      <c r="D251" s="10" t="inlineStr">
        <is>
          <t>Townshend et al. 2021, Science 373:1047 (ARES, RNA)</t>
        </is>
      </c>
      <c r="E251" s="11" t="inlineStr"/>
    </row>
    <row r="252">
      <c r="A252" s="11" t="n">
        <v>248</v>
      </c>
      <c r="B252" s="15" t="inlineStr">
        <is>
          <t>Part II - The Method Atlas</t>
        </is>
      </c>
      <c r="C252" s="10" t="inlineStr">
        <is>
          <t>Q.5 Genomic and RNA language models</t>
        </is>
      </c>
      <c r="D252" s="10" t="inlineStr">
        <is>
          <t>Wayment-Steele et al. 2022, Nat Methods 19:1234 (EternaFold)</t>
        </is>
      </c>
      <c r="E252" s="11" t="inlineStr"/>
    </row>
    <row r="253">
      <c r="A253" s="11" t="n">
        <v>249</v>
      </c>
      <c r="B253" s="15" t="inlineStr">
        <is>
          <t>Part II - The Method Atlas</t>
        </is>
      </c>
      <c r="C253" s="10" t="inlineStr">
        <is>
          <t>Q.6 Function prediction and search</t>
        </is>
      </c>
      <c r="D253" s="10" t="inlineStr">
        <is>
          <t>Yu et al. 2023, Science 379:1358 (CLEAN)</t>
        </is>
      </c>
      <c r="E253" s="11" t="inlineStr"/>
    </row>
    <row r="254">
      <c r="A254" s="11" t="n">
        <v>250</v>
      </c>
      <c r="B254" s="15" t="inlineStr">
        <is>
          <t>Part II - The Method Atlas</t>
        </is>
      </c>
      <c r="C254" s="10" t="inlineStr">
        <is>
          <t>Q.6 Function prediction and search</t>
        </is>
      </c>
      <c r="D254" s="10" t="inlineStr">
        <is>
          <t>van Kempen et al. 2024, Nat Biotechnol 42:243 (Foldseek)</t>
        </is>
      </c>
      <c r="E254" s="11" t="inlineStr"/>
    </row>
    <row r="255">
      <c r="A255" s="11" t="n">
        <v>251</v>
      </c>
      <c r="B255" s="15" t="inlineStr">
        <is>
          <t>Part II - The Method Atlas</t>
        </is>
      </c>
      <c r="C255" s="10" t="inlineStr">
        <is>
          <t>Q.6 Function prediction and search</t>
        </is>
      </c>
      <c r="D255" s="10" t="inlineStr">
        <is>
          <t>Steinegger &amp; Söding 2017, Nat Biotechnol 35:1026 (MMseqs2)</t>
        </is>
      </c>
      <c r="E255" s="11" t="inlineStr"/>
    </row>
    <row r="256">
      <c r="A256" s="11" t="n">
        <v>252</v>
      </c>
      <c r="B256" s="15" t="inlineStr">
        <is>
          <t>Part II - The Method Atlas</t>
        </is>
      </c>
      <c r="C256" s="10" t="inlineStr">
        <is>
          <t>Q.6 Function prediction and search</t>
        </is>
      </c>
      <c r="D256" s="10" t="inlineStr">
        <is>
          <t>Radivojac et al. 2013, Nat Methods 10:221 (CAFA)</t>
        </is>
      </c>
      <c r="E256" s="11" t="inlineStr"/>
    </row>
    <row r="257">
      <c r="A257" s="11" t="n">
        <v>253</v>
      </c>
      <c r="B257" s="15" t="inlineStr">
        <is>
          <t>Part II - The Method Atlas</t>
        </is>
      </c>
      <c r="C257" s="10" t="inlineStr">
        <is>
          <t>Q.6 Function prediction and search</t>
        </is>
      </c>
      <c r="D257" s="10" t="inlineStr">
        <is>
          <t>Barrio-Hernandez et al. 2023, Nature 622:637 (AFDB clustering)</t>
        </is>
      </c>
      <c r="E257" s="11" t="inlineStr"/>
    </row>
    <row r="258">
      <c r="A258" s="11" t="n">
        <v>254</v>
      </c>
      <c r="B258" s="15" t="inlineStr">
        <is>
          <t>Part II - The Method Atlas</t>
        </is>
      </c>
      <c r="C258" s="10" t="inlineStr">
        <is>
          <t>R.1 Inverse folding and sequence design</t>
        </is>
      </c>
      <c r="D258" s="10" t="inlineStr">
        <is>
          <t>Dauparas et al. 2022, Science 378:49 (ProteinMPNN) [landmark]</t>
        </is>
      </c>
      <c r="E258" s="11" t="inlineStr"/>
    </row>
    <row r="259">
      <c r="A259" s="11" t="n">
        <v>255</v>
      </c>
      <c r="B259" s="15" t="inlineStr">
        <is>
          <t>Part II - The Method Atlas</t>
        </is>
      </c>
      <c r="C259" s="10" t="inlineStr">
        <is>
          <t>R.1 Inverse folding and sequence design</t>
        </is>
      </c>
      <c r="D259" s="10" t="inlineStr">
        <is>
          <t>Dauparas et al. 2025, Nat Methods 22:717 (LigandMPNN)</t>
        </is>
      </c>
      <c r="E259" s="11" t="inlineStr"/>
    </row>
    <row r="260">
      <c r="A260" s="11" t="n">
        <v>256</v>
      </c>
      <c r="B260" s="15" t="inlineStr">
        <is>
          <t>Part II - The Method Atlas</t>
        </is>
      </c>
      <c r="C260" s="10" t="inlineStr">
        <is>
          <t>R.1 Inverse folding and sequence design</t>
        </is>
      </c>
      <c r="D260" s="10" t="inlineStr">
        <is>
          <t>Hsu et al. 2022, ICML (ESM-IF)</t>
        </is>
      </c>
      <c r="E260" s="11" t="inlineStr"/>
    </row>
    <row r="261">
      <c r="A261" s="11" t="n">
        <v>257</v>
      </c>
      <c r="B261" s="15" t="inlineStr">
        <is>
          <t>Part II - The Method Atlas</t>
        </is>
      </c>
      <c r="C261" s="10" t="inlineStr">
        <is>
          <t>R.1 Inverse folding and sequence design</t>
        </is>
      </c>
      <c r="D261" s="10" t="inlineStr">
        <is>
          <t>Dieckhaus et al. 2024, PNAS 121:e2314853121 (ThermoMPNN)</t>
        </is>
      </c>
      <c r="E261" s="11" t="inlineStr"/>
    </row>
    <row r="262">
      <c r="A262" s="11" t="n">
        <v>258</v>
      </c>
      <c r="B262" s="15" t="inlineStr">
        <is>
          <t>Part II - The Method Atlas</t>
        </is>
      </c>
      <c r="C262" s="10" t="inlineStr">
        <is>
          <t>R.1 Inverse folding and sequence design</t>
        </is>
      </c>
      <c r="D262" s="10" t="inlineStr">
        <is>
          <t>Tsuboyama et al. 2023, Nature 620:434 [landmark]</t>
        </is>
      </c>
      <c r="E262" s="11" t="inlineStr"/>
    </row>
    <row r="263">
      <c r="A263" s="11" t="n">
        <v>259</v>
      </c>
      <c r="B263" s="15" t="inlineStr">
        <is>
          <t>Part II - The Method Atlas</t>
        </is>
      </c>
      <c r="C263" s="10" t="inlineStr">
        <is>
          <t>R.1 Inverse folding and sequence design</t>
        </is>
      </c>
      <c r="D263" s="10" t="inlineStr">
        <is>
          <t>Kuhlman &amp; Baker 2000, PNAS 97:10383</t>
        </is>
      </c>
      <c r="E263" s="11" t="inlineStr"/>
    </row>
    <row r="264">
      <c r="A264" s="11" t="n">
        <v>260</v>
      </c>
      <c r="B264" s="15" t="inlineStr">
        <is>
          <t>Part II - The Method Atlas</t>
        </is>
      </c>
      <c r="C264" s="10" t="inlineStr">
        <is>
          <t>R.1 Inverse folding and sequence design</t>
        </is>
      </c>
      <c r="D264" s="10" t="inlineStr">
        <is>
          <t>Kuhlman et al. 2003, Science 302:1364 (Top7)</t>
        </is>
      </c>
      <c r="E264" s="11" t="inlineStr"/>
    </row>
    <row r="265">
      <c r="A265" s="11" t="n">
        <v>261</v>
      </c>
      <c r="B265" s="15" t="inlineStr">
        <is>
          <t>Part II - The Method Atlas</t>
        </is>
      </c>
      <c r="C265" s="10" t="inlineStr">
        <is>
          <t>R.2 Backbone generation</t>
        </is>
      </c>
      <c r="D265" s="10" t="inlineStr">
        <is>
          <t>Watson et al. 2023, Nature 620:1089 (RFdiffusion) [landmark]</t>
        </is>
      </c>
      <c r="E265" s="11" t="inlineStr"/>
    </row>
    <row r="266">
      <c r="A266" s="11" t="n">
        <v>262</v>
      </c>
      <c r="B266" s="15" t="inlineStr">
        <is>
          <t>Part II - The Method Atlas</t>
        </is>
      </c>
      <c r="C266" s="10" t="inlineStr">
        <is>
          <t>R.2 Backbone generation</t>
        </is>
      </c>
      <c r="D266" s="10" t="inlineStr">
        <is>
          <t>Krishna et al. 2024, Science 384:eadl2528 (RFAA)</t>
        </is>
      </c>
      <c r="E266" s="11" t="inlineStr"/>
    </row>
    <row r="267">
      <c r="A267" s="11" t="n">
        <v>263</v>
      </c>
      <c r="B267" s="15" t="inlineStr">
        <is>
          <t>Part II - The Method Atlas</t>
        </is>
      </c>
      <c r="C267" s="10" t="inlineStr">
        <is>
          <t>R.2 Backbone generation</t>
        </is>
      </c>
      <c r="D267" s="10" t="inlineStr">
        <is>
          <t>Ahern et al. 2026, Nat Methods 23:96 (RFdiffusion2)</t>
        </is>
      </c>
      <c r="E267" s="11" t="inlineStr"/>
    </row>
    <row r="268">
      <c r="A268" s="11" t="n">
        <v>264</v>
      </c>
      <c r="B268" s="15" t="inlineStr">
        <is>
          <t>Part II - The Method Atlas</t>
        </is>
      </c>
      <c r="C268" s="10" t="inlineStr">
        <is>
          <t>R.2 Backbone generation</t>
        </is>
      </c>
      <c r="D268" s="10" t="inlineStr">
        <is>
          <t>Butcher et al. 2025, bioRxiv (RFdiffusion3, preprint)</t>
        </is>
      </c>
      <c r="E268" s="11" t="inlineStr"/>
    </row>
    <row r="269">
      <c r="A269" s="11" t="n">
        <v>265</v>
      </c>
      <c r="B269" s="15" t="inlineStr">
        <is>
          <t>Part II - The Method Atlas</t>
        </is>
      </c>
      <c r="C269" s="10" t="inlineStr">
        <is>
          <t>R.2 Backbone generation</t>
        </is>
      </c>
      <c r="D269" s="10" t="inlineStr">
        <is>
          <t>Ingraham et al. 2023, Nature 623:1070 (Chroma)</t>
        </is>
      </c>
      <c r="E269" s="11" t="inlineStr"/>
    </row>
    <row r="270">
      <c r="A270" s="11" t="n">
        <v>266</v>
      </c>
      <c r="B270" s="15" t="inlineStr">
        <is>
          <t>Part II - The Method Atlas</t>
        </is>
      </c>
      <c r="C270" s="10" t="inlineStr">
        <is>
          <t>R.2 Backbone generation</t>
        </is>
      </c>
      <c r="D270" s="10" t="inlineStr">
        <is>
          <t>Yim et al. 2023, ICML (FrameDiff)</t>
        </is>
      </c>
      <c r="E270" s="11" t="inlineStr"/>
    </row>
    <row r="271">
      <c r="A271" s="11" t="n">
        <v>267</v>
      </c>
      <c r="B271" s="15" t="inlineStr">
        <is>
          <t>Part II - The Method Atlas</t>
        </is>
      </c>
      <c r="C271" s="10" t="inlineStr">
        <is>
          <t>R.2 Backbone generation</t>
        </is>
      </c>
      <c r="D271" s="10" t="inlineStr">
        <is>
          <t>Bose et al. 2024, ICLR (FoldFlow)</t>
        </is>
      </c>
      <c r="E271" s="11" t="inlineStr"/>
    </row>
    <row r="272">
      <c r="A272" s="11" t="n">
        <v>268</v>
      </c>
      <c r="B272" s="15" t="inlineStr">
        <is>
          <t>Part II - The Method Atlas</t>
        </is>
      </c>
      <c r="C272" s="10" t="inlineStr">
        <is>
          <t>R.2 Backbone generation</t>
        </is>
      </c>
      <c r="D272" s="10" t="inlineStr">
        <is>
          <t>Lin &amp; AlQuraishi 2023, ICML; Lin et al. 2024, arXiv (Genie)</t>
        </is>
      </c>
      <c r="E272" s="11" t="inlineStr"/>
    </row>
    <row r="273">
      <c r="A273" s="11" t="n">
        <v>269</v>
      </c>
      <c r="B273" s="15" t="inlineStr">
        <is>
          <t>Part II - The Method Atlas</t>
        </is>
      </c>
      <c r="C273" s="10" t="inlineStr">
        <is>
          <t>R.2 Backbone generation</t>
        </is>
      </c>
      <c r="D273" s="10" t="inlineStr">
        <is>
          <t>Trippe et al. 2023, ICLR (SMCDiff)</t>
        </is>
      </c>
      <c r="E273" s="11" t="inlineStr"/>
    </row>
    <row r="274">
      <c r="A274" s="11" t="n">
        <v>270</v>
      </c>
      <c r="B274" s="15" t="inlineStr">
        <is>
          <t>Part II - The Method Atlas</t>
        </is>
      </c>
      <c r="C274" s="10" t="inlineStr">
        <is>
          <t>R.2 Backbone generation</t>
        </is>
      </c>
      <c r="D274" s="10" t="inlineStr">
        <is>
          <t>Chu et al. 2024, PNAS 121:e2311500121 (Protpardelle)</t>
        </is>
      </c>
      <c r="E274" s="11" t="inlineStr"/>
    </row>
    <row r="275">
      <c r="A275" s="11" t="n">
        <v>271</v>
      </c>
      <c r="B275" s="15" t="inlineStr">
        <is>
          <t>Part II - The Method Atlas</t>
        </is>
      </c>
      <c r="C275" s="10" t="inlineStr">
        <is>
          <t>R.2 Backbone generation</t>
        </is>
      </c>
      <c r="D275" s="10" t="inlineStr">
        <is>
          <t>Lisanza et al. 2025, Nat Biotechnol 43:1288</t>
        </is>
      </c>
      <c r="E275" s="11" t="inlineStr"/>
    </row>
    <row r="276">
      <c r="A276" s="11" t="n">
        <v>272</v>
      </c>
      <c r="B276" s="15" t="inlineStr">
        <is>
          <t>Part II - The Method Atlas</t>
        </is>
      </c>
      <c r="C276" s="10" t="inlineStr">
        <is>
          <t>R.2 Backbone generation</t>
        </is>
      </c>
      <c r="D276" s="10" t="inlineStr">
        <is>
          <t>Campbell et al. 2024, ICML (Multiflow)</t>
        </is>
      </c>
      <c r="E276" s="11" t="inlineStr"/>
    </row>
    <row r="277">
      <c r="A277" s="11" t="n">
        <v>273</v>
      </c>
      <c r="B277" s="15" t="inlineStr">
        <is>
          <t>Part II - The Method Atlas</t>
        </is>
      </c>
      <c r="C277" s="10" t="inlineStr">
        <is>
          <t>R.2 Backbone generation</t>
        </is>
      </c>
      <c r="D277" s="10" t="inlineStr">
        <is>
          <t>Geffner et al. 2025, arXiv (La-Proteina)</t>
        </is>
      </c>
      <c r="E277" s="11" t="inlineStr"/>
    </row>
    <row r="278">
      <c r="A278" s="11" t="n">
        <v>274</v>
      </c>
      <c r="B278" s="15" t="inlineStr">
        <is>
          <t>Part II - The Method Atlas</t>
        </is>
      </c>
      <c r="C278" s="10" t="inlineStr">
        <is>
          <t>R.2 Backbone generation</t>
        </is>
      </c>
      <c r="D278" s="10" t="inlineStr">
        <is>
          <t>Fallas et al. 2017, Nat Chem 9:353</t>
        </is>
      </c>
      <c r="E278" s="11" t="inlineStr"/>
    </row>
    <row r="279">
      <c r="A279" s="11" t="n">
        <v>275</v>
      </c>
      <c r="B279" s="15" t="inlineStr">
        <is>
          <t>Part II - The Method Atlas</t>
        </is>
      </c>
      <c r="C279" s="10" t="inlineStr">
        <is>
          <t>R.2 Backbone generation</t>
        </is>
      </c>
      <c r="D279" s="10" t="inlineStr">
        <is>
          <t>Bale et al. 2016, Science 353:389; Walls et al. 2020, Cell 183:1367</t>
        </is>
      </c>
      <c r="E279" s="11" t="inlineStr"/>
    </row>
    <row r="280">
      <c r="A280" s="11" t="n">
        <v>276</v>
      </c>
      <c r="B280" s="15" t="inlineStr">
        <is>
          <t>Part II - The Method Atlas</t>
        </is>
      </c>
      <c r="C280" s="10" t="inlineStr">
        <is>
          <t>R.3 Hallucination and inverting predictors</t>
        </is>
      </c>
      <c r="D280" s="10" t="inlineStr">
        <is>
          <t>Anishchenko et al. 2021, Nature 600:547 (hallucination)</t>
        </is>
      </c>
      <c r="E280" s="11" t="inlineStr"/>
    </row>
    <row r="281">
      <c r="A281" s="11" t="n">
        <v>277</v>
      </c>
      <c r="B281" s="15" t="inlineStr">
        <is>
          <t>Part II - The Method Atlas</t>
        </is>
      </c>
      <c r="C281" s="10" t="inlineStr">
        <is>
          <t>R.3 Hallucination and inverting predictors</t>
        </is>
      </c>
      <c r="D281" s="10" t="inlineStr">
        <is>
          <t>Wang et al. 2022, Science 377:387 (motif scaffolding - note Wang is first author, not Tischer)</t>
        </is>
      </c>
      <c r="E281" s="11" t="inlineStr"/>
    </row>
    <row r="282">
      <c r="A282" s="11" t="n">
        <v>278</v>
      </c>
      <c r="B282" s="15" t="inlineStr">
        <is>
          <t>Part II - The Method Atlas</t>
        </is>
      </c>
      <c r="C282" s="10" t="inlineStr">
        <is>
          <t>R.3 Hallucination and inverting predictors</t>
        </is>
      </c>
      <c r="D282" s="10" t="inlineStr">
        <is>
          <t>Pacesa et al. 2025, Nature 646:483 (BindCraft)</t>
        </is>
      </c>
      <c r="E282" s="11" t="inlineStr"/>
    </row>
    <row r="283">
      <c r="A283" s="11" t="n">
        <v>279</v>
      </c>
      <c r="B283" s="15" t="inlineStr">
        <is>
          <t>Part II - The Method Atlas</t>
        </is>
      </c>
      <c r="C283" s="10" t="inlineStr">
        <is>
          <t>R.3 Hallucination and inverting predictors</t>
        </is>
      </c>
      <c r="D283" s="10" t="inlineStr">
        <is>
          <t>Cho et al. 2025, bioRxiv (BoltzDesign1, preprint)</t>
        </is>
      </c>
      <c r="E283" s="11" t="inlineStr"/>
    </row>
    <row r="284">
      <c r="A284" s="11" t="n">
        <v>280</v>
      </c>
      <c r="B284" s="15" t="inlineStr">
        <is>
          <t>Part II - The Method Atlas</t>
        </is>
      </c>
      <c r="C284" s="10" t="inlineStr">
        <is>
          <t>R.3 Hallucination and inverting predictors</t>
        </is>
      </c>
      <c r="D284" s="10" t="inlineStr">
        <is>
          <t>Goverde et al. 2023, Protein Sci 32:e4653</t>
        </is>
      </c>
      <c r="E284" s="11" t="inlineStr"/>
    </row>
    <row r="285">
      <c r="A285" s="11" t="n">
        <v>281</v>
      </c>
      <c r="B285" s="15" t="inlineStr">
        <is>
          <t>Part II - The Method Atlas</t>
        </is>
      </c>
      <c r="C285" s="10" t="inlineStr">
        <is>
          <t>The three corrective talks</t>
        </is>
      </c>
      <c r="D285" s="10" t="inlineStr">
        <is>
          <t>Chevalier et al. 2017, Nature 550:74</t>
        </is>
      </c>
      <c r="E285" s="11" t="inlineStr"/>
    </row>
    <row r="286">
      <c r="A286" s="11" t="n">
        <v>282</v>
      </c>
      <c r="B286" s="15" t="inlineStr">
        <is>
          <t>Part II - The Method Atlas</t>
        </is>
      </c>
      <c r="C286" s="10" t="inlineStr">
        <is>
          <t>The three corrective talks</t>
        </is>
      </c>
      <c r="D286" s="10" t="inlineStr">
        <is>
          <t>Cao et al. 2022, Nature 605:551</t>
        </is>
      </c>
      <c r="E286" s="11" t="inlineStr"/>
    </row>
    <row r="287">
      <c r="A287" s="11" t="n">
        <v>283</v>
      </c>
      <c r="B287" s="15" t="inlineStr">
        <is>
          <t>Part II - The Method Atlas</t>
        </is>
      </c>
      <c r="C287" s="10" t="inlineStr">
        <is>
          <t>The three corrective talks</t>
        </is>
      </c>
      <c r="D287" s="10" t="inlineStr">
        <is>
          <t>Bennett et al. 2023, Nat Commun 14:2625</t>
        </is>
      </c>
      <c r="E287" s="11" t="inlineStr"/>
    </row>
    <row r="288">
      <c r="A288" s="11" t="n">
        <v>284</v>
      </c>
      <c r="B288" s="15" t="inlineStr">
        <is>
          <t>Part II - The Method Atlas</t>
        </is>
      </c>
      <c r="C288" s="10" t="inlineStr">
        <is>
          <t>The three corrective talks</t>
        </is>
      </c>
      <c r="D288" s="10" t="inlineStr">
        <is>
          <t>Muratspahić et al. 2026, Nature 656:1044</t>
        </is>
      </c>
      <c r="E288" s="11" t="inlineStr"/>
    </row>
    <row r="289">
      <c r="A289" s="11" t="n">
        <v>285</v>
      </c>
      <c r="B289" s="15" t="inlineStr">
        <is>
          <t>Part II - The Method Atlas</t>
        </is>
      </c>
      <c r="C289" s="10" t="inlineStr">
        <is>
          <t>The three corrective talks</t>
        </is>
      </c>
      <c r="D289" s="10" t="inlineStr">
        <is>
          <t>Vázquez Torres et al. 2024, Nature 626:435</t>
        </is>
      </c>
      <c r="E289" s="11" t="inlineStr"/>
    </row>
    <row r="290">
      <c r="A290" s="11" t="n">
        <v>286</v>
      </c>
      <c r="B290" s="15" t="inlineStr">
        <is>
          <t>Part II - The Method Atlas</t>
        </is>
      </c>
      <c r="C290" s="10" t="inlineStr">
        <is>
          <t>The three corrective talks</t>
        </is>
      </c>
      <c r="D290" s="10" t="inlineStr">
        <is>
          <t>Cotet et al. 2025, bioRxiv (Adaptyv EGFR competition)</t>
        </is>
      </c>
      <c r="E290" s="11" t="inlineStr"/>
    </row>
    <row r="291">
      <c r="A291" s="11" t="n">
        <v>287</v>
      </c>
      <c r="B291" s="15" t="inlineStr">
        <is>
          <t>Part II - The Method Atlas</t>
        </is>
      </c>
      <c r="C291" s="10" t="inlineStr">
        <is>
          <t>R.5 Enzyme design - the field's most honest corner</t>
        </is>
      </c>
      <c r="D291" s="10" t="inlineStr">
        <is>
          <t>Lauko, Pellock et al. 2025, Science 388:eadu2454 [landmark]</t>
        </is>
      </c>
      <c r="E291" s="11" t="inlineStr"/>
    </row>
    <row r="292">
      <c r="A292" s="11" t="n">
        <v>288</v>
      </c>
      <c r="B292" s="15" t="inlineStr">
        <is>
          <t>Part II - The Method Atlas</t>
        </is>
      </c>
      <c r="C292" s="10" t="inlineStr">
        <is>
          <t>R.5 Enzyme design - the field's most honest corner</t>
        </is>
      </c>
      <c r="D292" s="10" t="inlineStr">
        <is>
          <t>Ahern et al. 2026, Nat Methods 23:96</t>
        </is>
      </c>
      <c r="E292" s="11" t="inlineStr"/>
    </row>
    <row r="293">
      <c r="A293" s="11" t="n">
        <v>289</v>
      </c>
      <c r="B293" s="15" t="inlineStr">
        <is>
          <t>Part II - The Method Atlas</t>
        </is>
      </c>
      <c r="C293" s="10" t="inlineStr">
        <is>
          <t>R.5 Enzyme design - the field's most honest corner</t>
        </is>
      </c>
      <c r="D293" s="10" t="inlineStr">
        <is>
          <t>Röthlisberger et al. 2008, Nature 453:190 (Kemp eliminase)</t>
        </is>
      </c>
      <c r="E293" s="11" t="inlineStr"/>
    </row>
    <row r="294">
      <c r="A294" s="11" t="n">
        <v>290</v>
      </c>
      <c r="B294" s="15" t="inlineStr">
        <is>
          <t>Part II - The Method Atlas</t>
        </is>
      </c>
      <c r="C294" s="10" t="inlineStr">
        <is>
          <t>R.5 Enzyme design - the field's most honest corner</t>
        </is>
      </c>
      <c r="D294" s="10" t="inlineStr">
        <is>
          <t>Jiang et al. 2008, Science 319:1387 (retro-aldol)</t>
        </is>
      </c>
      <c r="E294" s="11" t="inlineStr"/>
    </row>
    <row r="295">
      <c r="A295" s="11" t="n">
        <v>291</v>
      </c>
      <c r="B295" s="15" t="inlineStr">
        <is>
          <t>Part II - The Method Atlas</t>
        </is>
      </c>
      <c r="C295" s="10" t="inlineStr">
        <is>
          <t>R.5 Enzyme design - the field's most honest corner</t>
        </is>
      </c>
      <c r="D295" s="10" t="inlineStr">
        <is>
          <t>Siegel et al. 2010, Science 329:309 (Diels-Alderase)</t>
        </is>
      </c>
      <c r="E295" s="11" t="inlineStr"/>
    </row>
    <row r="296">
      <c r="A296" s="11" t="n">
        <v>292</v>
      </c>
      <c r="B296" s="15" t="inlineStr">
        <is>
          <t>Part II - The Method Atlas</t>
        </is>
      </c>
      <c r="C296" s="10" t="inlineStr">
        <is>
          <t>R.5 Enzyme design - the field's most honest corner</t>
        </is>
      </c>
      <c r="D296" s="10" t="inlineStr">
        <is>
          <t>Goldenzweig et al. 2016, Mol Cell 63:337 (PROSS)</t>
        </is>
      </c>
      <c r="E296" s="11" t="inlineStr"/>
    </row>
    <row r="297">
      <c r="A297" s="11" t="n">
        <v>293</v>
      </c>
      <c r="B297" s="15" t="inlineStr">
        <is>
          <t>Part II - The Method Atlas</t>
        </is>
      </c>
      <c r="C297" s="10" t="inlineStr">
        <is>
          <t>R.5 Enzyme design - the field's most honest corner</t>
        </is>
      </c>
      <c r="D297" s="10" t="inlineStr">
        <is>
          <t>Khersonsky et al. 2018, Mol Cell 72:178 (FuncLib)</t>
        </is>
      </c>
      <c r="E297" s="11" t="inlineStr"/>
    </row>
    <row r="298">
      <c r="A298" s="11" t="n">
        <v>294</v>
      </c>
      <c r="B298" s="15" t="inlineStr">
        <is>
          <t>Part II - The Method Atlas</t>
        </is>
      </c>
      <c r="C298" s="10" t="inlineStr">
        <is>
          <t>R.5 Enzyme design - the field's most honest corner</t>
        </is>
      </c>
      <c r="D298" s="10" t="inlineStr">
        <is>
          <t>El Nesr et al. 2026, bioRxiv; Kim et al. 2026, Nature 649:246</t>
        </is>
      </c>
      <c r="E298" s="11" t="inlineStr"/>
    </row>
    <row r="299">
      <c r="A299" s="11" t="n">
        <v>295</v>
      </c>
      <c r="B299" s="15" t="inlineStr">
        <is>
          <t>Part II - The Method Atlas</t>
        </is>
      </c>
      <c r="C299" s="10" t="inlineStr">
        <is>
          <t>R.6 Peptides and macrocycles</t>
        </is>
      </c>
      <c r="D299" s="10" t="inlineStr">
        <is>
          <t>Rettie et al. 2025, Nat Commun 16:4730 (AfCycDesign)</t>
        </is>
      </c>
      <c r="E299" s="11" t="inlineStr"/>
    </row>
    <row r="300">
      <c r="A300" s="11" t="n">
        <v>296</v>
      </c>
      <c r="B300" s="15" t="inlineStr">
        <is>
          <t>Part II - The Method Atlas</t>
        </is>
      </c>
      <c r="C300" s="10" t="inlineStr">
        <is>
          <t>R.6 Peptides and macrocycles</t>
        </is>
      </c>
      <c r="D300" s="10" t="inlineStr">
        <is>
          <t>Rettie et al. 2025, Nat Chem Biol 21:1948 (RFpeptides)</t>
        </is>
      </c>
      <c r="E300" s="11" t="inlineStr"/>
    </row>
    <row r="301">
      <c r="A301" s="11" t="n">
        <v>297</v>
      </c>
      <c r="B301" s="15" t="inlineStr">
        <is>
          <t>Part II - The Method Atlas</t>
        </is>
      </c>
      <c r="C301" s="10" t="inlineStr">
        <is>
          <t>R.6 Peptides and macrocycles</t>
        </is>
      </c>
      <c r="D301" s="10" t="inlineStr">
        <is>
          <t>Bhardwaj et al. 2016, Nature 538:329</t>
        </is>
      </c>
      <c r="E301" s="11" t="inlineStr"/>
    </row>
    <row r="302">
      <c r="A302" s="11" t="n">
        <v>298</v>
      </c>
      <c r="B302" s="15" t="inlineStr">
        <is>
          <t>Part II - The Method Atlas</t>
        </is>
      </c>
      <c r="C302" s="10" t="inlineStr">
        <is>
          <t>R.6 Peptides and macrocycles</t>
        </is>
      </c>
      <c r="D302" s="10" t="inlineStr">
        <is>
          <t>Hosseinzadeh et al. 2017, Science 358:1461 (not 2018)</t>
        </is>
      </c>
      <c r="E302" s="11" t="inlineStr"/>
    </row>
    <row r="303">
      <c r="A303" s="11" t="n">
        <v>299</v>
      </c>
      <c r="B303" s="15" t="inlineStr">
        <is>
          <t>Part II - The Method Atlas</t>
        </is>
      </c>
      <c r="C303" s="10" t="inlineStr">
        <is>
          <t>R.6 Peptides and macrocycles</t>
        </is>
      </c>
      <c r="D303" s="10" t="inlineStr">
        <is>
          <t>Renfrew et al. 2012, PLoS ONE 7:e32637 (non-canonical amino acids in Rosetta)</t>
        </is>
      </c>
      <c r="E303" s="11" t="inlineStr"/>
    </row>
    <row r="304">
      <c r="A304" s="11" t="n">
        <v>300</v>
      </c>
      <c r="B304" s="15" t="inlineStr">
        <is>
          <t>Part II - The Method Atlas</t>
        </is>
      </c>
      <c r="C304" s="10" t="inlineStr">
        <is>
          <t>R.6 Peptides and macrocycles</t>
        </is>
      </c>
      <c r="D304" s="10" t="inlineStr">
        <is>
          <t>Mandal et al. 2012, PNAS 109:14779 (D-protein, mirror-image)</t>
        </is>
      </c>
      <c r="E304" s="11" t="inlineStr"/>
    </row>
    <row r="305">
      <c r="A305" s="11" t="n">
        <v>301</v>
      </c>
      <c r="B305" s="15" t="inlineStr">
        <is>
          <t>Part II - The Method Atlas</t>
        </is>
      </c>
      <c r="C305" s="10" t="inlineStr">
        <is>
          <t>R.7 Antibodies and TCRs</t>
        </is>
      </c>
      <c r="D305" s="10" t="inlineStr">
        <is>
          <t>Mille-Fragoso et al. 2026, Nat Biotechnol (Germinal)</t>
        </is>
      </c>
      <c r="E305" s="11" t="inlineStr"/>
    </row>
    <row r="306">
      <c r="A306" s="11" t="n">
        <v>302</v>
      </c>
      <c r="B306" s="15" t="inlineStr">
        <is>
          <t>Part II - The Method Atlas</t>
        </is>
      </c>
      <c r="C306" s="10" t="inlineStr">
        <is>
          <t>R.7 Antibodies and TCRs</t>
        </is>
      </c>
      <c r="D306" s="10" t="inlineStr">
        <is>
          <t>Bennett et al. 2026, Nature 649:183 (RFantibody)</t>
        </is>
      </c>
      <c r="E306" s="11" t="inlineStr"/>
    </row>
    <row r="307">
      <c r="A307" s="11" t="n">
        <v>303</v>
      </c>
      <c r="B307" s="15" t="inlineStr">
        <is>
          <t>Part II - The Method Atlas</t>
        </is>
      </c>
      <c r="C307" s="10" t="inlineStr">
        <is>
          <t>R.7 Antibodies and TCRs</t>
        </is>
      </c>
      <c r="D307" s="10" t="inlineStr">
        <is>
          <t>Ruffolo et al. 2023, Nat Commun 14:2389 (IgFold)</t>
        </is>
      </c>
      <c r="E307" s="11" t="inlineStr"/>
    </row>
    <row r="308">
      <c r="A308" s="11" t="n">
        <v>304</v>
      </c>
      <c r="B308" s="15" t="inlineStr">
        <is>
          <t>Part II - The Method Atlas</t>
        </is>
      </c>
      <c r="C308" s="10" t="inlineStr">
        <is>
          <t>R.7 Antibodies and TCRs</t>
        </is>
      </c>
      <c r="D308" s="10" t="inlineStr">
        <is>
          <t>Shuai et al. 2023, Cell Systems 14:979 (IgLM)</t>
        </is>
      </c>
      <c r="E308" s="11" t="inlineStr"/>
    </row>
    <row r="309">
      <c r="A309" s="11" t="n">
        <v>305</v>
      </c>
      <c r="B309" s="15" t="inlineStr">
        <is>
          <t>Part II - The Method Atlas</t>
        </is>
      </c>
      <c r="C309" s="10" t="inlineStr">
        <is>
          <t>R.7 Antibodies and TCRs</t>
        </is>
      </c>
      <c r="D309" s="10" t="inlineStr">
        <is>
          <t>Abanades et al. 2023, Commun Biol 6:575 (ImmuneBuilder)</t>
        </is>
      </c>
      <c r="E309" s="11" t="inlineStr"/>
    </row>
    <row r="310">
      <c r="A310" s="11" t="n">
        <v>306</v>
      </c>
      <c r="B310" s="15" t="inlineStr">
        <is>
          <t>Part II - The Method Atlas</t>
        </is>
      </c>
      <c r="C310" s="10" t="inlineStr">
        <is>
          <t>R.7 Antibodies and TCRs</t>
        </is>
      </c>
      <c r="D310" s="10" t="inlineStr">
        <is>
          <t>Bradley 2023, eLife 12:e82813 (TCRdock)</t>
        </is>
      </c>
      <c r="E310" s="11" t="inlineStr"/>
    </row>
    <row r="311">
      <c r="A311" s="11" t="n">
        <v>307</v>
      </c>
      <c r="B311" s="15" t="inlineStr">
        <is>
          <t>Part II - The Method Atlas</t>
        </is>
      </c>
      <c r="C311" s="10" t="inlineStr">
        <is>
          <t>R.7 Antibodies and TCRs</t>
        </is>
      </c>
      <c r="D311" s="10" t="inlineStr">
        <is>
          <t>Yin et al. 2023, NAR 51:W569 (TCRmodel2)</t>
        </is>
      </c>
      <c r="E311" s="11" t="inlineStr"/>
    </row>
    <row r="312">
      <c r="A312" s="11" t="n">
        <v>308</v>
      </c>
      <c r="B312" s="15" t="inlineStr">
        <is>
          <t>Part II - The Method Atlas</t>
        </is>
      </c>
      <c r="C312" s="10" t="inlineStr">
        <is>
          <t>R.7 Antibodies and TCRs</t>
        </is>
      </c>
      <c r="D312" s="10" t="inlineStr">
        <is>
          <t>Olsen et al. 2022, Bioinform Adv 2:vbac046 (AbLang)</t>
        </is>
      </c>
      <c r="E312" s="11" t="inlineStr"/>
    </row>
    <row r="313">
      <c r="A313" s="11" t="n">
        <v>309</v>
      </c>
      <c r="B313" s="15" t="inlineStr">
        <is>
          <t>Part II - The Method Atlas</t>
        </is>
      </c>
      <c r="C313" s="10" t="inlineStr">
        <is>
          <t>R.8 Function, dynamics and the hard design problems</t>
        </is>
      </c>
      <c r="D313" s="10" t="inlineStr">
        <is>
          <t>Praetorius et al. 2023, Science 381:754 (two-state hinges)</t>
        </is>
      </c>
      <c r="E313" s="11" t="inlineStr"/>
    </row>
    <row r="314">
      <c r="A314" s="11" t="n">
        <v>310</v>
      </c>
      <c r="B314" s="15" t="inlineStr">
        <is>
          <t>Part II - The Method Atlas</t>
        </is>
      </c>
      <c r="C314" s="10" t="inlineStr">
        <is>
          <t>R.8 Function, dynamics and the hard design problems</t>
        </is>
      </c>
      <c r="D314" s="10" t="inlineStr">
        <is>
          <t>Boyken et al. 2019, Science 364:658</t>
        </is>
      </c>
      <c r="E314" s="11" t="inlineStr"/>
    </row>
    <row r="315">
      <c r="A315" s="11" t="n">
        <v>311</v>
      </c>
      <c r="B315" s="15" t="inlineStr">
        <is>
          <t>Part II - The Method Atlas</t>
        </is>
      </c>
      <c r="C315" s="10" t="inlineStr">
        <is>
          <t>R.8 Function, dynamics and the hard design problems</t>
        </is>
      </c>
      <c r="D315" s="10" t="inlineStr">
        <is>
          <t>Langan et al. 2019, Nature 572:205 (LOCKR)</t>
        </is>
      </c>
      <c r="E315" s="11" t="inlineStr"/>
    </row>
    <row r="316">
      <c r="A316" s="11" t="n">
        <v>312</v>
      </c>
      <c r="B316" s="15" t="inlineStr">
        <is>
          <t>Part II - The Method Atlas</t>
        </is>
      </c>
      <c r="C316" s="10" t="inlineStr">
        <is>
          <t>R.8 Function, dynamics and the hard design problems</t>
        </is>
      </c>
      <c r="D316" s="10" t="inlineStr">
        <is>
          <t>Glasgow et al. 2019, Science 366:1024 (Kortemme biosensor)</t>
        </is>
      </c>
      <c r="E316" s="11" t="inlineStr"/>
    </row>
    <row r="317">
      <c r="A317" s="11" t="n">
        <v>313</v>
      </c>
      <c r="B317" s="15" t="inlineStr">
        <is>
          <t>Part II - The Method Atlas</t>
        </is>
      </c>
      <c r="C317" s="10" t="inlineStr">
        <is>
          <t>R.8 Function, dynamics and the hard design problems</t>
        </is>
      </c>
      <c r="D317" s="10" t="inlineStr">
        <is>
          <t>Yeh et al. 2023, Nature 614:774 (luciferase)</t>
        </is>
      </c>
      <c r="E317" s="11" t="inlineStr"/>
    </row>
    <row r="318">
      <c r="A318" s="11" t="n">
        <v>314</v>
      </c>
      <c r="B318" s="15" t="inlineStr">
        <is>
          <t>Part II - The Method Atlas</t>
        </is>
      </c>
      <c r="C318" s="10" t="inlineStr">
        <is>
          <t>R.8 Function, dynamics and the hard design problems</t>
        </is>
      </c>
      <c r="D318" s="10" t="inlineStr">
        <is>
          <t>Polizzi &amp; DeGrado 2020, Science 369:1227</t>
        </is>
      </c>
      <c r="E318" s="11" t="inlineStr"/>
    </row>
    <row r="319">
      <c r="A319" s="11" t="n">
        <v>315</v>
      </c>
      <c r="B319" s="15" t="inlineStr">
        <is>
          <t>Part II - The Method Atlas</t>
        </is>
      </c>
      <c r="C319" s="10" t="inlineStr">
        <is>
          <t>R.8 Function, dynamics and the hard design problems</t>
        </is>
      </c>
      <c r="D319" s="10" t="inlineStr">
        <is>
          <t>An et al. 2024, Science 385:276</t>
        </is>
      </c>
      <c r="E319" s="11" t="inlineStr"/>
    </row>
    <row r="320">
      <c r="A320" s="11" t="n">
        <v>316</v>
      </c>
      <c r="B320" s="15" t="inlineStr">
        <is>
          <t>Part II - The Method Atlas</t>
        </is>
      </c>
      <c r="C320" s="10" t="inlineStr">
        <is>
          <t>R.8 Function, dynamics and the hard design problems</t>
        </is>
      </c>
      <c r="D320" s="10" t="inlineStr">
        <is>
          <t>Xu et al. 2020, Nature 585:129 (transmembrane pores)</t>
        </is>
      </c>
      <c r="E320" s="11" t="inlineStr"/>
    </row>
    <row r="321">
      <c r="A321" s="11" t="n">
        <v>317</v>
      </c>
      <c r="B321" s="15" t="inlineStr">
        <is>
          <t>Part II - The Method Atlas</t>
        </is>
      </c>
      <c r="C321" s="10" t="inlineStr">
        <is>
          <t>R.8 Function, dynamics and the hard design problems</t>
        </is>
      </c>
      <c r="D321" s="10" t="inlineStr">
        <is>
          <t>Lu et al. 2018, Science 359:1042 (multipass membrane proteins)</t>
        </is>
      </c>
      <c r="E321" s="11" t="inlineStr"/>
    </row>
    <row r="322">
      <c r="A322" s="11" t="n">
        <v>318</v>
      </c>
      <c r="B322" s="15" t="inlineStr">
        <is>
          <t>Part II - The Method Atlas</t>
        </is>
      </c>
      <c r="C322" s="10" t="inlineStr">
        <is>
          <t>R.8 Function, dynamics and the hard design problems</t>
        </is>
      </c>
      <c r="D322" s="10" t="inlineStr">
        <is>
          <t>Ambroggio &amp; Kuhlman 2006, JACS 128:1154</t>
        </is>
      </c>
      <c r="E322" s="11" t="inlineStr"/>
    </row>
    <row r="323">
      <c r="A323" s="11" t="n">
        <v>319</v>
      </c>
      <c r="B323" s="15" t="inlineStr">
        <is>
          <t>Part II - The Method Atlas</t>
        </is>
      </c>
      <c r="C323" s="10" t="inlineStr">
        <is>
          <t>R.8 Function, dynamics and the hard design problems</t>
        </is>
      </c>
      <c r="D323" s="10" t="inlineStr">
        <is>
          <t>Leaver-Fay et al. 2011, PLoS ONE 6:e20937 (multistate)</t>
        </is>
      </c>
      <c r="E323" s="11" t="inlineStr"/>
    </row>
    <row r="324">
      <c r="A324" s="11" t="n">
        <v>320</v>
      </c>
      <c r="B324" s="15" t="inlineStr">
        <is>
          <t>Part II - The Method Atlas</t>
        </is>
      </c>
      <c r="C324" s="10" t="inlineStr">
        <is>
          <t>R.9 Protein-nucleic acid and co-design</t>
        </is>
      </c>
      <c r="D324" s="10" t="inlineStr">
        <is>
          <t>Glasscock et al. 2025, Nat Struct Mol Biol 32:2252 (DNA-binding design - NSMB, not Nature)</t>
        </is>
      </c>
      <c r="E324" s="11" t="inlineStr"/>
    </row>
    <row r="325">
      <c r="A325" s="11" t="n">
        <v>321</v>
      </c>
      <c r="B325" s="15" t="inlineStr">
        <is>
          <t>Part II - The Method Atlas</t>
        </is>
      </c>
      <c r="C325" s="10" t="inlineStr">
        <is>
          <t>R.9 Protein-nucleic acid and co-design</t>
        </is>
      </c>
      <c r="D325" s="10" t="inlineStr">
        <is>
          <t>Favor et al. 2025, bioRxiv (RNA and nucleoprotein design, preprint)</t>
        </is>
      </c>
      <c r="E325" s="11" t="inlineStr"/>
    </row>
    <row r="326">
      <c r="A326" s="11" t="n">
        <v>322</v>
      </c>
      <c r="B326" s="15" t="inlineStr">
        <is>
          <t>Part II - The Method Atlas</t>
        </is>
      </c>
      <c r="C326" s="10" t="inlineStr">
        <is>
          <t>S.1 The blind assessments</t>
        </is>
      </c>
      <c r="D326" s="10" t="inlineStr">
        <is>
          <t>Moult et al. 1995, Proteins 23:ii (CASP's founding)</t>
        </is>
      </c>
      <c r="E326" s="11" t="inlineStr"/>
    </row>
    <row r="327">
      <c r="A327" s="11" t="n">
        <v>323</v>
      </c>
      <c r="B327" s="15" t="inlineStr">
        <is>
          <t>Part II - The Method Atlas</t>
        </is>
      </c>
      <c r="C327" s="10" t="inlineStr">
        <is>
          <t>S.1 The blind assessments</t>
        </is>
      </c>
      <c r="D327" s="10" t="inlineStr">
        <is>
          <t>Kryshtafovych et al. 2021, Proteins 89:1607 (CASP14 assessment)</t>
        </is>
      </c>
      <c r="E327" s="11" t="inlineStr"/>
    </row>
    <row r="328">
      <c r="A328" s="11" t="n">
        <v>324</v>
      </c>
      <c r="B328" s="15" t="inlineStr">
        <is>
          <t>Part II - The Method Atlas</t>
        </is>
      </c>
      <c r="C328" s="10" t="inlineStr">
        <is>
          <t>S.1 The blind assessments</t>
        </is>
      </c>
      <c r="D328" s="10" t="inlineStr">
        <is>
          <t>Buttenschoen et al. 2024, Chem Sci 15:3130 (PoseBusters)</t>
        </is>
      </c>
      <c r="E328" s="11" t="inlineStr"/>
    </row>
    <row r="329">
      <c r="A329" s="11" t="n">
        <v>325</v>
      </c>
      <c r="B329" s="15" t="inlineStr">
        <is>
          <t>Part II - The Method Atlas</t>
        </is>
      </c>
      <c r="C329" s="10" t="inlineStr">
        <is>
          <t>S.1 The blind assessments</t>
        </is>
      </c>
      <c r="D329" s="10" t="inlineStr">
        <is>
          <t>Notin et al. 2023, NeurIPS (ProteinGym)</t>
        </is>
      </c>
      <c r="E329" s="11" t="inlineStr"/>
    </row>
    <row r="330">
      <c r="A330" s="11" t="n">
        <v>326</v>
      </c>
      <c r="B330" s="15" t="inlineStr">
        <is>
          <t>Part II - The Method Atlas</t>
        </is>
      </c>
      <c r="C330" s="10" t="inlineStr">
        <is>
          <t>S.1 The blind assessments</t>
        </is>
      </c>
      <c r="D330" s="10" t="inlineStr">
        <is>
          <t>Radivojac et al. 2013, Nat Methods 10:221 (CAFA)</t>
        </is>
      </c>
      <c r="E330" s="11" t="inlineStr"/>
    </row>
    <row r="331">
      <c r="A331" s="11" t="n">
        <v>327</v>
      </c>
      <c r="B331" s="15" t="inlineStr">
        <is>
          <t>Part II - The Method Atlas</t>
        </is>
      </c>
      <c r="C331" s="10" t="inlineStr">
        <is>
          <t>S.1 The blind assessments</t>
        </is>
      </c>
      <c r="D331" s="10" t="inlineStr">
        <is>
          <t>Cotet et al. 2025, bioRxiv (Adaptyv EGFR)</t>
        </is>
      </c>
      <c r="E331" s="11" t="inlineStr"/>
    </row>
    <row r="332">
      <c r="A332" s="11" t="n">
        <v>328</v>
      </c>
      <c r="B332" s="15" t="inlineStr">
        <is>
          <t>Part II - The Method Atlas</t>
        </is>
      </c>
      <c r="C332" s="10" t="inlineStr">
        <is>
          <t>S.3 Statistics and experimental design</t>
        </is>
      </c>
      <c r="D332" s="10" t="inlineStr">
        <is>
          <t>Fannjiang et al. 2022, NeurIPS (conformal under feedback covariate shift)</t>
        </is>
      </c>
      <c r="E332" s="11" t="inlineStr"/>
    </row>
    <row r="333">
      <c r="A333" s="11" t="n">
        <v>329</v>
      </c>
      <c r="B333" s="15" t="inlineStr">
        <is>
          <t>Part II - The Method Atlas</t>
        </is>
      </c>
      <c r="C333" s="10" t="inlineStr">
        <is>
          <t>S.3 Statistics and experimental design</t>
        </is>
      </c>
      <c r="D333" s="10" t="inlineStr">
        <is>
          <t>Barber &amp; Candès 2015, Ann Stat 43:2055 (knockoffs)</t>
        </is>
      </c>
      <c r="E333" s="11" t="inlineStr"/>
    </row>
    <row r="334">
      <c r="A334" s="11" t="n">
        <v>330</v>
      </c>
      <c r="B334" s="15" t="inlineStr">
        <is>
          <t>Part II - The Method Atlas</t>
        </is>
      </c>
      <c r="C334" s="10" t="inlineStr">
        <is>
          <t>S.3 Statistics and experimental design</t>
        </is>
      </c>
      <c r="D334" s="10" t="inlineStr">
        <is>
          <t>Neyshabur et al. 2021 (on the importance of a proper baseline)</t>
        </is>
      </c>
      <c r="E334" s="11" t="inlineStr"/>
    </row>
    <row r="335">
      <c r="A335" s="11" t="n">
        <v>331</v>
      </c>
      <c r="B335" s="15" t="inlineStr">
        <is>
          <t>Part II - The Method Atlas</t>
        </is>
      </c>
      <c r="C335" s="10" t="inlineStr">
        <is>
          <t>S.3 Statistics and experimental design</t>
        </is>
      </c>
      <c r="D335" s="10" t="inlineStr">
        <is>
          <t>Kapoor &amp; Narayanan 2023, Patterns 4:100804 (leakage and the reproducibility crisis in ML-based science)</t>
        </is>
      </c>
      <c r="E335" s="11" t="inlineStr"/>
    </row>
    <row r="336">
      <c r="A336" s="11" t="n">
        <v>332</v>
      </c>
      <c r="B336" s="15" t="inlineStr">
        <is>
          <t>Part II - The Method Atlas</t>
        </is>
      </c>
      <c r="C336" s="10" t="inlineStr">
        <is>
          <t>T.1 Rhiju Das, in his own words</t>
        </is>
      </c>
      <c r="D336" s="10" t="inlineStr">
        <is>
          <t>He et al. 2024, bioRxiv (Ribonanza)</t>
        </is>
      </c>
      <c r="E336" s="11" t="inlineStr"/>
    </row>
    <row r="337">
      <c r="A337" s="11" t="n">
        <v>333</v>
      </c>
      <c r="B337" s="15" t="inlineStr">
        <is>
          <t>Part II - The Method Atlas</t>
        </is>
      </c>
      <c r="C337" s="10" t="inlineStr">
        <is>
          <t>T.1 Rhiju Das, in his own words</t>
        </is>
      </c>
      <c r="D337" s="10" t="inlineStr">
        <is>
          <t>Das et al. 2023, Proteins (CASP15 RNA)</t>
        </is>
      </c>
      <c r="E337" s="11" t="inlineStr"/>
    </row>
    <row r="338">
      <c r="A338" s="11" t="n">
        <v>334</v>
      </c>
      <c r="B338" s="15" t="inlineStr">
        <is>
          <t>Part II - The Method Atlas</t>
        </is>
      </c>
      <c r="C338" s="10" t="inlineStr">
        <is>
          <t>T.1 Rhiju Das, in his own words</t>
        </is>
      </c>
      <c r="D338" s="10" t="inlineStr">
        <is>
          <t>Lee et al. 2014, PNAS 111:2122 (Eterna)</t>
        </is>
      </c>
      <c r="E338" s="11" t="inlineStr"/>
    </row>
    <row r="339">
      <c r="A339" s="11" t="n">
        <v>335</v>
      </c>
      <c r="B339" s="15" t="inlineStr">
        <is>
          <t>Part II - The Method Atlas</t>
        </is>
      </c>
      <c r="C339" s="10" t="inlineStr">
        <is>
          <t>T.1 Rhiju Das, in his own words</t>
        </is>
      </c>
      <c r="D339" s="10" t="inlineStr">
        <is>
          <t>Wayment-Steele et al. 2022, Nat Methods 19:1234 (EternaFold)</t>
        </is>
      </c>
      <c r="E339" s="11" t="inlineStr"/>
    </row>
    <row r="340">
      <c r="A340" s="11" t="n">
        <v>336</v>
      </c>
      <c r="B340" s="15" t="inlineStr">
        <is>
          <t>Part II - The Method Atlas</t>
        </is>
      </c>
      <c r="C340" s="10" t="inlineStr">
        <is>
          <t>T.1 Rhiju Das, in his own words</t>
        </is>
      </c>
      <c r="D340" s="10" t="inlineStr">
        <is>
          <t>Wayment-Steele et al. 2021, NAR 49:10604 (mRNA stabilization)</t>
        </is>
      </c>
      <c r="E340" s="11" t="inlineStr"/>
    </row>
    <row r="341">
      <c r="A341" s="11" t="n">
        <v>337</v>
      </c>
      <c r="B341" s="15" t="inlineStr">
        <is>
          <t>Part II - The Method Atlas</t>
        </is>
      </c>
      <c r="C341" s="10" t="inlineStr">
        <is>
          <t>T.1 Rhiju Das, in his own words</t>
        </is>
      </c>
      <c r="D341" s="10" t="inlineStr">
        <is>
          <t>Kappel et al. 2020, Nat Methods 17:699 (Ribosolve)</t>
        </is>
      </c>
      <c r="E341" s="11" t="inlineStr"/>
    </row>
    <row r="342">
      <c r="A342" s="11" t="n">
        <v>338</v>
      </c>
      <c r="B342" s="15" t="inlineStr">
        <is>
          <t>Part II - The Method Atlas</t>
        </is>
      </c>
      <c r="C342" s="10" t="inlineStr">
        <is>
          <t>T.1 Rhiju Das, in his own words</t>
        </is>
      </c>
      <c r="D342" s="10" t="inlineStr">
        <is>
          <t>Watkins et al. 2018, Sci Adv 4:eaar5316 (StepWise Monte Carlo)</t>
        </is>
      </c>
      <c r="E342" s="11" t="inlineStr"/>
    </row>
    <row r="343">
      <c r="A343" s="11" t="n">
        <v>339</v>
      </c>
      <c r="B343" s="15" t="inlineStr">
        <is>
          <t>Part II - The Method Atlas</t>
        </is>
      </c>
      <c r="C343" s="10" t="inlineStr">
        <is>
          <t>T.2 Secondary structure prediction - the dynamic programming lineage</t>
        </is>
      </c>
      <c r="D343" s="10" t="inlineStr">
        <is>
          <t>Nussinov &amp; Jacobson 1980, PNAS 77:6309</t>
        </is>
      </c>
      <c r="E343" s="11" t="inlineStr"/>
    </row>
    <row r="344">
      <c r="A344" s="11" t="n">
        <v>340</v>
      </c>
      <c r="B344" s="15" t="inlineStr">
        <is>
          <t>Part II - The Method Atlas</t>
        </is>
      </c>
      <c r="C344" s="10" t="inlineStr">
        <is>
          <t>T.2 Secondary structure prediction - the dynamic programming lineage</t>
        </is>
      </c>
      <c r="D344" s="10" t="inlineStr">
        <is>
          <t>Zuker &amp; Stiegler 1981, NAR 9:133</t>
        </is>
      </c>
      <c r="E344" s="11" t="inlineStr"/>
    </row>
    <row r="345">
      <c r="A345" s="11" t="n">
        <v>341</v>
      </c>
      <c r="B345" s="15" t="inlineStr">
        <is>
          <t>Part II - The Method Atlas</t>
        </is>
      </c>
      <c r="C345" s="10" t="inlineStr">
        <is>
          <t>T.2 Secondary structure prediction - the dynamic programming lineage</t>
        </is>
      </c>
      <c r="D345" s="10" t="inlineStr">
        <is>
          <t>McCaskill 1990, Biopolymers 29:1105</t>
        </is>
      </c>
      <c r="E345" s="11" t="inlineStr"/>
    </row>
    <row r="346">
      <c r="A346" s="11" t="n">
        <v>342</v>
      </c>
      <c r="B346" s="15" t="inlineStr">
        <is>
          <t>Part II - The Method Atlas</t>
        </is>
      </c>
      <c r="C346" s="10" t="inlineStr">
        <is>
          <t>T.2 Secondary structure prediction - the dynamic programming lineage</t>
        </is>
      </c>
      <c r="D346" s="10" t="inlineStr">
        <is>
          <t>Sankoff 1985, SIAM J Appl Math 45:810</t>
        </is>
      </c>
      <c r="E346" s="11" t="inlineStr"/>
    </row>
    <row r="347">
      <c r="A347" s="11" t="n">
        <v>343</v>
      </c>
      <c r="B347" s="15" t="inlineStr">
        <is>
          <t>Part II - The Method Atlas</t>
        </is>
      </c>
      <c r="C347" s="10" t="inlineStr">
        <is>
          <t>T.2 Secondary structure prediction - the dynamic programming lineage</t>
        </is>
      </c>
      <c r="D347" s="10" t="inlineStr">
        <is>
          <t>Eddy &amp; Durbin 1994, NAR 22:2079</t>
        </is>
      </c>
      <c r="E347" s="11" t="inlineStr"/>
    </row>
    <row r="348">
      <c r="A348" s="11" t="n">
        <v>344</v>
      </c>
      <c r="B348" s="15" t="inlineStr">
        <is>
          <t>Part II - The Method Atlas</t>
        </is>
      </c>
      <c r="C348" s="10" t="inlineStr">
        <is>
          <t>T.2 Secondary structure prediction - the dynamic programming lineage</t>
        </is>
      </c>
      <c r="D348" s="10" t="inlineStr">
        <is>
          <t>Rivas, Clements &amp; Eddy 2017, Nat Methods 14:45</t>
        </is>
      </c>
      <c r="E348" s="11" t="inlineStr"/>
    </row>
    <row r="349">
      <c r="A349" s="11" t="n">
        <v>345</v>
      </c>
      <c r="B349" s="15" t="inlineStr">
        <is>
          <t>Part II - The Method Atlas</t>
        </is>
      </c>
      <c r="C349" s="10" t="inlineStr">
        <is>
          <t>T.2 Secondary structure prediction - the dynamic programming lineage</t>
        </is>
      </c>
      <c r="D349" s="10" t="inlineStr">
        <is>
          <t>Rivas &amp; Eddy 1999, JMB 285:2053</t>
        </is>
      </c>
      <c r="E349" s="11" t="inlineStr"/>
    </row>
    <row r="350">
      <c r="A350" s="11" t="n">
        <v>346</v>
      </c>
      <c r="B350" s="15" t="inlineStr">
        <is>
          <t>Part II - The Method Atlas</t>
        </is>
      </c>
      <c r="C350" s="10" t="inlineStr">
        <is>
          <t>T.2 Secondary structure prediction - the dynamic programming lineage</t>
        </is>
      </c>
      <c r="D350" s="10" t="inlineStr">
        <is>
          <t>Do, Woods &amp; Batzoglou 2006, Bioinformatics 22:e90 (CONTRAfold)</t>
        </is>
      </c>
      <c r="E350" s="11" t="inlineStr"/>
    </row>
    <row r="351">
      <c r="A351" s="11" t="n">
        <v>347</v>
      </c>
      <c r="B351" s="15" t="inlineStr">
        <is>
          <t>Part II - The Method Atlas</t>
        </is>
      </c>
      <c r="C351" s="10" t="inlineStr">
        <is>
          <t>T.2 Secondary structure prediction - the dynamic programming lineage</t>
        </is>
      </c>
      <c r="D351" s="10" t="inlineStr">
        <is>
          <t>Lorenz et al. 2011, Algorithms Mol Biol 6:26 (ViennaRNA)</t>
        </is>
      </c>
      <c r="E351" s="11" t="inlineStr"/>
    </row>
    <row r="352">
      <c r="A352" s="11" t="n">
        <v>348</v>
      </c>
      <c r="B352" s="15" t="inlineStr">
        <is>
          <t>Part II - The Method Atlas</t>
        </is>
      </c>
      <c r="C352" s="10" t="inlineStr">
        <is>
          <t>T.2 Secondary structure prediction - the dynamic programming lineage</t>
        </is>
      </c>
      <c r="D352" s="10" t="inlineStr">
        <is>
          <t>Huang et al. 2019, Bioinformatics 35:i295 (LinearFold)</t>
        </is>
      </c>
      <c r="E352" s="11" t="inlineStr"/>
    </row>
    <row r="353">
      <c r="A353" s="11" t="n">
        <v>349</v>
      </c>
      <c r="B353" s="15" t="inlineStr">
        <is>
          <t>Part II - The Method Atlas</t>
        </is>
      </c>
      <c r="C353" s="10" t="inlineStr">
        <is>
          <t>T.4 Chemical probing - what the data actually constrains</t>
        </is>
      </c>
      <c r="D353" s="10" t="inlineStr">
        <is>
          <t>Merino et al. 2005, JACS 127:4223 (SHAPE)</t>
        </is>
      </c>
      <c r="E353" s="11" t="inlineStr"/>
    </row>
    <row r="354">
      <c r="A354" s="11" t="n">
        <v>350</v>
      </c>
      <c r="B354" s="15" t="inlineStr">
        <is>
          <t>Part II - The Method Atlas</t>
        </is>
      </c>
      <c r="C354" s="10" t="inlineStr">
        <is>
          <t>T.4 Chemical probing - what the data actually constrains</t>
        </is>
      </c>
      <c r="D354" s="10" t="inlineStr">
        <is>
          <t>Deigan et al. 2009, PNAS 106:97</t>
        </is>
      </c>
      <c r="E354" s="11" t="inlineStr"/>
    </row>
    <row r="355">
      <c r="A355" s="11" t="n">
        <v>351</v>
      </c>
      <c r="B355" s="15" t="inlineStr">
        <is>
          <t>Part II - The Method Atlas</t>
        </is>
      </c>
      <c r="C355" s="10" t="inlineStr">
        <is>
          <t>T.4 Chemical probing - what the data actually constrains</t>
        </is>
      </c>
      <c r="D355" s="10" t="inlineStr">
        <is>
          <t>Siegfried et al. 2014, Nat Methods 11:959 (SHAPE-MaP)</t>
        </is>
      </c>
      <c r="E355" s="11" t="inlineStr"/>
    </row>
    <row r="356">
      <c r="A356" s="11" t="n">
        <v>352</v>
      </c>
      <c r="B356" s="15" t="inlineStr">
        <is>
          <t>Part II - The Method Atlas</t>
        </is>
      </c>
      <c r="C356" s="10" t="inlineStr">
        <is>
          <t>T.4 Chemical probing - what the data actually constrains</t>
        </is>
      </c>
      <c r="D356" s="10" t="inlineStr">
        <is>
          <t>Zubradt et al. 2017, Nat Methods 14:75 (DMS-MaPseq)</t>
        </is>
      </c>
      <c r="E356" s="11" t="inlineStr"/>
    </row>
    <row r="357">
      <c r="A357" s="11" t="n">
        <v>353</v>
      </c>
      <c r="B357" s="15" t="inlineStr">
        <is>
          <t>Part II - The Method Atlas</t>
        </is>
      </c>
      <c r="C357" s="10" t="inlineStr">
        <is>
          <t>T.4 Chemical probing - what the data actually constrains</t>
        </is>
      </c>
      <c r="D357" s="10" t="inlineStr">
        <is>
          <t>Spitale et al. 2015, Nature 519:486 (icSHAPE)</t>
        </is>
      </c>
      <c r="E357" s="11" t="inlineStr"/>
    </row>
    <row r="358">
      <c r="A358" s="11" t="n">
        <v>354</v>
      </c>
      <c r="B358" s="15" t="inlineStr">
        <is>
          <t>Part II - The Method Atlas</t>
        </is>
      </c>
      <c r="C358" s="10" t="inlineStr">
        <is>
          <t>T.4 Chemical probing - what the data actually constrains</t>
        </is>
      </c>
      <c r="D358" s="10" t="inlineStr">
        <is>
          <t>Tomezsko et al. 2020, Nature 582:438 (DREEM)</t>
        </is>
      </c>
      <c r="E358" s="11" t="inlineStr"/>
    </row>
    <row r="359">
      <c r="A359" s="11" t="n">
        <v>355</v>
      </c>
      <c r="B359" s="15" t="inlineStr">
        <is>
          <t>Part II - The Method Atlas</t>
        </is>
      </c>
      <c r="C359" s="10" t="inlineStr">
        <is>
          <t>T.4 Chemical probing - what the data actually constrains</t>
        </is>
      </c>
      <c r="D359" s="10" t="inlineStr">
        <is>
          <t>Dethoff et al. 2012, Nature 491:724 (excited states by NMR)</t>
        </is>
      </c>
      <c r="E359" s="11" t="inlineStr"/>
    </row>
    <row r="360">
      <c r="A360" s="11" t="n">
        <v>356</v>
      </c>
      <c r="B360" s="15" t="inlineStr">
        <is>
          <t>Part II - The Method Atlas</t>
        </is>
      </c>
      <c r="C360" s="10" t="inlineStr">
        <is>
          <t>T.5 Ribozymes and catalytic RNA</t>
        </is>
      </c>
      <c r="D360" s="10" t="inlineStr">
        <is>
          <t>Kruger et al. 1982, Cell 31:147</t>
        </is>
      </c>
      <c r="E360" s="11" t="inlineStr"/>
    </row>
    <row r="361">
      <c r="A361" s="11" t="n">
        <v>357</v>
      </c>
      <c r="B361" s="15" t="inlineStr">
        <is>
          <t>Part II - The Method Atlas</t>
        </is>
      </c>
      <c r="C361" s="10" t="inlineStr">
        <is>
          <t>T.5 Ribozymes and catalytic RNA</t>
        </is>
      </c>
      <c r="D361" s="10" t="inlineStr">
        <is>
          <t>Guerrier-Takada et al. 1983, Cell 35:849</t>
        </is>
      </c>
      <c r="E361" s="11" t="inlineStr"/>
    </row>
    <row r="362">
      <c r="A362" s="11" t="n">
        <v>358</v>
      </c>
      <c r="B362" s="15" t="inlineStr">
        <is>
          <t>Part II - The Method Atlas</t>
        </is>
      </c>
      <c r="C362" s="10" t="inlineStr">
        <is>
          <t>T.5 Ribozymes and catalytic RNA</t>
        </is>
      </c>
      <c r="D362" s="10" t="inlineStr">
        <is>
          <t>Ban et al. 2000 and Nissen et al. 2000, Science 289:905 and 289:920</t>
        </is>
      </c>
      <c r="E362" s="11" t="inlineStr"/>
    </row>
    <row r="363">
      <c r="A363" s="11" t="n">
        <v>359</v>
      </c>
      <c r="B363" s="15" t="inlineStr">
        <is>
          <t>Part II - The Method Atlas</t>
        </is>
      </c>
      <c r="C363" s="10" t="inlineStr">
        <is>
          <t>T.5 Ribozymes and catalytic RNA</t>
        </is>
      </c>
      <c r="D363" s="10" t="inlineStr">
        <is>
          <t>Noller, Hoffarth &amp; Zimniak 1992, Science 256:1416</t>
        </is>
      </c>
      <c r="E363" s="11" t="inlineStr"/>
    </row>
    <row r="364">
      <c r="A364" s="11" t="n">
        <v>360</v>
      </c>
      <c r="B364" s="15" t="inlineStr">
        <is>
          <t>Part II - The Method Atlas</t>
        </is>
      </c>
      <c r="C364" s="10" t="inlineStr">
        <is>
          <t>T.5 Ribozymes and catalytic RNA</t>
        </is>
      </c>
      <c r="D364" s="10" t="inlineStr">
        <is>
          <t>Toor et al. 2008, Science 320:77</t>
        </is>
      </c>
      <c r="E364" s="11" t="inlineStr"/>
    </row>
    <row r="365">
      <c r="A365" s="11" t="n">
        <v>361</v>
      </c>
      <c r="B365" s="15" t="inlineStr">
        <is>
          <t>Part II - The Method Atlas</t>
        </is>
      </c>
      <c r="C365" s="10" t="inlineStr">
        <is>
          <t>T.5 Ribozymes and catalytic RNA</t>
        </is>
      </c>
      <c r="D365" s="10" t="inlineStr">
        <is>
          <t>Lincoln &amp; Joyce 2009, Science 323:1229</t>
        </is>
      </c>
      <c r="E365" s="11" t="inlineStr"/>
    </row>
    <row r="366">
      <c r="A366" s="11" t="n">
        <v>362</v>
      </c>
      <c r="B366" s="15" t="inlineStr">
        <is>
          <t>Part II - The Method Atlas</t>
        </is>
      </c>
      <c r="C366" s="10" t="inlineStr">
        <is>
          <t>T.5 Ribozymes and catalytic RNA</t>
        </is>
      </c>
      <c r="D366" s="10" t="inlineStr">
        <is>
          <t>Johnston et al. 2001, Science 292:1319</t>
        </is>
      </c>
      <c r="E366" s="11" t="inlineStr"/>
    </row>
    <row r="367">
      <c r="A367" s="11" t="n">
        <v>363</v>
      </c>
      <c r="B367" s="15" t="inlineStr">
        <is>
          <t>Part II - The Method Atlas</t>
        </is>
      </c>
      <c r="C367" s="10" t="inlineStr">
        <is>
          <t>T.6 Riboswitches and RNA regulation</t>
        </is>
      </c>
      <c r="D367" s="10" t="inlineStr">
        <is>
          <t>Winkler, Nahvi &amp; Breaker 2002, Nature 419:952</t>
        </is>
      </c>
      <c r="E367" s="11" t="inlineStr"/>
    </row>
    <row r="368">
      <c r="A368" s="11" t="n">
        <v>364</v>
      </c>
      <c r="B368" s="15" t="inlineStr">
        <is>
          <t>Part II - The Method Atlas</t>
        </is>
      </c>
      <c r="C368" s="10" t="inlineStr">
        <is>
          <t>T.6 Riboswitches and RNA regulation</t>
        </is>
      </c>
      <c r="D368" s="10" t="inlineStr">
        <is>
          <t>Weinberg et al. 2010, Genome Biol 11:R31</t>
        </is>
      </c>
      <c r="E368" s="11" t="inlineStr"/>
    </row>
    <row r="369">
      <c r="A369" s="11" t="n">
        <v>365</v>
      </c>
      <c r="B369" s="15" t="inlineStr">
        <is>
          <t>Part II - The Method Atlas</t>
        </is>
      </c>
      <c r="C369" s="10" t="inlineStr">
        <is>
          <t>T.6 Riboswitches and RNA regulation</t>
        </is>
      </c>
      <c r="D369" s="10" t="inlineStr">
        <is>
          <t>Lerner &amp; Steitz 1979, PNAS 76:5495</t>
        </is>
      </c>
      <c r="E369" s="11" t="inlineStr"/>
    </row>
    <row r="370">
      <c r="A370" s="11" t="n">
        <v>366</v>
      </c>
      <c r="B370" s="15" t="inlineStr">
        <is>
          <t>Part II - The Method Atlas</t>
        </is>
      </c>
      <c r="C370" s="10" t="inlineStr">
        <is>
          <t>T.7 Three-dimensional structure prediction</t>
        </is>
      </c>
      <c r="D370" s="10" t="inlineStr">
        <is>
          <t>Townshend et al. 2021, Science 373:1047 (ARES)</t>
        </is>
      </c>
      <c r="E370" s="11" t="inlineStr"/>
    </row>
    <row r="371">
      <c r="A371" s="11" t="n">
        <v>367</v>
      </c>
      <c r="B371" s="15" t="inlineStr">
        <is>
          <t>Part II - The Method Atlas</t>
        </is>
      </c>
      <c r="C371" s="10" t="inlineStr">
        <is>
          <t>T.7 Three-dimensional structure prediction</t>
        </is>
      </c>
      <c r="D371" s="10" t="inlineStr">
        <is>
          <t>Das et al. 2023, Proteins (CASP15)</t>
        </is>
      </c>
      <c r="E371" s="11" t="inlineStr"/>
    </row>
    <row r="372">
      <c r="A372" s="11" t="n">
        <v>368</v>
      </c>
      <c r="B372" s="15" t="inlineStr">
        <is>
          <t>Part II - The Method Atlas</t>
        </is>
      </c>
      <c r="C372" s="10" t="inlineStr">
        <is>
          <t>T.7 Three-dimensional structure prediction</t>
        </is>
      </c>
      <c r="D372" s="10" t="inlineStr">
        <is>
          <t>Westhof et al. 2026, Proteins (CASP16)</t>
        </is>
      </c>
      <c r="E372" s="11" t="inlineStr"/>
    </row>
    <row r="373">
      <c r="A373" s="11" t="n">
        <v>369</v>
      </c>
      <c r="B373" s="15" t="inlineStr">
        <is>
          <t>Part II - The Method Atlas</t>
        </is>
      </c>
      <c r="C373" s="10" t="inlineStr">
        <is>
          <t>T.7 Three-dimensional structure prediction</t>
        </is>
      </c>
      <c r="D373" s="10" t="inlineStr">
        <is>
          <t>Pearce et al. 2022, Nat Commun 13:5093</t>
        </is>
      </c>
      <c r="E373" s="11" t="inlineStr"/>
    </row>
    <row r="374">
      <c r="A374" s="11" t="n">
        <v>370</v>
      </c>
      <c r="B374" s="15" t="inlineStr">
        <is>
          <t>Part II - The Method Atlas</t>
        </is>
      </c>
      <c r="C374" s="10" t="inlineStr">
        <is>
          <t>T.7 Three-dimensional structure prediction</t>
        </is>
      </c>
      <c r="D374" s="10" t="inlineStr">
        <is>
          <t>Wang et al. 2023, Nat Commun 14:7266</t>
        </is>
      </c>
      <c r="E374" s="11" t="inlineStr"/>
    </row>
    <row r="375">
      <c r="A375" s="11" t="n">
        <v>371</v>
      </c>
      <c r="B375" s="15" t="inlineStr">
        <is>
          <t>Part II - The Method Atlas</t>
        </is>
      </c>
      <c r="C375" s="10" t="inlineStr">
        <is>
          <t>T.7 Three-dimensional structure prediction</t>
        </is>
      </c>
      <c r="D375" s="10" t="inlineStr">
        <is>
          <t>Baek et al. 2024, Nat Methods 21:117 (RoseTTAFoldNA)</t>
        </is>
      </c>
      <c r="E375" s="11" t="inlineStr"/>
    </row>
    <row r="376">
      <c r="A376" s="11" t="n">
        <v>372</v>
      </c>
      <c r="B376" s="15" t="inlineStr">
        <is>
          <t>Part II - The Method Atlas</t>
        </is>
      </c>
      <c r="C376" s="10" t="inlineStr">
        <is>
          <t>T.7 Three-dimensional structure prediction</t>
        </is>
      </c>
      <c r="D376" s="10" t="inlineStr">
        <is>
          <t>Leontis &amp; Westhof 2001, RNA 7:499 (base-pair classification)</t>
        </is>
      </c>
      <c r="E376" s="11" t="inlineStr"/>
    </row>
    <row r="377">
      <c r="A377" s="11" t="n">
        <v>373</v>
      </c>
      <c r="B377" s="15" t="inlineStr">
        <is>
          <t>Part II - The Method Atlas</t>
        </is>
      </c>
      <c r="C377" s="10" t="inlineStr">
        <is>
          <t>T.7 Three-dimensional structure prediction</t>
        </is>
      </c>
      <c r="D377" s="10" t="inlineStr">
        <is>
          <t>Bernard et al. 2025, Acta Cryst D81 (Has AlphaFold3 achieved success for RNA?)</t>
        </is>
      </c>
      <c r="E377" s="11" t="inlineStr"/>
    </row>
    <row r="378">
      <c r="A378" s="11" t="n">
        <v>374</v>
      </c>
      <c r="B378" s="15" t="inlineStr">
        <is>
          <t>Part II - The Method Atlas</t>
        </is>
      </c>
      <c r="C378" s="10" t="inlineStr">
        <is>
          <t>T.8 RNA design</t>
        </is>
      </c>
      <c r="D378" s="10" t="inlineStr">
        <is>
          <t>Joshi et al. 2025, ICLR (gRNAde)</t>
        </is>
      </c>
      <c r="E378" s="11" t="inlineStr"/>
    </row>
    <row r="379">
      <c r="A379" s="11" t="n">
        <v>375</v>
      </c>
      <c r="B379" s="15" t="inlineStr">
        <is>
          <t>Part II - The Method Atlas</t>
        </is>
      </c>
      <c r="C379" s="10" t="inlineStr">
        <is>
          <t>T.8 RNA design</t>
        </is>
      </c>
      <c r="D379" s="10" t="inlineStr">
        <is>
          <t>Zhang et al. 2023, Nature 621:396 (LinearDesign)</t>
        </is>
      </c>
      <c r="E379" s="11" t="inlineStr"/>
    </row>
    <row r="380">
      <c r="A380" s="11" t="n">
        <v>376</v>
      </c>
      <c r="B380" s="15" t="inlineStr">
        <is>
          <t>Part II - The Method Atlas</t>
        </is>
      </c>
      <c r="C380" s="10" t="inlineStr">
        <is>
          <t>T.8 RNA design</t>
        </is>
      </c>
      <c r="D380" s="10" t="inlineStr">
        <is>
          <t>Geary, Rothemund &amp; Andersen 2014, Science 345:799 (RNA origami)</t>
        </is>
      </c>
      <c r="E380" s="11" t="inlineStr"/>
    </row>
    <row r="381">
      <c r="A381" s="11" t="n">
        <v>377</v>
      </c>
      <c r="B381" s="15" t="inlineStr">
        <is>
          <t>Part II - The Method Atlas</t>
        </is>
      </c>
      <c r="C381" s="10" t="inlineStr">
        <is>
          <t>T.8 RNA design</t>
        </is>
      </c>
      <c r="D381" s="10" t="inlineStr">
        <is>
          <t>Tuerk &amp; Gold 1990, Science 249:505 and Ellington &amp; Szostak 1990, Nature 346:818 (SELEX)</t>
        </is>
      </c>
      <c r="E381" s="11" t="inlineStr"/>
    </row>
    <row r="382">
      <c r="A382" s="11" t="n">
        <v>378</v>
      </c>
      <c r="B382" s="15" t="inlineStr">
        <is>
          <t>Part II - The Method Atlas</t>
        </is>
      </c>
      <c r="C382" s="10" t="inlineStr">
        <is>
          <t>T.9 Biophysics - the ion atmosphere</t>
        </is>
      </c>
      <c r="D382" s="10" t="inlineStr">
        <is>
          <t>Draper 2004, RNA 10:335</t>
        </is>
      </c>
      <c r="E382" s="11" t="inlineStr"/>
    </row>
    <row r="383">
      <c r="A383" s="11" t="n">
        <v>379</v>
      </c>
      <c r="B383" s="15" t="inlineStr">
        <is>
          <t>Part II - The Method Atlas</t>
        </is>
      </c>
      <c r="C383" s="10" t="inlineStr">
        <is>
          <t>T.9 Biophysics - the ion atmosphere</t>
        </is>
      </c>
      <c r="D383" s="10" t="inlineStr">
        <is>
          <t>Lipfert, Doniach, Das &amp; Herschlag 2014, Annu Rev Biochem 83:813</t>
        </is>
      </c>
      <c r="E383" s="11" t="inlineStr"/>
    </row>
    <row r="384">
      <c r="A384" s="11" t="n">
        <v>380</v>
      </c>
      <c r="B384" s="15" t="inlineStr">
        <is>
          <t>Part II - The Method Atlas</t>
        </is>
      </c>
      <c r="C384" s="10" t="inlineStr">
        <is>
          <t>T.9 Biophysics - the ion atmosphere</t>
        </is>
      </c>
      <c r="D384" s="10" t="inlineStr">
        <is>
          <t>Liphardt et al. 2001, Science 292:733</t>
        </is>
      </c>
      <c r="E384" s="11" t="inlineStr"/>
    </row>
    <row r="385">
      <c r="A385" s="11" t="n">
        <v>381</v>
      </c>
      <c r="B385" s="17" t="inlineStr">
        <is>
          <t>Part III - Upstream AI Research</t>
        </is>
      </c>
      <c r="C385" s="10" t="inlineStr">
        <is>
          <t>D.4.1 State space models - the strongest single thread here</t>
        </is>
      </c>
      <c r="D385" s="10" t="inlineStr">
        <is>
          <t>Gu et al. 2021, arXiv:2111.00396 (S4)</t>
        </is>
      </c>
      <c r="E385" s="11" t="inlineStr"/>
    </row>
    <row r="386">
      <c r="A386" s="11" t="n">
        <v>382</v>
      </c>
      <c r="B386" s="17" t="inlineStr">
        <is>
          <t>Part III - Upstream AI Research</t>
        </is>
      </c>
      <c r="C386" s="10" t="inlineStr">
        <is>
          <t>D.4.1 State space models - the strongest single thread here</t>
        </is>
      </c>
      <c r="D386" s="10" t="inlineStr">
        <is>
          <t>Fu et al. 2022, arXiv:2212.14052 (H3)</t>
        </is>
      </c>
      <c r="E386" s="11" t="inlineStr"/>
    </row>
    <row r="387">
      <c r="A387" s="11" t="n">
        <v>383</v>
      </c>
      <c r="B387" s="17" t="inlineStr">
        <is>
          <t>Part III - Upstream AI Research</t>
        </is>
      </c>
      <c r="C387" s="10" t="inlineStr">
        <is>
          <t>D.4.1 State space models - the strongest single thread here</t>
        </is>
      </c>
      <c r="D387" s="10" t="inlineStr">
        <is>
          <t>Gu &amp; Dao 2023, arXiv:2312.00752 (Mamba)</t>
        </is>
      </c>
      <c r="E387" s="11" t="inlineStr"/>
    </row>
    <row r="388">
      <c r="A388" s="11" t="n">
        <v>384</v>
      </c>
      <c r="B388" s="17" t="inlineStr">
        <is>
          <t>Part III - Upstream AI Research</t>
        </is>
      </c>
      <c r="C388" s="10" t="inlineStr">
        <is>
          <t>D.4.1 State space models - the strongest single thread here</t>
        </is>
      </c>
      <c r="D388" s="10" t="inlineStr">
        <is>
          <t>Dao &amp; Gu 2024, arXiv:2405.21060 (Mamba-2, state space duality)</t>
        </is>
      </c>
      <c r="E388" s="11" t="inlineStr"/>
    </row>
    <row r="389">
      <c r="A389" s="11" t="n">
        <v>385</v>
      </c>
      <c r="B389" s="17" t="inlineStr">
        <is>
          <t>Part III - Upstream AI Research</t>
        </is>
      </c>
      <c r="C389" s="10" t="inlineStr">
        <is>
          <t>D.4.2 Linear attention and efficient attention</t>
        </is>
      </c>
      <c r="D389" s="10" t="inlineStr">
        <is>
          <t>Yang et al. 2023, arXiv:2312.06635 (Gated Linear Attention)</t>
        </is>
      </c>
      <c r="E389" s="11" t="inlineStr"/>
    </row>
    <row r="390">
      <c r="A390" s="11" t="n">
        <v>386</v>
      </c>
      <c r="B390" s="17" t="inlineStr">
        <is>
          <t>Part III - Upstream AI Research</t>
        </is>
      </c>
      <c r="C390" s="10" t="inlineStr">
        <is>
          <t>D.4.2 Linear attention and efficient attention</t>
        </is>
      </c>
      <c r="D390" s="10" t="inlineStr">
        <is>
          <t>Yang et al. 2024, arXiv:2406.06484 (DeltaNet, parallelized delta rule)</t>
        </is>
      </c>
      <c r="E390" s="11" t="inlineStr"/>
    </row>
    <row r="391">
      <c r="A391" s="11" t="n">
        <v>387</v>
      </c>
      <c r="B391" s="17" t="inlineStr">
        <is>
          <t>Part III - Upstream AI Research</t>
        </is>
      </c>
      <c r="C391" s="10" t="inlineStr">
        <is>
          <t>D.4.2 Linear attention and efficient attention</t>
        </is>
      </c>
      <c r="D391" s="10" t="inlineStr">
        <is>
          <t>Katharopoulos et al. 2020, ICML (transformers are RNNs)</t>
        </is>
      </c>
      <c r="E391" s="11" t="inlineStr"/>
    </row>
    <row r="392">
      <c r="A392" s="11" t="n">
        <v>388</v>
      </c>
      <c r="B392" s="17" t="inlineStr">
        <is>
          <t>Part III - Upstream AI Research</t>
        </is>
      </c>
      <c r="C392" s="10" t="inlineStr">
        <is>
          <t>D.4.2 Linear attention and efficient attention</t>
        </is>
      </c>
      <c r="D392" s="10" t="inlineStr">
        <is>
          <t>Arora et al. 2024 (Based: the recall-throughput tradeoff)</t>
        </is>
      </c>
      <c r="E392" s="11" t="inlineStr"/>
    </row>
    <row r="393">
      <c r="A393" s="11" t="n">
        <v>389</v>
      </c>
      <c r="B393" s="17" t="inlineStr">
        <is>
          <t>Part III - Upstream AI Research</t>
        </is>
      </c>
      <c r="C393" s="10" t="inlineStr">
        <is>
          <t>D.4.3 Positional encoding, normalization, tokenization</t>
        </is>
      </c>
      <c r="D393" s="10" t="inlineStr">
        <is>
          <t>Su et al. 2021, arXiv:2104.09864 (RoPE)</t>
        </is>
      </c>
      <c r="E393" s="11" t="inlineStr"/>
    </row>
    <row r="394">
      <c r="A394" s="11" t="n">
        <v>390</v>
      </c>
      <c r="B394" s="17" t="inlineStr">
        <is>
          <t>Part III - Upstream AI Research</t>
        </is>
      </c>
      <c r="C394" s="10" t="inlineStr">
        <is>
          <t>D.4.3 Positional encoding, normalization, tokenization</t>
        </is>
      </c>
      <c r="D394" s="10" t="inlineStr">
        <is>
          <t>Press et al. 2021, arXiv:2108.12409 (ALiBi)</t>
        </is>
      </c>
      <c r="E394" s="11" t="inlineStr"/>
    </row>
    <row r="395">
      <c r="A395" s="11" t="n">
        <v>391</v>
      </c>
      <c r="B395" s="17" t="inlineStr">
        <is>
          <t>Part III - Upstream AI Research</t>
        </is>
      </c>
      <c r="C395" s="10" t="inlineStr">
        <is>
          <t>D.4.3 Positional encoding, normalization, tokenization</t>
        </is>
      </c>
      <c r="D395" s="10" t="inlineStr">
        <is>
          <t>Peng et al. 2023, arXiv:2309.00071 (YaRN)</t>
        </is>
      </c>
      <c r="E395" s="11" t="inlineStr"/>
    </row>
    <row r="396">
      <c r="A396" s="11" t="n">
        <v>392</v>
      </c>
      <c r="B396" s="17" t="inlineStr">
        <is>
          <t>Part III - Upstream AI Research</t>
        </is>
      </c>
      <c r="C396" s="10" t="inlineStr">
        <is>
          <t>D.4.3 Positional encoding, normalization, tokenization</t>
        </is>
      </c>
      <c r="D396" s="10" t="inlineStr">
        <is>
          <t>Zhang &amp; Sennrich 2019, NeurIPS (RMSNorm)</t>
        </is>
      </c>
      <c r="E396" s="11" t="inlineStr"/>
    </row>
    <row r="397">
      <c r="A397" s="11" t="n">
        <v>393</v>
      </c>
      <c r="B397" s="17" t="inlineStr">
        <is>
          <t>Part III - Upstream AI Research</t>
        </is>
      </c>
      <c r="C397" s="10" t="inlineStr">
        <is>
          <t>D.4.3 Positional encoding, normalization, tokenization</t>
        </is>
      </c>
      <c r="D397" s="10" t="inlineStr">
        <is>
          <t>Xiong et al. 2020, ICML (pre-LN vs post-LN)</t>
        </is>
      </c>
      <c r="E397" s="11" t="inlineStr"/>
    </row>
    <row r="398">
      <c r="A398" s="11" t="n">
        <v>394</v>
      </c>
      <c r="B398" s="17" t="inlineStr">
        <is>
          <t>Part III - Upstream AI Research</t>
        </is>
      </c>
      <c r="C398" s="10" t="inlineStr">
        <is>
          <t>D.4.3 Positional encoding, normalization, tokenization</t>
        </is>
      </c>
      <c r="D398" s="10" t="inlineStr">
        <is>
          <t>Yu et al. 2023, arXiv:2305.07185 (MEGABYTE)</t>
        </is>
      </c>
      <c r="E398" s="11" t="inlineStr"/>
    </row>
    <row r="399">
      <c r="A399" s="11" t="n">
        <v>395</v>
      </c>
      <c r="B399" s="17" t="inlineStr">
        <is>
          <t>Part III - Upstream AI Research</t>
        </is>
      </c>
      <c r="C399" s="10" t="inlineStr">
        <is>
          <t>D.4.4 Mixture of experts</t>
        </is>
      </c>
      <c r="D399" s="10" t="inlineStr">
        <is>
          <t>Fedus et al. 2022, JMLR 23:120 (Switch Transformer)</t>
        </is>
      </c>
      <c r="E399" s="11" t="inlineStr"/>
    </row>
    <row r="400">
      <c r="A400" s="11" t="n">
        <v>396</v>
      </c>
      <c r="B400" s="17" t="inlineStr">
        <is>
          <t>Part III - Upstream AI Research</t>
        </is>
      </c>
      <c r="C400" s="10" t="inlineStr">
        <is>
          <t>D.4.4 Mixture of experts</t>
        </is>
      </c>
      <c r="D400" s="10" t="inlineStr">
        <is>
          <t>Zoph et al. 2022, arXiv:2202.08906 (ST-MoE)</t>
        </is>
      </c>
      <c r="E400" s="11" t="inlineStr"/>
    </row>
    <row r="401">
      <c r="A401" s="11" t="n">
        <v>397</v>
      </c>
      <c r="B401" s="17" t="inlineStr">
        <is>
          <t>Part III - Upstream AI Research</t>
        </is>
      </c>
      <c r="C401" s="10" t="inlineStr">
        <is>
          <t>D.4.4 Mixture of experts</t>
        </is>
      </c>
      <c r="D401" s="10" t="inlineStr">
        <is>
          <t>Jiang et al. 2024, arXiv:2401.04088 (Mixtral)</t>
        </is>
      </c>
      <c r="E401" s="11" t="inlineStr"/>
    </row>
    <row r="402">
      <c r="A402" s="11" t="n">
        <v>398</v>
      </c>
      <c r="B402" s="17" t="inlineStr">
        <is>
          <t>Part III - Upstream AI Research</t>
        </is>
      </c>
      <c r="C402" s="10" t="inlineStr">
        <is>
          <t>D.4.4 Mixture of experts</t>
        </is>
      </c>
      <c r="D402" s="10" t="inlineStr">
        <is>
          <t>Shazeer et al. 2017, ICLR (the original sparsely-gated MoE)</t>
        </is>
      </c>
      <c r="E402" s="11" t="inlineStr"/>
    </row>
    <row r="403">
      <c r="A403" s="11" t="n">
        <v>399</v>
      </c>
      <c r="B403" s="17" t="inlineStr">
        <is>
          <t>Part III - Upstream AI Research</t>
        </is>
      </c>
      <c r="C403" s="10" t="inlineStr">
        <is>
          <t>D.4.4 Mixture of experts</t>
        </is>
      </c>
      <c r="D403" s="10" t="inlineStr">
        <is>
          <t>Gale et al. 2023, MLSys (MegaBlocks)</t>
        </is>
      </c>
      <c r="E403" s="11" t="inlineStr"/>
    </row>
    <row r="404">
      <c r="A404" s="11" t="n">
        <v>400</v>
      </c>
      <c r="B404" s="17" t="inlineStr">
        <is>
          <t>Part III - Upstream AI Research</t>
        </is>
      </c>
      <c r="C404" s="10" t="inlineStr">
        <is>
          <t>D.4.5 Long context</t>
        </is>
      </c>
      <c r="D404" s="10" t="inlineStr">
        <is>
          <t>Liu et al. 2023, arXiv:2310.01889 (Ring Attention)</t>
        </is>
      </c>
      <c r="E404" s="11" t="inlineStr"/>
    </row>
    <row r="405">
      <c r="A405" s="11" t="n">
        <v>401</v>
      </c>
      <c r="B405" s="17" t="inlineStr">
        <is>
          <t>Part III - Upstream AI Research</t>
        </is>
      </c>
      <c r="C405" s="10" t="inlineStr">
        <is>
          <t>D.4.5 Long context</t>
        </is>
      </c>
      <c r="D405" s="10" t="inlineStr">
        <is>
          <t>Yuan et al. 2025, arXiv:2502.11089 (Native Sparse Attention)</t>
        </is>
      </c>
      <c r="E405" s="11" t="inlineStr"/>
    </row>
    <row r="406">
      <c r="A406" s="11" t="n">
        <v>402</v>
      </c>
      <c r="B406" s="17" t="inlineStr">
        <is>
          <t>Part III - Upstream AI Research</t>
        </is>
      </c>
      <c r="C406" s="10" t="inlineStr">
        <is>
          <t>D.4.5 Long context</t>
        </is>
      </c>
      <c r="D406" s="10" t="inlineStr">
        <is>
          <t>Beltagy et al. 2020 (Longformer)</t>
        </is>
      </c>
      <c r="E406" s="11" t="inlineStr"/>
    </row>
    <row r="407">
      <c r="A407" s="11" t="n">
        <v>403</v>
      </c>
      <c r="B407" s="17" t="inlineStr">
        <is>
          <t>Part III - Upstream AI Research</t>
        </is>
      </c>
      <c r="C407" s="10" t="inlineStr">
        <is>
          <t>D.4.5 Long context</t>
        </is>
      </c>
      <c r="D407" s="10" t="inlineStr">
        <is>
          <t>Child et al. 2019 (sparse transformers)</t>
        </is>
      </c>
      <c r="E407" s="11" t="inlineStr"/>
    </row>
    <row r="408">
      <c r="A408" s="11" t="n">
        <v>404</v>
      </c>
      <c r="B408" s="17" t="inlineStr">
        <is>
          <t>Part III - Upstream AI Research</t>
        </is>
      </c>
      <c r="C408" s="10" t="inlineStr">
        <is>
          <t>D.4.6 Diffusion language models</t>
        </is>
      </c>
      <c r="D408" s="10" t="inlineStr">
        <is>
          <t>Lou et al. 2024, ICML, arXiv:2310.16834 (SEDD - score entropy)</t>
        </is>
      </c>
      <c r="E408" s="11" t="inlineStr"/>
    </row>
    <row r="409">
      <c r="A409" s="11" t="n">
        <v>405</v>
      </c>
      <c r="B409" s="17" t="inlineStr">
        <is>
          <t>Part III - Upstream AI Research</t>
        </is>
      </c>
      <c r="C409" s="10" t="inlineStr">
        <is>
          <t>D.4.6 Diffusion language models</t>
        </is>
      </c>
      <c r="D409" s="10" t="inlineStr">
        <is>
          <t>Sahoo et al. 2024, NeurIPS (MDLM)</t>
        </is>
      </c>
      <c r="E409" s="11" t="inlineStr"/>
    </row>
    <row r="410">
      <c r="A410" s="11" t="n">
        <v>406</v>
      </c>
      <c r="B410" s="17" t="inlineStr">
        <is>
          <t>Part III - Upstream AI Research</t>
        </is>
      </c>
      <c r="C410" s="10" t="inlineStr">
        <is>
          <t>D.4.6 Diffusion language models</t>
        </is>
      </c>
      <c r="D410" s="10" t="inlineStr">
        <is>
          <t>Austin et al. 2021, NeurIPS (D3PM)</t>
        </is>
      </c>
      <c r="E410" s="11" t="inlineStr"/>
    </row>
    <row r="411">
      <c r="A411" s="11" t="n">
        <v>407</v>
      </c>
      <c r="B411" s="17" t="inlineStr">
        <is>
          <t>Part III - Upstream AI Research</t>
        </is>
      </c>
      <c r="C411" s="10" t="inlineStr">
        <is>
          <t>D.4.6 Diffusion language models</t>
        </is>
      </c>
      <c r="D411" s="10" t="inlineStr">
        <is>
          <t>Campbell et al. 2022, NeurIPS (continuous-time discrete diffusion)</t>
        </is>
      </c>
      <c r="E411" s="11" t="inlineStr"/>
    </row>
    <row r="412">
      <c r="A412" s="11" t="n">
        <v>408</v>
      </c>
      <c r="B412" s="17" t="inlineStr">
        <is>
          <t>Part III - Upstream AI Research</t>
        </is>
      </c>
      <c r="C412" s="10" t="inlineStr">
        <is>
          <t>D.4.7 RWKV, Hyena, xLSTM - the other attention alternatives</t>
        </is>
      </c>
      <c r="D412" s="10" t="inlineStr">
        <is>
          <t>Peng et al. 2023, arXiv:2305.13048 (RWKV)</t>
        </is>
      </c>
      <c r="E412" s="11" t="inlineStr"/>
    </row>
    <row r="413">
      <c r="A413" s="11" t="n">
        <v>409</v>
      </c>
      <c r="B413" s="17" t="inlineStr">
        <is>
          <t>Part III - Upstream AI Research</t>
        </is>
      </c>
      <c r="C413" s="10" t="inlineStr">
        <is>
          <t>D.4.7 RWKV, Hyena, xLSTM - the other attention alternatives</t>
        </is>
      </c>
      <c r="D413" s="10" t="inlineStr">
        <is>
          <t>Peng et al. 2025, arXiv:2503.14456 (RWKV-7)</t>
        </is>
      </c>
      <c r="E413" s="11" t="inlineStr"/>
    </row>
    <row r="414">
      <c r="A414" s="11" t="n">
        <v>410</v>
      </c>
      <c r="B414" s="17" t="inlineStr">
        <is>
          <t>Part III - Upstream AI Research</t>
        </is>
      </c>
      <c r="C414" s="10" t="inlineStr">
        <is>
          <t>D.4.7 RWKV, Hyena, xLSTM - the other attention alternatives</t>
        </is>
      </c>
      <c r="D414" s="10" t="inlineStr">
        <is>
          <t>Beck et al. 2024, arXiv:2405.04517 (xLSTM)</t>
        </is>
      </c>
      <c r="E414" s="11" t="inlineStr"/>
    </row>
    <row r="415">
      <c r="A415" s="11" t="n">
        <v>411</v>
      </c>
      <c r="B415" s="17" t="inlineStr">
        <is>
          <t>Part III - Upstream AI Research</t>
        </is>
      </c>
      <c r="C415" s="10" t="inlineStr">
        <is>
          <t>D.4.7 RWKV, Hyena, xLSTM - the other attention alternatives</t>
        </is>
      </c>
      <c r="D415" s="10" t="inlineStr">
        <is>
          <t>Poli et al. 2023, ICML (Hyena)</t>
        </is>
      </c>
      <c r="E415" s="11" t="inlineStr"/>
    </row>
    <row r="416">
      <c r="A416" s="11" t="n">
        <v>412</v>
      </c>
      <c r="B416" s="17" t="inlineStr">
        <is>
          <t>Part III - Upstream AI Research</t>
        </is>
      </c>
      <c r="C416" s="10" t="inlineStr">
        <is>
          <t>D.4.7 RWKV, Hyena, xLSTM - the other attention alternatives</t>
        </is>
      </c>
      <c r="D416" s="10" t="inlineStr">
        <is>
          <t>Nguyen et al. 2023, NeurIPS, arXiv:2306.15794 (HyenaDNA)</t>
        </is>
      </c>
      <c r="E416" s="11" t="inlineStr"/>
    </row>
    <row r="417">
      <c r="A417" s="11" t="n">
        <v>413</v>
      </c>
      <c r="B417" s="17" t="inlineStr">
        <is>
          <t>Part III - Upstream AI Research</t>
        </is>
      </c>
      <c r="C417" s="10" t="inlineStr">
        <is>
          <t>D.5.1 FlashAttention and IO-aware algorithms</t>
        </is>
      </c>
      <c r="D417" s="10" t="inlineStr">
        <is>
          <t>Dao et al. 2022, NeurIPS, arXiv:2205.14135 (FlashAttention)</t>
        </is>
      </c>
      <c r="E417" s="11" t="inlineStr"/>
    </row>
    <row r="418">
      <c r="A418" s="11" t="n">
        <v>414</v>
      </c>
      <c r="B418" s="17" t="inlineStr">
        <is>
          <t>Part III - Upstream AI Research</t>
        </is>
      </c>
      <c r="C418" s="10" t="inlineStr">
        <is>
          <t>D.5.1 FlashAttention and IO-aware algorithms</t>
        </is>
      </c>
      <c r="D418" s="10" t="inlineStr">
        <is>
          <t>Dao 2023, arXiv:2307.08691 (FA-2)</t>
        </is>
      </c>
      <c r="E418" s="11" t="inlineStr"/>
    </row>
    <row r="419">
      <c r="A419" s="11" t="n">
        <v>415</v>
      </c>
      <c r="B419" s="17" t="inlineStr">
        <is>
          <t>Part III - Upstream AI Research</t>
        </is>
      </c>
      <c r="C419" s="10" t="inlineStr">
        <is>
          <t>D.5.1 FlashAttention and IO-aware algorithms</t>
        </is>
      </c>
      <c r="D419" s="10" t="inlineStr">
        <is>
          <t>Shah et al. 2024, arXiv:2407.08608 (FA-3)</t>
        </is>
      </c>
      <c r="E419" s="11" t="inlineStr"/>
    </row>
    <row r="420">
      <c r="A420" s="11" t="n">
        <v>416</v>
      </c>
      <c r="B420" s="17" t="inlineStr">
        <is>
          <t>Part III - Upstream AI Research</t>
        </is>
      </c>
      <c r="C420" s="10" t="inlineStr">
        <is>
          <t>D.5.1 FlashAttention and IO-aware algorithms</t>
        </is>
      </c>
      <c r="D420" s="10" t="inlineStr">
        <is>
          <t>Rabe &amp; Staats 2021 (self-attention does not need O(n²) memory)</t>
        </is>
      </c>
      <c r="E420" s="11" t="inlineStr"/>
    </row>
    <row r="421">
      <c r="A421" s="11" t="n">
        <v>417</v>
      </c>
      <c r="B421" s="17" t="inlineStr">
        <is>
          <t>Part III - Upstream AI Research</t>
        </is>
      </c>
      <c r="C421" s="10" t="inlineStr">
        <is>
          <t>D.5.1 FlashAttention and IO-aware algorithms</t>
        </is>
      </c>
      <c r="D421" s="10" t="inlineStr">
        <is>
          <t>Milakov &amp; Gimelshein 2018 (online softmax)</t>
        </is>
      </c>
      <c r="E421" s="11" t="inlineStr"/>
    </row>
    <row r="422">
      <c r="A422" s="11" t="n">
        <v>418</v>
      </c>
      <c r="B422" s="17" t="inlineStr">
        <is>
          <t>Part III - Upstream AI Research</t>
        </is>
      </c>
      <c r="C422" s="10" t="inlineStr">
        <is>
          <t>D.5.2 Parallelism and distributed training</t>
        </is>
      </c>
      <c r="D422" s="10" t="inlineStr">
        <is>
          <t>Narayanan et al. 2021, SC'21, arXiv:2104.04473 (Megatron-LM)</t>
        </is>
      </c>
      <c r="E422" s="11" t="inlineStr"/>
    </row>
    <row r="423">
      <c r="A423" s="11" t="n">
        <v>419</v>
      </c>
      <c r="B423" s="17" t="inlineStr">
        <is>
          <t>Part III - Upstream AI Research</t>
        </is>
      </c>
      <c r="C423" s="10" t="inlineStr">
        <is>
          <t>D.5.2 Parallelism and distributed training</t>
        </is>
      </c>
      <c r="D423" s="10" t="inlineStr">
        <is>
          <t>Rajbhandari et al. 2020, SC'20, arXiv:1910.02054 (ZeRO)</t>
        </is>
      </c>
      <c r="E423" s="11" t="inlineStr"/>
    </row>
    <row r="424">
      <c r="A424" s="11" t="n">
        <v>420</v>
      </c>
      <c r="B424" s="17" t="inlineStr">
        <is>
          <t>Part III - Upstream AI Research</t>
        </is>
      </c>
      <c r="C424" s="10" t="inlineStr">
        <is>
          <t>D.5.2 Parallelism and distributed training</t>
        </is>
      </c>
      <c r="D424" s="10" t="inlineStr">
        <is>
          <t>Zhao et al. 2023 (PyTorch FSDP)</t>
        </is>
      </c>
      <c r="E424" s="11" t="inlineStr"/>
    </row>
    <row r="425">
      <c r="A425" s="11" t="n">
        <v>421</v>
      </c>
      <c r="B425" s="17" t="inlineStr">
        <is>
          <t>Part III - Upstream AI Research</t>
        </is>
      </c>
      <c r="C425" s="10" t="inlineStr">
        <is>
          <t>D.5.2 Parallelism and distributed training</t>
        </is>
      </c>
      <c r="D425" s="10" t="inlineStr">
        <is>
          <t>Zheng et al. 2022, OSDI (Alpa)</t>
        </is>
      </c>
      <c r="E425" s="11" t="inlineStr"/>
    </row>
    <row r="426">
      <c r="A426" s="11" t="n">
        <v>422</v>
      </c>
      <c r="B426" s="17" t="inlineStr">
        <is>
          <t>Part III - Upstream AI Research</t>
        </is>
      </c>
      <c r="C426" s="10" t="inlineStr">
        <is>
          <t>D.5.3 Numerics, precision and optimizers</t>
        </is>
      </c>
      <c r="D426" s="10" t="inlineStr">
        <is>
          <t>Yang et al. 2022, arXiv:2203.03466 (Tensor Programs V, μP)</t>
        </is>
      </c>
      <c r="E426" s="11" t="inlineStr"/>
    </row>
    <row r="427">
      <c r="A427" s="11" t="n">
        <v>423</v>
      </c>
      <c r="B427" s="17" t="inlineStr">
        <is>
          <t>Part III - Upstream AI Research</t>
        </is>
      </c>
      <c r="C427" s="10" t="inlineStr">
        <is>
          <t>D.5.3 Numerics, precision and optimizers</t>
        </is>
      </c>
      <c r="D427" s="10" t="inlineStr">
        <is>
          <t>Bernstein et al. 2024, arXiv:2405.14813 (modular norm)</t>
        </is>
      </c>
      <c r="E427" s="11" t="inlineStr"/>
    </row>
    <row r="428">
      <c r="A428" s="11" t="n">
        <v>424</v>
      </c>
      <c r="B428" s="17" t="inlineStr">
        <is>
          <t>Part III - Upstream AI Research</t>
        </is>
      </c>
      <c r="C428" s="10" t="inlineStr">
        <is>
          <t>D.5.3 Numerics, precision and optimizers</t>
        </is>
      </c>
      <c r="D428" s="10" t="inlineStr">
        <is>
          <t>Bernstein &amp; Newhouse 2024, arXiv:2409.20325 (Old Optimizer, New Norm)</t>
        </is>
      </c>
      <c r="E428" s="11" t="inlineStr"/>
    </row>
    <row r="429">
      <c r="A429" s="11" t="n">
        <v>425</v>
      </c>
      <c r="B429" s="17" t="inlineStr">
        <is>
          <t>Part III - Upstream AI Research</t>
        </is>
      </c>
      <c r="C429" s="10" t="inlineStr">
        <is>
          <t>D.5.3 Numerics, precision and optimizers</t>
        </is>
      </c>
      <c r="D429" s="10" t="inlineStr">
        <is>
          <t>Jordan et al. 2024 (Muon)</t>
        </is>
      </c>
      <c r="E429" s="11" t="inlineStr"/>
    </row>
    <row r="430">
      <c r="A430" s="11" t="n">
        <v>426</v>
      </c>
      <c r="B430" s="17" t="inlineStr">
        <is>
          <t>Part III - Upstream AI Research</t>
        </is>
      </c>
      <c r="C430" s="10" t="inlineStr">
        <is>
          <t>D.5.3 Numerics, precision and optimizers</t>
        </is>
      </c>
      <c r="D430" s="10" t="inlineStr">
        <is>
          <t>Liu et al. 2025, arXiv:2502.16982 (Muon is scalable)</t>
        </is>
      </c>
      <c r="E430" s="11" t="inlineStr"/>
    </row>
    <row r="431">
      <c r="A431" s="11" t="n">
        <v>427</v>
      </c>
      <c r="B431" s="17" t="inlineStr">
        <is>
          <t>Part III - Upstream AI Research</t>
        </is>
      </c>
      <c r="C431" s="10" t="inlineStr">
        <is>
          <t>D.5.3 Numerics, precision and optimizers</t>
        </is>
      </c>
      <c r="D431" s="10" t="inlineStr">
        <is>
          <t>Gupta et al. 2018 (Shampoo)</t>
        </is>
      </c>
      <c r="E431" s="11" t="inlineStr"/>
    </row>
    <row r="432">
      <c r="A432" s="11" t="n">
        <v>428</v>
      </c>
      <c r="B432" s="17" t="inlineStr">
        <is>
          <t>Part III - Upstream AI Research</t>
        </is>
      </c>
      <c r="C432" s="10" t="inlineStr">
        <is>
          <t>D.5.3 Numerics, precision and optimizers</t>
        </is>
      </c>
      <c r="D432" s="10" t="inlineStr">
        <is>
          <t>Kumar et al. 2024, arXiv:2411.04330 (scaling laws for precision)</t>
        </is>
      </c>
      <c r="E432" s="11" t="inlineStr"/>
    </row>
    <row r="433">
      <c r="A433" s="11" t="n">
        <v>429</v>
      </c>
      <c r="B433" s="17" t="inlineStr">
        <is>
          <t>Part III - Upstream AI Research</t>
        </is>
      </c>
      <c r="C433" s="10" t="inlineStr">
        <is>
          <t>D.5.4 Scaling laws</t>
        </is>
      </c>
      <c r="D433" s="10" t="inlineStr">
        <is>
          <t>Kaplan et al. 2020, arXiv:2001.08361</t>
        </is>
      </c>
      <c r="E433" s="11" t="inlineStr"/>
    </row>
    <row r="434">
      <c r="A434" s="11" t="n">
        <v>430</v>
      </c>
      <c r="B434" s="17" t="inlineStr">
        <is>
          <t>Part III - Upstream AI Research</t>
        </is>
      </c>
      <c r="C434" s="10" t="inlineStr">
        <is>
          <t>D.5.4 Scaling laws</t>
        </is>
      </c>
      <c r="D434" s="10" t="inlineStr">
        <is>
          <t>Hoffmann et al. 2022, NeurIPS (Chinchilla)</t>
        </is>
      </c>
      <c r="E434" s="11" t="inlineStr"/>
    </row>
    <row r="435">
      <c r="A435" s="11" t="n">
        <v>431</v>
      </c>
      <c r="B435" s="17" t="inlineStr">
        <is>
          <t>Part III - Upstream AI Research</t>
        </is>
      </c>
      <c r="C435" s="10" t="inlineStr">
        <is>
          <t>D.5.4 Scaling laws</t>
        </is>
      </c>
      <c r="D435" s="10" t="inlineStr">
        <is>
          <t>Bahri et al. 2021, arXiv:2102.06701 (explaining neural scaling laws)</t>
        </is>
      </c>
      <c r="E435" s="11" t="inlineStr"/>
    </row>
    <row r="436">
      <c r="A436" s="11" t="n">
        <v>432</v>
      </c>
      <c r="B436" s="17" t="inlineStr">
        <is>
          <t>Part III - Upstream AI Research</t>
        </is>
      </c>
      <c r="C436" s="10" t="inlineStr">
        <is>
          <t>D.5.4 Scaling laws</t>
        </is>
      </c>
      <c r="D436" s="10" t="inlineStr">
        <is>
          <t>McCandlish et al. 2018, arXiv:1812.06162 (critical batch size)</t>
        </is>
      </c>
      <c r="E436" s="11" t="inlineStr"/>
    </row>
    <row r="437">
      <c r="A437" s="11" t="n">
        <v>433</v>
      </c>
      <c r="B437" s="17" t="inlineStr">
        <is>
          <t>Part III - Upstream AI Research</t>
        </is>
      </c>
      <c r="C437" s="10" t="inlineStr">
        <is>
          <t>D.5.4 Scaling laws</t>
        </is>
      </c>
      <c r="D437" s="10" t="inlineStr">
        <is>
          <t>Lewkowycz et al. 2020, arXiv:2003.02218 (the catapult phase)</t>
        </is>
      </c>
      <c r="E437" s="11" t="inlineStr"/>
    </row>
    <row r="438">
      <c r="A438" s="11" t="n">
        <v>434</v>
      </c>
      <c r="B438" s="17" t="inlineStr">
        <is>
          <t>Part III - Upstream AI Research</t>
        </is>
      </c>
      <c r="C438" s="10" t="inlineStr">
        <is>
          <t>D.5.5 Data - the chapter that transfers most cleanly</t>
        </is>
      </c>
      <c r="D438" s="10" t="inlineStr">
        <is>
          <t>Li et al. 2024, arXiv:2406.11794 (DataComp-LM)</t>
        </is>
      </c>
      <c r="E438" s="11" t="inlineStr"/>
    </row>
    <row r="439">
      <c r="A439" s="11" t="n">
        <v>435</v>
      </c>
      <c r="B439" s="17" t="inlineStr">
        <is>
          <t>Part III - Upstream AI Research</t>
        </is>
      </c>
      <c r="C439" s="10" t="inlineStr">
        <is>
          <t>D.5.5 Data - the chapter that transfers most cleanly</t>
        </is>
      </c>
      <c r="D439" s="10" t="inlineStr">
        <is>
          <t>Penedo et al. 2024, arXiv:2406.17557 (FineWeb)</t>
        </is>
      </c>
      <c r="E439" s="11" t="inlineStr"/>
    </row>
    <row r="440">
      <c r="A440" s="11" t="n">
        <v>436</v>
      </c>
      <c r="B440" s="17" t="inlineStr">
        <is>
          <t>Part III - Upstream AI Research</t>
        </is>
      </c>
      <c r="C440" s="10" t="inlineStr">
        <is>
          <t>D.5.5 Data - the chapter that transfers most cleanly</t>
        </is>
      </c>
      <c r="D440" s="10" t="inlineStr">
        <is>
          <t>Lee et al. 2022, ACL (deduplicating training data makes LMs better)</t>
        </is>
      </c>
      <c r="E440" s="11" t="inlineStr"/>
    </row>
    <row r="441">
      <c r="A441" s="11" t="n">
        <v>437</v>
      </c>
      <c r="B441" s="17" t="inlineStr">
        <is>
          <t>Part III - Upstream AI Research</t>
        </is>
      </c>
      <c r="C441" s="10" t="inlineStr">
        <is>
          <t>D.5.5 Data - the chapter that transfers most cleanly</t>
        </is>
      </c>
      <c r="D441" s="10" t="inlineStr">
        <is>
          <t>Sorscher et al. 2022, arXiv:2206.14486 (beating power-law scaling via data pruning)</t>
        </is>
      </c>
      <c r="E441" s="11" t="inlineStr"/>
    </row>
    <row r="442">
      <c r="A442" s="11" t="n">
        <v>438</v>
      </c>
      <c r="B442" s="17" t="inlineStr">
        <is>
          <t>Part III - Upstream AI Research</t>
        </is>
      </c>
      <c r="C442" s="10" t="inlineStr">
        <is>
          <t>D.5.5 Data - the chapter that transfers most cleanly</t>
        </is>
      </c>
      <c r="D442" s="10" t="inlineStr">
        <is>
          <t>Xie et al. 2023, arXiv:2305.10429 (DoReMi)</t>
        </is>
      </c>
      <c r="E442" s="11" t="inlineStr"/>
    </row>
    <row r="443">
      <c r="A443" s="11" t="n">
        <v>439</v>
      </c>
      <c r="B443" s="17" t="inlineStr">
        <is>
          <t>Part III - Upstream AI Research</t>
        </is>
      </c>
      <c r="C443" s="10" t="inlineStr">
        <is>
          <t>D.5.5 Data - the chapter that transfers most cleanly</t>
        </is>
      </c>
      <c r="D443" s="10" t="inlineStr">
        <is>
          <t>Muennighoff et al. 2023, arXiv:2305.16264 (data-constrained scaling)</t>
        </is>
      </c>
      <c r="E443" s="11" t="inlineStr"/>
    </row>
    <row r="444">
      <c r="A444" s="11" t="n">
        <v>440</v>
      </c>
      <c r="B444" s="17" t="inlineStr">
        <is>
          <t>Part III - Upstream AI Research</t>
        </is>
      </c>
      <c r="C444" s="10" t="inlineStr">
        <is>
          <t>D.5.5 Data - the chapter that transfers most cleanly</t>
        </is>
      </c>
      <c r="D444" s="10" t="inlineStr">
        <is>
          <t>Carlini et al. 2023, arXiv:2302.10149</t>
        </is>
      </c>
      <c r="E444" s="11" t="inlineStr"/>
    </row>
    <row r="445">
      <c r="A445" s="11" t="n">
        <v>441</v>
      </c>
      <c r="B445" s="17" t="inlineStr">
        <is>
          <t>Part III - Upstream AI Research</t>
        </is>
      </c>
      <c r="C445" s="10" t="inlineStr">
        <is>
          <t>D.6.1 The mechanics, and the over-optimization result</t>
        </is>
      </c>
      <c r="D445" s="10" t="inlineStr">
        <is>
          <t>Ouyang et al. 2022, NeurIPS, arXiv:2203.02155 (InstructGPT)</t>
        </is>
      </c>
      <c r="E445" s="11" t="inlineStr"/>
    </row>
    <row r="446">
      <c r="A446" s="11" t="n">
        <v>442</v>
      </c>
      <c r="B446" s="17" t="inlineStr">
        <is>
          <t>Part III - Upstream AI Research</t>
        </is>
      </c>
      <c r="C446" s="10" t="inlineStr">
        <is>
          <t>D.6.1 The mechanics, and the over-optimization result</t>
        </is>
      </c>
      <c r="D446" s="10" t="inlineStr">
        <is>
          <t>Gao, Schulman &amp; Hilton 2023, ICML, arXiv:2210.10760 (Scaling Laws for Reward Model Overoptimization)</t>
        </is>
      </c>
      <c r="E446" s="11" t="inlineStr"/>
    </row>
    <row r="447">
      <c r="A447" s="11" t="n">
        <v>443</v>
      </c>
      <c r="B447" s="17" t="inlineStr">
        <is>
          <t>Part III - Upstream AI Research</t>
        </is>
      </c>
      <c r="C447" s="10" t="inlineStr">
        <is>
          <t>D.6.1 The mechanics, and the over-optimization result</t>
        </is>
      </c>
      <c r="D447" s="10" t="inlineStr">
        <is>
          <t>Christiano et al. 2017, NeurIPS</t>
        </is>
      </c>
      <c r="E447" s="11" t="inlineStr"/>
    </row>
    <row r="448">
      <c r="A448" s="11" t="n">
        <v>444</v>
      </c>
      <c r="B448" s="17" t="inlineStr">
        <is>
          <t>Part III - Upstream AI Research</t>
        </is>
      </c>
      <c r="C448" s="10" t="inlineStr">
        <is>
          <t>D.6.1 The mechanics, and the over-optimization result</t>
        </is>
      </c>
      <c r="D448" s="10" t="inlineStr">
        <is>
          <t>Stiennon et al. 2020, NeurIPS</t>
        </is>
      </c>
      <c r="E448" s="11" t="inlineStr"/>
    </row>
    <row r="449">
      <c r="A449" s="11" t="n">
        <v>445</v>
      </c>
      <c r="B449" s="17" t="inlineStr">
        <is>
          <t>Part III - Upstream AI Research</t>
        </is>
      </c>
      <c r="C449" s="10" t="inlineStr">
        <is>
          <t>D.6.1 The mechanics, and the over-optimization result</t>
        </is>
      </c>
      <c r="D449" s="10" t="inlineStr">
        <is>
          <t>Bai et al. 2022, arXiv:2204.05862</t>
        </is>
      </c>
      <c r="E449" s="11" t="inlineStr"/>
    </row>
    <row r="450">
      <c r="A450" s="11" t="n">
        <v>446</v>
      </c>
      <c r="B450" s="17" t="inlineStr">
        <is>
          <t>Part III - Upstream AI Research</t>
        </is>
      </c>
      <c r="C450" s="10" t="inlineStr">
        <is>
          <t>D.6.3 DPO, PPO and the algorithmic debate</t>
        </is>
      </c>
      <c r="D450" s="10" t="inlineStr">
        <is>
          <t>Rafailov et al. 2023, NeurIPS, arXiv:2305.18290 (DPO)</t>
        </is>
      </c>
      <c r="E450" s="11" t="inlineStr"/>
    </row>
    <row r="451">
      <c r="A451" s="11" t="n">
        <v>447</v>
      </c>
      <c r="B451" s="17" t="inlineStr">
        <is>
          <t>Part III - Upstream AI Research</t>
        </is>
      </c>
      <c r="C451" s="10" t="inlineStr">
        <is>
          <t>D.6.3 DPO, PPO and the algorithmic debate</t>
        </is>
      </c>
      <c r="D451" s="10" t="inlineStr">
        <is>
          <t>Schulman et al. 2017, arXiv:1707.06347 (PPO)</t>
        </is>
      </c>
      <c r="E451" s="11" t="inlineStr"/>
    </row>
    <row r="452">
      <c r="A452" s="11" t="n">
        <v>448</v>
      </c>
      <c r="B452" s="17" t="inlineStr">
        <is>
          <t>Part III - Upstream AI Research</t>
        </is>
      </c>
      <c r="C452" s="10" t="inlineStr">
        <is>
          <t>D.6.3 DPO, PPO and the algorithmic debate</t>
        </is>
      </c>
      <c r="D452" s="10" t="inlineStr">
        <is>
          <t>Ethayarajh et al. 2024 (KTO)</t>
        </is>
      </c>
      <c r="E452" s="11" t="inlineStr"/>
    </row>
    <row r="453">
      <c r="A453" s="11" t="n">
        <v>449</v>
      </c>
      <c r="B453" s="17" t="inlineStr">
        <is>
          <t>Part III - Upstream AI Research</t>
        </is>
      </c>
      <c r="C453" s="10" t="inlineStr">
        <is>
          <t>D.6.3 DPO, PPO and the algorithmic debate</t>
        </is>
      </c>
      <c r="D453" s="10" t="inlineStr">
        <is>
          <t>Meng et al. 2024 (SimPO)</t>
        </is>
      </c>
      <c r="E453" s="11" t="inlineStr"/>
    </row>
    <row r="454">
      <c r="A454" s="11" t="n">
        <v>450</v>
      </c>
      <c r="B454" s="17" t="inlineStr">
        <is>
          <t>Part III - Upstream AI Research</t>
        </is>
      </c>
      <c r="C454" s="10" t="inlineStr">
        <is>
          <t>D.6.3 DPO, PPO and the algorithmic debate</t>
        </is>
      </c>
      <c r="D454" s="10" t="inlineStr">
        <is>
          <t>Xu et al. 2024, ICML (Is DPO superior to PPO?)</t>
        </is>
      </c>
      <c r="E454" s="11" t="inlineStr"/>
    </row>
    <row r="455">
      <c r="A455" s="11" t="n">
        <v>451</v>
      </c>
      <c r="B455" s="17" t="inlineStr">
        <is>
          <t>Part III - Upstream AI Research</t>
        </is>
      </c>
      <c r="C455" s="10" t="inlineStr">
        <is>
          <t>D.6.4 RLVR - reinforcement learning with verifiable rewards</t>
        </is>
      </c>
      <c r="D455" s="10" t="inlineStr">
        <is>
          <t>Lambert et al. 2024, arXiv:2411.15124 (Tulu 3)</t>
        </is>
      </c>
      <c r="E455" s="11" t="inlineStr"/>
    </row>
    <row r="456">
      <c r="A456" s="11" t="n">
        <v>452</v>
      </c>
      <c r="B456" s="17" t="inlineStr">
        <is>
          <t>Part III - Upstream AI Research</t>
        </is>
      </c>
      <c r="C456" s="10" t="inlineStr">
        <is>
          <t>D.6.4 RLVR - reinforcement learning with verifiable rewards</t>
        </is>
      </c>
      <c r="D456" s="10" t="inlineStr">
        <is>
          <t>Shao et al. 2024 (GRPO / DeepSeekMath)</t>
        </is>
      </c>
      <c r="E456" s="11" t="inlineStr"/>
    </row>
    <row r="457">
      <c r="A457" s="11" t="n">
        <v>453</v>
      </c>
      <c r="B457" s="17" t="inlineStr">
        <is>
          <t>Part III - Upstream AI Research</t>
        </is>
      </c>
      <c r="C457" s="10" t="inlineStr">
        <is>
          <t>D.6.4 RLVR - reinforcement learning with verifiable rewards</t>
        </is>
      </c>
      <c r="D457" s="10" t="inlineStr">
        <is>
          <t>DeepSeek-AI 2025 (R1)</t>
        </is>
      </c>
      <c r="E457" s="11" t="inlineStr"/>
    </row>
    <row r="458">
      <c r="A458" s="11" t="n">
        <v>454</v>
      </c>
      <c r="B458" s="17" t="inlineStr">
        <is>
          <t>Part III - Upstream AI Research</t>
        </is>
      </c>
      <c r="C458" s="10" t="inlineStr">
        <is>
          <t>D.6.5 Reward modeling, reward hacking and supervision</t>
        </is>
      </c>
      <c r="D458" s="10" t="inlineStr">
        <is>
          <t>Lambert et al. 2024, arXiv:2403.13787 (RewardBench)</t>
        </is>
      </c>
      <c r="E458" s="11" t="inlineStr"/>
    </row>
    <row r="459">
      <c r="A459" s="11" t="n">
        <v>455</v>
      </c>
      <c r="B459" s="17" t="inlineStr">
        <is>
          <t>Part III - Upstream AI Research</t>
        </is>
      </c>
      <c r="C459" s="10" t="inlineStr">
        <is>
          <t>D.6.5 Reward modeling, reward hacking and supervision</t>
        </is>
      </c>
      <c r="D459" s="10" t="inlineStr">
        <is>
          <t>Burns et al. 2023, arXiv:2312.09390 (weak-to-strong generalization)</t>
        </is>
      </c>
      <c r="E459" s="11" t="inlineStr"/>
    </row>
    <row r="460">
      <c r="A460" s="11" t="n">
        <v>456</v>
      </c>
      <c r="B460" s="17" t="inlineStr">
        <is>
          <t>Part III - Upstream AI Research</t>
        </is>
      </c>
      <c r="C460" s="10" t="inlineStr">
        <is>
          <t>D.6.5 Reward modeling, reward hacking and supervision</t>
        </is>
      </c>
      <c r="D460" s="10" t="inlineStr">
        <is>
          <t>Pan, Bhatia &amp; Steinhardt 2022, ICLR, arXiv:2201.03544 (the effects of reward misspecification)</t>
        </is>
      </c>
      <c r="E460" s="11" t="inlineStr"/>
    </row>
    <row r="461">
      <c r="A461" s="11" t="n">
        <v>457</v>
      </c>
      <c r="B461" s="17" t="inlineStr">
        <is>
          <t>Part III - Upstream AI Research</t>
        </is>
      </c>
      <c r="C461" s="10" t="inlineStr">
        <is>
          <t>D.6.5 Reward modeling, reward hacking and supervision</t>
        </is>
      </c>
      <c r="D461" s="10" t="inlineStr">
        <is>
          <t>Kirchner et al. 2024, arXiv:2407.13692</t>
        </is>
      </c>
      <c r="E461" s="11" t="inlineStr"/>
    </row>
    <row r="462">
      <c r="A462" s="11" t="n">
        <v>458</v>
      </c>
      <c r="B462" s="17" t="inlineStr">
        <is>
          <t>Part III - Upstream AI Research</t>
        </is>
      </c>
      <c r="C462" s="10" t="inlineStr">
        <is>
          <t>D.6.6 Distillation and synthetic data</t>
        </is>
      </c>
      <c r="D462" s="10" t="inlineStr">
        <is>
          <t>Hinton et al. 2015, arXiv:1503.02531</t>
        </is>
      </c>
      <c r="E462" s="11" t="inlineStr"/>
    </row>
    <row r="463">
      <c r="A463" s="11" t="n">
        <v>459</v>
      </c>
      <c r="B463" s="17" t="inlineStr">
        <is>
          <t>Part III - Upstream AI Research</t>
        </is>
      </c>
      <c r="C463" s="10" t="inlineStr">
        <is>
          <t>D.6.6 Distillation and synthetic data</t>
        </is>
      </c>
      <c r="D463" s="10" t="inlineStr">
        <is>
          <t>Wang et al. 2023, ACL, arXiv:2212.10560 (Self-Instruct)</t>
        </is>
      </c>
      <c r="E463" s="11" t="inlineStr"/>
    </row>
    <row r="464">
      <c r="A464" s="11" t="n">
        <v>460</v>
      </c>
      <c r="B464" s="17" t="inlineStr">
        <is>
          <t>Part III - Upstream AI Research</t>
        </is>
      </c>
      <c r="C464" s="10" t="inlineStr">
        <is>
          <t>D.6.6 Distillation and synthetic data</t>
        </is>
      </c>
      <c r="D464" s="10" t="inlineStr">
        <is>
          <t>Gunasekar et al. 2023, arXiv:2306.11644 (Textbooks Are All You Need)</t>
        </is>
      </c>
      <c r="E464" s="11" t="inlineStr"/>
    </row>
    <row r="465">
      <c r="A465" s="11" t="n">
        <v>461</v>
      </c>
      <c r="B465" s="17" t="inlineStr">
        <is>
          <t>Part III - Upstream AI Research</t>
        </is>
      </c>
      <c r="C465" s="10" t="inlineStr">
        <is>
          <t>D.6.6 Distillation and synthetic data</t>
        </is>
      </c>
      <c r="D465" s="10" t="inlineStr">
        <is>
          <t>Chen et al. 2024, arXiv:2401.01335 (SPIN)</t>
        </is>
      </c>
      <c r="E465" s="11" t="inlineStr"/>
    </row>
    <row r="466">
      <c r="A466" s="11" t="n">
        <v>462</v>
      </c>
      <c r="B466" s="17" t="inlineStr">
        <is>
          <t>Part III - Upstream AI Research</t>
        </is>
      </c>
      <c r="C466" s="10" t="inlineStr">
        <is>
          <t>D.6.6 Distillation and synthetic data</t>
        </is>
      </c>
      <c r="D466" s="10" t="inlineStr">
        <is>
          <t>Shumailov et al. 2024, Nature 631:755 (model collapse)</t>
        </is>
      </c>
      <c r="E466" s="11" t="inlineStr"/>
    </row>
    <row r="467">
      <c r="A467" s="11" t="n">
        <v>463</v>
      </c>
      <c r="B467" s="17" t="inlineStr">
        <is>
          <t>Part III - Upstream AI Research</t>
        </is>
      </c>
      <c r="C467" s="10" t="inlineStr">
        <is>
          <t>D.7.1 Chain-of-thought and the theory behind it</t>
        </is>
      </c>
      <c r="D467" s="10" t="inlineStr">
        <is>
          <t>Wei et al. 2022, NeurIPS (chain-of-thought prompting)</t>
        </is>
      </c>
      <c r="E467" s="11" t="inlineStr"/>
    </row>
    <row r="468">
      <c r="A468" s="11" t="n">
        <v>464</v>
      </c>
      <c r="B468" s="17" t="inlineStr">
        <is>
          <t>Part III - Upstream AI Research</t>
        </is>
      </c>
      <c r="C468" s="10" t="inlineStr">
        <is>
          <t>D.7.1 Chain-of-thought and the theory behind it</t>
        </is>
      </c>
      <c r="D468" s="10" t="inlineStr">
        <is>
          <t>Wang et al. 2023, ICLR (self-consistency)</t>
        </is>
      </c>
      <c r="E468" s="11" t="inlineStr"/>
    </row>
    <row r="469">
      <c r="A469" s="11" t="n">
        <v>465</v>
      </c>
      <c r="B469" s="17" t="inlineStr">
        <is>
          <t>Part III - Upstream AI Research</t>
        </is>
      </c>
      <c r="C469" s="10" t="inlineStr">
        <is>
          <t>D.7.1 Chain-of-thought and the theory behind it</t>
        </is>
      </c>
      <c r="D469" s="10" t="inlineStr">
        <is>
          <t>Li et al. 2024, arXiv:2402.12875 (CoT empowers transformers - the circuit-complexity result)</t>
        </is>
      </c>
      <c r="E469" s="11" t="inlineStr"/>
    </row>
    <row r="470">
      <c r="A470" s="11" t="n">
        <v>466</v>
      </c>
      <c r="B470" s="17" t="inlineStr">
        <is>
          <t>Part III - Upstream AI Research</t>
        </is>
      </c>
      <c r="C470" s="10" t="inlineStr">
        <is>
          <t>D.7.1 Chain-of-thought and the theory behind it</t>
        </is>
      </c>
      <c r="D470" s="10" t="inlineStr">
        <is>
          <t>Feng et al. 2023, arXiv:2305.15408</t>
        </is>
      </c>
      <c r="E470" s="11" t="inlineStr"/>
    </row>
    <row r="471">
      <c r="A471" s="11" t="n">
        <v>467</v>
      </c>
      <c r="B471" s="17" t="inlineStr">
        <is>
          <t>Part III - Upstream AI Research</t>
        </is>
      </c>
      <c r="C471" s="10" t="inlineStr">
        <is>
          <t>D.7.1 Chain-of-thought and the theory behind it</t>
        </is>
      </c>
      <c r="D471" s="10" t="inlineStr">
        <is>
          <t>Deng et al. 2024, arXiv:2405.14838 (implicit CoT)</t>
        </is>
      </c>
      <c r="E471" s="11" t="inlineStr"/>
    </row>
    <row r="472">
      <c r="A472" s="11" t="n">
        <v>468</v>
      </c>
      <c r="B472" s="17" t="inlineStr">
        <is>
          <t>Part III - Upstream AI Research</t>
        </is>
      </c>
      <c r="C472" s="10" t="inlineStr">
        <is>
          <t>D.7.1 Chain-of-thought and the theory behind it</t>
        </is>
      </c>
      <c r="D472" s="10" t="inlineStr">
        <is>
          <t>Huang et al. 2024, ICLR, arXiv:2310.01798</t>
        </is>
      </c>
      <c r="E472" s="11" t="inlineStr"/>
    </row>
    <row r="473">
      <c r="A473" s="11" t="n">
        <v>469</v>
      </c>
      <c r="B473" s="17" t="inlineStr">
        <is>
          <t>Part III - Upstream AI Research</t>
        </is>
      </c>
      <c r="C473" s="10" t="inlineStr">
        <is>
          <t>D.7.2 Test-time scaling</t>
        </is>
      </c>
      <c r="D473" s="10" t="inlineStr">
        <is>
          <t>Snell et al. 2024, arXiv:2408.03314</t>
        </is>
      </c>
      <c r="E473" s="11" t="inlineStr"/>
    </row>
    <row r="474">
      <c r="A474" s="11" t="n">
        <v>470</v>
      </c>
      <c r="B474" s="17" t="inlineStr">
        <is>
          <t>Part III - Upstream AI Research</t>
        </is>
      </c>
      <c r="C474" s="10" t="inlineStr">
        <is>
          <t>D.7.2 Test-time scaling</t>
        </is>
      </c>
      <c r="D474" s="10" t="inlineStr">
        <is>
          <t>Welleck et al. 2024, arXiv:2406.16838 (the survey)</t>
        </is>
      </c>
      <c r="E474" s="11" t="inlineStr"/>
    </row>
    <row r="475">
      <c r="A475" s="11" t="n">
        <v>471</v>
      </c>
      <c r="B475" s="17" t="inlineStr">
        <is>
          <t>Part III - Upstream AI Research</t>
        </is>
      </c>
      <c r="C475" s="10" t="inlineStr">
        <is>
          <t>D.7.2 Test-time scaling</t>
        </is>
      </c>
      <c r="D475" s="10" t="inlineStr">
        <is>
          <t>Puri et al. 2025, arXiv:2502.01618 (particle-based Monte Carlo with a PRM)</t>
        </is>
      </c>
      <c r="E475" s="11" t="inlineStr"/>
    </row>
    <row r="476">
      <c r="A476" s="11" t="n">
        <v>472</v>
      </c>
      <c r="B476" s="17" t="inlineStr">
        <is>
          <t>Part III - Upstream AI Research</t>
        </is>
      </c>
      <c r="C476" s="10" t="inlineStr">
        <is>
          <t>D.7.2 Test-time scaling</t>
        </is>
      </c>
      <c r="D476" s="10" t="inlineStr">
        <is>
          <t>Brown et al. 2024 (large language monkeys - repeated sampling)</t>
        </is>
      </c>
      <c r="E476" s="11" t="inlineStr"/>
    </row>
    <row r="477">
      <c r="A477" s="11" t="n">
        <v>473</v>
      </c>
      <c r="B477" s="17" t="inlineStr">
        <is>
          <t>Part III - Upstream AI Research</t>
        </is>
      </c>
      <c r="C477" s="10" t="inlineStr">
        <is>
          <t>D.7.3 The o1/R1 line</t>
        </is>
      </c>
      <c r="D477" s="10" t="inlineStr">
        <is>
          <t>DeepSeek-AI 2025, arXiv:2501.12948 (R1)</t>
        </is>
      </c>
      <c r="E477" s="11" t="inlineStr"/>
    </row>
    <row r="478">
      <c r="A478" s="11" t="n">
        <v>474</v>
      </c>
      <c r="B478" s="17" t="inlineStr">
        <is>
          <t>Part III - Upstream AI Research</t>
        </is>
      </c>
      <c r="C478" s="10" t="inlineStr">
        <is>
          <t>D.7.3 The o1/R1 line</t>
        </is>
      </c>
      <c r="D478" s="10" t="inlineStr">
        <is>
          <t>Muennighoff et al. 2025, arXiv:2501.19393 (s1)</t>
        </is>
      </c>
      <c r="E478" s="11" t="inlineStr"/>
    </row>
    <row r="479">
      <c r="A479" s="11" t="n">
        <v>475</v>
      </c>
      <c r="B479" s="17" t="inlineStr">
        <is>
          <t>Part III - Upstream AI Research</t>
        </is>
      </c>
      <c r="C479" s="10" t="inlineStr">
        <is>
          <t>D.7.3 The o1/R1 line</t>
        </is>
      </c>
      <c r="D479" s="10" t="inlineStr">
        <is>
          <t>OpenAI o1 system card</t>
        </is>
      </c>
      <c r="E479" s="11" t="inlineStr"/>
    </row>
    <row r="480">
      <c r="A480" s="11" t="n">
        <v>476</v>
      </c>
      <c r="B480" s="17" t="inlineStr">
        <is>
          <t>Part III - Upstream AI Research</t>
        </is>
      </c>
      <c r="C480" s="10" t="inlineStr">
        <is>
          <t>D.7.4 Process versus outcome supervision</t>
        </is>
      </c>
      <c r="D480" s="10" t="inlineStr">
        <is>
          <t>Cobbe et al. 2021, arXiv:2110.14168 (GSM8K and verifiers)</t>
        </is>
      </c>
      <c r="E480" s="11" t="inlineStr"/>
    </row>
    <row r="481">
      <c r="A481" s="11" t="n">
        <v>477</v>
      </c>
      <c r="B481" s="17" t="inlineStr">
        <is>
          <t>Part III - Upstream AI Research</t>
        </is>
      </c>
      <c r="C481" s="10" t="inlineStr">
        <is>
          <t>D.7.4 Process versus outcome supervision</t>
        </is>
      </c>
      <c r="D481" s="10" t="inlineStr">
        <is>
          <t>Lightman et al. 2024, ICLR, arXiv:2305.20050 (Let's Verify Step by Step)</t>
        </is>
      </c>
      <c r="E481" s="11" t="inlineStr"/>
    </row>
    <row r="482">
      <c r="A482" s="11" t="n">
        <v>478</v>
      </c>
      <c r="B482" s="17" t="inlineStr">
        <is>
          <t>Part III - Upstream AI Research</t>
        </is>
      </c>
      <c r="C482" s="10" t="inlineStr">
        <is>
          <t>D.7.5 In-context learning and induction heads</t>
        </is>
      </c>
      <c r="D482" s="10" t="inlineStr">
        <is>
          <t>Olsson et al. 2022, Transformer Circuits (induction heads)</t>
        </is>
      </c>
      <c r="E482" s="11" t="inlineStr"/>
    </row>
    <row r="483">
      <c r="A483" s="11" t="n">
        <v>479</v>
      </c>
      <c r="B483" s="17" t="inlineStr">
        <is>
          <t>Part III - Upstream AI Research</t>
        </is>
      </c>
      <c r="C483" s="10" t="inlineStr">
        <is>
          <t>D.7.5 In-context learning and induction heads</t>
        </is>
      </c>
      <c r="D483" s="10" t="inlineStr">
        <is>
          <t>Akyürek et al. 2023, ICLR, arXiv:2211.15661 (ICL implements gradient descent)</t>
        </is>
      </c>
      <c r="E483" s="11" t="inlineStr"/>
    </row>
    <row r="484">
      <c r="A484" s="11" t="n">
        <v>480</v>
      </c>
      <c r="B484" s="17" t="inlineStr">
        <is>
          <t>Part III - Upstream AI Research</t>
        </is>
      </c>
      <c r="C484" s="10" t="inlineStr">
        <is>
          <t>D.7.5 In-context learning and induction heads</t>
        </is>
      </c>
      <c r="D484" s="10" t="inlineStr">
        <is>
          <t>Garg et al. 2022, NeurIPS, arXiv:2208.01066</t>
        </is>
      </c>
      <c r="E484" s="11" t="inlineStr"/>
    </row>
    <row r="485">
      <c r="A485" s="11" t="n">
        <v>481</v>
      </c>
      <c r="B485" s="17" t="inlineStr">
        <is>
          <t>Part III - Upstream AI Research</t>
        </is>
      </c>
      <c r="C485" s="10" t="inlineStr">
        <is>
          <t>D.7.5 In-context learning and induction heads</t>
        </is>
      </c>
      <c r="D485" s="10" t="inlineStr">
        <is>
          <t>Xie et al. 2022, ICLR, arXiv:2111.02080 (ICL as implicit Bayesian inference)</t>
        </is>
      </c>
      <c r="E485" s="11" t="inlineStr"/>
    </row>
    <row r="486">
      <c r="A486" s="11" t="n">
        <v>482</v>
      </c>
      <c r="B486" s="17" t="inlineStr">
        <is>
          <t>Part III - Upstream AI Research</t>
        </is>
      </c>
      <c r="C486" s="10" t="inlineStr">
        <is>
          <t>D.7.5 In-context learning and induction heads</t>
        </is>
      </c>
      <c r="D486" s="10" t="inlineStr">
        <is>
          <t>von Oswald et al. 2023, ICML</t>
        </is>
      </c>
      <c r="E486" s="11" t="inlineStr"/>
    </row>
    <row r="487">
      <c r="A487" s="11" t="n">
        <v>483</v>
      </c>
      <c r="B487" s="17" t="inlineStr">
        <is>
          <t>Part III - Upstream AI Research</t>
        </is>
      </c>
      <c r="C487" s="10" t="inlineStr">
        <is>
          <t>D.7.6 Emergence - and the argument about it</t>
        </is>
      </c>
      <c r="D487" s="10" t="inlineStr">
        <is>
          <t>Wei et al. 2022, TMLR (emergent abilities)</t>
        </is>
      </c>
      <c r="E487" s="11" t="inlineStr"/>
    </row>
    <row r="488">
      <c r="A488" s="11" t="n">
        <v>484</v>
      </c>
      <c r="B488" s="17" t="inlineStr">
        <is>
          <t>Part III - Upstream AI Research</t>
        </is>
      </c>
      <c r="C488" s="10" t="inlineStr">
        <is>
          <t>D.7.6 Emergence - and the argument about it</t>
        </is>
      </c>
      <c r="D488" s="10" t="inlineStr">
        <is>
          <t>Schaeffer et al. 2023, NeurIPS, arXiv:2304.15004 (Are Emergent Abilities a Mirage?)</t>
        </is>
      </c>
      <c r="E488" s="11" t="inlineStr"/>
    </row>
    <row r="489">
      <c r="A489" s="11" t="n">
        <v>485</v>
      </c>
      <c r="B489" s="17" t="inlineStr">
        <is>
          <t>Part III - Upstream AI Research</t>
        </is>
      </c>
      <c r="C489" s="10" t="inlineStr">
        <is>
          <t>D.7.6 Emergence - and the argument about it</t>
        </is>
      </c>
      <c r="D489" s="10" t="inlineStr">
        <is>
          <t>Arora &amp; Goyal 2023, arXiv:2307.15936</t>
        </is>
      </c>
      <c r="E489" s="11" t="inlineStr"/>
    </row>
    <row r="490">
      <c r="A490" s="11" t="n">
        <v>486</v>
      </c>
      <c r="B490" s="17" t="inlineStr">
        <is>
          <t>Part III - Upstream AI Research</t>
        </is>
      </c>
      <c r="C490" s="10" t="inlineStr">
        <is>
          <t>D.7.6 Emergence - and the argument about it</t>
        </is>
      </c>
      <c r="D490" s="10" t="inlineStr">
        <is>
          <t>Nanda et al. 2023, ICLR, arXiv:2301.05217 (grokking)</t>
        </is>
      </c>
      <c r="E490" s="11" t="inlineStr"/>
    </row>
    <row r="491">
      <c r="A491" s="11" t="n">
        <v>487</v>
      </c>
      <c r="B491" s="17" t="inlineStr">
        <is>
          <t>Part III - Upstream AI Research</t>
        </is>
      </c>
      <c r="C491" s="10" t="inlineStr">
        <is>
          <t>D.7.7 Is reasoning real? - the standing debate</t>
        </is>
      </c>
      <c r="D491" s="10" t="inlineStr">
        <is>
          <t>McCoy et al. 2024, PNAS 121:e2322420121 (Embers of Autoregression)</t>
        </is>
      </c>
      <c r="E491" s="11" t="inlineStr"/>
    </row>
    <row r="492">
      <c r="A492" s="11" t="n">
        <v>488</v>
      </c>
      <c r="B492" s="17" t="inlineStr">
        <is>
          <t>Part III - Upstream AI Research</t>
        </is>
      </c>
      <c r="C492" s="10" t="inlineStr">
        <is>
          <t>D.7.7 Is reasoning real? - the standing debate</t>
        </is>
      </c>
      <c r="D492" s="10" t="inlineStr">
        <is>
          <t>Bubeck et al. 2023, arXiv:2303.12712 (Sparks of AGI)</t>
        </is>
      </c>
      <c r="E492" s="11" t="inlineStr"/>
    </row>
    <row r="493">
      <c r="A493" s="11" t="n">
        <v>489</v>
      </c>
      <c r="B493" s="17" t="inlineStr">
        <is>
          <t>Part III - Upstream AI Research</t>
        </is>
      </c>
      <c r="C493" s="10" t="inlineStr">
        <is>
          <t>D.7.7 Is reasoning real? - the standing debate</t>
        </is>
      </c>
      <c r="D493" s="10" t="inlineStr">
        <is>
          <t>Valmeekam et al. 2023, NeurIPS (planbench)</t>
        </is>
      </c>
      <c r="E493" s="11" t="inlineStr"/>
    </row>
    <row r="494">
      <c r="A494" s="11" t="n">
        <v>490</v>
      </c>
      <c r="B494" s="17" t="inlineStr">
        <is>
          <t>Part III - Upstream AI Research</t>
        </is>
      </c>
      <c r="C494" s="10" t="inlineStr">
        <is>
          <t>D.7.7 Is reasoning real? - the standing debate</t>
        </is>
      </c>
      <c r="D494" s="10" t="inlineStr">
        <is>
          <t>Kambhampati et al. 2024, arXiv:2402.01817 (LLM-Modulo)</t>
        </is>
      </c>
      <c r="E494" s="11" t="inlineStr"/>
    </row>
    <row r="495">
      <c r="A495" s="11" t="n">
        <v>491</v>
      </c>
      <c r="B495" s="17" t="inlineStr">
        <is>
          <t>Part III - Upstream AI Research</t>
        </is>
      </c>
      <c r="C495" s="10" t="inlineStr">
        <is>
          <t>D.7.7 Is reasoning real? - the standing debate</t>
        </is>
      </c>
      <c r="D495" s="10" t="inlineStr">
        <is>
          <t>Chollet 2019, arXiv:1911.01547 (ARC)</t>
        </is>
      </c>
      <c r="E495" s="11" t="inlineStr"/>
    </row>
    <row r="496">
      <c r="A496" s="11" t="n">
        <v>492</v>
      </c>
      <c r="B496" s="19" t="inlineStr">
        <is>
          <t>Part IV - Performance Engineering</t>
        </is>
      </c>
      <c r="C496" s="10" t="inlineStr">
        <is>
          <t>The Stephen Jones sequence - and a caveat about where it lives</t>
        </is>
      </c>
      <c r="D496" s="10" t="inlineStr">
        <is>
          <t>Jia et al., Dissecting the NVIDIA Volta GPU Architecture via Microbenchmarking, arXiv:1804.06826 (Turing sequel arXiv:1903.07486)</t>
        </is>
      </c>
      <c r="E496" s="11" t="inlineStr"/>
    </row>
    <row r="497">
      <c r="A497" s="11" t="n">
        <v>493</v>
      </c>
      <c r="B497" s="19" t="inlineStr">
        <is>
          <t>Part IV - Performance Engineering</t>
        </is>
      </c>
      <c r="C497" s="10" t="inlineStr">
        <is>
          <t>The Stephen Jones sequence - and a caveat about where it lives</t>
        </is>
      </c>
      <c r="D497" s="10" t="inlineStr">
        <is>
          <t>the Hopper and Blackwell architecture whitepapers</t>
        </is>
      </c>
      <c r="E497" s="11" t="inlineStr"/>
    </row>
    <row r="498">
      <c r="A498" s="11" t="n">
        <v>494</v>
      </c>
      <c r="B498" s="19" t="inlineStr">
        <is>
          <t>Part IV - Performance Engineering</t>
        </is>
      </c>
      <c r="C498" s="10" t="inlineStr">
        <is>
          <t>The Stephen Jones sequence - and a caveat about where it lives</t>
        </is>
      </c>
      <c r="D498" s="10" t="inlineStr">
        <is>
          <t>the CUDA C++ Programming Guide memory-model chapter</t>
        </is>
      </c>
      <c r="E498" s="11" t="inlineStr"/>
    </row>
    <row r="499">
      <c r="A499" s="11" t="n">
        <v>495</v>
      </c>
      <c r="B499" s="19" t="inlineStr">
        <is>
          <t>Part IV - Performance Engineering</t>
        </is>
      </c>
      <c r="C499" s="10" t="inlineStr">
        <is>
          <t>E.4.4 Triton</t>
        </is>
      </c>
      <c r="D499" s="10" t="inlineStr">
        <is>
          <t>Tillet, Kung &amp; Cox, Triton: An Intermediate Language and Compiler for Tiled Neural Network Computations, MAPL 2019</t>
        </is>
      </c>
      <c r="E499" s="11" t="inlineStr"/>
    </row>
    <row r="500">
      <c r="A500" s="11" t="n">
        <v>496</v>
      </c>
      <c r="B500" s="19" t="inlineStr">
        <is>
          <t>Part IV - Performance Engineering</t>
        </is>
      </c>
      <c r="C500" s="10" t="inlineStr">
        <is>
          <t>E.4.5 CUTLASS and CuTe</t>
        </is>
      </c>
      <c r="D500" s="10" t="inlineStr">
        <is>
          <t>Shah, Bikshandi, Zhang, Thakkar, Ramani &amp; Dao, FlashAttention-3, arXiv:2407.08608. Colfax's written tutorials at research.colfax-intl.com/blog are the real substitute for their missing video channel</t>
        </is>
      </c>
      <c r="E500" s="11" t="inlineStr"/>
    </row>
    <row r="501">
      <c r="A501" s="11" t="n">
        <v>497</v>
      </c>
      <c r="B501" s="19" t="inlineStr">
        <is>
          <t>Part IV - Performance Engineering</t>
        </is>
      </c>
      <c r="C501" s="10" t="inlineStr">
        <is>
          <t>E.4.7 PyTorch internals and compilers</t>
        </is>
      </c>
      <c r="D501" s="10" t="inlineStr">
        <is>
          <t>Ansel et al., PyTorch 2, ASPLOS 2024</t>
        </is>
      </c>
      <c r="E501" s="11" t="inlineStr"/>
    </row>
    <row r="502">
      <c r="A502" s="11" t="n">
        <v>498</v>
      </c>
      <c r="B502" s="19" t="inlineStr">
        <is>
          <t>Part IV - Performance Engineering</t>
        </is>
      </c>
      <c r="C502" s="10" t="inlineStr">
        <is>
          <t>E.4.8 Numerics and determinism</t>
        </is>
      </c>
      <c r="D502" s="10" t="inlineStr">
        <is>
          <t>Micikevicius et al., Mixed Precision Training, arXiv:1710.03740</t>
        </is>
      </c>
      <c r="E502" s="11" t="inlineStr"/>
    </row>
    <row r="503">
      <c r="A503" s="11" t="n">
        <v>499</v>
      </c>
      <c r="B503" s="19" t="inlineStr">
        <is>
          <t>Part IV - Performance Engineering</t>
        </is>
      </c>
      <c r="C503" s="10" t="inlineStr">
        <is>
          <t>E.4.8 Numerics and determinism</t>
        </is>
      </c>
      <c r="D503" s="10" t="inlineStr">
        <is>
          <t>FP8 Formats for Deep Learning, arXiv:2209.05433</t>
        </is>
      </c>
      <c r="E503" s="11" t="inlineStr"/>
    </row>
    <row r="504">
      <c r="A504" s="11" t="n">
        <v>500</v>
      </c>
      <c r="B504" s="19" t="inlineStr">
        <is>
          <t>Part IV - Performance Engineering</t>
        </is>
      </c>
      <c r="C504" s="10" t="inlineStr">
        <is>
          <t>E.4.8 Numerics and determinism</t>
        </is>
      </c>
      <c r="D504" s="10" t="inlineStr">
        <is>
          <t>the OCP Microscaling Formats Specification v1.0</t>
        </is>
      </c>
      <c r="E504" s="11" t="inlineStr"/>
    </row>
    <row r="505">
      <c r="A505" s="11" t="n">
        <v>501</v>
      </c>
      <c r="B505" s="19" t="inlineStr">
        <is>
          <t>Part IV - Performance Engineering</t>
        </is>
      </c>
      <c r="C505" s="10" t="inlineStr">
        <is>
          <t>E.4.8 Numerics and determinism</t>
        </is>
      </c>
      <c r="D505" s="10" t="inlineStr">
        <is>
          <t>Kumar et al., Scaling Laws for Precision, arXiv:2411.04330</t>
        </is>
      </c>
      <c r="E505" s="11" t="inlineStr"/>
    </row>
    <row r="506">
      <c r="A506" s="11" t="n">
        <v>502</v>
      </c>
      <c r="B506" s="19" t="inlineStr">
        <is>
          <t>Part IV - Performance Engineering</t>
        </is>
      </c>
      <c r="C506" s="10" t="inlineStr">
        <is>
          <t>E.5.1 TPU architecture</t>
        </is>
      </c>
      <c r="D506" s="10" t="inlineStr">
        <is>
          <t>Jouppi et al., In-Datacenter Performance Analysis of a Tensor Processing Unit, ISCA 2017, arXiv:1704.04760</t>
        </is>
      </c>
      <c r="E506" s="11" t="inlineStr"/>
    </row>
    <row r="507">
      <c r="A507" s="11" t="n">
        <v>503</v>
      </c>
      <c r="B507" s="19" t="inlineStr">
        <is>
          <t>Part IV - Performance Engineering</t>
        </is>
      </c>
      <c r="C507" s="10" t="inlineStr">
        <is>
          <t>E.5.1 TPU architecture</t>
        </is>
      </c>
      <c r="D507" s="10" t="inlineStr">
        <is>
          <t>Jouppi et al., TPU v4: An Optically Reconfigurable Supercomputer with Hardware Support for Embeddings, ISCA 2023, arXiv:2304.01433</t>
        </is>
      </c>
      <c r="E507" s="11" t="inlineStr"/>
    </row>
    <row r="508">
      <c r="A508" s="11" t="n">
        <v>504</v>
      </c>
      <c r="B508" s="19" t="inlineStr">
        <is>
          <t>Part IV - Performance Engineering</t>
        </is>
      </c>
      <c r="C508" s="10" t="inlineStr">
        <is>
          <t>E.5.2 XLA, MLIR and the compiler layer</t>
        </is>
      </c>
      <c r="D508" s="10" t="inlineStr">
        <is>
          <t>Chen et al., TVM, OSDI 2018, arXiv:1802.04799</t>
        </is>
      </c>
      <c r="E508" s="11" t="inlineStr"/>
    </row>
    <row r="509">
      <c r="A509" s="11" t="n">
        <v>505</v>
      </c>
      <c r="B509" s="19" t="inlineStr">
        <is>
          <t>Part IV - Performance Engineering</t>
        </is>
      </c>
      <c r="C509" s="10" t="inlineStr">
        <is>
          <t>E.5.2 XLA, MLIR and the compiler layer</t>
        </is>
      </c>
      <c r="D509" s="10" t="inlineStr">
        <is>
          <t>Lattner et al., MLIR, CGO 2021, arXiv:2002.11054</t>
        </is>
      </c>
      <c r="E509" s="11" t="inlineStr"/>
    </row>
    <row r="510">
      <c r="A510" s="11" t="n">
        <v>506</v>
      </c>
      <c r="B510" s="19" t="inlineStr">
        <is>
          <t>Part IV - Performance Engineering</t>
        </is>
      </c>
      <c r="C510" s="10" t="inlineStr">
        <is>
          <t>E.5.2 XLA, MLIR and the compiler layer</t>
        </is>
      </c>
      <c r="D510" s="10" t="inlineStr">
        <is>
          <t>Ragan-Kelley et al., Halide, PLDI 2013</t>
        </is>
      </c>
      <c r="E510" s="11" t="inlineStr"/>
    </row>
    <row r="511">
      <c r="A511" s="11" t="n">
        <v>507</v>
      </c>
      <c r="B511" s="19" t="inlineStr">
        <is>
          <t>Part IV - Performance Engineering</t>
        </is>
      </c>
      <c r="C511" s="10" t="inlineStr">
        <is>
          <t>E.5.2 XLA, MLIR and the compiler layer</t>
        </is>
      </c>
      <c r="D511" s="10" t="inlineStr">
        <is>
          <t>Zheng et al., Ansor, OSDI 2020</t>
        </is>
      </c>
      <c r="E511" s="11" t="inlineStr"/>
    </row>
    <row r="512">
      <c r="A512" s="11" t="n">
        <v>508</v>
      </c>
      <c r="B512" s="19" t="inlineStr">
        <is>
          <t>Part IV - Performance Engineering</t>
        </is>
      </c>
      <c r="C512" s="10" t="inlineStr">
        <is>
          <t>E.5.3 JAX, and JAX for molecular simulation</t>
        </is>
      </c>
      <c r="D512" s="10" t="inlineStr">
        <is>
          <t>Schoenholz &amp; Cubuk, JAX MD, NeurIPS 2020, arXiv:1912.04232</t>
        </is>
      </c>
      <c r="E512" s="11" t="inlineStr"/>
    </row>
    <row r="513">
      <c r="A513" s="11" t="n">
        <v>509</v>
      </c>
      <c r="B513" s="19" t="inlineStr">
        <is>
          <t>Part IV - Performance Engineering</t>
        </is>
      </c>
      <c r="C513" s="10" t="inlineStr">
        <is>
          <t>E.5.3 JAX, and JAX for molecular simulation</t>
        </is>
      </c>
      <c r="D513" s="10" t="inlineStr">
        <is>
          <t>Bradbury et al., JAX (2018)</t>
        </is>
      </c>
      <c r="E513" s="11" t="inlineStr"/>
    </row>
    <row r="514">
      <c r="A514" s="11" t="n">
        <v>510</v>
      </c>
      <c r="B514" s="19" t="inlineStr">
        <is>
          <t>Part IV - Performance Engineering</t>
        </is>
      </c>
      <c r="C514" s="10" t="inlineStr">
        <is>
          <t>E.5.3 JAX, and JAX for molecular simulation</t>
        </is>
      </c>
      <c r="D514" s="10" t="inlineStr">
        <is>
          <t>Austin, Douglas, Frostig, Levskaya et al., How to Scale Your Model, jax-ml.github.io/scaling-book - a book, with no recorded lecture; #30 is the closest substitute</t>
        </is>
      </c>
      <c r="E514" s="11" t="inlineStr"/>
    </row>
    <row r="515">
      <c r="A515" s="11" t="n">
        <v>511</v>
      </c>
      <c r="B515" s="19" t="inlineStr">
        <is>
          <t>Part IV - Performance Engineering</t>
        </is>
      </c>
      <c r="C515" s="10" t="inlineStr">
        <is>
          <t>E.5.4 The codesign argument, and four answers to it</t>
        </is>
      </c>
      <c r="D515" s="10" t="inlineStr">
        <is>
          <t>Hennessy &amp; Patterson, A New Golden Age for Computer Architecture, CACM 62(2):48–60, 2019</t>
        </is>
      </c>
      <c r="E515" s="11" t="inlineStr"/>
    </row>
    <row r="516">
      <c r="A516" s="11" t="n">
        <v>512</v>
      </c>
      <c r="B516" s="19" t="inlineStr">
        <is>
          <t>Part IV - Performance Engineering</t>
        </is>
      </c>
      <c r="C516" s="10" t="inlineStr">
        <is>
          <t>E.5.4 The codesign argument, and four answers to it</t>
        </is>
      </c>
      <c r="D516" s="10" t="inlineStr">
        <is>
          <t>Abts et al., Think Fast: A Tensor Streaming Processor, ISCA 2020</t>
        </is>
      </c>
      <c r="E516" s="11" t="inlineStr"/>
    </row>
    <row r="517">
      <c r="A517" s="11" t="n">
        <v>513</v>
      </c>
      <c r="B517" s="19" t="inlineStr">
        <is>
          <t>Part IV - Performance Engineering</t>
        </is>
      </c>
      <c r="C517" s="10" t="inlineStr">
        <is>
          <t>E.5.5 Anton - the biology codesign result</t>
        </is>
      </c>
      <c r="D517" s="10" t="inlineStr">
        <is>
          <t>, DOIs resolved rather than recalled: Shaw et al., Anton, a special-purpose machine for molecular dynamics simulation, ISCA 2007, 10.1145/1250662.1250664</t>
        </is>
      </c>
      <c r="E517" s="11" t="inlineStr"/>
    </row>
    <row r="518">
      <c r="A518" s="11" t="n">
        <v>514</v>
      </c>
      <c r="B518" s="19" t="inlineStr">
        <is>
          <t>Part IV - Performance Engineering</t>
        </is>
      </c>
      <c r="C518" s="10" t="inlineStr">
        <is>
          <t>E.5.5 Anton - the biology codesign result</t>
        </is>
      </c>
      <c r="D518" s="10" t="inlineStr">
        <is>
          <t>Shaw et al., Millisecond-scale molecular dynamics simulations on Anton, SC09 (Gordon Bell Prize), 10.1145/1654059.1654126</t>
        </is>
      </c>
      <c r="E518" s="11" t="inlineStr"/>
    </row>
    <row r="519">
      <c r="A519" s="11" t="n">
        <v>515</v>
      </c>
      <c r="B519" s="19" t="inlineStr">
        <is>
          <t>Part IV - Performance Engineering</t>
        </is>
      </c>
      <c r="C519" s="10" t="inlineStr">
        <is>
          <t>E.5.5 Anton - the biology codesign result</t>
        </is>
      </c>
      <c r="D519" s="10" t="inlineStr">
        <is>
          <t>Shaw et al., Anton 2, SC14, 10.1109/SC.2014.9</t>
        </is>
      </c>
      <c r="E519" s="11" t="inlineStr"/>
    </row>
    <row r="520">
      <c r="A520" s="11" t="n">
        <v>516</v>
      </c>
      <c r="B520" s="19" t="inlineStr">
        <is>
          <t>Part IV - Performance Engineering</t>
        </is>
      </c>
      <c r="C520" s="10" t="inlineStr">
        <is>
          <t>E.5.5 Anton - the biology codesign result</t>
        </is>
      </c>
      <c r="D520" s="10" t="inlineStr">
        <is>
          <t>Shaw et al., Anton 3: Twenty Microseconds of Molecular Dynamics Simulation Before Lunch, SC21, 10.1145/3458817.3487397</t>
        </is>
      </c>
      <c r="E520" s="11" t="inlineStr"/>
    </row>
    <row r="521">
      <c r="A521" s="11" t="n">
        <v>517</v>
      </c>
      <c r="B521" s="19" t="inlineStr">
        <is>
          <t>Part IV - Performance Engineering</t>
        </is>
      </c>
      <c r="C521" s="10" t="inlineStr">
        <is>
          <t>E.5.5 Anton - the biology codesign result</t>
        </is>
      </c>
      <c r="D521" s="10" t="inlineStr">
        <is>
          <t>Anton: A Specialized Machine for Millisecond-Scale MD Simulations of Proteins, IEEE ARITH 2009, 10.1109/arith.2009.33 - the best source on Anton's custom arithmetic, and the direct pair for E.6.3</t>
        </is>
      </c>
      <c r="E521" s="11" t="inlineStr"/>
    </row>
    <row r="522">
      <c r="A522" s="11" t="n">
        <v>518</v>
      </c>
      <c r="B522" s="19" t="inlineStr">
        <is>
          <t>Part IV - Performance Engineering</t>
        </is>
      </c>
      <c r="C522" s="10" t="inlineStr">
        <is>
          <t>E.5.5 Anton - the biology codesign result</t>
        </is>
      </c>
      <c r="D522" s="10" t="inlineStr">
        <is>
          <t>Towles et al., Unifying On-Chip and Inter-Node Switching Within the Anton 2 Network, ISCA 2014</t>
        </is>
      </c>
      <c r="E522" s="11" t="inlineStr"/>
    </row>
    <row r="523">
      <c r="A523" s="11" t="n">
        <v>519</v>
      </c>
      <c r="B523" s="19" t="inlineStr">
        <is>
          <t>Part IV - Performance Engineering</t>
        </is>
      </c>
      <c r="C523" s="10" t="inlineStr">
        <is>
          <t>E.5.5 Anton - the biology codesign result</t>
        </is>
      </c>
      <c r="D523" s="10" t="inlineStr">
        <is>
          <t>Shim et al., The Specialized High-Performance Network on Anton 3, HPCA 2022</t>
        </is>
      </c>
      <c r="E523" s="11" t="inlineStr"/>
    </row>
    <row r="524">
      <c r="A524" s="11" t="n">
        <v>520</v>
      </c>
      <c r="B524" s="19" t="inlineStr">
        <is>
          <t>Part IV - Performance Engineering</t>
        </is>
      </c>
      <c r="C524" s="10" t="inlineStr">
        <is>
          <t>E.6.1 GROMACS internals and performance</t>
        </is>
      </c>
      <c r="D524" s="10" t="inlineStr">
        <is>
          <t>Páll et al. 2020, J Chem Phys 153:134110 (heterogeneous parallelization and the GPU-resident path)</t>
        </is>
      </c>
      <c r="E524" s="11" t="inlineStr"/>
    </row>
    <row r="525">
      <c r="A525" s="11" t="n">
        <v>521</v>
      </c>
      <c r="B525" s="19" t="inlineStr">
        <is>
          <t>Part IV - Performance Engineering</t>
        </is>
      </c>
      <c r="C525" s="10" t="inlineStr">
        <is>
          <t>E.6.1 GROMACS internals and performance</t>
        </is>
      </c>
      <c r="D525" s="10" t="inlineStr">
        <is>
          <t>Páll et al. 2015, EASC, LNCS 8759:3</t>
        </is>
      </c>
      <c r="E525" s="11" t="inlineStr"/>
    </row>
    <row r="526">
      <c r="A526" s="11" t="n">
        <v>522</v>
      </c>
      <c r="B526" s="19" t="inlineStr">
        <is>
          <t>Part IV - Performance Engineering</t>
        </is>
      </c>
      <c r="C526" s="10" t="inlineStr">
        <is>
          <t>E.6.1 GROMACS internals and performance</t>
        </is>
      </c>
      <c r="D526" s="10" t="inlineStr">
        <is>
          <t>Páll &amp; Hess 2013, Comput Phys Commun 184:2641 - the cluster pair algorithm, which is the actual reason GROMACS is fast, and which has no talk at all</t>
        </is>
      </c>
      <c r="E526" s="11" t="inlineStr"/>
    </row>
    <row r="527">
      <c r="A527" s="11" t="n">
        <v>523</v>
      </c>
      <c r="B527" s="19" t="inlineStr">
        <is>
          <t>Part IV - Performance Engineering</t>
        </is>
      </c>
      <c r="C527" s="10" t="inlineStr">
        <is>
          <t>E.6.1 GROMACS internals and performance</t>
        </is>
      </c>
      <c r="D527" s="10" t="inlineStr">
        <is>
          <t>Abraham et al. 2015, SoftwareX 1–2:19</t>
        </is>
      </c>
      <c r="E527" s="11" t="inlineStr"/>
    </row>
    <row r="528">
      <c r="A528" s="11" t="n">
        <v>524</v>
      </c>
      <c r="B528" s="19" t="inlineStr">
        <is>
          <t>Part IV - Performance Engineering</t>
        </is>
      </c>
      <c r="C528" s="10" t="inlineStr">
        <is>
          <t>E.6.3 The algorithms that make MD fast</t>
        </is>
      </c>
      <c r="D528" s="10" t="inlineStr">
        <is>
          <t>Essmann et al. 1995, JCP 103:8577 (smooth PME)</t>
        </is>
      </c>
      <c r="E528" s="11" t="inlineStr"/>
    </row>
    <row r="529">
      <c r="A529" s="11" t="n">
        <v>525</v>
      </c>
      <c r="B529" s="19" t="inlineStr">
        <is>
          <t>Part IV - Performance Engineering</t>
        </is>
      </c>
      <c r="C529" s="10" t="inlineStr">
        <is>
          <t>E.6.3 The algorithms that make MD fast</t>
        </is>
      </c>
      <c r="D529" s="10" t="inlineStr">
        <is>
          <t>Hess et al. 1997, J Comput Chem 18:1463 (LINCS) and Hess 2008, JCTC 4:116 (P-LINCS)</t>
        </is>
      </c>
      <c r="E529" s="11" t="inlineStr"/>
    </row>
    <row r="530">
      <c r="A530" s="11" t="n">
        <v>526</v>
      </c>
      <c r="B530" s="19" t="inlineStr">
        <is>
          <t>Part IV - Performance Engineering</t>
        </is>
      </c>
      <c r="C530" s="10" t="inlineStr">
        <is>
          <t>E.6.3 The algorithms that make MD fast</t>
        </is>
      </c>
      <c r="D530" s="10" t="inlineStr">
        <is>
          <t>Miyamoto &amp; Kollman 1992, J Comput Chem 13:952 (SETTLE)</t>
        </is>
      </c>
      <c r="E530" s="11" t="inlineStr"/>
    </row>
    <row r="531">
      <c r="A531" s="11" t="n">
        <v>527</v>
      </c>
      <c r="B531" s="19" t="inlineStr">
        <is>
          <t>Part IV - Performance Engineering</t>
        </is>
      </c>
      <c r="C531" s="10" t="inlineStr">
        <is>
          <t>E.6.3 The algorithms that make MD fast</t>
        </is>
      </c>
      <c r="D531" s="10" t="inlineStr">
        <is>
          <t>Hopkins, Le Grand, Walker &amp; Roitberg 2015, JCTC 11:1864 (hydrogen mass repartitioning)</t>
        </is>
      </c>
      <c r="E531" s="11" t="inlineStr"/>
    </row>
    <row r="532">
      <c r="A532" s="11" t="n">
        <v>528</v>
      </c>
      <c r="B532" s="19" t="inlineStr">
        <is>
          <t>Part IV - Performance Engineering</t>
        </is>
      </c>
      <c r="C532" s="10" t="inlineStr">
        <is>
          <t>E.6.4 HPC fundamentals</t>
        </is>
      </c>
      <c r="D532" s="10" t="inlineStr">
        <is>
          <t>Wulf &amp; McKee 1995, SIGARCH Comput Archit News 23(1):20 (Hitting the Memory Wall)</t>
        </is>
      </c>
      <c r="E532" s="11" t="inlineStr"/>
    </row>
    <row r="533">
      <c r="A533" s="11" t="n">
        <v>529</v>
      </c>
      <c r="B533" s="19" t="inlineStr">
        <is>
          <t>Part IV - Performance Engineering</t>
        </is>
      </c>
      <c r="C533" s="10" t="inlineStr">
        <is>
          <t>E.6.4 HPC fundamentals</t>
        </is>
      </c>
      <c r="D533" s="10" t="inlineStr">
        <is>
          <t>Williams, Waterman &amp; Patterson 2009, CACM 52(4):65 (Roofline)</t>
        </is>
      </c>
      <c r="E533" s="11" t="inlineStr"/>
    </row>
    <row r="534">
      <c r="A534" s="11" t="n">
        <v>530</v>
      </c>
      <c r="B534" s="19" t="inlineStr">
        <is>
          <t>Part IV - Performance Engineering</t>
        </is>
      </c>
      <c r="C534" s="10" t="inlineStr">
        <is>
          <t>E.7.1 AlphaFold, OpenFold and what training actually costs</t>
        </is>
      </c>
      <c r="D534" s="10" t="inlineStr">
        <is>
          <t>Ahdritz et al. 2024, Nat Methods 21:1514 (OpenFold)</t>
        </is>
      </c>
      <c r="E534" s="11" t="inlineStr"/>
    </row>
    <row r="535">
      <c r="A535" s="11" t="n">
        <v>531</v>
      </c>
      <c r="B535" s="19" t="inlineStr">
        <is>
          <t>Part IV - Performance Engineering</t>
        </is>
      </c>
      <c r="C535" s="10" t="inlineStr">
        <is>
          <t>E.7.1 AlphaFold, OpenFold and what training actually costs</t>
        </is>
      </c>
      <c r="D535" s="10" t="inlineStr">
        <is>
          <t>Cheng et al. 2022, arXiv:2203.00854 (FastFold)</t>
        </is>
      </c>
      <c r="E535" s="11" t="inlineStr"/>
    </row>
    <row r="536">
      <c r="A536" s="11" t="n">
        <v>532</v>
      </c>
      <c r="B536" s="19" t="inlineStr">
        <is>
          <t>Part IV - Performance Engineering</t>
        </is>
      </c>
      <c r="C536" s="10" t="inlineStr">
        <is>
          <t>E.7.1 AlphaFold, OpenFold and what training actually costs</t>
        </is>
      </c>
      <c r="D536" s="10" t="inlineStr">
        <is>
          <t>Abramson et al. 2024, Nature 630:493 (AF3)</t>
        </is>
      </c>
      <c r="E536" s="11" t="inlineStr"/>
    </row>
    <row r="537">
      <c r="A537" s="11" t="n">
        <v>533</v>
      </c>
      <c r="B537" s="19" t="inlineStr">
        <is>
          <t>Part IV - Performance Engineering</t>
        </is>
      </c>
      <c r="C537" s="10" t="inlineStr">
        <is>
          <t>E.7.1 AlphaFold, OpenFold and what training actually costs</t>
        </is>
      </c>
      <c r="D537" s="10" t="inlineStr">
        <is>
          <t>Wohlwend et al., Boltz-1 and Boltz-2</t>
        </is>
      </c>
      <c r="E537" s="11" t="inlineStr"/>
    </row>
    <row r="538">
      <c r="A538" s="11" t="n">
        <v>534</v>
      </c>
      <c r="B538" s="19" t="inlineStr">
        <is>
          <t>Part IV - Performance Engineering</t>
        </is>
      </c>
      <c r="C538" s="10" t="inlineStr">
        <is>
          <t>E.7.4 Interatomic potential inference at scale</t>
        </is>
      </c>
      <c r="D538" s="10" t="inlineStr">
        <is>
          <t>Musaelian et al. 2023, Nat Commun 14:579 (Allegro) and Musaelian et al. 2023, SC'23 - read this one for the actual scaling numbers</t>
        </is>
      </c>
      <c r="E538" s="11" t="inlineStr"/>
    </row>
    <row r="539">
      <c r="A539" s="11" t="n">
        <v>535</v>
      </c>
      <c r="B539" s="19" t="inlineStr">
        <is>
          <t>Part IV - Performance Engineering</t>
        </is>
      </c>
      <c r="C539" s="10" t="inlineStr">
        <is>
          <t>E.7.4 Interatomic potential inference at scale</t>
        </is>
      </c>
      <c r="D539" s="10" t="inlineStr">
        <is>
          <t>Batzner et al. 2022, Nat Commun 13:2453 (NequIP)</t>
        </is>
      </c>
      <c r="E539" s="11" t="inlineStr"/>
    </row>
    <row r="540">
      <c r="A540" s="11" t="n">
        <v>536</v>
      </c>
      <c r="B540" s="19" t="inlineStr">
        <is>
          <t>Part IV - Performance Engineering</t>
        </is>
      </c>
      <c r="C540" s="10" t="inlineStr">
        <is>
          <t>E.7.4 Interatomic potential inference at scale</t>
        </is>
      </c>
      <c r="D540" s="10" t="inlineStr">
        <is>
          <t>Pelaez et al. 2024, JCTC (TorchMD-NET 2.0)</t>
        </is>
      </c>
      <c r="E540" s="11" t="inlineStr"/>
    </row>
    <row r="541">
      <c r="A541" s="11" t="n">
        <v>537</v>
      </c>
      <c r="B541" s="19" t="inlineStr">
        <is>
          <t>Part IV - Performance Engineering</t>
        </is>
      </c>
      <c r="C541" s="10" t="inlineStr">
        <is>
          <t>E.7.4 Interatomic potential inference at scale</t>
        </is>
      </c>
      <c r="D541" s="10" t="inlineStr">
        <is>
          <t>Eastman et al. 2024, J Phys Chem B 128:109 (OpenMM 8 with ML potentials) - no talk exists for the last two</t>
        </is>
      </c>
      <c r="E541" s="11" t="inlineStr"/>
    </row>
    <row r="542">
      <c r="A542" s="11" t="n">
        <v>538</v>
      </c>
      <c r="B542" s="19" t="inlineStr">
        <is>
          <t>Part IV - Performance Engineering</t>
        </is>
      </c>
      <c r="C542" s="10" t="inlineStr">
        <is>
          <t>E.7.5 Serving, batching and memory</t>
        </is>
      </c>
      <c r="D542" s="10" t="inlineStr">
        <is>
          <t>Kwon et al. 2023, SOSP (PagedAttention)</t>
        </is>
      </c>
      <c r="E542" s="11" t="inlineStr"/>
    </row>
    <row r="543">
      <c r="A543" s="11" t="n">
        <v>539</v>
      </c>
      <c r="B543" s="19" t="inlineStr">
        <is>
          <t>Part IV - Performance Engineering</t>
        </is>
      </c>
      <c r="C543" s="10" t="inlineStr">
        <is>
          <t>E.7.5 Serving, batching and memory</t>
        </is>
      </c>
      <c r="D543" s="10" t="inlineStr">
        <is>
          <t>Rajbhandari et al. 2020, SC'20 (ZeRO)</t>
        </is>
      </c>
      <c r="E543" s="11" t="inlineStr"/>
    </row>
    <row r="544">
      <c r="A544" s="11" t="n">
        <v>540</v>
      </c>
      <c r="B544" s="19" t="inlineStr">
        <is>
          <t>Part IV - Performance Engineering</t>
        </is>
      </c>
      <c r="C544" s="10" t="inlineStr">
        <is>
          <t>E.7.5 Serving, batching and memory</t>
        </is>
      </c>
      <c r="D544" s="10" t="inlineStr">
        <is>
          <t>Chen et al. 2016, arXiv:1604.06174 (gradient checkpointing) - the paper OpenFold leans on heavily</t>
        </is>
      </c>
      <c r="E544" s="11" t="inlineStr"/>
    </row>
    <row r="545">
      <c r="A545" s="11" t="n">
        <v>541</v>
      </c>
      <c r="B545" s="19" t="inlineStr">
        <is>
          <t>Part IV - Performance Engineering</t>
        </is>
      </c>
      <c r="C545" s="10" t="inlineStr">
        <is>
          <t>E.7.6 The data pipeline - where the time actually goes</t>
        </is>
      </c>
      <c r="D545" s="10" t="inlineStr">
        <is>
          <t>Mirdita et al. 2022, Nat Methods 19:679 (ColabFold)</t>
        </is>
      </c>
      <c r="E545" s="11" t="inlineStr"/>
    </row>
    <row r="546">
      <c r="A546" s="11" t="n">
        <v>542</v>
      </c>
      <c r="B546" s="19" t="inlineStr">
        <is>
          <t>Part IV - Performance Engineering</t>
        </is>
      </c>
      <c r="C546" s="10" t="inlineStr">
        <is>
          <t>E.7.6 The data pipeline - where the time actually goes</t>
        </is>
      </c>
      <c r="D546" s="10" t="inlineStr">
        <is>
          <t>Steinegger &amp; Söding 2017, Nat Biotechnol 35:1026 (MMseqs2)</t>
        </is>
      </c>
      <c r="E546" s="11" t="inlineStr"/>
    </row>
    <row r="547">
      <c r="A547" s="11" t="n">
        <v>543</v>
      </c>
      <c r="B547" s="19" t="inlineStr">
        <is>
          <t>Part IV - Performance Engineering</t>
        </is>
      </c>
      <c r="C547" s="10" t="inlineStr">
        <is>
          <t>E.7.6 The data pipeline - where the time actually goes</t>
        </is>
      </c>
      <c r="D547" s="10" t="inlineStr">
        <is>
          <t>Steinegger &amp; Söding 2018, Nat Commun 9:2542</t>
        </is>
      </c>
      <c r="E547" s="11" t="inlineStr"/>
    </row>
    <row r="548">
      <c r="A548" s="11" t="n">
        <v>544</v>
      </c>
      <c r="B548" s="19" t="inlineStr">
        <is>
          <t>Part IV - Performance Engineering</t>
        </is>
      </c>
      <c r="C548" s="10" t="inlineStr">
        <is>
          <t>E.7.6 The data pipeline - where the time actually goes</t>
        </is>
      </c>
      <c r="D548" s="10" t="inlineStr">
        <is>
          <t>van Kempen et al. 2024, Nat Biotechnol 42:243 (Foldseek)</t>
        </is>
      </c>
      <c r="E548" s="11" t="inlineStr"/>
    </row>
    <row r="549">
      <c r="A549" s="11" t="n">
        <v>545</v>
      </c>
      <c r="B549" s="21" t="inlineStr">
        <is>
          <t>Part V (continued) - Research Craft</t>
        </is>
      </c>
      <c r="C549" s="10" t="inlineStr">
        <is>
          <t>C.10 Reproducibility and not fooling yourself</t>
        </is>
      </c>
      <c r="D549" s="10" t="inlineStr">
        <is>
          <t>Kapoor &amp; Narayanan 2023, Patterns 4:100804</t>
        </is>
      </c>
      <c r="E549" s="11" t="inlineStr"/>
    </row>
    <row r="550">
      <c r="A550" s="11" t="n">
        <v>546</v>
      </c>
      <c r="B550" s="21" t="inlineStr">
        <is>
          <t>Part V (continued) - Research Craft</t>
        </is>
      </c>
      <c r="C550" s="10" t="inlineStr">
        <is>
          <t>C.10 Reproducibility and not fooling yourself</t>
        </is>
      </c>
      <c r="D550" s="10" t="inlineStr">
        <is>
          <t>Ioannidis 2005, PLoS Med 2:e124</t>
        </is>
      </c>
      <c r="E550" s="11" t="inlineStr"/>
    </row>
    <row r="551">
      <c r="A551" s="11" t="n">
        <v>547</v>
      </c>
      <c r="B551" s="21" t="inlineStr">
        <is>
          <t>Part V (continued) - Research Craft</t>
        </is>
      </c>
      <c r="C551" s="10" t="inlineStr">
        <is>
          <t>C.10 Reproducibility and not fooling yourself</t>
        </is>
      </c>
      <c r="D551" s="10" t="inlineStr">
        <is>
          <t>Open Science Collaboration 2015, Science 349:aac4716</t>
        </is>
      </c>
      <c r="E551" s="11" t="inlineStr"/>
    </row>
  </sheetData>
  <autoFilter ref="A4:E551"/>
  <mergeCells count="2">
    <mergeCell ref="A1:D1"/>
    <mergeCell ref="A2:D2"/>
  </mergeCells>
  <dataValidations count="1">
    <dataValidation sqref="E5:E551" showDropDown="0" showInputMessage="0" showErrorMessage="0" allowBlank="1" type="list">
      <formula1>"Yes"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25"/>
  <sheetViews>
    <sheetView showGridLines="0" workbookViewId="0">
      <pane ySplit="4" topLeftCell="A5" activePane="bottomLeft" state="frozen"/>
      <selection pane="bottomLeft" activeCell="A1" sqref="A1"/>
    </sheetView>
  </sheetViews>
  <sheetFormatPr baseColWidth="8" defaultRowHeight="15"/>
  <cols>
    <col width="6" customWidth="1" min="1" max="1"/>
    <col width="22" customWidth="1" min="2" max="2"/>
    <col width="62" customWidth="1" min="3" max="3"/>
    <col width="10" customWidth="1" min="4" max="4"/>
    <col width="10" customWidth="1" min="5" max="5"/>
  </cols>
  <sheetData>
    <row r="1">
      <c r="A1" s="2" t="inlineStr">
        <is>
          <t>Table of contents</t>
        </is>
      </c>
      <c r="B1" s="1" t="n"/>
      <c r="C1" s="1" t="n"/>
      <c r="D1" s="1" t="n"/>
      <c r="E1" s="1" t="n"/>
    </row>
    <row r="2">
      <c r="A2" s="3" t="inlineStr">
        <is>
          <t>Every section, in document order, with what it holds.</t>
        </is>
      </c>
      <c r="B2" s="1" t="n"/>
      <c r="C2" s="1" t="n"/>
      <c r="D2" s="1" t="n"/>
      <c r="E2" s="1" t="n"/>
    </row>
    <row r="3">
      <c r="A3" s="1" t="n"/>
      <c r="B3" s="1" t="n"/>
      <c r="C3" s="1" t="n"/>
      <c r="D3" s="1" t="n"/>
      <c r="E3" s="1" t="n"/>
    </row>
    <row r="4" ht="28" customHeight="1">
      <c r="A4" s="7" t="inlineStr">
        <is>
          <t>#</t>
        </is>
      </c>
      <c r="B4" s="7" t="inlineStr">
        <is>
          <t>Part</t>
        </is>
      </c>
      <c r="C4" s="7" t="inlineStr">
        <is>
          <t>Section</t>
        </is>
      </c>
      <c r="D4" s="7" t="inlineStr">
        <is>
          <t>Videos</t>
        </is>
      </c>
      <c r="E4" s="7" t="inlineStr">
        <is>
          <t>Hours</t>
        </is>
      </c>
    </row>
    <row r="5">
      <c r="A5" s="11" t="n">
        <v>1</v>
      </c>
      <c r="B5" s="8" t="inlineStr">
        <is>
          <t>Part I - Foundations</t>
        </is>
      </c>
      <c r="C5" s="10" t="inlineStr">
        <is>
          <t>MIT 18.065 - Matrix Methods in Data Analysis, Signal Processing and Machine Learning</t>
        </is>
      </c>
      <c r="D5" s="11" t="n">
        <v>36</v>
      </c>
      <c r="E5" s="11" t="n">
        <v>28.2</v>
      </c>
    </row>
    <row r="6">
      <c r="A6" s="11" t="n">
        <v>2</v>
      </c>
      <c r="B6" s="8" t="inlineStr">
        <is>
          <t>Part I - Foundations</t>
        </is>
      </c>
      <c r="C6" s="10" t="inlineStr">
        <is>
          <t>MIT 18.S096 - Matrix Calculus for Machine Learning and Beyond</t>
        </is>
      </c>
      <c r="D6" s="11" t="n">
        <v>17</v>
      </c>
      <c r="E6" s="11" t="n">
        <v>13.9</v>
      </c>
    </row>
    <row r="7">
      <c r="A7" s="11" t="n">
        <v>3</v>
      </c>
      <c r="B7" s="8" t="inlineStr">
        <is>
          <t>Part I - Foundations</t>
        </is>
      </c>
      <c r="C7" s="10" t="inlineStr">
        <is>
          <t>David MacKay - Information Theory, Pattern Recognition and Neural Networks</t>
        </is>
      </c>
      <c r="D7" s="11" t="n">
        <v>16</v>
      </c>
      <c r="E7" s="11" t="n">
        <v>17.6</v>
      </c>
    </row>
    <row r="8">
      <c r="A8" s="11" t="n">
        <v>4</v>
      </c>
      <c r="B8" s="8" t="inlineStr">
        <is>
          <t>Part I - Foundations</t>
        </is>
      </c>
      <c r="C8" s="10" t="inlineStr">
        <is>
          <t>Unit I - Thermodynamics</t>
        </is>
      </c>
      <c r="D8" s="11" t="n">
        <v>4</v>
      </c>
      <c r="E8" s="11" t="n">
        <v>5.5</v>
      </c>
    </row>
    <row r="9">
      <c r="A9" s="11" t="n">
        <v>5</v>
      </c>
      <c r="B9" s="8" t="inlineStr">
        <is>
          <t>Part I - Foundations</t>
        </is>
      </c>
      <c r="C9" s="10" t="inlineStr">
        <is>
          <t>Unit II - Probability</t>
        </is>
      </c>
      <c r="D9" s="11" t="n">
        <v>2</v>
      </c>
      <c r="E9" s="11" t="n">
        <v>2.8</v>
      </c>
    </row>
    <row r="10">
      <c r="A10" s="11" t="n">
        <v>6</v>
      </c>
      <c r="B10" s="8" t="inlineStr">
        <is>
          <t>Part I - Foundations</t>
        </is>
      </c>
      <c r="C10" s="10" t="inlineStr">
        <is>
          <t>Unit III - Kinetic Theory of Gases</t>
        </is>
      </c>
      <c r="D10" s="11" t="n">
        <v>5</v>
      </c>
      <c r="E10" s="11" t="n">
        <v>6.8</v>
      </c>
    </row>
    <row r="11">
      <c r="A11" s="11" t="n">
        <v>7</v>
      </c>
      <c r="B11" s="8" t="inlineStr">
        <is>
          <t>Part I - Foundations</t>
        </is>
      </c>
      <c r="C11" s="10" t="inlineStr">
        <is>
          <t>Unit IV - Classical Statistical Mechanics</t>
        </is>
      </c>
      <c r="D11" s="11" t="n">
        <v>3</v>
      </c>
      <c r="E11" s="11" t="n">
        <v>4.2</v>
      </c>
    </row>
    <row r="12">
      <c r="A12" s="11" t="n">
        <v>8</v>
      </c>
      <c r="B12" s="8" t="inlineStr">
        <is>
          <t>Part I - Foundations</t>
        </is>
      </c>
      <c r="C12" s="10" t="inlineStr">
        <is>
          <t>Unit V - Interacting Particles</t>
        </is>
      </c>
      <c r="D12" s="11" t="n">
        <v>5</v>
      </c>
      <c r="E12" s="11" t="n">
        <v>6.9</v>
      </c>
    </row>
    <row r="13">
      <c r="A13" s="11" t="n">
        <v>9</v>
      </c>
      <c r="B13" s="8" t="inlineStr">
        <is>
          <t>Part I - Foundations</t>
        </is>
      </c>
      <c r="C13" s="10" t="inlineStr">
        <is>
          <t>Units VI–VII - Quantum Statistical Mechanics and Ideal Quantum Gases</t>
        </is>
      </c>
      <c r="D13" s="11" t="n">
        <v>7</v>
      </c>
      <c r="E13" s="11" t="n">
        <v>9.699999999999999</v>
      </c>
    </row>
    <row r="14">
      <c r="A14" s="11" t="n">
        <v>10</v>
      </c>
      <c r="B14" s="8" t="inlineStr">
        <is>
          <t>Part I - Foundations</t>
        </is>
      </c>
      <c r="C14" s="10" t="inlineStr">
        <is>
          <t>B.2.2 V. Balakrishnan - Physical Applications of Stochastic Processes</t>
        </is>
      </c>
      <c r="D14" s="11" t="n">
        <v>29</v>
      </c>
      <c r="E14" s="11" t="n">
        <v>28.3</v>
      </c>
    </row>
    <row r="15">
      <c r="A15" s="11" t="n">
        <v>11</v>
      </c>
      <c r="B15" s="8" t="inlineStr">
        <is>
          <t>Part I - Foundations</t>
        </is>
      </c>
      <c r="C15" s="10" t="inlineStr">
        <is>
          <t>B.2.3 V. Balakrishnan - Nonequilibrium Statistical Mechanics</t>
        </is>
      </c>
      <c r="D15" s="11" t="n">
        <v>36</v>
      </c>
      <c r="E15" s="11" t="n">
        <v>32.8</v>
      </c>
    </row>
    <row r="16">
      <c r="A16" s="11" t="n">
        <v>12</v>
      </c>
      <c r="B16" s="8" t="inlineStr">
        <is>
          <t>Part I - Foundations</t>
        </is>
      </c>
      <c r="C16" s="10" t="inlineStr">
        <is>
          <t>B.2.5 Statistical honesty: the Zuckerman thread</t>
        </is>
      </c>
      <c r="D16" s="11" t="n">
        <v>3</v>
      </c>
      <c r="E16" s="11" t="n">
        <v>1.6</v>
      </c>
    </row>
    <row r="17">
      <c r="A17" s="11" t="n">
        <v>13</v>
      </c>
      <c r="B17" s="8" t="inlineStr">
        <is>
          <t>Part I - Foundations</t>
        </is>
      </c>
      <c r="C17" s="10" t="inlineStr">
        <is>
          <t>CS229r individual lectures - the first twelve are the ones that matter</t>
        </is>
      </c>
      <c r="D17" s="11" t="n">
        <v>18</v>
      </c>
      <c r="E17" s="11" t="n">
        <v>24.8</v>
      </c>
    </row>
    <row r="18">
      <c r="A18" s="11" t="n">
        <v>14</v>
      </c>
      <c r="B18" s="8" t="inlineStr">
        <is>
          <t>Part I - Foundations</t>
        </is>
      </c>
      <c r="C18" s="10" t="inlineStr">
        <is>
          <t>MIT 6.172 - the lectures that matter most</t>
        </is>
      </c>
      <c r="D18" s="11" t="n">
        <v>12</v>
      </c>
      <c r="E18" s="11" t="n">
        <v>15.6</v>
      </c>
    </row>
    <row r="19">
      <c r="A19" s="11" t="n">
        <v>15</v>
      </c>
      <c r="B19" s="8" t="inlineStr">
        <is>
          <t>Part I - Foundations</t>
        </is>
      </c>
      <c r="C19" s="10" t="inlineStr">
        <is>
          <t>CMU 10-414 individual lectures - you build an autodiff framework from nothing</t>
        </is>
      </c>
      <c r="D19" s="11" t="n">
        <v>21</v>
      </c>
      <c r="E19" s="11" t="n">
        <v>21.1</v>
      </c>
    </row>
    <row r="20">
      <c r="A20" s="11" t="n">
        <v>16</v>
      </c>
      <c r="B20" s="8" t="inlineStr">
        <is>
          <t>Part I - Foundations</t>
        </is>
      </c>
      <c r="C20" s="10" t="inlineStr">
        <is>
          <t>CS336 individual lectures (2026 edition</t>
        </is>
      </c>
      <c r="D20" s="11" t="n">
        <v>18</v>
      </c>
      <c r="E20" s="11" t="n">
        <v>24.2</v>
      </c>
    </row>
    <row r="21">
      <c r="A21" s="11" t="n">
        <v>17</v>
      </c>
      <c r="B21" s="8" t="inlineStr">
        <is>
          <t>Part I - Foundations</t>
        </is>
      </c>
      <c r="C21" s="10" t="inlineStr">
        <is>
          <t>B.3.8 Large-scale data, search, and complexity</t>
        </is>
      </c>
      <c r="D21" s="11" t="n">
        <v>7</v>
      </c>
      <c r="E21" s="11" t="n">
        <v>8.699999999999999</v>
      </c>
    </row>
    <row r="22">
      <c r="A22" s="11" t="n">
        <v>18</v>
      </c>
      <c r="B22" s="8" t="inlineStr">
        <is>
          <t>Part I - Foundations</t>
        </is>
      </c>
      <c r="C22" s="10" t="inlineStr">
        <is>
          <t>B.4.3 Protein structure and folding</t>
        </is>
      </c>
      <c r="D22" s="11" t="n">
        <v>2</v>
      </c>
      <c r="E22" s="11" t="n">
        <v>1.8</v>
      </c>
    </row>
    <row r="23">
      <c r="A23" s="11" t="n">
        <v>19</v>
      </c>
      <c r="B23" s="15" t="inlineStr">
        <is>
          <t>Part II - The Method Atlas</t>
        </is>
      </c>
      <c r="C23" s="10" t="inlineStr">
        <is>
          <t>A.1 Empirical force fields</t>
        </is>
      </c>
      <c r="D23" s="11" t="n">
        <v>12</v>
      </c>
      <c r="E23" s="11" t="n">
        <v>11.4</v>
      </c>
    </row>
    <row r="24">
      <c r="A24" s="11" t="n">
        <v>20</v>
      </c>
      <c r="B24" s="15" t="inlineStr">
        <is>
          <t>Part II - The Method Atlas</t>
        </is>
      </c>
      <c r="C24" s="10" t="inlineStr">
        <is>
          <t>A.2 Electrostatics and continuum solvation</t>
        </is>
      </c>
      <c r="D24" s="11" t="n">
        <v>12</v>
      </c>
      <c r="E24" s="11" t="n">
        <v>9.300000000000001</v>
      </c>
    </row>
    <row r="25">
      <c r="A25" s="11" t="n">
        <v>21</v>
      </c>
      <c r="B25" s="15" t="inlineStr">
        <is>
          <t>Part II - The Method Atlas</t>
        </is>
      </c>
      <c r="C25" s="10" t="inlineStr">
        <is>
          <t>A.3 Quantum mechanics and QM/MM</t>
        </is>
      </c>
      <c r="D25" s="11" t="n">
        <v>18</v>
      </c>
      <c r="E25" s="11" t="n">
        <v>22</v>
      </c>
    </row>
    <row r="26">
      <c r="A26" s="11" t="n">
        <v>22</v>
      </c>
      <c r="B26" s="15" t="inlineStr">
        <is>
          <t>Part II - The Method Atlas</t>
        </is>
      </c>
      <c r="C26" s="10" t="inlineStr">
        <is>
          <t>A.4 Machine-learned interatomic potentials - the disruptive tier</t>
        </is>
      </c>
      <c r="D26" s="11" t="n">
        <v>12</v>
      </c>
      <c r="E26" s="11" t="n">
        <v>11.8</v>
      </c>
    </row>
    <row r="27">
      <c r="A27" s="11" t="n">
        <v>23</v>
      </c>
      <c r="B27" s="15" t="inlineStr">
        <is>
          <t>Part II - The Method Atlas</t>
        </is>
      </c>
      <c r="C27" s="10" t="inlineStr">
        <is>
          <t>B.1 Foundations - the integrator, the thermostat, the box</t>
        </is>
      </c>
      <c r="D27" s="11" t="n">
        <v>1</v>
      </c>
      <c r="E27" s="11" t="n">
        <v>0.7</v>
      </c>
    </row>
    <row r="28">
      <c r="A28" s="11" t="n">
        <v>24</v>
      </c>
      <c r="B28" s="15" t="inlineStr">
        <is>
          <t>Part II - The Method Atlas</t>
        </is>
      </c>
      <c r="C28" s="10" t="inlineStr">
        <is>
          <t>B.2 Anton and the long-timescale program</t>
        </is>
      </c>
      <c r="D28" s="11" t="n">
        <v>1</v>
      </c>
      <c r="E28" s="11" t="n">
        <v>1.6</v>
      </c>
    </row>
    <row r="29">
      <c r="A29" s="11" t="n">
        <v>25</v>
      </c>
      <c r="B29" s="15" t="inlineStr">
        <is>
          <t>Part II - The Method Atlas</t>
        </is>
      </c>
      <c r="C29" s="10" t="inlineStr">
        <is>
          <t>B.3 Force fields in practice - and the parts that are wrong</t>
        </is>
      </c>
      <c r="D29" s="11" t="n">
        <v>10</v>
      </c>
      <c r="E29" s="11" t="n">
        <v>10.7</v>
      </c>
    </row>
    <row r="30">
      <c r="A30" s="11" t="n">
        <v>26</v>
      </c>
      <c r="B30" s="15" t="inlineStr">
        <is>
          <t>Part II - The Method Atlas</t>
        </is>
      </c>
      <c r="C30" s="10" t="inlineStr">
        <is>
          <t>B.4 Running MD correctly - the practitioner layer</t>
        </is>
      </c>
      <c r="D30" s="11" t="n">
        <v>1</v>
      </c>
      <c r="E30" s="11" t="n">
        <v>0.6</v>
      </c>
    </row>
    <row r="31">
      <c r="A31" s="11" t="n">
        <v>27</v>
      </c>
      <c r="B31" s="15" t="inlineStr">
        <is>
          <t>Part II - The Method Atlas</t>
        </is>
      </c>
      <c r="C31" s="10" t="inlineStr">
        <is>
          <t>B.5 Convergence, error bars, and what a trajectory does not tell you</t>
        </is>
      </c>
      <c r="D31" s="11" t="n">
        <v>3</v>
      </c>
      <c r="E31" s="11" t="n">
        <v>1.9</v>
      </c>
    </row>
    <row r="32">
      <c r="A32" s="11" t="n">
        <v>28</v>
      </c>
      <c r="B32" s="15" t="inlineStr">
        <is>
          <t>Part II - The Method Atlas</t>
        </is>
      </c>
      <c r="C32" s="10" t="inlineStr">
        <is>
          <t>Werner Krauth - Statistical Mechanics: Algorithms and Computations</t>
        </is>
      </c>
      <c r="D32" s="11" t="n">
        <v>11</v>
      </c>
      <c r="E32" s="11" t="n">
        <v>8.6</v>
      </c>
    </row>
    <row r="33">
      <c r="A33" s="11" t="n">
        <v>29</v>
      </c>
      <c r="B33" s="15" t="inlineStr">
        <is>
          <t>Part II - The Method Atlas</t>
        </is>
      </c>
      <c r="C33" s="10" t="inlineStr">
        <is>
          <t>Why high-dimensional sampling needs MCMC at all</t>
        </is>
      </c>
      <c r="D33" s="11" t="n">
        <v>4</v>
      </c>
      <c r="E33" s="11" t="n">
        <v>4</v>
      </c>
    </row>
    <row r="34">
      <c r="A34" s="11" t="n">
        <v>30</v>
      </c>
      <c r="B34" s="15" t="inlineStr">
        <is>
          <t>Part II - The Method Atlas</t>
        </is>
      </c>
      <c r="C34" s="10" t="inlineStr">
        <is>
          <t>Course modules</t>
        </is>
      </c>
      <c r="D34" s="11" t="n">
        <v>6</v>
      </c>
      <c r="E34" s="11" t="n">
        <v>5.8</v>
      </c>
    </row>
    <row r="35">
      <c r="A35" s="11" t="n">
        <v>31</v>
      </c>
      <c r="B35" s="15" t="inlineStr">
        <is>
          <t>Part II - The Method Atlas</t>
        </is>
      </c>
      <c r="C35" s="10" t="inlineStr">
        <is>
          <t>Hamiltonian Monte Carlo</t>
        </is>
      </c>
      <c r="D35" s="11" t="n">
        <v>9</v>
      </c>
      <c r="E35" s="11" t="n">
        <v>8.300000000000001</v>
      </c>
    </row>
    <row r="36">
      <c r="A36" s="11" t="n">
        <v>32</v>
      </c>
      <c r="B36" s="15" t="inlineStr">
        <is>
          <t>Part II - The Method Atlas</t>
        </is>
      </c>
      <c r="C36" s="10" t="inlineStr">
        <is>
          <t>Nested sampling, Wang-Landau, tempering</t>
        </is>
      </c>
      <c r="D36" s="11" t="n">
        <v>12</v>
      </c>
      <c r="E36" s="11" t="n">
        <v>11.8</v>
      </c>
    </row>
    <row r="37">
      <c r="A37" s="11" t="n">
        <v>33</v>
      </c>
      <c r="B37" s="15" t="inlineStr">
        <is>
          <t>Part II - The Method Atlas</t>
        </is>
      </c>
      <c r="C37" s="10" t="inlineStr">
        <is>
          <t>Cluster algorithms, non-reversible MCMC, sequential MC</t>
        </is>
      </c>
      <c r="D37" s="11" t="n">
        <v>8</v>
      </c>
      <c r="E37" s="11" t="n">
        <v>7.6</v>
      </c>
    </row>
    <row r="38">
      <c r="A38" s="11" t="n">
        <v>34</v>
      </c>
      <c r="B38" s="15" t="inlineStr">
        <is>
          <t>Part II - The Method Atlas</t>
        </is>
      </c>
      <c r="C38" s="10" t="inlineStr">
        <is>
          <t>C.3 Monte Carlo in molecular systems</t>
        </is>
      </c>
      <c r="D38" s="11" t="n">
        <v>12</v>
      </c>
      <c r="E38" s="11" t="n">
        <v>11.3</v>
      </c>
    </row>
    <row r="39">
      <c r="A39" s="11" t="n">
        <v>35</v>
      </c>
      <c r="B39" s="15" t="inlineStr">
        <is>
          <t>Part II - The Method Atlas</t>
        </is>
      </c>
      <c r="C39" s="10" t="inlineStr">
        <is>
          <t>C.4 Rare-event and path sampling</t>
        </is>
      </c>
      <c r="D39" s="11" t="n">
        <v>14</v>
      </c>
      <c r="E39" s="11" t="n">
        <v>13.9</v>
      </c>
    </row>
    <row r="40">
      <c r="A40" s="11" t="n">
        <v>36</v>
      </c>
      <c r="B40" s="15" t="inlineStr">
        <is>
          <t>Part II - The Method Atlas</t>
        </is>
      </c>
      <c r="C40" s="10" t="inlineStr">
        <is>
          <t>C.5 Monte Carlo meets machine learning - the live frontier</t>
        </is>
      </c>
      <c r="D40" s="11" t="n">
        <v>14</v>
      </c>
      <c r="E40" s="11" t="n">
        <v>13.4</v>
      </c>
    </row>
    <row r="41">
      <c r="A41" s="11" t="n">
        <v>37</v>
      </c>
      <c r="B41" s="15" t="inlineStr">
        <is>
          <t>Part II - The Method Atlas</t>
        </is>
      </c>
      <c r="C41" s="10" t="inlineStr">
        <is>
          <t>C.6 Quantum and Bayesian Monte Carlo</t>
        </is>
      </c>
      <c r="D41" s="11" t="n">
        <v>6</v>
      </c>
      <c r="E41" s="11" t="n">
        <v>5</v>
      </c>
    </row>
    <row r="42">
      <c r="A42" s="11" t="n">
        <v>38</v>
      </c>
      <c r="B42" s="15" t="inlineStr">
        <is>
          <t>Part II - The Method Atlas</t>
        </is>
      </c>
      <c r="C42" s="10" t="inlineStr">
        <is>
          <t>Bayesian computation and diagnostics</t>
        </is>
      </c>
      <c r="D42" s="11" t="n">
        <v>11</v>
      </c>
      <c r="E42" s="11" t="n">
        <v>9.4</v>
      </c>
    </row>
    <row r="43">
      <c r="A43" s="11" t="n">
        <v>39</v>
      </c>
      <c r="B43" s="15" t="inlineStr">
        <is>
          <t>Part II - The Method Atlas</t>
        </is>
      </c>
      <c r="C43" s="10" t="inlineStr">
        <is>
          <t>D.2 Collective-variable methods</t>
        </is>
      </c>
      <c r="D43" s="11" t="n">
        <v>3</v>
      </c>
      <c r="E43" s="11" t="n">
        <v>2.7</v>
      </c>
    </row>
    <row r="44">
      <c r="A44" s="11" t="n">
        <v>40</v>
      </c>
      <c r="B44" s="15" t="inlineStr">
        <is>
          <t>Part II - The Method Atlas</t>
        </is>
      </c>
      <c r="C44" s="10" t="inlineStr">
        <is>
          <t>D.4 Path and trajectory-space methods</t>
        </is>
      </c>
      <c r="D44" s="11" t="n">
        <v>2</v>
      </c>
      <c r="E44" s="11" t="n">
        <v>1.9</v>
      </c>
    </row>
    <row r="45">
      <c r="A45" s="11" t="n">
        <v>41</v>
      </c>
      <c r="B45" s="15" t="inlineStr">
        <is>
          <t>Part II - The Method Atlas</t>
        </is>
      </c>
      <c r="C45" s="10" t="inlineStr">
        <is>
          <t>D.5 Markov state models - many short runs instead of one long one</t>
        </is>
      </c>
      <c r="D45" s="11" t="n">
        <v>2</v>
      </c>
      <c r="E45" s="11" t="n">
        <v>1.1</v>
      </c>
    </row>
    <row r="46">
      <c r="A46" s="11" t="n">
        <v>42</v>
      </c>
      <c r="B46" s="15" t="inlineStr">
        <is>
          <t>Part II - The Method Atlas</t>
        </is>
      </c>
      <c r="C46" s="10" t="inlineStr">
        <is>
          <t>D.6 The learned-sampler frontier</t>
        </is>
      </c>
      <c r="D46" s="11" t="n">
        <v>9</v>
      </c>
      <c r="E46" s="11" t="n">
        <v>9.800000000000001</v>
      </c>
    </row>
    <row r="47">
      <c r="A47" s="11" t="n">
        <v>43</v>
      </c>
      <c r="B47" s="15" t="inlineStr">
        <is>
          <t>Part II - The Method Atlas</t>
        </is>
      </c>
      <c r="C47" s="10" t="inlineStr">
        <is>
          <t>Alchemical foundations</t>
        </is>
      </c>
      <c r="D47" s="11" t="n">
        <v>25</v>
      </c>
      <c r="E47" s="11" t="n">
        <v>24.8</v>
      </c>
    </row>
    <row r="48">
      <c r="A48" s="11" t="n">
        <v>44</v>
      </c>
      <c r="B48" s="15" t="inlineStr">
        <is>
          <t>Part II - The Method Atlas</t>
        </is>
      </c>
      <c r="C48" s="10" t="inlineStr">
        <is>
          <t>Industrial practice, and the skeptics</t>
        </is>
      </c>
      <c r="D48" s="11" t="n">
        <v>11</v>
      </c>
      <c r="E48" s="11" t="n">
        <v>6.7</v>
      </c>
    </row>
    <row r="49">
      <c r="A49" s="11" t="n">
        <v>45</v>
      </c>
      <c r="B49" s="15" t="inlineStr">
        <is>
          <t>Part II - The Method Atlas</t>
        </is>
      </c>
      <c r="C49" s="10" t="inlineStr">
        <is>
          <t>Blind challenges</t>
        </is>
      </c>
      <c r="D49" s="11" t="n">
        <v>7</v>
      </c>
      <c r="E49" s="11" t="n">
        <v>1.2</v>
      </c>
    </row>
    <row r="50">
      <c r="A50" s="11" t="n">
        <v>46</v>
      </c>
      <c r="B50" s="15" t="inlineStr">
        <is>
          <t>Part II - The Method Atlas</t>
        </is>
      </c>
      <c r="C50" s="10" t="inlineStr">
        <is>
          <t>Nonequilibrium methods</t>
        </is>
      </c>
      <c r="D50" s="11" t="n">
        <v>7</v>
      </c>
      <c r="E50" s="11" t="n">
        <v>2.5</v>
      </c>
    </row>
    <row r="51">
      <c r="A51" s="11" t="n">
        <v>47</v>
      </c>
      <c r="B51" s="15" t="inlineStr">
        <is>
          <t>Part II - The Method Atlas</t>
        </is>
      </c>
      <c r="C51" s="10" t="inlineStr">
        <is>
          <t>ΔΔG of mutation</t>
        </is>
      </c>
      <c r="D51" s="11" t="n">
        <v>5</v>
      </c>
      <c r="E51" s="11" t="n">
        <v>1</v>
      </c>
    </row>
    <row r="52">
      <c r="A52" s="11" t="n">
        <v>48</v>
      </c>
      <c r="B52" s="15" t="inlineStr">
        <is>
          <t>Part II - The Method Atlas</t>
        </is>
      </c>
      <c r="C52" s="10" t="inlineStr">
        <is>
          <t>E.2 The estimators</t>
        </is>
      </c>
      <c r="D52" s="11" t="n">
        <v>1</v>
      </c>
      <c r="E52" s="11" t="n">
        <v>1</v>
      </c>
    </row>
    <row r="53">
      <c r="A53" s="11" t="n">
        <v>49</v>
      </c>
      <c r="B53" s="15" t="inlineStr">
        <is>
          <t>Part II - The Method Atlas</t>
        </is>
      </c>
      <c r="C53" s="10" t="inlineStr">
        <is>
          <t>E.3 Binding free energies</t>
        </is>
      </c>
      <c r="D53" s="11" t="n">
        <v>2</v>
      </c>
      <c r="E53" s="11" t="n">
        <v>1.8</v>
      </c>
    </row>
    <row r="54">
      <c r="A54" s="11" t="n">
        <v>50</v>
      </c>
      <c r="B54" s="15" t="inlineStr">
        <is>
          <t>Part II - The Method Atlas</t>
        </is>
      </c>
      <c r="C54" s="10" t="inlineStr">
        <is>
          <t>E.4 ΔΔG of mutation and protein stability</t>
        </is>
      </c>
      <c r="D54" s="11" t="n">
        <v>3</v>
      </c>
      <c r="E54" s="11" t="n">
        <v>2.8</v>
      </c>
    </row>
    <row r="55">
      <c r="A55" s="11" t="n">
        <v>51</v>
      </c>
      <c r="B55" s="15" t="inlineStr">
        <is>
          <t>Part II - The Method Atlas</t>
        </is>
      </c>
      <c r="C55" s="10" t="inlineStr">
        <is>
          <t>Voth and multiscale coarse-graining</t>
        </is>
      </c>
      <c r="D55" s="11" t="n">
        <v>3</v>
      </c>
      <c r="E55" s="11" t="n">
        <v>3.2</v>
      </c>
    </row>
    <row r="56">
      <c r="A56" s="11" t="n">
        <v>52</v>
      </c>
      <c r="B56" s="15" t="inlineStr">
        <is>
          <t>Part II - The Method Atlas</t>
        </is>
      </c>
      <c r="C56" s="10" t="inlineStr">
        <is>
          <t>Force matching and iterative Boltzmann inversion - the PASI 2012 school</t>
        </is>
      </c>
      <c r="D56" s="11" t="n">
        <v>5</v>
      </c>
      <c r="E56" s="11" t="n">
        <v>4</v>
      </c>
    </row>
    <row r="57">
      <c r="A57" s="11" t="n">
        <v>53</v>
      </c>
      <c r="B57" s="15" t="inlineStr">
        <is>
          <t>Part II - The Method Atlas</t>
        </is>
      </c>
      <c r="C57" s="10" t="inlineStr">
        <is>
          <t>Mori-Zwanzig and the memory kernel</t>
        </is>
      </c>
      <c r="D57" s="11" t="n">
        <v>4</v>
      </c>
      <c r="E57" s="11" t="n">
        <v>4.7</v>
      </c>
    </row>
    <row r="58">
      <c r="A58" s="11" t="n">
        <v>54</v>
      </c>
      <c r="B58" s="15" t="inlineStr">
        <is>
          <t>Part II - The Method Atlas</t>
        </is>
      </c>
      <c r="C58" s="10" t="inlineStr">
        <is>
          <t>Machine-learned coarse-graining - Clementi</t>
        </is>
      </c>
      <c r="D58" s="11" t="n">
        <v>8</v>
      </c>
      <c r="E58" s="11" t="n">
        <v>7.2</v>
      </c>
    </row>
    <row r="59">
      <c r="A59" s="11" t="n">
        <v>55</v>
      </c>
      <c r="B59" s="15" t="inlineStr">
        <is>
          <t>Part II - The Method Atlas</t>
        </is>
      </c>
      <c r="C59" s="10" t="inlineStr">
        <is>
          <t>Learned mappings and backmapping</t>
        </is>
      </c>
      <c r="D59" s="11" t="n">
        <v>7</v>
      </c>
      <c r="E59" s="11" t="n">
        <v>8.4</v>
      </c>
    </row>
    <row r="60">
      <c r="A60" s="11" t="n">
        <v>56</v>
      </c>
      <c r="B60" s="15" t="inlineStr">
        <is>
          <t>Part II - The Method Atlas</t>
        </is>
      </c>
      <c r="C60" s="10" t="inlineStr">
        <is>
          <t>MARTINI</t>
        </is>
      </c>
      <c r="D60" s="11" t="n">
        <v>10</v>
      </c>
      <c r="E60" s="11" t="n">
        <v>9.199999999999999</v>
      </c>
    </row>
    <row r="61">
      <c r="A61" s="11" t="n">
        <v>57</v>
      </c>
      <c r="B61" s="15" t="inlineStr">
        <is>
          <t>Part II - The Method Atlas</t>
        </is>
      </c>
      <c r="C61" s="10" t="inlineStr">
        <is>
          <t>Structure-based (Gō) models and the funnel lineage</t>
        </is>
      </c>
      <c r="D61" s="11" t="n">
        <v>4</v>
      </c>
      <c r="E61" s="11" t="n">
        <v>3.9</v>
      </c>
    </row>
    <row r="62">
      <c r="A62" s="11" t="n">
        <v>58</v>
      </c>
      <c r="B62" s="15" t="inlineStr">
        <is>
          <t>Part II - The Method Atlas</t>
        </is>
      </c>
      <c r="C62" s="10" t="inlineStr">
        <is>
          <t>AWSEM, UNRES, SIRAH and the rest</t>
        </is>
      </c>
      <c r="D62" s="11" t="n">
        <v>9</v>
      </c>
      <c r="E62" s="11" t="n">
        <v>6.4</v>
      </c>
    </row>
    <row r="63">
      <c r="A63" s="11" t="n">
        <v>59</v>
      </c>
      <c r="B63" s="15" t="inlineStr">
        <is>
          <t>Part II - The Method Atlas</t>
        </is>
      </c>
      <c r="C63" s="10" t="inlineStr">
        <is>
          <t>Adaptive resolution and multiscale coupling</t>
        </is>
      </c>
      <c r="D63" s="11" t="n">
        <v>4</v>
      </c>
      <c r="E63" s="11" t="n">
        <v>3.8</v>
      </c>
    </row>
    <row r="64">
      <c r="A64" s="11" t="n">
        <v>60</v>
      </c>
      <c r="B64" s="15" t="inlineStr">
        <is>
          <t>Part II - The Method Atlas</t>
        </is>
      </c>
      <c r="C64" s="10" t="inlineStr">
        <is>
          <t>Membrane elasticity - the Deserno course</t>
        </is>
      </c>
      <c r="D64" s="11" t="n">
        <v>8</v>
      </c>
      <c r="E64" s="11" t="n">
        <v>9.800000000000001</v>
      </c>
    </row>
    <row r="65">
      <c r="A65" s="11" t="n">
        <v>61</v>
      </c>
      <c r="B65" s="15" t="inlineStr">
        <is>
          <t>Part II - The Method Atlas</t>
        </is>
      </c>
      <c r="C65" s="10" t="inlineStr">
        <is>
          <t>Dissipative particle dynamics and lattice Boltzmann</t>
        </is>
      </c>
      <c r="D65" s="11" t="n">
        <v>9</v>
      </c>
      <c r="E65" s="11" t="n">
        <v>7.2</v>
      </c>
    </row>
    <row r="66">
      <c r="A66" s="11" t="n">
        <v>62</v>
      </c>
      <c r="B66" s="15" t="inlineStr">
        <is>
          <t>Part II - The Method Atlas</t>
        </is>
      </c>
      <c r="C66" s="10" t="inlineStr">
        <is>
          <t>G.1 Brownian and Langevin dynamics, and association kinetics</t>
        </is>
      </c>
      <c r="D66" s="11" t="n">
        <v>5</v>
      </c>
      <c r="E66" s="11" t="n">
        <v>3.7</v>
      </c>
    </row>
    <row r="67">
      <c r="A67" s="11" t="n">
        <v>63</v>
      </c>
      <c r="B67" s="15" t="inlineStr">
        <is>
          <t>Part II - The Method Atlas</t>
        </is>
      </c>
      <c r="C67" s="10" t="inlineStr">
        <is>
          <t>G.2 Reaction-diffusion and particle-based cell simulation</t>
        </is>
      </c>
      <c r="D67" s="11" t="n">
        <v>15</v>
      </c>
      <c r="E67" s="11" t="n">
        <v>14</v>
      </c>
    </row>
    <row r="68">
      <c r="A68" s="11" t="n">
        <v>64</v>
      </c>
      <c r="B68" s="15" t="inlineStr">
        <is>
          <t>Part II - The Method Atlas</t>
        </is>
      </c>
      <c r="C68" s="10" t="inlineStr">
        <is>
          <t>G.3 Whole-cell modeling</t>
        </is>
      </c>
      <c r="D68" s="11" t="n">
        <v>13</v>
      </c>
      <c r="E68" s="11" t="n">
        <v>10.1</v>
      </c>
    </row>
    <row r="69">
      <c r="A69" s="11" t="n">
        <v>65</v>
      </c>
      <c r="B69" s="15" t="inlineStr">
        <is>
          <t>Part II - The Method Atlas</t>
        </is>
      </c>
      <c r="C69" s="10" t="inlineStr">
        <is>
          <t>G.4 Crowding and the cytoplasm</t>
        </is>
      </c>
      <c r="D69" s="11" t="n">
        <v>3</v>
      </c>
      <c r="E69" s="11" t="n">
        <v>2.7</v>
      </c>
    </row>
    <row r="70">
      <c r="A70" s="11" t="n">
        <v>66</v>
      </c>
      <c r="B70" s="15" t="inlineStr">
        <is>
          <t>Part II - The Method Atlas</t>
        </is>
      </c>
      <c r="C70" s="10" t="inlineStr">
        <is>
          <t>G.5 Condensates and phase separation</t>
        </is>
      </c>
      <c r="D70" s="11" t="n">
        <v>28</v>
      </c>
      <c r="E70" s="11" t="n">
        <v>25</v>
      </c>
    </row>
    <row r="71">
      <c r="A71" s="11" t="n">
        <v>67</v>
      </c>
      <c r="B71" s="15" t="inlineStr">
        <is>
          <t>Part II - The Method Atlas</t>
        </is>
      </c>
      <c r="C71" s="10" t="inlineStr">
        <is>
          <t>G.6 Continuum electrostatics and mesoscale hydrodynamics</t>
        </is>
      </c>
      <c r="D71" s="11" t="n">
        <v>7</v>
      </c>
      <c r="E71" s="11" t="n">
        <v>3.6</v>
      </c>
    </row>
    <row r="72">
      <c r="A72" s="11" t="n">
        <v>68</v>
      </c>
      <c r="B72" s="15" t="inlineStr">
        <is>
          <t>Part II - The Method Atlas</t>
        </is>
      </c>
      <c r="C72" s="10" t="inlineStr">
        <is>
          <t>H.1 The Grosberg-Rubinstein course</t>
        </is>
      </c>
      <c r="D72" s="11" t="n">
        <v>7</v>
      </c>
      <c r="E72" s="11" t="n">
        <v>10.2</v>
      </c>
    </row>
    <row r="73">
      <c r="A73" s="11" t="n">
        <v>69</v>
      </c>
      <c r="B73" s="15" t="inlineStr">
        <is>
          <t>Part II - The Method Atlas</t>
        </is>
      </c>
      <c r="C73" s="10" t="inlineStr">
        <is>
          <t>H.2 The LMU derivation course</t>
        </is>
      </c>
      <c r="D73" s="11" t="n">
        <v>7</v>
      </c>
      <c r="E73" s="11" t="n">
        <v>5.3</v>
      </c>
    </row>
    <row r="74">
      <c r="A74" s="11" t="n">
        <v>70</v>
      </c>
      <c r="B74" s="15" t="inlineStr">
        <is>
          <t>Part II - The Method Atlas</t>
        </is>
      </c>
      <c r="C74" s="10" t="inlineStr">
        <is>
          <t>H.3 Biology-facing treatments</t>
        </is>
      </c>
      <c r="D74" s="11" t="n">
        <v>5</v>
      </c>
      <c r="E74" s="11" t="n">
        <v>2.7</v>
      </c>
    </row>
    <row r="75">
      <c r="A75" s="11" t="n">
        <v>71</v>
      </c>
      <c r="B75" s="15" t="inlineStr">
        <is>
          <t>Part II - The Method Atlas</t>
        </is>
      </c>
      <c r="C75" s="10" t="inlineStr">
        <is>
          <t>The NPTEL polymer physics course</t>
        </is>
      </c>
      <c r="D75" s="11" t="n">
        <v>11</v>
      </c>
      <c r="E75" s="11" t="n">
        <v>5.6</v>
      </c>
    </row>
    <row r="76">
      <c r="A76" s="11" t="n">
        <v>72</v>
      </c>
      <c r="B76" s="15" t="inlineStr">
        <is>
          <t>Part II - The Method Atlas</t>
        </is>
      </c>
      <c r="C76" s="10" t="inlineStr">
        <is>
          <t>H.4 Polymer models of chromatin - the ICTP school</t>
        </is>
      </c>
      <c r="D76" s="11" t="n">
        <v>12</v>
      </c>
      <c r="E76" s="11" t="n">
        <v>13.6</v>
      </c>
    </row>
    <row r="77">
      <c r="A77" s="11" t="n">
        <v>73</v>
      </c>
      <c r="B77" s="15" t="inlineStr">
        <is>
          <t>Part II - The Method Atlas</t>
        </is>
      </c>
      <c r="C77" s="10" t="inlineStr">
        <is>
          <t>H.5 Minimal models of folding - lattice proteins and the random energy model</t>
        </is>
      </c>
      <c r="D77" s="11" t="n">
        <v>14</v>
      </c>
      <c r="E77" s="11" t="n">
        <v>15.4</v>
      </c>
    </row>
    <row r="78">
      <c r="A78" s="11" t="n">
        <v>74</v>
      </c>
      <c r="B78" s="15" t="inlineStr">
        <is>
          <t>Part II - The Method Atlas</t>
        </is>
      </c>
      <c r="C78" s="10" t="inlineStr">
        <is>
          <t>I.1 Allostery: theory</t>
        </is>
      </c>
      <c r="D78" s="11" t="n">
        <v>4</v>
      </c>
      <c r="E78" s="11" t="n">
        <v>2.1</v>
      </c>
    </row>
    <row r="79">
      <c r="A79" s="11" t="n">
        <v>75</v>
      </c>
      <c r="B79" s="15" t="inlineStr">
        <is>
          <t>Part II - The Method Atlas</t>
        </is>
      </c>
      <c r="C79" s="10" t="inlineStr">
        <is>
          <t>Evolutionary coupling and sectors</t>
        </is>
      </c>
      <c r="D79" s="11" t="n">
        <v>5</v>
      </c>
      <c r="E79" s="11" t="n">
        <v>4.2</v>
      </c>
    </row>
    <row r="80">
      <c r="A80" s="11" t="n">
        <v>76</v>
      </c>
      <c r="B80" s="15" t="inlineStr">
        <is>
          <t>Part II - The Method Atlas</t>
        </is>
      </c>
      <c r="C80" s="10" t="inlineStr">
        <is>
          <t>Elastic network models and ANM-based allostery</t>
        </is>
      </c>
      <c r="D80" s="11" t="n">
        <v>10</v>
      </c>
      <c r="E80" s="11" t="n">
        <v>8.300000000000001</v>
      </c>
    </row>
    <row r="81">
      <c r="A81" s="11" t="n">
        <v>77</v>
      </c>
      <c r="B81" s="15" t="inlineStr">
        <is>
          <t>Part II - The Method Atlas</t>
        </is>
      </c>
      <c r="C81" s="10" t="inlineStr">
        <is>
          <t>Dynamic allostery, networks, information-theoretic coupling</t>
        </is>
      </c>
      <c r="D81" s="11" t="n">
        <v>9</v>
      </c>
      <c r="E81" s="11" t="n">
        <v>7.5</v>
      </c>
    </row>
    <row r="82">
      <c r="A82" s="11" t="n">
        <v>78</v>
      </c>
      <c r="B82" s="15" t="inlineStr">
        <is>
          <t>Part II - The Method Atlas</t>
        </is>
      </c>
      <c r="C82" s="10" t="inlineStr">
        <is>
          <t>I.2 Pocket and site detection</t>
        </is>
      </c>
      <c r="D82" s="11" t="n">
        <v>12</v>
      </c>
      <c r="E82" s="11" t="n">
        <v>11.6</v>
      </c>
    </row>
    <row r="83">
      <c r="A83" s="11" t="n">
        <v>79</v>
      </c>
      <c r="B83" s="15" t="inlineStr">
        <is>
          <t>Part II - The Method Atlas</t>
        </is>
      </c>
      <c r="C83" s="10" t="inlineStr">
        <is>
          <t>I.3 Interfaces and hot spots</t>
        </is>
      </c>
      <c r="D83" s="11" t="n">
        <v>10</v>
      </c>
      <c r="E83" s="11" t="n">
        <v>9.199999999999999</v>
      </c>
    </row>
    <row r="84">
      <c r="A84" s="11" t="n">
        <v>80</v>
      </c>
      <c r="B84" s="15" t="inlineStr">
        <is>
          <t>Part II - The Method Atlas</t>
        </is>
      </c>
      <c r="C84" s="10" t="inlineStr">
        <is>
          <t>I.4 Trajectory analysis - and its pitfalls</t>
        </is>
      </c>
      <c r="D84" s="11" t="n">
        <v>8</v>
      </c>
      <c r="E84" s="11" t="n">
        <v>14.7</v>
      </c>
    </row>
    <row r="85">
      <c r="A85" s="11" t="n">
        <v>81</v>
      </c>
      <c r="B85" s="15" t="inlineStr">
        <is>
          <t>Part II - The Method Atlas</t>
        </is>
      </c>
      <c r="C85" s="10" t="inlineStr">
        <is>
          <t>Dimensionality reduction and Markov state models - the PyEMMA course</t>
        </is>
      </c>
      <c r="D85" s="11" t="n">
        <v>10</v>
      </c>
      <c r="E85" s="11" t="n">
        <v>6.7</v>
      </c>
    </row>
    <row r="86">
      <c r="A86" s="11" t="n">
        <v>82</v>
      </c>
      <c r="B86" s="15" t="inlineStr">
        <is>
          <t>Part II - The Method Atlas</t>
        </is>
      </c>
      <c r="C86" s="10" t="inlineStr">
        <is>
          <t>Convergence - assign these FIRST</t>
        </is>
      </c>
      <c r="D86" s="11" t="n">
        <v>4</v>
      </c>
      <c r="E86" s="11" t="n">
        <v>1.6</v>
      </c>
    </row>
    <row r="87">
      <c r="A87" s="11" t="n">
        <v>83</v>
      </c>
      <c r="B87" s="15" t="inlineStr">
        <is>
          <t>Part II - The Method Atlas</t>
        </is>
      </c>
      <c r="C87" s="10" t="inlineStr">
        <is>
          <t>I.5 Intrinsically disordered proteins</t>
        </is>
      </c>
      <c r="D87" s="11" t="n">
        <v>8</v>
      </c>
      <c r="E87" s="11" t="n">
        <v>6.9</v>
      </c>
    </row>
    <row r="88">
      <c r="A88" s="11" t="n">
        <v>84</v>
      </c>
      <c r="B88" s="15" t="inlineStr">
        <is>
          <t>Part II - The Method Atlas</t>
        </is>
      </c>
      <c r="C88" s="10" t="inlineStr">
        <is>
          <t>I.6 Condensates and phase separation</t>
        </is>
      </c>
      <c r="D88" s="11" t="n">
        <v>9</v>
      </c>
      <c r="E88" s="11" t="n">
        <v>7.3</v>
      </c>
    </row>
    <row r="89">
      <c r="A89" s="11" t="n">
        <v>85</v>
      </c>
      <c r="B89" s="15" t="inlineStr">
        <is>
          <t>Part II - The Method Atlas</t>
        </is>
      </c>
      <c r="C89" s="10" t="inlineStr">
        <is>
          <t>I.7 Membrane proteins and large assemblies</t>
        </is>
      </c>
      <c r="D89" s="11" t="n">
        <v>14</v>
      </c>
      <c r="E89" s="11" t="n">
        <v>15.8</v>
      </c>
    </row>
    <row r="90">
      <c r="A90" s="11" t="n">
        <v>86</v>
      </c>
      <c r="B90" s="15" t="inlineStr">
        <is>
          <t>Part II - The Method Atlas</t>
        </is>
      </c>
      <c r="C90" s="10" t="inlineStr">
        <is>
          <t>Maximum likelihood and the Bayesian framework</t>
        </is>
      </c>
      <c r="D90" s="11" t="n">
        <v>7</v>
      </c>
      <c r="E90" s="11" t="n">
        <v>5.9</v>
      </c>
    </row>
    <row r="91">
      <c r="A91" s="11" t="n">
        <v>87</v>
      </c>
      <c r="B91" s="15" t="inlineStr">
        <is>
          <t>Part II - The Method Atlas</t>
        </is>
      </c>
      <c r="C91" s="10" t="inlineStr">
        <is>
          <t>Image formation, CTF and Fourier theory</t>
        </is>
      </c>
      <c r="D91" s="11" t="n">
        <v>6</v>
      </c>
      <c r="E91" s="11" t="n">
        <v>5.3</v>
      </c>
    </row>
    <row r="92">
      <c r="A92" s="11" t="n">
        <v>88</v>
      </c>
      <c r="B92" s="15" t="inlineStr">
        <is>
          <t>Part II - The Method Atlas</t>
        </is>
      </c>
      <c r="C92" s="10" t="inlineStr">
        <is>
          <t>Resolution and validation</t>
        </is>
      </c>
      <c r="D92" s="11" t="n">
        <v>6</v>
      </c>
      <c r="E92" s="11" t="n">
        <v>5.7</v>
      </c>
    </row>
    <row r="93">
      <c r="A93" s="11" t="n">
        <v>89</v>
      </c>
      <c r="B93" s="15" t="inlineStr">
        <is>
          <t>Part II - The Method Atlas</t>
        </is>
      </c>
      <c r="C93" s="10" t="inlineStr">
        <is>
          <t>Particle picking with deep learning</t>
        </is>
      </c>
      <c r="D93" s="11" t="n">
        <v>4</v>
      </c>
      <c r="E93" s="11" t="n">
        <v>3.1</v>
      </c>
    </row>
    <row r="94">
      <c r="A94" s="11" t="n">
        <v>90</v>
      </c>
      <c r="B94" s="15" t="inlineStr">
        <is>
          <t>Part II - The Method Atlas</t>
        </is>
      </c>
      <c r="C94" s="10" t="inlineStr">
        <is>
          <t>Heterogeneity - the frontier</t>
        </is>
      </c>
      <c r="D94" s="11" t="n">
        <v>11</v>
      </c>
      <c r="E94" s="11" t="n">
        <v>10.1</v>
      </c>
    </row>
    <row r="95">
      <c r="A95" s="11" t="n">
        <v>91</v>
      </c>
      <c r="B95" s="15" t="inlineStr">
        <is>
          <t>Part II - The Method Atlas</t>
        </is>
      </c>
      <c r="C95" s="10" t="inlineStr">
        <is>
          <t>Motion correction and the inverse problem</t>
        </is>
      </c>
      <c r="D95" s="11" t="n">
        <v>10</v>
      </c>
      <c r="E95" s="11" t="n">
        <v>6.3</v>
      </c>
    </row>
    <row r="96">
      <c r="A96" s="11" t="n">
        <v>92</v>
      </c>
      <c r="B96" s="15" t="inlineStr">
        <is>
          <t>Part II - The Method Atlas</t>
        </is>
      </c>
      <c r="C96" s="10" t="inlineStr">
        <is>
          <t>Symmetry, strategy, maps and models</t>
        </is>
      </c>
      <c r="D96" s="11" t="n">
        <v>13</v>
      </c>
      <c r="E96" s="11" t="n">
        <v>8.699999999999999</v>
      </c>
    </row>
    <row r="97">
      <c r="A97" s="11" t="n">
        <v>93</v>
      </c>
      <c r="B97" s="15" t="inlineStr">
        <is>
          <t>Part II - The Method Atlas</t>
        </is>
      </c>
      <c r="C97" s="10" t="inlineStr">
        <is>
          <t>Tomography</t>
        </is>
      </c>
      <c r="D97" s="11" t="n">
        <v>5</v>
      </c>
      <c r="E97" s="11" t="n">
        <v>3.1</v>
      </c>
    </row>
    <row r="98">
      <c r="A98" s="11" t="n">
        <v>94</v>
      </c>
      <c r="B98" s="15" t="inlineStr">
        <is>
          <t>Part II - The Method Atlas</t>
        </is>
      </c>
      <c r="C98" s="10" t="inlineStr">
        <is>
          <t>The phase problem</t>
        </is>
      </c>
      <c r="D98" s="11" t="n">
        <v>3</v>
      </c>
      <c r="E98" s="11" t="n">
        <v>2.1</v>
      </c>
    </row>
    <row r="99">
      <c r="A99" s="11" t="n">
        <v>95</v>
      </c>
      <c r="B99" s="15" t="inlineStr">
        <is>
          <t>Part II - The Method Atlas</t>
        </is>
      </c>
      <c r="C99" s="10" t="inlineStr">
        <is>
          <t>Molecular replacement</t>
        </is>
      </c>
      <c r="D99" s="11" t="n">
        <v>6</v>
      </c>
      <c r="E99" s="11" t="n">
        <v>3.9</v>
      </c>
    </row>
    <row r="100">
      <c r="A100" s="11" t="n">
        <v>96</v>
      </c>
      <c r="B100" s="15" t="inlineStr">
        <is>
          <t>Part II - The Method Atlas</t>
        </is>
      </c>
      <c r="C100" s="10" t="inlineStr">
        <is>
          <t>Experimental phasing, density modification, refinement</t>
        </is>
      </c>
      <c r="D100" s="11" t="n">
        <v>15</v>
      </c>
      <c r="E100" s="11" t="n">
        <v>11.8</v>
      </c>
    </row>
    <row r="101">
      <c r="A101" s="11" t="n">
        <v>97</v>
      </c>
      <c r="B101" s="15" t="inlineStr">
        <is>
          <t>Part II - The Method Atlas</t>
        </is>
      </c>
      <c r="C101" s="10" t="inlineStr">
        <is>
          <t>Multiconformer models and room-temperature crystallography</t>
        </is>
      </c>
      <c r="D101" s="11" t="n">
        <v>7</v>
      </c>
      <c r="E101" s="11" t="n">
        <v>5.8</v>
      </c>
    </row>
    <row r="102">
      <c r="A102" s="11" t="n">
        <v>98</v>
      </c>
      <c r="B102" s="15" t="inlineStr">
        <is>
          <t>Part II - The Method Atlas</t>
        </is>
      </c>
      <c r="C102" s="10" t="inlineStr">
        <is>
          <t>J.3 NMR structure calculation</t>
        </is>
      </c>
      <c r="D102" s="11" t="n">
        <v>12</v>
      </c>
      <c r="E102" s="11" t="n">
        <v>13.9</v>
      </c>
    </row>
    <row r="103">
      <c r="A103" s="11" t="n">
        <v>99</v>
      </c>
      <c r="B103" s="15" t="inlineStr">
        <is>
          <t>Part II - The Method Atlas</t>
        </is>
      </c>
      <c r="C103" s="10" t="inlineStr">
        <is>
          <t>J.4 SAXS, SANS and low-resolution methods</t>
        </is>
      </c>
      <c r="D103" s="11" t="n">
        <v>10</v>
      </c>
      <c r="E103" s="11" t="n">
        <v>10.5</v>
      </c>
    </row>
    <row r="104">
      <c r="A104" s="11" t="n">
        <v>100</v>
      </c>
      <c r="B104" s="15" t="inlineStr">
        <is>
          <t>Part II - The Method Atlas</t>
        </is>
      </c>
      <c r="C104" s="10" t="inlineStr">
        <is>
          <t>J.5 Crosslinking-MS, HDX and native MS</t>
        </is>
      </c>
      <c r="D104" s="11" t="n">
        <v>7</v>
      </c>
      <c r="E104" s="11" t="n">
        <v>6.4</v>
      </c>
    </row>
    <row r="105">
      <c r="A105" s="11" t="n">
        <v>101</v>
      </c>
      <c r="B105" s="15" t="inlineStr">
        <is>
          <t>Part II - The Method Atlas</t>
        </is>
      </c>
      <c r="C105" s="10" t="inlineStr">
        <is>
          <t>Sali, IMP, and the integrative modeling platform</t>
        </is>
      </c>
      <c r="D105" s="11" t="n">
        <v>18</v>
      </c>
      <c r="E105" s="11" t="n">
        <v>12.4</v>
      </c>
    </row>
    <row r="106">
      <c r="A106" s="11" t="n">
        <v>102</v>
      </c>
      <c r="B106" s="15" t="inlineStr">
        <is>
          <t>Part II - The Method Atlas</t>
        </is>
      </c>
      <c r="C106" s="10" t="inlineStr">
        <is>
          <t>Bayesian inference and ensemble reweighting</t>
        </is>
      </c>
      <c r="D106" s="11" t="n">
        <v>9</v>
      </c>
      <c r="E106" s="11" t="n">
        <v>8.699999999999999</v>
      </c>
    </row>
    <row r="107">
      <c r="A107" s="11" t="n">
        <v>103</v>
      </c>
      <c r="B107" s="15" t="inlineStr">
        <is>
          <t>Part II - The Method Atlas</t>
        </is>
      </c>
      <c r="C107" s="10" t="inlineStr">
        <is>
          <t>Fitting models into density</t>
        </is>
      </c>
      <c r="D107" s="11" t="n">
        <v>12</v>
      </c>
      <c r="E107" s="11" t="n">
        <v>11.3</v>
      </c>
    </row>
    <row r="108">
      <c r="A108" s="11" t="n">
        <v>104</v>
      </c>
      <c r="B108" s="15" t="inlineStr">
        <is>
          <t>Part II - The Method Atlas</t>
        </is>
      </c>
      <c r="C108" s="10" t="inlineStr">
        <is>
          <t>Prediction plus sparse restraints</t>
        </is>
      </c>
      <c r="D108" s="11" t="n">
        <v>4</v>
      </c>
      <c r="E108" s="11" t="n">
        <v>2.4</v>
      </c>
    </row>
    <row r="109">
      <c r="A109" s="11" t="n">
        <v>105</v>
      </c>
      <c r="B109" s="15" t="inlineStr">
        <is>
          <t>Part II - The Method Atlas</t>
        </is>
      </c>
      <c r="C109" s="10" t="inlineStr">
        <is>
          <t>K.3 Combining prediction with sparse experimental data</t>
        </is>
      </c>
      <c r="D109" s="11" t="n">
        <v>4</v>
      </c>
      <c r="E109" s="11" t="n">
        <v>3.6</v>
      </c>
    </row>
    <row r="110">
      <c r="A110" s="11" t="n">
        <v>106</v>
      </c>
      <c r="B110" s="15" t="inlineStr">
        <is>
          <t>Part II - The Method Atlas</t>
        </is>
      </c>
      <c r="C110" s="10" t="inlineStr">
        <is>
          <t>L.1 The classical course</t>
        </is>
      </c>
      <c r="D110" s="11" t="n">
        <v>10</v>
      </c>
      <c r="E110" s="11" t="n">
        <v>9</v>
      </c>
    </row>
    <row r="111">
      <c r="A111" s="11" t="n">
        <v>107</v>
      </c>
      <c r="B111" s="15" t="inlineStr">
        <is>
          <t>Part II - The Method Atlas</t>
        </is>
      </c>
      <c r="C111" s="10" t="inlineStr">
        <is>
          <t>L.2 Fragment assembly and the Rosetta energy function</t>
        </is>
      </c>
      <c r="D111" s="11" t="n">
        <v>6</v>
      </c>
      <c r="E111" s="11" t="n">
        <v>4.4</v>
      </c>
    </row>
    <row r="112">
      <c r="A112" s="11" t="n">
        <v>108</v>
      </c>
      <c r="B112" s="15" t="inlineStr">
        <is>
          <t>Part II - The Method Atlas</t>
        </is>
      </c>
      <c r="C112" s="10" t="inlineStr">
        <is>
          <t>M.1 Protein-ligand docking</t>
        </is>
      </c>
      <c r="D112" s="11" t="n">
        <v>13</v>
      </c>
      <c r="E112" s="11" t="n">
        <v>10</v>
      </c>
    </row>
    <row r="113">
      <c r="A113" s="11" t="n">
        <v>109</v>
      </c>
      <c r="B113" s="15" t="inlineStr">
        <is>
          <t>Part II - The Method Atlas</t>
        </is>
      </c>
      <c r="C113" s="10" t="inlineStr">
        <is>
          <t>M.2 Protein-protein and information-driven docking</t>
        </is>
      </c>
      <c r="D113" s="11" t="n">
        <v>11</v>
      </c>
      <c r="E113" s="11" t="n">
        <v>12.2</v>
      </c>
    </row>
    <row r="114">
      <c r="A114" s="11" t="n">
        <v>110</v>
      </c>
      <c r="B114" s="15" t="inlineStr">
        <is>
          <t>Part II - The Method Atlas</t>
        </is>
      </c>
      <c r="C114" s="10" t="inlineStr">
        <is>
          <t>M.3 Virtual screening and cheminformatics</t>
        </is>
      </c>
      <c r="D114" s="11" t="n">
        <v>13</v>
      </c>
      <c r="E114" s="11" t="n">
        <v>10.9</v>
      </c>
    </row>
    <row r="115">
      <c r="A115" s="11" t="n">
        <v>111</v>
      </c>
      <c r="B115" s="15" t="inlineStr">
        <is>
          <t>Part II - The Method Atlas</t>
        </is>
      </c>
      <c r="C115" s="10" t="inlineStr">
        <is>
          <t>M.4 Binding free energy in practice</t>
        </is>
      </c>
      <c r="D115" s="11" t="n">
        <v>4</v>
      </c>
      <c r="E115" s="11" t="n">
        <v>5.2</v>
      </c>
    </row>
    <row r="116">
      <c r="A116" s="11" t="n">
        <v>112</v>
      </c>
      <c r="B116" s="15" t="inlineStr">
        <is>
          <t>Part II - The Method Atlas</t>
        </is>
      </c>
      <c r="C116" s="10" t="inlineStr">
        <is>
          <t>N.1 Alignment and search</t>
        </is>
      </c>
      <c r="D116" s="11" t="n">
        <v>2</v>
      </c>
      <c r="E116" s="11" t="n">
        <v>2.1</v>
      </c>
    </row>
    <row r="117">
      <c r="A117" s="11" t="n">
        <v>113</v>
      </c>
      <c r="B117" s="15" t="inlineStr">
        <is>
          <t>Part II - The Method Atlas</t>
        </is>
      </c>
      <c r="C117" s="10" t="inlineStr">
        <is>
          <t>N.2 Phylogenetics and the non-independence problem</t>
        </is>
      </c>
      <c r="D117" s="11" t="n">
        <v>3</v>
      </c>
      <c r="E117" s="11" t="n">
        <v>2.2</v>
      </c>
    </row>
    <row r="118">
      <c r="A118" s="11" t="n">
        <v>114</v>
      </c>
      <c r="B118" s="15" t="inlineStr">
        <is>
          <t>Part II - The Method Atlas</t>
        </is>
      </c>
      <c r="C118" s="10" t="inlineStr">
        <is>
          <t>N.3 Coevolution and statistical models of families</t>
        </is>
      </c>
      <c r="D118" s="11" t="n">
        <v>1</v>
      </c>
      <c r="E118" s="11" t="n">
        <v>1.6</v>
      </c>
    </row>
    <row r="119">
      <c r="A119" s="11" t="n">
        <v>115</v>
      </c>
      <c r="B119" s="15" t="inlineStr">
        <is>
          <t>Part II - The Method Atlas</t>
        </is>
      </c>
      <c r="C119" s="10" t="inlineStr">
        <is>
          <t>O.1 The framework</t>
        </is>
      </c>
      <c r="D119" s="11" t="n">
        <v>4</v>
      </c>
      <c r="E119" s="11" t="n">
        <v>3.8</v>
      </c>
    </row>
    <row r="120">
      <c r="A120" s="11" t="n">
        <v>116</v>
      </c>
      <c r="B120" s="15" t="inlineStr">
        <is>
          <t>Part II - The Method Atlas</t>
        </is>
      </c>
      <c r="C120" s="10" t="inlineStr">
        <is>
          <t>O.2 Equivariant architectures for atoms</t>
        </is>
      </c>
      <c r="D120" s="11" t="n">
        <v>9</v>
      </c>
      <c r="E120" s="11" t="n">
        <v>7.5</v>
      </c>
    </row>
    <row r="121">
      <c r="A121" s="11" t="n">
        <v>117</v>
      </c>
      <c r="B121" s="15" t="inlineStr">
        <is>
          <t>Part II - The Method Atlas</t>
        </is>
      </c>
      <c r="C121" s="10" t="inlineStr">
        <is>
          <t>O.3 The challenge to the orthodoxy</t>
        </is>
      </c>
      <c r="D121" s="11" t="n">
        <v>1</v>
      </c>
      <c r="E121" s="11" t="n">
        <v>1.2</v>
      </c>
    </row>
    <row r="122">
      <c r="A122" s="11" t="n">
        <v>118</v>
      </c>
      <c r="B122" s="15" t="inlineStr">
        <is>
          <t>Part II - The Method Atlas</t>
        </is>
      </c>
      <c r="C122" s="10" t="inlineStr">
        <is>
          <t>P.1 The architecture, properly</t>
        </is>
      </c>
      <c r="D122" s="11" t="n">
        <v>7</v>
      </c>
      <c r="E122" s="11" t="n">
        <v>7.9</v>
      </c>
    </row>
    <row r="123">
      <c r="A123" s="11" t="n">
        <v>119</v>
      </c>
      <c r="B123" s="15" t="inlineStr">
        <is>
          <t>Part II - The Method Atlas</t>
        </is>
      </c>
      <c r="C123" s="10" t="inlineStr">
        <is>
          <t>The critical talks - watch these too</t>
        </is>
      </c>
      <c r="D123" s="11" t="n">
        <v>2</v>
      </c>
      <c r="E123" s="11" t="n">
        <v>2.3</v>
      </c>
    </row>
    <row r="124">
      <c r="A124" s="11" t="n">
        <v>120</v>
      </c>
      <c r="B124" s="15" t="inlineStr">
        <is>
          <t>Part II - The Method Atlas</t>
        </is>
      </c>
      <c r="C124" s="10" t="inlineStr">
        <is>
          <t>P.2 OpenFold - what retraining revealed</t>
        </is>
      </c>
      <c r="D124" s="11" t="n">
        <v>6</v>
      </c>
      <c r="E124" s="11" t="n">
        <v>5.2</v>
      </c>
    </row>
    <row r="125">
      <c r="A125" s="11" t="n">
        <v>121</v>
      </c>
      <c r="B125" s="15" t="inlineStr">
        <is>
          <t>Part II - The Method Atlas</t>
        </is>
      </c>
      <c r="C125" s="10" t="inlineStr">
        <is>
          <t>P.3 The RoseTTAFold line</t>
        </is>
      </c>
      <c r="D125" s="11" t="n">
        <v>6</v>
      </c>
      <c r="E125" s="11" t="n">
        <v>5.4</v>
      </c>
    </row>
    <row r="126">
      <c r="A126" s="11" t="n">
        <v>122</v>
      </c>
      <c r="B126" s="15" t="inlineStr">
        <is>
          <t>Part II - The Method Atlas</t>
        </is>
      </c>
      <c r="C126" s="10" t="inlineStr">
        <is>
          <t>P.4 AlphaFold3 and the co-folding era</t>
        </is>
      </c>
      <c r="D126" s="11" t="n">
        <v>9</v>
      </c>
      <c r="E126" s="11" t="n">
        <v>7.2</v>
      </c>
    </row>
    <row r="127">
      <c r="A127" s="11" t="n">
        <v>123</v>
      </c>
      <c r="B127" s="15" t="inlineStr">
        <is>
          <t>Part II - The Method Atlas</t>
        </is>
      </c>
      <c r="C127" s="10" t="inlineStr">
        <is>
          <t>P.5 Older lineages and single-sequence prediction</t>
        </is>
      </c>
      <c r="D127" s="11" t="n">
        <v>10</v>
      </c>
      <c r="E127" s="11" t="n">
        <v>9.1</v>
      </c>
    </row>
    <row r="128">
      <c r="A128" s="11" t="n">
        <v>124</v>
      </c>
      <c r="B128" s="15" t="inlineStr">
        <is>
          <t>Part II - The Method Atlas</t>
        </is>
      </c>
      <c r="C128" s="10" t="inlineStr">
        <is>
          <t>P.6 Conformational ensembles - the frontier</t>
        </is>
      </c>
      <c r="D128" s="11" t="n">
        <v>8</v>
      </c>
      <c r="E128" s="11" t="n">
        <v>7.2</v>
      </c>
    </row>
    <row r="129">
      <c r="A129" s="11" t="n">
        <v>125</v>
      </c>
      <c r="B129" s="15" t="inlineStr">
        <is>
          <t>Part II - The Method Atlas</t>
        </is>
      </c>
      <c r="C129" s="10" t="inlineStr">
        <is>
          <t>P.7 Co-folding, ligands, and the validity critique</t>
        </is>
      </c>
      <c r="D129" s="11" t="n">
        <v>10</v>
      </c>
      <c r="E129" s="11" t="n">
        <v>8.4</v>
      </c>
    </row>
    <row r="130">
      <c r="A130" s="11" t="n">
        <v>126</v>
      </c>
      <c r="B130" s="15" t="inlineStr">
        <is>
          <t>Part II - The Method Atlas</t>
        </is>
      </c>
      <c r="C130" s="10" t="inlineStr">
        <is>
          <t>P.8 Protein-peptide and specialist regimes</t>
        </is>
      </c>
      <c r="D130" s="11" t="n">
        <v>4</v>
      </c>
      <c r="E130" s="11" t="n">
        <v>3.1</v>
      </c>
    </row>
    <row r="131">
      <c r="A131" s="11" t="n">
        <v>127</v>
      </c>
      <c r="B131" s="15" t="inlineStr">
        <is>
          <t>Part II - The Method Atlas</t>
        </is>
      </c>
      <c r="C131" s="10" t="inlineStr">
        <is>
          <t>P.9 Where this goes next</t>
        </is>
      </c>
      <c r="D131" s="11" t="n">
        <v>6</v>
      </c>
      <c r="E131" s="11" t="n">
        <v>7.8</v>
      </c>
    </row>
    <row r="132">
      <c r="A132" s="11" t="n">
        <v>128</v>
      </c>
      <c r="B132" s="15" t="inlineStr">
        <is>
          <t>Part II - The Method Atlas</t>
        </is>
      </c>
      <c r="C132" s="10" t="inlineStr">
        <is>
          <t>Q.1 The ESM line</t>
        </is>
      </c>
      <c r="D132" s="11" t="n">
        <v>9</v>
      </c>
      <c r="E132" s="11" t="n">
        <v>7.9</v>
      </c>
    </row>
    <row r="133">
      <c r="A133" s="11" t="n">
        <v>129</v>
      </c>
      <c r="B133" s="15" t="inlineStr">
        <is>
          <t>Part II - The Method Atlas</t>
        </is>
      </c>
      <c r="C133" s="10" t="inlineStr">
        <is>
          <t>Q.2 Generative protein language models</t>
        </is>
      </c>
      <c r="D133" s="11" t="n">
        <v>14</v>
      </c>
      <c r="E133" s="11" t="n">
        <v>13.5</v>
      </c>
    </row>
    <row r="134">
      <c r="A134" s="11" t="n">
        <v>130</v>
      </c>
      <c r="B134" s="15" t="inlineStr">
        <is>
          <t>Part II - The Method Atlas</t>
        </is>
      </c>
      <c r="C134" s="10" t="inlineStr">
        <is>
          <t>Q.3 Fitness prediction and variant effects</t>
        </is>
      </c>
      <c r="D134" s="11" t="n">
        <v>14</v>
      </c>
      <c r="E134" s="11" t="n">
        <v>15.2</v>
      </c>
    </row>
    <row r="135">
      <c r="A135" s="11" t="n">
        <v>131</v>
      </c>
      <c r="B135" s="15" t="inlineStr">
        <is>
          <t>Part II - The Method Atlas</t>
        </is>
      </c>
      <c r="C135" s="10" t="inlineStr">
        <is>
          <t>Q.4 Interpretability of protein models</t>
        </is>
      </c>
      <c r="D135" s="11" t="n">
        <v>9</v>
      </c>
      <c r="E135" s="11" t="n">
        <v>9.1</v>
      </c>
    </row>
    <row r="136">
      <c r="A136" s="11" t="n">
        <v>132</v>
      </c>
      <c r="B136" s="15" t="inlineStr">
        <is>
          <t>Part II - The Method Atlas</t>
        </is>
      </c>
      <c r="C136" s="10" t="inlineStr">
        <is>
          <t>Q.5 Genomic and RNA language models</t>
        </is>
      </c>
      <c r="D136" s="11" t="n">
        <v>22</v>
      </c>
      <c r="E136" s="11" t="n">
        <v>17</v>
      </c>
    </row>
    <row r="137">
      <c r="A137" s="11" t="n">
        <v>133</v>
      </c>
      <c r="B137" s="15" t="inlineStr">
        <is>
          <t>Part II - The Method Atlas</t>
        </is>
      </c>
      <c r="C137" s="10" t="inlineStr">
        <is>
          <t>Q.6 Function prediction and search</t>
        </is>
      </c>
      <c r="D137" s="11" t="n">
        <v>9</v>
      </c>
      <c r="E137" s="11" t="n">
        <v>7.5</v>
      </c>
    </row>
    <row r="138">
      <c r="A138" s="11" t="n">
        <v>134</v>
      </c>
      <c r="B138" s="15" t="inlineStr">
        <is>
          <t>Part II - The Method Atlas</t>
        </is>
      </c>
      <c r="C138" s="10" t="inlineStr">
        <is>
          <t>R.1 Inverse folding and sequence design</t>
        </is>
      </c>
      <c r="D138" s="11" t="n">
        <v>10</v>
      </c>
      <c r="E138" s="11" t="n">
        <v>6.4</v>
      </c>
    </row>
    <row r="139">
      <c r="A139" s="11" t="n">
        <v>135</v>
      </c>
      <c r="B139" s="15" t="inlineStr">
        <is>
          <t>Part II - The Method Atlas</t>
        </is>
      </c>
      <c r="C139" s="10" t="inlineStr">
        <is>
          <t>The metric critique - watch immediately after Dauparas</t>
        </is>
      </c>
      <c r="D139" s="11" t="n">
        <v>2</v>
      </c>
      <c r="E139" s="11" t="n">
        <v>2.1</v>
      </c>
    </row>
    <row r="140">
      <c r="A140" s="11" t="n">
        <v>136</v>
      </c>
      <c r="B140" s="15" t="inlineStr">
        <is>
          <t>Part II - The Method Atlas</t>
        </is>
      </c>
      <c r="C140" s="10" t="inlineStr">
        <is>
          <t>R.2 Backbone generation</t>
        </is>
      </c>
      <c r="D140" s="11" t="n">
        <v>33</v>
      </c>
      <c r="E140" s="11" t="n">
        <v>27.6</v>
      </c>
    </row>
    <row r="141">
      <c r="A141" s="11" t="n">
        <v>137</v>
      </c>
      <c r="B141" s="15" t="inlineStr">
        <is>
          <t>Part II - The Method Atlas</t>
        </is>
      </c>
      <c r="C141" s="10" t="inlineStr">
        <is>
          <t>R.3 Hallucination and inverting predictors</t>
        </is>
      </c>
      <c r="D141" s="11" t="n">
        <v>9</v>
      </c>
      <c r="E141" s="11" t="n">
        <v>10.4</v>
      </c>
    </row>
    <row r="142">
      <c r="A142" s="11" t="n">
        <v>138</v>
      </c>
      <c r="B142" s="15" t="inlineStr">
        <is>
          <t>Part II - The Method Atlas</t>
        </is>
      </c>
      <c r="C142" s="10" t="inlineStr">
        <is>
          <t>R.4 Binder design - and the honest hit rates</t>
        </is>
      </c>
      <c r="D142" s="11" t="n">
        <v>12</v>
      </c>
      <c r="E142" s="11" t="n">
        <v>10.2</v>
      </c>
    </row>
    <row r="143">
      <c r="A143" s="11" t="n">
        <v>139</v>
      </c>
      <c r="B143" s="15" t="inlineStr">
        <is>
          <t>Part II - The Method Atlas</t>
        </is>
      </c>
      <c r="C143" s="10" t="inlineStr">
        <is>
          <t>The three corrective talks</t>
        </is>
      </c>
      <c r="D143" s="11" t="n">
        <v>3</v>
      </c>
      <c r="E143" s="11" t="n">
        <v>3</v>
      </c>
    </row>
    <row r="144">
      <c r="A144" s="11" t="n">
        <v>140</v>
      </c>
      <c r="B144" s="15" t="inlineStr">
        <is>
          <t>Part II - The Method Atlas</t>
        </is>
      </c>
      <c r="C144" s="10" t="inlineStr">
        <is>
          <t>R.5 Enzyme design - the field's most honest corner</t>
        </is>
      </c>
      <c r="D144" s="11" t="n">
        <v>9</v>
      </c>
      <c r="E144" s="11" t="n">
        <v>7.6</v>
      </c>
    </row>
    <row r="145">
      <c r="A145" s="11" t="n">
        <v>141</v>
      </c>
      <c r="B145" s="15" t="inlineStr">
        <is>
          <t>Part II - The Method Atlas</t>
        </is>
      </c>
      <c r="C145" s="10" t="inlineStr">
        <is>
          <t>R.6 Peptides and macrocycles</t>
        </is>
      </c>
      <c r="D145" s="11" t="n">
        <v>6</v>
      </c>
      <c r="E145" s="11" t="n">
        <v>5.9</v>
      </c>
    </row>
    <row r="146">
      <c r="A146" s="11" t="n">
        <v>142</v>
      </c>
      <c r="B146" s="15" t="inlineStr">
        <is>
          <t>Part II - The Method Atlas</t>
        </is>
      </c>
      <c r="C146" s="10" t="inlineStr">
        <is>
          <t>R.7 Antibodies and TCRs</t>
        </is>
      </c>
      <c r="D146" s="11" t="n">
        <v>16</v>
      </c>
      <c r="E146" s="11" t="n">
        <v>14.5</v>
      </c>
    </row>
    <row r="147">
      <c r="A147" s="11" t="n">
        <v>143</v>
      </c>
      <c r="B147" s="15" t="inlineStr">
        <is>
          <t>Part II - The Method Atlas</t>
        </is>
      </c>
      <c r="C147" s="10" t="inlineStr">
        <is>
          <t>R.8 Function, dynamics and the hard design problems</t>
        </is>
      </c>
      <c r="D147" s="11" t="n">
        <v>11</v>
      </c>
      <c r="E147" s="11" t="n">
        <v>10.6</v>
      </c>
    </row>
    <row r="148">
      <c r="A148" s="11" t="n">
        <v>144</v>
      </c>
      <c r="B148" s="15" t="inlineStr">
        <is>
          <t>Part II - The Method Atlas</t>
        </is>
      </c>
      <c r="C148" s="10" t="inlineStr">
        <is>
          <t>R.9 Protein-nucleic acid and co-design</t>
        </is>
      </c>
      <c r="D148" s="11" t="n">
        <v>1</v>
      </c>
      <c r="E148" s="11" t="n">
        <v>0.9</v>
      </c>
    </row>
    <row r="149">
      <c r="A149" s="11" t="n">
        <v>145</v>
      </c>
      <c r="B149" s="15" t="inlineStr">
        <is>
          <t>Part II - The Method Atlas</t>
        </is>
      </c>
      <c r="C149" s="10" t="inlineStr">
        <is>
          <t>R.10 The framing talks and the skeptics</t>
        </is>
      </c>
      <c r="D149" s="11" t="n">
        <v>8</v>
      </c>
      <c r="E149" s="11" t="n">
        <v>4.6</v>
      </c>
    </row>
    <row r="150">
      <c r="A150" s="11" t="n">
        <v>146</v>
      </c>
      <c r="B150" s="15" t="inlineStr">
        <is>
          <t>Part II - The Method Atlas</t>
        </is>
      </c>
      <c r="C150" s="10" t="inlineStr">
        <is>
          <t>S.1 The blind assessments</t>
        </is>
      </c>
      <c r="D150" s="11" t="n">
        <v>2</v>
      </c>
      <c r="E150" s="11" t="n">
        <v>1.5</v>
      </c>
    </row>
    <row r="151">
      <c r="A151" s="11" t="n">
        <v>147</v>
      </c>
      <c r="B151" s="15" t="inlineStr">
        <is>
          <t>Part II - The Method Atlas</t>
        </is>
      </c>
      <c r="C151" s="10" t="inlineStr">
        <is>
          <t>S.3 Statistics and experimental design</t>
        </is>
      </c>
      <c r="D151" s="11" t="n">
        <v>8</v>
      </c>
      <c r="E151" s="11" t="n">
        <v>8.800000000000001</v>
      </c>
    </row>
    <row r="152">
      <c r="A152" s="11" t="n">
        <v>148</v>
      </c>
      <c r="B152" s="15" t="inlineStr">
        <is>
          <t>Part II - The Method Atlas</t>
        </is>
      </c>
      <c r="C152" s="10" t="inlineStr">
        <is>
          <t>T.1 Rhiju Das, in his own words</t>
        </is>
      </c>
      <c r="D152" s="11" t="n">
        <v>17</v>
      </c>
      <c r="E152" s="11" t="n">
        <v>10.9</v>
      </c>
    </row>
    <row r="153">
      <c r="A153" s="11" t="n">
        <v>149</v>
      </c>
      <c r="B153" s="15" t="inlineStr">
        <is>
          <t>Part II - The Method Atlas</t>
        </is>
      </c>
      <c r="C153" s="10" t="inlineStr">
        <is>
          <t>T.2 Secondary structure prediction - the dynamic programming lineage</t>
        </is>
      </c>
      <c r="D153" s="11" t="n">
        <v>27</v>
      </c>
      <c r="E153" s="11" t="n">
        <v>6.7</v>
      </c>
    </row>
    <row r="154">
      <c r="A154" s="11" t="n">
        <v>150</v>
      </c>
      <c r="B154" s="15" t="inlineStr">
        <is>
          <t>Part II - The Method Atlas</t>
        </is>
      </c>
      <c r="C154" s="10" t="inlineStr">
        <is>
          <t>T.3 Thermodynamics and nearest-neighbour parameters</t>
        </is>
      </c>
      <c r="D154" s="11" t="n">
        <v>6</v>
      </c>
      <c r="E154" s="11" t="n">
        <v>4.5</v>
      </c>
    </row>
    <row r="155">
      <c r="A155" s="11" t="n">
        <v>151</v>
      </c>
      <c r="B155" s="15" t="inlineStr">
        <is>
          <t>Part II - The Method Atlas</t>
        </is>
      </c>
      <c r="C155" s="10" t="inlineStr">
        <is>
          <t>T.4 Chemical probing - what the data actually constrains</t>
        </is>
      </c>
      <c r="D155" s="11" t="n">
        <v>12</v>
      </c>
      <c r="E155" s="11" t="n">
        <v>9.300000000000001</v>
      </c>
    </row>
    <row r="156">
      <c r="A156" s="11" t="n">
        <v>152</v>
      </c>
      <c r="B156" s="15" t="inlineStr">
        <is>
          <t>Part II - The Method Atlas</t>
        </is>
      </c>
      <c r="C156" s="10" t="inlineStr">
        <is>
          <t>T.5 Ribozymes and catalytic RNA</t>
        </is>
      </c>
      <c r="D156" s="11" t="n">
        <v>19</v>
      </c>
      <c r="E156" s="11" t="n">
        <v>15.1</v>
      </c>
    </row>
    <row r="157">
      <c r="A157" s="11" t="n">
        <v>153</v>
      </c>
      <c r="B157" s="15" t="inlineStr">
        <is>
          <t>Part II - The Method Atlas</t>
        </is>
      </c>
      <c r="C157" s="10" t="inlineStr">
        <is>
          <t>T.6 Riboswitches and RNA regulation</t>
        </is>
      </c>
      <c r="D157" s="11" t="n">
        <v>7</v>
      </c>
      <c r="E157" s="11" t="n">
        <v>4.8</v>
      </c>
    </row>
    <row r="158">
      <c r="A158" s="11" t="n">
        <v>154</v>
      </c>
      <c r="B158" s="15" t="inlineStr">
        <is>
          <t>Part II - The Method Atlas</t>
        </is>
      </c>
      <c r="C158" s="10" t="inlineStr">
        <is>
          <t>T.7 Three-dimensional structure prediction</t>
        </is>
      </c>
      <c r="D158" s="11" t="n">
        <v>18</v>
      </c>
      <c r="E158" s="11" t="n">
        <v>13.8</v>
      </c>
    </row>
    <row r="159">
      <c r="A159" s="11" t="n">
        <v>155</v>
      </c>
      <c r="B159" s="15" t="inlineStr">
        <is>
          <t>Part II - The Method Atlas</t>
        </is>
      </c>
      <c r="C159" s="10" t="inlineStr">
        <is>
          <t>T.8 RNA design</t>
        </is>
      </c>
      <c r="D159" s="11" t="n">
        <v>10</v>
      </c>
      <c r="E159" s="11" t="n">
        <v>7.4</v>
      </c>
    </row>
    <row r="160">
      <c r="A160" s="11" t="n">
        <v>156</v>
      </c>
      <c r="B160" s="15" t="inlineStr">
        <is>
          <t>Part II - The Method Atlas</t>
        </is>
      </c>
      <c r="C160" s="10" t="inlineStr">
        <is>
          <t>T.9 Biophysics - the ion atmosphere</t>
        </is>
      </c>
      <c r="D160" s="11" t="n">
        <v>4</v>
      </c>
      <c r="E160" s="11" t="n">
        <v>0</v>
      </c>
    </row>
    <row r="161">
      <c r="A161" s="11" t="n">
        <v>157</v>
      </c>
      <c r="B161" s="17" t="inlineStr">
        <is>
          <t>Part III - Upstream AI Research</t>
        </is>
      </c>
      <c r="C161" s="10" t="inlineStr">
        <is>
          <t>1. Core deep learning courses with full recorded lectures</t>
        </is>
      </c>
      <c r="D161" s="11" t="n">
        <v>2</v>
      </c>
      <c r="E161" s="11" t="n">
        <v>0</v>
      </c>
    </row>
    <row r="162">
      <c r="A162" s="11" t="n">
        <v>158</v>
      </c>
      <c r="B162" s="17" t="inlineStr">
        <is>
          <t>Part III - Upstream AI Research</t>
        </is>
      </c>
      <c r="C162" s="10" t="inlineStr">
        <is>
          <t>2. Probabilistic ML and Bayesian methods</t>
        </is>
      </c>
      <c r="D162" s="11" t="n">
        <v>2</v>
      </c>
      <c r="E162" s="11" t="n">
        <v>0</v>
      </c>
    </row>
    <row r="163">
      <c r="A163" s="11" t="n">
        <v>159</v>
      </c>
      <c r="B163" s="17" t="inlineStr">
        <is>
          <t>Part III - Upstream AI Research</t>
        </is>
      </c>
      <c r="C163" s="10" t="inlineStr">
        <is>
          <t>4. Diffusion models and flow matching</t>
        </is>
      </c>
      <c r="D163" s="11" t="n">
        <v>5</v>
      </c>
      <c r="E163" s="11" t="n">
        <v>9.4</v>
      </c>
    </row>
    <row r="164">
      <c r="A164" s="11" t="n">
        <v>160</v>
      </c>
      <c r="B164" s="17" t="inlineStr">
        <is>
          <t>Part III - Upstream AI Research</t>
        </is>
      </c>
      <c r="C164" s="10" t="inlineStr">
        <is>
          <t>5. Transformers and attention in depth</t>
        </is>
      </c>
      <c r="D164" s="11" t="n">
        <v>4</v>
      </c>
      <c r="E164" s="11" t="n">
        <v>3.7</v>
      </c>
    </row>
    <row r="165">
      <c r="A165" s="11" t="n">
        <v>161</v>
      </c>
      <c r="B165" s="17" t="inlineStr">
        <is>
          <t>Part III - Upstream AI Research</t>
        </is>
      </c>
      <c r="C165" s="10" t="inlineStr">
        <is>
          <t>6. Reinforcement learning and optimization for design</t>
        </is>
      </c>
      <c r="D165" s="11" t="n">
        <v>2</v>
      </c>
      <c r="E165" s="11" t="n">
        <v>0</v>
      </c>
    </row>
    <row r="166">
      <c r="A166" s="11" t="n">
        <v>162</v>
      </c>
      <c r="B166" s="17" t="inlineStr">
        <is>
          <t>Part III - Upstream AI Research</t>
        </is>
      </c>
      <c r="C166" s="10" t="inlineStr">
        <is>
          <t>7. ML systems practicalities</t>
        </is>
      </c>
      <c r="D166" s="11" t="n">
        <v>3</v>
      </c>
      <c r="E166" s="11" t="n">
        <v>1.2</v>
      </c>
    </row>
    <row r="167">
      <c r="A167" s="11" t="n">
        <v>163</v>
      </c>
      <c r="B167" s="17" t="inlineStr">
        <is>
          <t>Part III - Upstream AI Research</t>
        </is>
      </c>
      <c r="C167" s="10" t="inlineStr">
        <is>
          <t>1. Modern vision architectures - ViT, ConvNeXt, Swin, the convolution debate</t>
        </is>
      </c>
      <c r="D167" s="11" t="n">
        <v>18</v>
      </c>
      <c r="E167" s="11" t="n">
        <v>15</v>
      </c>
    </row>
    <row r="168">
      <c r="A168" s="11" t="n">
        <v>164</v>
      </c>
      <c r="B168" s="17" t="inlineStr">
        <is>
          <t>Part III - Upstream AI Research</t>
        </is>
      </c>
      <c r="C168" s="10" t="inlineStr">
        <is>
          <t>2. Self-supervised visual learning - contrastive, clustering, masked, JEPA</t>
        </is>
      </c>
      <c r="D168" s="11" t="n">
        <v>19</v>
      </c>
      <c r="E168" s="11" t="n">
        <v>14.7</v>
      </c>
    </row>
    <row r="169">
      <c r="A169" s="11" t="n">
        <v>165</v>
      </c>
      <c r="B169" s="17" t="inlineStr">
        <is>
          <t>Part III - Upstream AI Research</t>
        </is>
      </c>
      <c r="C169" s="10" t="inlineStr">
        <is>
          <t>3. Vision-language and multimodal</t>
        </is>
      </c>
      <c r="D169" s="11" t="n">
        <v>15</v>
      </c>
      <c r="E169" s="11" t="n">
        <v>17.7</v>
      </c>
    </row>
    <row r="170">
      <c r="A170" s="11" t="n">
        <v>166</v>
      </c>
      <c r="B170" s="17" t="inlineStr">
        <is>
          <t>Part III - Upstream AI Research</t>
        </is>
      </c>
      <c r="C170" s="10" t="inlineStr">
        <is>
          <t>4. Segmentation, detection, dense prediction</t>
        </is>
      </c>
      <c r="D170" s="11" t="n">
        <v>7</v>
      </c>
      <c r="E170" s="11" t="n">
        <v>3.6</v>
      </c>
    </row>
    <row r="171">
      <c r="A171" s="11" t="n">
        <v>167</v>
      </c>
      <c r="B171" s="17" t="inlineStr">
        <is>
          <t>Part III - Upstream AI Research</t>
        </is>
      </c>
      <c r="C171" s="10" t="inlineStr">
        <is>
          <t>5. Generative vision - GANs, diffusion, autoregressive, video, evaluation</t>
        </is>
      </c>
      <c r="D171" s="11" t="n">
        <v>24</v>
      </c>
      <c r="E171" s="11" t="n">
        <v>22.5</v>
      </c>
    </row>
    <row r="172">
      <c r="A172" s="11" t="n">
        <v>168</v>
      </c>
      <c r="B172" s="17" t="inlineStr">
        <is>
          <t>Part III - Upstream AI Research</t>
        </is>
      </c>
      <c r="C172" s="10" t="inlineStr">
        <is>
          <t>6. 3D vision and geometry - directly transferable to molecular structure</t>
        </is>
      </c>
      <c r="D172" s="11" t="n">
        <v>31</v>
      </c>
      <c r="E172" s="11" t="n">
        <v>27.9</v>
      </c>
    </row>
    <row r="173">
      <c r="A173" s="11" t="n">
        <v>169</v>
      </c>
      <c r="B173" s="17" t="inlineStr">
        <is>
          <t>Part III - Upstream AI Research</t>
        </is>
      </c>
      <c r="C173" s="10" t="inlineStr">
        <is>
          <t>7. Research seminars, keynotes, and research taste</t>
        </is>
      </c>
      <c r="D173" s="11" t="n">
        <v>15</v>
      </c>
      <c r="E173" s="11" t="n">
        <v>15.7</v>
      </c>
    </row>
    <row r="174">
      <c r="A174" s="11" t="n">
        <v>170</v>
      </c>
      <c r="B174" s="17" t="inlineStr">
        <is>
          <t>Part III - Upstream AI Research</t>
        </is>
      </c>
      <c r="C174" s="10" t="inlineStr">
        <is>
          <t>8a. Stanford CS231n - Deep Learning for Computer Vision, Spring 2025 (18 lectures, Stanford Online</t>
        </is>
      </c>
      <c r="D174" s="11" t="n">
        <v>17</v>
      </c>
      <c r="E174" s="11" t="n">
        <v>20</v>
      </c>
    </row>
    <row r="175">
      <c r="A175" s="11" t="n">
        <v>171</v>
      </c>
      <c r="B175" s="17" t="inlineStr">
        <is>
          <t>Part III - Upstream AI Research</t>
        </is>
      </c>
      <c r="C175" s="10" t="inlineStr">
        <is>
          <t>8b. University of Michigan EECS 498-007 / 598-005 - Deep Learning for Computer Vision (Justin Johnson), 22 lectures, Michigan Online</t>
        </is>
      </c>
      <c r="D175" s="11" t="n">
        <v>22</v>
      </c>
      <c r="E175" s="11" t="n">
        <v>25.7</v>
      </c>
    </row>
    <row r="176">
      <c r="A176" s="11" t="n">
        <v>172</v>
      </c>
      <c r="B176" s="17" t="inlineStr">
        <is>
          <t>Part III - Upstream AI Research</t>
        </is>
      </c>
      <c r="C176" s="10" t="inlineStr">
        <is>
          <t>8c. Supplementary graduate courses (verified, enumerate individually as needed</t>
        </is>
      </c>
      <c r="D176" s="11" t="n">
        <v>1</v>
      </c>
      <c r="E176" s="11" t="n">
        <v>1.3</v>
      </c>
    </row>
    <row r="177">
      <c r="A177" s="11" t="n">
        <v>173</v>
      </c>
      <c r="B177" s="17" t="inlineStr">
        <is>
          <t>Part III - Upstream AI Research</t>
        </is>
      </c>
      <c r="C177" s="10" t="inlineStr">
        <is>
          <t>D.4.1 State space models - the strongest single thread here</t>
        </is>
      </c>
      <c r="D177" s="11" t="n">
        <v>6</v>
      </c>
      <c r="E177" s="11" t="n">
        <v>6.4</v>
      </c>
    </row>
    <row r="178">
      <c r="A178" s="11" t="n">
        <v>174</v>
      </c>
      <c r="B178" s="17" t="inlineStr">
        <is>
          <t>Part III - Upstream AI Research</t>
        </is>
      </c>
      <c r="C178" s="10" t="inlineStr">
        <is>
          <t>D.4.2 Linear attention and efficient attention</t>
        </is>
      </c>
      <c r="D178" s="11" t="n">
        <v>5</v>
      </c>
      <c r="E178" s="11" t="n">
        <v>5.3</v>
      </c>
    </row>
    <row r="179">
      <c r="A179" s="11" t="n">
        <v>175</v>
      </c>
      <c r="B179" s="17" t="inlineStr">
        <is>
          <t>Part III - Upstream AI Research</t>
        </is>
      </c>
      <c r="C179" s="10" t="inlineStr">
        <is>
          <t>D.4.3 Positional encoding, normalization, tokenization</t>
        </is>
      </c>
      <c r="D179" s="11" t="n">
        <v>2</v>
      </c>
      <c r="E179" s="11" t="n">
        <v>2.3</v>
      </c>
    </row>
    <row r="180">
      <c r="A180" s="11" t="n">
        <v>176</v>
      </c>
      <c r="B180" s="17" t="inlineStr">
        <is>
          <t>Part III - Upstream AI Research</t>
        </is>
      </c>
      <c r="C180" s="10" t="inlineStr">
        <is>
          <t>D.4.4 Mixture of experts</t>
        </is>
      </c>
      <c r="D180" s="11" t="n">
        <v>8</v>
      </c>
      <c r="E180" s="11" t="n">
        <v>8.300000000000001</v>
      </c>
    </row>
    <row r="181">
      <c r="A181" s="11" t="n">
        <v>177</v>
      </c>
      <c r="B181" s="17" t="inlineStr">
        <is>
          <t>Part III - Upstream AI Research</t>
        </is>
      </c>
      <c r="C181" s="10" t="inlineStr">
        <is>
          <t>D.4.5 Long context</t>
        </is>
      </c>
      <c r="D181" s="11" t="n">
        <v>5</v>
      </c>
      <c r="E181" s="11" t="n">
        <v>5</v>
      </c>
    </row>
    <row r="182">
      <c r="A182" s="11" t="n">
        <v>178</v>
      </c>
      <c r="B182" s="17" t="inlineStr">
        <is>
          <t>Part III - Upstream AI Research</t>
        </is>
      </c>
      <c r="C182" s="10" t="inlineStr">
        <is>
          <t>D.4.6 Diffusion language models</t>
        </is>
      </c>
      <c r="D182" s="11" t="n">
        <v>5</v>
      </c>
      <c r="E182" s="11" t="n">
        <v>5.2</v>
      </c>
    </row>
    <row r="183">
      <c r="A183" s="11" t="n">
        <v>179</v>
      </c>
      <c r="B183" s="17" t="inlineStr">
        <is>
          <t>Part III - Upstream AI Research</t>
        </is>
      </c>
      <c r="C183" s="10" t="inlineStr">
        <is>
          <t>D.4.7 RWKV, Hyena, xLSTM - the other attention alternatives</t>
        </is>
      </c>
      <c r="D183" s="11" t="n">
        <v>6</v>
      </c>
      <c r="E183" s="11" t="n">
        <v>6.3</v>
      </c>
    </row>
    <row r="184">
      <c r="A184" s="11" t="n">
        <v>180</v>
      </c>
      <c r="B184" s="17" t="inlineStr">
        <is>
          <t>Part III - Upstream AI Research</t>
        </is>
      </c>
      <c r="C184" s="10" t="inlineStr">
        <is>
          <t>D.5.1 FlashAttention and IO-aware algorithms</t>
        </is>
      </c>
      <c r="D184" s="11" t="n">
        <v>11</v>
      </c>
      <c r="E184" s="11" t="n">
        <v>12.6</v>
      </c>
    </row>
    <row r="185">
      <c r="A185" s="11" t="n">
        <v>181</v>
      </c>
      <c r="B185" s="17" t="inlineStr">
        <is>
          <t>Part III - Upstream AI Research</t>
        </is>
      </c>
      <c r="C185" s="10" t="inlineStr">
        <is>
          <t>D.5.2 Parallelism and distributed training</t>
        </is>
      </c>
      <c r="D185" s="11" t="n">
        <v>15</v>
      </c>
      <c r="E185" s="11" t="n">
        <v>17.6</v>
      </c>
    </row>
    <row r="186">
      <c r="A186" s="11" t="n">
        <v>182</v>
      </c>
      <c r="B186" s="17" t="inlineStr">
        <is>
          <t>Part III - Upstream AI Research</t>
        </is>
      </c>
      <c r="C186" s="10" t="inlineStr">
        <is>
          <t>D.5.3 Numerics, precision and optimizers</t>
        </is>
      </c>
      <c r="D186" s="11" t="n">
        <v>12</v>
      </c>
      <c r="E186" s="11" t="n">
        <v>14.3</v>
      </c>
    </row>
    <row r="187">
      <c r="A187" s="11" t="n">
        <v>183</v>
      </c>
      <c r="B187" s="17" t="inlineStr">
        <is>
          <t>Part III - Upstream AI Research</t>
        </is>
      </c>
      <c r="C187" s="10" t="inlineStr">
        <is>
          <t>D.5.4 Scaling laws</t>
        </is>
      </c>
      <c r="D187" s="11" t="n">
        <v>9</v>
      </c>
      <c r="E187" s="11" t="n">
        <v>10.1</v>
      </c>
    </row>
    <row r="188">
      <c r="A188" s="11" t="n">
        <v>184</v>
      </c>
      <c r="B188" s="17" t="inlineStr">
        <is>
          <t>Part III - Upstream AI Research</t>
        </is>
      </c>
      <c r="C188" s="10" t="inlineStr">
        <is>
          <t>D.5.5 Data - the chapter that transfers most cleanly</t>
        </is>
      </c>
      <c r="D188" s="11" t="n">
        <v>13</v>
      </c>
      <c r="E188" s="11" t="n">
        <v>12.5</v>
      </c>
    </row>
    <row r="189">
      <c r="A189" s="11" t="n">
        <v>185</v>
      </c>
      <c r="B189" s="17" t="inlineStr">
        <is>
          <t>Part III - Upstream AI Research</t>
        </is>
      </c>
      <c r="C189" s="10" t="inlineStr">
        <is>
          <t>D.6.1 The mechanics, and the over-optimization result</t>
        </is>
      </c>
      <c r="D189" s="11" t="n">
        <v>5</v>
      </c>
      <c r="E189" s="11" t="n">
        <v>5.2</v>
      </c>
    </row>
    <row r="190">
      <c r="A190" s="11" t="n">
        <v>186</v>
      </c>
      <c r="B190" s="17" t="inlineStr">
        <is>
          <t>Part III - Upstream AI Research</t>
        </is>
      </c>
      <c r="C190" s="10" t="inlineStr">
        <is>
          <t>D.6.2 The Post-Training Course - Nathan Lambert, AI2, 2026</t>
        </is>
      </c>
      <c r="D190" s="11" t="n">
        <v>15</v>
      </c>
      <c r="E190" s="11" t="n">
        <v>10.5</v>
      </c>
    </row>
    <row r="191">
      <c r="A191" s="11" t="n">
        <v>187</v>
      </c>
      <c r="B191" s="17" t="inlineStr">
        <is>
          <t>Part III - Upstream AI Research</t>
        </is>
      </c>
      <c r="C191" s="10" t="inlineStr">
        <is>
          <t>D.6.3 DPO, PPO and the algorithmic debate</t>
        </is>
      </c>
      <c r="D191" s="11" t="n">
        <v>8</v>
      </c>
      <c r="E191" s="11" t="n">
        <v>6.1</v>
      </c>
    </row>
    <row r="192">
      <c r="A192" s="11" t="n">
        <v>188</v>
      </c>
      <c r="B192" s="17" t="inlineStr">
        <is>
          <t>Part III - Upstream AI Research</t>
        </is>
      </c>
      <c r="C192" s="10" t="inlineStr">
        <is>
          <t>D.6.4 RLVR - reinforcement learning with verifiable rewards</t>
        </is>
      </c>
      <c r="D192" s="11" t="n">
        <v>8</v>
      </c>
      <c r="E192" s="11" t="n">
        <v>7</v>
      </c>
    </row>
    <row r="193">
      <c r="A193" s="11" t="n">
        <v>189</v>
      </c>
      <c r="B193" s="17" t="inlineStr">
        <is>
          <t>Part III - Upstream AI Research</t>
        </is>
      </c>
      <c r="C193" s="10" t="inlineStr">
        <is>
          <t>D.6.5 Reward modeling, reward hacking and supervision</t>
        </is>
      </c>
      <c r="D193" s="11" t="n">
        <v>7</v>
      </c>
      <c r="E193" s="11" t="n">
        <v>5.3</v>
      </c>
    </row>
    <row r="194">
      <c r="A194" s="11" t="n">
        <v>190</v>
      </c>
      <c r="B194" s="17" t="inlineStr">
        <is>
          <t>Part III - Upstream AI Research</t>
        </is>
      </c>
      <c r="C194" s="10" t="inlineStr">
        <is>
          <t>D.6.6 Distillation and synthetic data</t>
        </is>
      </c>
      <c r="D194" s="11" t="n">
        <v>10</v>
      </c>
      <c r="E194" s="11" t="n">
        <v>8.300000000000001</v>
      </c>
    </row>
    <row r="195">
      <c r="A195" s="11" t="n">
        <v>191</v>
      </c>
      <c r="B195" s="17" t="inlineStr">
        <is>
          <t>Part III - Upstream AI Research</t>
        </is>
      </c>
      <c r="C195" s="10" t="inlineStr">
        <is>
          <t>D.7.1 Chain-of-thought and the theory behind it</t>
        </is>
      </c>
      <c r="D195" s="11" t="n">
        <v>9</v>
      </c>
      <c r="E195" s="11" t="n">
        <v>8.6</v>
      </c>
    </row>
    <row r="196">
      <c r="A196" s="11" t="n">
        <v>192</v>
      </c>
      <c r="B196" s="17" t="inlineStr">
        <is>
          <t>Part III - Upstream AI Research</t>
        </is>
      </c>
      <c r="C196" s="10" t="inlineStr">
        <is>
          <t>D.7.2 Test-time scaling</t>
        </is>
      </c>
      <c r="D196" s="11" t="n">
        <v>9</v>
      </c>
      <c r="E196" s="11" t="n">
        <v>9.4</v>
      </c>
    </row>
    <row r="197">
      <c r="A197" s="11" t="n">
        <v>193</v>
      </c>
      <c r="B197" s="17" t="inlineStr">
        <is>
          <t>Part III - Upstream AI Research</t>
        </is>
      </c>
      <c r="C197" s="10" t="inlineStr">
        <is>
          <t>D.7.3 The o1/R1 line</t>
        </is>
      </c>
      <c r="D197" s="11" t="n">
        <v>9</v>
      </c>
      <c r="E197" s="11" t="n">
        <v>9</v>
      </c>
    </row>
    <row r="198">
      <c r="A198" s="11" t="n">
        <v>194</v>
      </c>
      <c r="B198" s="17" t="inlineStr">
        <is>
          <t>Part III - Upstream AI Research</t>
        </is>
      </c>
      <c r="C198" s="10" t="inlineStr">
        <is>
          <t>D.7.4 Process versus outcome supervision</t>
        </is>
      </c>
      <c r="D198" s="11" t="n">
        <v>2</v>
      </c>
      <c r="E198" s="11" t="n">
        <v>1.6</v>
      </c>
    </row>
    <row r="199">
      <c r="A199" s="11" t="n">
        <v>195</v>
      </c>
      <c r="B199" s="17" t="inlineStr">
        <is>
          <t>Part III - Upstream AI Research</t>
        </is>
      </c>
      <c r="C199" s="10" t="inlineStr">
        <is>
          <t>D.7.5 In-context learning and induction heads</t>
        </is>
      </c>
      <c r="D199" s="11" t="n">
        <v>12</v>
      </c>
      <c r="E199" s="11" t="n">
        <v>11.1</v>
      </c>
    </row>
    <row r="200">
      <c r="A200" s="11" t="n">
        <v>196</v>
      </c>
      <c r="B200" s="17" t="inlineStr">
        <is>
          <t>Part III - Upstream AI Research</t>
        </is>
      </c>
      <c r="C200" s="10" t="inlineStr">
        <is>
          <t>D.7.6 Emergence - and the argument about it</t>
        </is>
      </c>
      <c r="D200" s="11" t="n">
        <v>9</v>
      </c>
      <c r="E200" s="11" t="n">
        <v>9</v>
      </c>
    </row>
    <row r="201">
      <c r="A201" s="11" t="n">
        <v>197</v>
      </c>
      <c r="B201" s="17" t="inlineStr">
        <is>
          <t>Part III - Upstream AI Research</t>
        </is>
      </c>
      <c r="C201" s="10" t="inlineStr">
        <is>
          <t>D.7.7 Is reasoning real? - the standing debate</t>
        </is>
      </c>
      <c r="D201" s="11" t="n">
        <v>8</v>
      </c>
      <c r="E201" s="11" t="n">
        <v>11</v>
      </c>
    </row>
    <row r="202">
      <c r="A202" s="11" t="n">
        <v>198</v>
      </c>
      <c r="B202" s="17" t="inlineStr">
        <is>
          <t>Part III - Upstream AI Research</t>
        </is>
      </c>
      <c r="C202" s="10" t="inlineStr">
        <is>
          <t>1.1 The canonical lecture series</t>
        </is>
      </c>
      <c r="D202" s="11" t="n">
        <v>4</v>
      </c>
      <c r="E202" s="11" t="n">
        <v>5.3</v>
      </c>
    </row>
    <row r="203">
      <c r="A203" s="11" t="n">
        <v>199</v>
      </c>
      <c r="B203" s="17" t="inlineStr">
        <is>
          <t>Part III - Upstream AI Research</t>
        </is>
      </c>
      <c r="C203" s="10" t="inlineStr">
        <is>
          <t>1.2 Implicit regularization and the implicit bias of gradient descent</t>
        </is>
      </c>
      <c r="D203" s="11" t="n">
        <v>6</v>
      </c>
      <c r="E203" s="11" t="n">
        <v>7.6</v>
      </c>
    </row>
    <row r="204">
      <c r="A204" s="11" t="n">
        <v>200</v>
      </c>
      <c r="B204" s="17" t="inlineStr">
        <is>
          <t>Part III - Upstream AI Research</t>
        </is>
      </c>
      <c r="C204" s="10" t="inlineStr">
        <is>
          <t>1.3 Uniform convergence and its limits</t>
        </is>
      </c>
      <c r="D204" s="11" t="n">
        <v>2</v>
      </c>
      <c r="E204" s="11" t="n">
        <v>1.4</v>
      </c>
    </row>
    <row r="205">
      <c r="A205" s="11" t="n">
        <v>201</v>
      </c>
      <c r="B205" s="17" t="inlineStr">
        <is>
          <t>Part III - Upstream AI Research</t>
        </is>
      </c>
      <c r="C205" s="10" t="inlineStr">
        <is>
          <t>1.4 Margin theory</t>
        </is>
      </c>
      <c r="D205" s="11" t="n">
        <v>5</v>
      </c>
      <c r="E205" s="11" t="n">
        <v>5.2</v>
      </c>
    </row>
    <row r="206">
      <c r="A206" s="11" t="n">
        <v>202</v>
      </c>
      <c r="B206" s="17" t="inlineStr">
        <is>
          <t>Part III - Upstream AI Research</t>
        </is>
      </c>
      <c r="C206" s="10" t="inlineStr">
        <is>
          <t>1.5 PAC-Bayes for neural networks</t>
        </is>
      </c>
      <c r="D206" s="11" t="n">
        <v>5</v>
      </c>
      <c r="E206" s="11" t="n">
        <v>3.7</v>
      </c>
    </row>
    <row r="207">
      <c r="A207" s="11" t="n">
        <v>203</v>
      </c>
      <c r="B207" s="17" t="inlineStr">
        <is>
          <t>Part III - Upstream AI Research</t>
        </is>
      </c>
      <c r="C207" s="10" t="inlineStr">
        <is>
          <t>1.6 Overparameterization, compression, and reality checks</t>
        </is>
      </c>
      <c r="D207" s="11" t="n">
        <v>11</v>
      </c>
      <c r="E207" s="11" t="n">
        <v>10.5</v>
      </c>
    </row>
    <row r="208">
      <c r="A208" s="11" t="n">
        <v>204</v>
      </c>
      <c r="B208" s="17" t="inlineStr">
        <is>
          <t>Part III - Upstream AI Research</t>
        </is>
      </c>
      <c r="C208" s="10" t="inlineStr">
        <is>
          <t>DLT-2 Double descent, benign overfitting, interpolation</t>
        </is>
      </c>
      <c r="D208" s="11" t="n">
        <v>17</v>
      </c>
      <c r="E208" s="11" t="n">
        <v>16.3</v>
      </c>
    </row>
    <row r="209">
      <c r="A209" s="11" t="n">
        <v>205</v>
      </c>
      <c r="B209" s="17" t="inlineStr">
        <is>
          <t>Part III - Upstream AI Research</t>
        </is>
      </c>
      <c r="C209" s="10" t="inlineStr">
        <is>
          <t>3.1 The NTK and the wide limit</t>
        </is>
      </c>
      <c r="D209" s="11" t="n">
        <v>8</v>
      </c>
      <c r="E209" s="11" t="n">
        <v>8.1</v>
      </c>
    </row>
    <row r="210">
      <c r="A210" s="11" t="n">
        <v>206</v>
      </c>
      <c r="B210" s="17" t="inlineStr">
        <is>
          <t>Part III - Upstream AI Research</t>
        </is>
      </c>
      <c r="C210" s="10" t="inlineStr">
        <is>
          <t>3.2 Lazy training versus feature learning, and mean-field limits</t>
        </is>
      </c>
      <c r="D210" s="11" t="n">
        <v>10</v>
      </c>
      <c r="E210" s="11" t="n">
        <v>9.5</v>
      </c>
    </row>
    <row r="211">
      <c r="A211" s="11" t="n">
        <v>207</v>
      </c>
      <c r="B211" s="17" t="inlineStr">
        <is>
          <t>Part III - Upstream AI Research</t>
        </is>
      </c>
      <c r="C211" s="10" t="inlineStr">
        <is>
          <t>3.3 Tensor Programs, muP, and the parametrization that actually matters</t>
        </is>
      </c>
      <c r="D211" s="11" t="n">
        <v>5</v>
      </c>
      <c r="E211" s="11" t="n">
        <v>4.9</v>
      </c>
    </row>
    <row r="212">
      <c r="A212" s="11" t="n">
        <v>208</v>
      </c>
      <c r="B212" s="17" t="inlineStr">
        <is>
          <t>Part III - Upstream AI Research</t>
        </is>
      </c>
      <c r="C212" s="10" t="inlineStr">
        <is>
          <t>3.4 Finite-width corrections - the effective-theory programme</t>
        </is>
      </c>
      <c r="D212" s="11" t="n">
        <v>7</v>
      </c>
      <c r="E212" s="11" t="n">
        <v>6.8</v>
      </c>
    </row>
    <row r="213">
      <c r="A213" s="11" t="n">
        <v>209</v>
      </c>
      <c r="B213" s="17" t="inlineStr">
        <is>
          <t>Part III - Upstream AI Research</t>
        </is>
      </c>
      <c r="C213" s="10" t="inlineStr">
        <is>
          <t>4.1 Edge of stability - the most important recent result</t>
        </is>
      </c>
      <c r="D213" s="11" t="n">
        <v>5</v>
      </c>
      <c r="E213" s="11" t="n">
        <v>3.6</v>
      </c>
    </row>
    <row r="214">
      <c r="A214" s="11" t="n">
        <v>210</v>
      </c>
      <c r="B214" s="17" t="inlineStr">
        <is>
          <t>Part III - Upstream AI Research</t>
        </is>
      </c>
      <c r="C214" s="10" t="inlineStr">
        <is>
          <t>4.2 Loss landscape geometry and mode connectivity</t>
        </is>
      </c>
      <c r="D214" s="11" t="n">
        <v>6</v>
      </c>
      <c r="E214" s="11" t="n">
        <v>5.2</v>
      </c>
    </row>
    <row r="215">
      <c r="A215" s="11" t="n">
        <v>211</v>
      </c>
      <c r="B215" s="17" t="inlineStr">
        <is>
          <t>Part III - Upstream AI Research</t>
        </is>
      </c>
      <c r="C215" s="10" t="inlineStr">
        <is>
          <t>4.3 Sharpness, flat minima, and implicit bias of SGD</t>
        </is>
      </c>
      <c r="D215" s="11" t="n">
        <v>3</v>
      </c>
      <c r="E215" s="11" t="n">
        <v>3.5</v>
      </c>
    </row>
    <row r="216">
      <c r="A216" s="11" t="n">
        <v>212</v>
      </c>
      <c r="B216" s="17" t="inlineStr">
        <is>
          <t>Part III - Upstream AI Research</t>
        </is>
      </c>
      <c r="C216" s="10" t="inlineStr">
        <is>
          <t>4.4 Why Adam works, and the preconditioned-optimizer wave</t>
        </is>
      </c>
      <c r="D216" s="11" t="n">
        <v>6</v>
      </c>
      <c r="E216" s="11" t="n">
        <v>4.9</v>
      </c>
    </row>
    <row r="217">
      <c r="A217" s="11" t="n">
        <v>213</v>
      </c>
      <c r="B217" s="17" t="inlineStr">
        <is>
          <t>Part III - Upstream AI Research</t>
        </is>
      </c>
      <c r="C217" s="10" t="inlineStr">
        <is>
          <t>4.5 Convergence theory for overparameterized networks</t>
        </is>
      </c>
      <c r="D217" s="11" t="n">
        <v>5</v>
      </c>
      <c r="E217" s="11" t="n">
        <v>4.8</v>
      </c>
    </row>
    <row r="218">
      <c r="A218" s="11" t="n">
        <v>214</v>
      </c>
      <c r="B218" s="17" t="inlineStr">
        <is>
          <t>Part III - Upstream AI Research</t>
        </is>
      </c>
      <c r="C218" s="10" t="inlineStr">
        <is>
          <t>5.1 The empirical result and compute-optimal training</t>
        </is>
      </c>
      <c r="D218" s="11" t="n">
        <v>3</v>
      </c>
      <c r="E218" s="11" t="n">
        <v>3</v>
      </c>
    </row>
    <row r="219">
      <c r="A219" s="11" t="n">
        <v>215</v>
      </c>
      <c r="B219" s="17" t="inlineStr">
        <is>
          <t>Part III - Upstream AI Research</t>
        </is>
      </c>
      <c r="C219" s="10" t="inlineStr">
        <is>
          <t>5.2 Deriving the exponents</t>
        </is>
      </c>
      <c r="D219" s="11" t="n">
        <v>6</v>
      </c>
      <c r="E219" s="11" t="n">
        <v>5.8</v>
      </c>
    </row>
    <row r="220">
      <c r="A220" s="11" t="n">
        <v>216</v>
      </c>
      <c r="B220" s="17" t="inlineStr">
        <is>
          <t>Part III - Upstream AI Research</t>
        </is>
      </c>
      <c r="C220" s="10" t="inlineStr">
        <is>
          <t>5.3 Emergence - and whether it is real</t>
        </is>
      </c>
      <c r="D220" s="11" t="n">
        <v>3</v>
      </c>
      <c r="E220" s="11" t="n">
        <v>3.1</v>
      </c>
    </row>
    <row r="221">
      <c r="A221" s="11" t="n">
        <v>217</v>
      </c>
      <c r="B221" s="17" t="inlineStr">
        <is>
          <t>Part III - Upstream AI Research</t>
        </is>
      </c>
      <c r="C221" s="10" t="inlineStr">
        <is>
          <t>6.1 Grokking and phase transitions in training</t>
        </is>
      </c>
      <c r="D221" s="11" t="n">
        <v>6</v>
      </c>
      <c r="E221" s="11" t="n">
        <v>5.8</v>
      </c>
    </row>
    <row r="222">
      <c r="A222" s="11" t="n">
        <v>218</v>
      </c>
      <c r="B222" s="17" t="inlineStr">
        <is>
          <t>Part III - Upstream AI Research</t>
        </is>
      </c>
      <c r="C222" s="10" t="inlineStr">
        <is>
          <t>6.2 Induction heads and in-context learning theory</t>
        </is>
      </c>
      <c r="D222" s="11" t="n">
        <v>1</v>
      </c>
      <c r="E222" s="11" t="n">
        <v>0.8</v>
      </c>
    </row>
    <row r="223">
      <c r="A223" s="11" t="n">
        <v>219</v>
      </c>
      <c r="B223" s="17" t="inlineStr">
        <is>
          <t>Part III - Upstream AI Research</t>
        </is>
      </c>
      <c r="C223" s="10" t="inlineStr">
        <is>
          <t>6.3 Memorization versus generalization</t>
        </is>
      </c>
      <c r="D223" s="11" t="n">
        <v>7</v>
      </c>
      <c r="E223" s="11" t="n">
        <v>5.7</v>
      </c>
    </row>
    <row r="224">
      <c r="A224" s="11" t="n">
        <v>220</v>
      </c>
      <c r="B224" s="17" t="inlineStr">
        <is>
          <t>Part III - Upstream AI Research</t>
        </is>
      </c>
      <c r="C224" s="10" t="inlineStr">
        <is>
          <t>6.4 Lottery tickets, neural collapse, loss of plasticity</t>
        </is>
      </c>
      <c r="D224" s="11" t="n">
        <v>7</v>
      </c>
      <c r="E224" s="11" t="n">
        <v>8</v>
      </c>
    </row>
    <row r="225">
      <c r="A225" s="11" t="n">
        <v>221</v>
      </c>
      <c r="B225" s="17" t="inlineStr">
        <is>
          <t>Part III - Upstream AI Research</t>
        </is>
      </c>
      <c r="C225" s="10" t="inlineStr">
        <is>
          <t>7.1 Universal approximation and approximation rates</t>
        </is>
      </c>
      <c r="D225" s="11" t="n">
        <v>6</v>
      </c>
      <c r="E225" s="11" t="n">
        <v>5.3</v>
      </c>
    </row>
    <row r="226">
      <c r="A226" s="11" t="n">
        <v>222</v>
      </c>
      <c r="B226" s="17" t="inlineStr">
        <is>
          <t>Part III - Upstream AI Research</t>
        </is>
      </c>
      <c r="C226" s="10" t="inlineStr">
        <is>
          <t>7.2 Depth separation</t>
        </is>
      </c>
      <c r="D226" s="11" t="n">
        <v>5</v>
      </c>
      <c r="E226" s="11" t="n">
        <v>3.2</v>
      </c>
    </row>
    <row r="227">
      <c r="A227" s="11" t="n">
        <v>223</v>
      </c>
      <c r="B227" s="17" t="inlineStr">
        <is>
          <t>Part III - Upstream AI Research</t>
        </is>
      </c>
      <c r="C227" s="10" t="inlineStr">
        <is>
          <t>7.3 What transformers can and cannot compute</t>
        </is>
      </c>
      <c r="D227" s="11" t="n">
        <v>13</v>
      </c>
      <c r="E227" s="11" t="n">
        <v>10.2</v>
      </c>
    </row>
    <row r="228">
      <c r="A228" s="11" t="n">
        <v>224</v>
      </c>
      <c r="B228" s="17" t="inlineStr">
        <is>
          <t>Part III - Upstream AI Research</t>
        </is>
      </c>
      <c r="C228" s="10" t="inlineStr">
        <is>
          <t>7.4 Weisfeiler–Leman hierarchy and GNN expressivity</t>
        </is>
      </c>
      <c r="D228" s="11" t="n">
        <v>7</v>
      </c>
      <c r="E228" s="11" t="n">
        <v>7.1</v>
      </c>
    </row>
    <row r="229">
      <c r="A229" s="11" t="n">
        <v>225</v>
      </c>
      <c r="B229" s="17" t="inlineStr">
        <is>
          <t>Part III - Upstream AI Research</t>
        </is>
      </c>
      <c r="C229" s="10" t="inlineStr">
        <is>
          <t>7.5 State space model theory</t>
        </is>
      </c>
      <c r="D229" s="11" t="n">
        <v>2</v>
      </c>
      <c r="E229" s="11" t="n">
        <v>1.6</v>
      </c>
    </row>
    <row r="230">
      <c r="A230" s="11" t="n">
        <v>226</v>
      </c>
      <c r="B230" s="17" t="inlineStr">
        <is>
          <t>Part III - Upstream AI Research</t>
        </is>
      </c>
      <c r="C230" s="10" t="inlineStr">
        <is>
          <t>8.1 Stanford CS229M / STATS214 - Machine Learning Theory</t>
        </is>
      </c>
      <c r="D230" s="11" t="n">
        <v>17</v>
      </c>
      <c r="E230" s="11" t="n">
        <v>23.9</v>
      </c>
    </row>
    <row r="231">
      <c r="A231" s="11" t="n">
        <v>227</v>
      </c>
      <c r="B231" s="17" t="inlineStr">
        <is>
          <t>Part III - Upstream AI Research</t>
        </is>
      </c>
      <c r="C231" s="10" t="inlineStr">
        <is>
          <t>8.2 MIT 9.520 / 6.860 - Statistical Learning Theory and Applications</t>
        </is>
      </c>
      <c r="D231" s="11" t="n">
        <v>26</v>
      </c>
      <c r="E231" s="11" t="n">
        <v>34.4</v>
      </c>
    </row>
    <row r="232">
      <c r="A232" s="11" t="n">
        <v>228</v>
      </c>
      <c r="B232" s="17" t="inlineStr">
        <is>
          <t>Part III - Upstream AI Research</t>
        </is>
      </c>
      <c r="C232" s="10" t="inlineStr">
        <is>
          <t>8.3 Mathematics of Deep Learning (minicourse</t>
        </is>
      </c>
      <c r="D232" s="11" t="n">
        <v>5</v>
      </c>
      <c r="E232" s="11" t="n">
        <v>5.2</v>
      </c>
    </row>
    <row r="233">
      <c r="A233" s="11" t="n">
        <v>229</v>
      </c>
      <c r="B233" s="17" t="inlineStr">
        <is>
          <t>Part III - Upstream AI Research</t>
        </is>
      </c>
      <c r="C233" s="10" t="inlineStr">
        <is>
          <t>8.4 Neural Network Theory (APS 2025 Summer School</t>
        </is>
      </c>
      <c r="D233" s="11" t="n">
        <v>3</v>
      </c>
      <c r="E233" s="11" t="n">
        <v>4.4</v>
      </c>
    </row>
    <row r="234">
      <c r="A234" s="11" t="n">
        <v>230</v>
      </c>
      <c r="B234" s="17" t="inlineStr">
        <is>
          <t>Part III - Upstream AI Research</t>
        </is>
      </c>
      <c r="C234" s="10" t="inlineStr">
        <is>
          <t>8.5 Understanding Deep Learning lecture series</t>
        </is>
      </c>
      <c r="D234" s="11" t="n">
        <v>6</v>
      </c>
      <c r="E234" s="11" t="n">
        <v>6.6</v>
      </c>
    </row>
    <row r="235">
      <c r="A235" s="11" t="n">
        <v>231</v>
      </c>
      <c r="B235" s="17" t="inlineStr">
        <is>
          <t>Part III - Upstream AI Research</t>
        </is>
      </c>
      <c r="C235" s="10" t="inlineStr">
        <is>
          <t>8.6 Francis Bach - optimization for machine learning</t>
        </is>
      </c>
      <c r="D235" s="11" t="n">
        <v>8</v>
      </c>
      <c r="E235" s="11" t="n">
        <v>10.5</v>
      </c>
    </row>
    <row r="236">
      <c r="A236" s="11" t="n">
        <v>232</v>
      </c>
      <c r="B236" s="17" t="inlineStr">
        <is>
          <t>Part III - Upstream AI Research</t>
        </is>
      </c>
      <c r="C236" s="10" t="inlineStr">
        <is>
          <t>8.7 Princeton ORFE Deep Learning Theory Summer School</t>
        </is>
      </c>
      <c r="D236" s="11" t="n">
        <v>7</v>
      </c>
      <c r="E236" s="11" t="n">
        <v>33</v>
      </c>
    </row>
    <row r="237">
      <c r="A237" s="11" t="n">
        <v>233</v>
      </c>
      <c r="B237" s="17" t="inlineStr">
        <is>
          <t>Part III - Upstream AI Research</t>
        </is>
      </c>
      <c r="C237" s="10" t="inlineStr">
        <is>
          <t>9.2 Simons: Deep Learning Theory Workshop and Summer School (August 1–5, 2022</t>
        </is>
      </c>
      <c r="D237" s="11" t="n">
        <v>4</v>
      </c>
      <c r="E237" s="11" t="n">
        <v>4</v>
      </c>
    </row>
    <row r="238">
      <c r="A238" s="11" t="n">
        <v>234</v>
      </c>
      <c r="B238" s="17" t="inlineStr">
        <is>
          <t>Part III - Upstream AI Research</t>
        </is>
      </c>
      <c r="C238" s="10" t="inlineStr">
        <is>
          <t>9.3 Simons: Modern Paradigms in Generalization (Fall 2024</t>
        </is>
      </c>
      <c r="D238" s="11" t="n">
        <v>5</v>
      </c>
      <c r="E238" s="11" t="n">
        <v>5.8</v>
      </c>
    </row>
    <row r="239">
      <c r="A239" s="11" t="n">
        <v>235</v>
      </c>
      <c r="B239" s="17" t="inlineStr">
        <is>
          <t>Part III - Upstream AI Research</t>
        </is>
      </c>
      <c r="C239" s="10" t="inlineStr">
        <is>
          <t>9.4 Simons: Special Year on Large Language Models and Transformers (2023–2024</t>
        </is>
      </c>
      <c r="D239" s="11" t="n">
        <v>3</v>
      </c>
      <c r="E239" s="11" t="n">
        <v>3.9</v>
      </c>
    </row>
    <row r="240">
      <c r="A240" s="11" t="n">
        <v>236</v>
      </c>
      <c r="B240" s="17" t="inlineStr">
        <is>
          <t>Part III - Upstream AI Research</t>
        </is>
      </c>
      <c r="C240" s="10" t="inlineStr">
        <is>
          <t>9.5 Simons: Graph Learning Meets Theoretical Computer Science (2025</t>
        </is>
      </c>
      <c r="D240" s="11" t="n">
        <v>4</v>
      </c>
      <c r="E240" s="11" t="n">
        <v>4.8</v>
      </c>
    </row>
    <row r="241">
      <c r="A241" s="11" t="n">
        <v>237</v>
      </c>
      <c r="B241" s="17" t="inlineStr">
        <is>
          <t>Part III - Upstream AI Research</t>
        </is>
      </c>
      <c r="C241" s="10" t="inlineStr">
        <is>
          <t>9.6 Simons: Theoretical Foundations - From the Early Days of Neural Networks to the Modern Deep Learning Era</t>
        </is>
      </c>
      <c r="D241" s="11" t="n">
        <v>3</v>
      </c>
      <c r="E241" s="11" t="n">
        <v>1.4</v>
      </c>
    </row>
    <row r="242">
      <c r="A242" s="11" t="n">
        <v>238</v>
      </c>
      <c r="B242" s="17" t="inlineStr">
        <is>
          <t>Part III - Upstream AI Research</t>
        </is>
      </c>
      <c r="C242" s="10" t="inlineStr">
        <is>
          <t>9.7 IAS: Special Year on Optimization, Statistics, and Theoretical Machine Learning (2019–2020</t>
        </is>
      </c>
      <c r="D242" s="11" t="n">
        <v>3</v>
      </c>
      <c r="E242" s="11" t="n">
        <v>2</v>
      </c>
    </row>
    <row r="243">
      <c r="A243" s="11" t="n">
        <v>239</v>
      </c>
      <c r="B243" s="17" t="inlineStr">
        <is>
          <t>Part III - Upstream AI Research</t>
        </is>
      </c>
      <c r="C243" s="10" t="inlineStr">
        <is>
          <t>1. Mechanistic interpretability</t>
        </is>
      </c>
      <c r="D243" s="11" t="n">
        <v>42</v>
      </c>
      <c r="E243" s="11" t="n">
        <v>54.1</v>
      </c>
    </row>
    <row r="244">
      <c r="A244" s="11" t="n">
        <v>240</v>
      </c>
      <c r="B244" s="17" t="inlineStr">
        <is>
          <t>Part III - Upstream AI Research</t>
        </is>
      </c>
      <c r="C244" s="10" t="inlineStr">
        <is>
          <t>2. Representation analysis</t>
        </is>
      </c>
      <c r="D244" s="11" t="n">
        <v>15</v>
      </c>
      <c r="E244" s="11" t="n">
        <v>11</v>
      </c>
    </row>
    <row r="245">
      <c r="A245" s="11" t="n">
        <v>241</v>
      </c>
      <c r="B245" s="17" t="inlineStr">
        <is>
          <t>Part III - Upstream AI Research</t>
        </is>
      </c>
      <c r="C245" s="10" t="inlineStr">
        <is>
          <t>3. Classical interpretability and attribution</t>
        </is>
      </c>
      <c r="D245" s="11" t="n">
        <v>16</v>
      </c>
      <c r="E245" s="11" t="n">
        <v>11.6</v>
      </c>
    </row>
    <row r="246">
      <c r="A246" s="11" t="n">
        <v>242</v>
      </c>
      <c r="B246" s="17" t="inlineStr">
        <is>
          <t>Part III - Upstream AI Research</t>
        </is>
      </c>
      <c r="C246" s="10" t="inlineStr">
        <is>
          <t>4. Science of model behavior</t>
        </is>
      </c>
      <c r="D246" s="11" t="n">
        <v>15</v>
      </c>
      <c r="E246" s="11" t="n">
        <v>17.3</v>
      </c>
    </row>
    <row r="247">
      <c r="A247" s="11" t="n">
        <v>243</v>
      </c>
      <c r="B247" s="17" t="inlineStr">
        <is>
          <t>Part III - Upstream AI Research</t>
        </is>
      </c>
      <c r="C247" s="10" t="inlineStr">
        <is>
          <t>5. Evaluation as a science</t>
        </is>
      </c>
      <c r="D247" s="11" t="n">
        <v>15</v>
      </c>
      <c r="E247" s="11" t="n">
        <v>12.6</v>
      </c>
    </row>
    <row r="248">
      <c r="A248" s="11" t="n">
        <v>244</v>
      </c>
      <c r="B248" s="17" t="inlineStr">
        <is>
          <t>Part III - Upstream AI Research</t>
        </is>
      </c>
      <c r="C248" s="10" t="inlineStr">
        <is>
          <t>6. NeuroAI and biological inspiration</t>
        </is>
      </c>
      <c r="D248" s="11" t="n">
        <v>36</v>
      </c>
      <c r="E248" s="11" t="n">
        <v>37.7</v>
      </c>
    </row>
    <row r="249">
      <c r="A249" s="11" t="n">
        <v>245</v>
      </c>
      <c r="B249" s="17" t="inlineStr">
        <is>
          <t>Part III - Upstream AI Research</t>
        </is>
      </c>
      <c r="C249" s="10" t="inlineStr">
        <is>
          <t>7. Technical AI safety research</t>
        </is>
      </c>
      <c r="D249" s="11" t="n">
        <v>16</v>
      </c>
      <c r="E249" s="11" t="n">
        <v>16.2</v>
      </c>
    </row>
    <row r="250">
      <c r="A250" s="11" t="n">
        <v>246</v>
      </c>
      <c r="B250" s="19" t="inlineStr">
        <is>
          <t>Part IV - Performance Engineering</t>
        </is>
      </c>
      <c r="C250" s="10" t="inlineStr">
        <is>
          <t>E.4.1 Architecture fundamentals</t>
        </is>
      </c>
      <c r="D250" s="11" t="n">
        <v>16</v>
      </c>
      <c r="E250" s="11" t="n">
        <v>27.1</v>
      </c>
    </row>
    <row r="251">
      <c r="A251" s="11" t="n">
        <v>247</v>
      </c>
      <c r="B251" s="19" t="inlineStr">
        <is>
          <t>Part IV - Performance Engineering</t>
        </is>
      </c>
      <c r="C251" s="10" t="inlineStr">
        <is>
          <t>The Stephen Jones sequence - and a caveat about where it lives</t>
        </is>
      </c>
      <c r="D251" s="11" t="n">
        <v>9</v>
      </c>
      <c r="E251" s="11" t="n">
        <v>6.3</v>
      </c>
    </row>
    <row r="252">
      <c r="A252" s="11" t="n">
        <v>248</v>
      </c>
      <c r="B252" s="19" t="inlineStr">
        <is>
          <t>Part IV - Performance Engineering</t>
        </is>
      </c>
      <c r="C252" s="10" t="inlineStr">
        <is>
          <t>E.4.2 Programming Massively Parallel Processors - the complete course</t>
        </is>
      </c>
      <c r="D252" s="11" t="n">
        <v>31</v>
      </c>
      <c r="E252" s="11" t="n">
        <v>28.3</v>
      </c>
    </row>
    <row r="253">
      <c r="A253" s="11" t="n">
        <v>249</v>
      </c>
      <c r="B253" s="19" t="inlineStr">
        <is>
          <t>Part IV - Performance Engineering</t>
        </is>
      </c>
      <c r="C253" s="10" t="inlineStr">
        <is>
          <t>E.4.3 GPU MODE - 116 lectures, enumerated</t>
        </is>
      </c>
      <c r="D253" s="11" t="n">
        <v>114</v>
      </c>
      <c r="E253" s="11" t="n">
        <v>137.2</v>
      </c>
    </row>
    <row r="254">
      <c r="A254" s="11" t="n">
        <v>250</v>
      </c>
      <c r="B254" s="19" t="inlineStr">
        <is>
          <t>Part IV - Performance Engineering</t>
        </is>
      </c>
      <c r="C254" s="10" t="inlineStr">
        <is>
          <t>E.4.4 Triton</t>
        </is>
      </c>
      <c r="D254" s="11" t="n">
        <v>21</v>
      </c>
      <c r="E254" s="11" t="n">
        <v>0.9</v>
      </c>
    </row>
    <row r="255">
      <c r="A255" s="11" t="n">
        <v>251</v>
      </c>
      <c r="B255" s="19" t="inlineStr">
        <is>
          <t>Part IV - Performance Engineering</t>
        </is>
      </c>
      <c r="C255" s="10" t="inlineStr">
        <is>
          <t>E.4.5 CUTLASS and CuTe</t>
        </is>
      </c>
      <c r="D255" s="11" t="n">
        <v>2</v>
      </c>
      <c r="E255" s="11" t="n">
        <v>1.1</v>
      </c>
    </row>
    <row r="256">
      <c r="A256" s="11" t="n">
        <v>252</v>
      </c>
      <c r="B256" s="19" t="inlineStr">
        <is>
          <t>Part IV - Performance Engineering</t>
        </is>
      </c>
      <c r="C256" s="10" t="inlineStr">
        <is>
          <t>E.4.6 Profiling - finding the actual bottleneck</t>
        </is>
      </c>
      <c r="D256" s="11" t="n">
        <v>11</v>
      </c>
      <c r="E256" s="11" t="n">
        <v>5.3</v>
      </c>
    </row>
    <row r="257">
      <c r="A257" s="11" t="n">
        <v>253</v>
      </c>
      <c r="B257" s="19" t="inlineStr">
        <is>
          <t>Part IV - Performance Engineering</t>
        </is>
      </c>
      <c r="C257" s="10" t="inlineStr">
        <is>
          <t>E.4.7 PyTorch internals and compilers</t>
        </is>
      </c>
      <c r="D257" s="11" t="n">
        <v>13</v>
      </c>
      <c r="E257" s="11" t="n">
        <v>0.8</v>
      </c>
    </row>
    <row r="258">
      <c r="A258" s="11" t="n">
        <v>254</v>
      </c>
      <c r="B258" s="19" t="inlineStr">
        <is>
          <t>Part IV - Performance Engineering</t>
        </is>
      </c>
      <c r="C258" s="10" t="inlineStr">
        <is>
          <t>E.4.8 Numerics and determinism</t>
        </is>
      </c>
      <c r="D258" s="11" t="n">
        <v>6</v>
      </c>
      <c r="E258" s="11" t="n">
        <v>3.2</v>
      </c>
    </row>
    <row r="259">
      <c r="A259" s="11" t="n">
        <v>255</v>
      </c>
      <c r="B259" s="19" t="inlineStr">
        <is>
          <t>Part IV - Performance Engineering</t>
        </is>
      </c>
      <c r="C259" s="10" t="inlineStr">
        <is>
          <t>E.4.9 Multi-GPU and collectives</t>
        </is>
      </c>
      <c r="D259" s="11" t="n">
        <v>2</v>
      </c>
      <c r="E259" s="11" t="n">
        <v>1.9</v>
      </c>
    </row>
    <row r="260">
      <c r="A260" s="11" t="n">
        <v>256</v>
      </c>
      <c r="B260" s="19" t="inlineStr">
        <is>
          <t>Part IV - Performance Engineering</t>
        </is>
      </c>
      <c r="C260" s="10" t="inlineStr">
        <is>
          <t>E.5.1 TPU architecture</t>
        </is>
      </c>
      <c r="D260" s="11" t="n">
        <v>12</v>
      </c>
      <c r="E260" s="11" t="n">
        <v>12.5</v>
      </c>
    </row>
    <row r="261">
      <c r="A261" s="11" t="n">
        <v>257</v>
      </c>
      <c r="B261" s="19" t="inlineStr">
        <is>
          <t>Part IV - Performance Engineering</t>
        </is>
      </c>
      <c r="C261" s="10" t="inlineStr">
        <is>
          <t>E.5.2 XLA, MLIR and the compiler layer</t>
        </is>
      </c>
      <c r="D261" s="11" t="n">
        <v>17</v>
      </c>
      <c r="E261" s="11" t="n">
        <v>10</v>
      </c>
    </row>
    <row r="262">
      <c r="A262" s="11" t="n">
        <v>258</v>
      </c>
      <c r="B262" s="19" t="inlineStr">
        <is>
          <t>Part IV - Performance Engineering</t>
        </is>
      </c>
      <c r="C262" s="10" t="inlineStr">
        <is>
          <t>E.5.3 JAX, and JAX for molecular simulation</t>
        </is>
      </c>
      <c r="D262" s="11" t="n">
        <v>15</v>
      </c>
      <c r="E262" s="11" t="n">
        <v>12.1</v>
      </c>
    </row>
    <row r="263">
      <c r="A263" s="11" t="n">
        <v>259</v>
      </c>
      <c r="B263" s="19" t="inlineStr">
        <is>
          <t>Part IV - Performance Engineering</t>
        </is>
      </c>
      <c r="C263" s="10" t="inlineStr">
        <is>
          <t>E.5.4 The codesign argument, and four answers to it</t>
        </is>
      </c>
      <c r="D263" s="11" t="n">
        <v>15</v>
      </c>
      <c r="E263" s="11" t="n">
        <v>12.5</v>
      </c>
    </row>
    <row r="264">
      <c r="A264" s="11" t="n">
        <v>260</v>
      </c>
      <c r="B264" s="19" t="inlineStr">
        <is>
          <t>Part IV - Performance Engineering</t>
        </is>
      </c>
      <c r="C264" s="10" t="inlineStr">
        <is>
          <t>E.5.5 Anton - the biology codesign result</t>
        </is>
      </c>
      <c r="D264" s="11" t="n">
        <v>11</v>
      </c>
      <c r="E264" s="11" t="n">
        <v>7.5</v>
      </c>
    </row>
    <row r="265">
      <c r="A265" s="11" t="n">
        <v>261</v>
      </c>
      <c r="B265" s="19" t="inlineStr">
        <is>
          <t>Part IV - Performance Engineering</t>
        </is>
      </c>
      <c r="C265" s="10" t="inlineStr">
        <is>
          <t>E.5.6 FPGAs and reconfigurable computing</t>
        </is>
      </c>
      <c r="D265" s="11" t="n">
        <v>11</v>
      </c>
      <c r="E265" s="11" t="n">
        <v>8.800000000000001</v>
      </c>
    </row>
    <row r="266">
      <c r="A266" s="11" t="n">
        <v>262</v>
      </c>
      <c r="B266" s="19" t="inlineStr">
        <is>
          <t>Part IV - Performance Engineering</t>
        </is>
      </c>
      <c r="C266" s="10" t="inlineStr">
        <is>
          <t>E.6.1 GROMACS internals and performance</t>
        </is>
      </c>
      <c r="D266" s="11" t="n">
        <v>16</v>
      </c>
      <c r="E266" s="11" t="n">
        <v>13.5</v>
      </c>
    </row>
    <row r="267">
      <c r="A267" s="11" t="n">
        <v>263</v>
      </c>
      <c r="B267" s="19" t="inlineStr">
        <is>
          <t>Part IV - Performance Engineering</t>
        </is>
      </c>
      <c r="C267" s="10" t="inlineStr">
        <is>
          <t>E.6.2 OpenMM, NAMD, LAMMPS</t>
        </is>
      </c>
      <c r="D267" s="11" t="n">
        <v>14</v>
      </c>
      <c r="E267" s="11" t="n">
        <v>7.9</v>
      </c>
    </row>
    <row r="268">
      <c r="A268" s="11" t="n">
        <v>264</v>
      </c>
      <c r="B268" s="19" t="inlineStr">
        <is>
          <t>Part IV - Performance Engineering</t>
        </is>
      </c>
      <c r="C268" s="10" t="inlineStr">
        <is>
          <t>E.6.3 The algorithms that make MD fast</t>
        </is>
      </c>
      <c r="D268" s="11" t="n">
        <v>10</v>
      </c>
      <c r="E268" s="11" t="n">
        <v>4.4</v>
      </c>
    </row>
    <row r="269">
      <c r="A269" s="11" t="n">
        <v>265</v>
      </c>
      <c r="B269" s="19" t="inlineStr">
        <is>
          <t>Part IV - Performance Engineering</t>
        </is>
      </c>
      <c r="C269" s="10" t="inlineStr">
        <is>
          <t>E.6.4 HPC fundamentals</t>
        </is>
      </c>
      <c r="D269" s="11" t="n">
        <v>20</v>
      </c>
      <c r="E269" s="11" t="n">
        <v>15.5</v>
      </c>
    </row>
    <row r="270">
      <c r="A270" s="11" t="n">
        <v>266</v>
      </c>
      <c r="B270" s="19" t="inlineStr">
        <is>
          <t>Part IV - Performance Engineering</t>
        </is>
      </c>
      <c r="C270" s="10" t="inlineStr">
        <is>
          <t>E.6.5 MIT 6.172 - Performance Engineering of Software Systems</t>
        </is>
      </c>
      <c r="D270" s="11" t="n">
        <v>9</v>
      </c>
      <c r="E270" s="11" t="n">
        <v>5.3</v>
      </c>
    </row>
    <row r="271">
      <c r="A271" s="11" t="n">
        <v>267</v>
      </c>
      <c r="B271" s="19" t="inlineStr">
        <is>
          <t>Part IV - Performance Engineering</t>
        </is>
      </c>
      <c r="C271" s="10" t="inlineStr">
        <is>
          <t>E.6.6 Scientific software engineering and fleet operations</t>
        </is>
      </c>
      <c r="D271" s="11" t="n">
        <v>14</v>
      </c>
      <c r="E271" s="11" t="n">
        <v>11.9</v>
      </c>
    </row>
    <row r="272">
      <c r="A272" s="11" t="n">
        <v>268</v>
      </c>
      <c r="B272" s="19" t="inlineStr">
        <is>
          <t>Part IV - Performance Engineering</t>
        </is>
      </c>
      <c r="C272" s="10" t="inlineStr">
        <is>
          <t>E.6.7 Exascale, and what actually scaled</t>
        </is>
      </c>
      <c r="D272" s="11" t="n">
        <v>6</v>
      </c>
      <c r="E272" s="11" t="n">
        <v>0</v>
      </c>
    </row>
    <row r="273">
      <c r="A273" s="11" t="n">
        <v>269</v>
      </c>
      <c r="B273" s="19" t="inlineStr">
        <is>
          <t>Part IV - Performance Engineering</t>
        </is>
      </c>
      <c r="C273" s="10" t="inlineStr">
        <is>
          <t>E.7.1 AlphaFold, OpenFold and what training actually costs</t>
        </is>
      </c>
      <c r="D273" s="11" t="n">
        <v>6</v>
      </c>
      <c r="E273" s="11" t="n">
        <v>3.4</v>
      </c>
    </row>
    <row r="274">
      <c r="A274" s="11" t="n">
        <v>270</v>
      </c>
      <c r="B274" s="19" t="inlineStr">
        <is>
          <t>Part IV - Performance Engineering</t>
        </is>
      </c>
      <c r="C274" s="10" t="inlineStr">
        <is>
          <t>E.7.2 Triangle attention - the memory wall nobody has written about</t>
        </is>
      </c>
      <c r="D274" s="11" t="n">
        <v>4</v>
      </c>
      <c r="E274" s="11" t="n">
        <v>1.8</v>
      </c>
    </row>
    <row r="275">
      <c r="A275" s="11" t="n">
        <v>271</v>
      </c>
      <c r="B275" s="19" t="inlineStr">
        <is>
          <t>Part IV - Performance Engineering</t>
        </is>
      </c>
      <c r="C275" s="10" t="inlineStr">
        <is>
          <t>E.7.3 Equivariant-network performance</t>
        </is>
      </c>
      <c r="D275" s="11" t="n">
        <v>5</v>
      </c>
      <c r="E275" s="11" t="n">
        <v>5.6</v>
      </c>
    </row>
    <row r="276">
      <c r="A276" s="11" t="n">
        <v>272</v>
      </c>
      <c r="B276" s="19" t="inlineStr">
        <is>
          <t>Part IV - Performance Engineering</t>
        </is>
      </c>
      <c r="C276" s="10" t="inlineStr">
        <is>
          <t>E.7.4 Interatomic potential inference at scale</t>
        </is>
      </c>
      <c r="D276" s="11" t="n">
        <v>1</v>
      </c>
      <c r="E276" s="11" t="n">
        <v>1.1</v>
      </c>
    </row>
    <row r="277">
      <c r="A277" s="11" t="n">
        <v>273</v>
      </c>
      <c r="B277" s="19" t="inlineStr">
        <is>
          <t>Part IV - Performance Engineering</t>
        </is>
      </c>
      <c r="C277" s="10" t="inlineStr">
        <is>
          <t>E.7.5 Serving, batching and memory</t>
        </is>
      </c>
      <c r="D277" s="11" t="n">
        <v>9</v>
      </c>
      <c r="E277" s="11" t="n">
        <v>4.4</v>
      </c>
    </row>
    <row r="278">
      <c r="A278" s="11" t="n">
        <v>274</v>
      </c>
      <c r="B278" s="19" t="inlineStr">
        <is>
          <t>Part IV - Performance Engineering</t>
        </is>
      </c>
      <c r="C278" s="10" t="inlineStr">
        <is>
          <t>E.7.6 The data pipeline - where the time actually goes</t>
        </is>
      </c>
      <c r="D278" s="11" t="n">
        <v>6</v>
      </c>
      <c r="E278" s="11" t="n">
        <v>4.1</v>
      </c>
    </row>
    <row r="279">
      <c r="A279" s="11" t="n">
        <v>275</v>
      </c>
      <c r="B279" s="21" t="inlineStr">
        <is>
          <t>Part V (continued) - Research Craft</t>
        </is>
      </c>
      <c r="C279" s="10" t="inlineStr">
        <is>
          <t>C.6 Choosing problems</t>
        </is>
      </c>
      <c r="D279" s="11" t="n">
        <v>14</v>
      </c>
      <c r="E279" s="11" t="n">
        <v>11.6</v>
      </c>
    </row>
    <row r="280">
      <c r="A280" s="11" t="n">
        <v>276</v>
      </c>
      <c r="B280" s="21" t="inlineStr">
        <is>
          <t>Part V (continued) - Research Craft</t>
        </is>
      </c>
      <c r="C280" s="10" t="inlineStr">
        <is>
          <t>C.7 Writing</t>
        </is>
      </c>
      <c r="D280" s="11" t="n">
        <v>14</v>
      </c>
      <c r="E280" s="11" t="n">
        <v>6.4</v>
      </c>
    </row>
    <row r="281">
      <c r="A281" s="11" t="n">
        <v>277</v>
      </c>
      <c r="B281" s="21" t="inlineStr">
        <is>
          <t>Part V (continued) - Research Craft</t>
        </is>
      </c>
      <c r="C281" s="10" t="inlineStr">
        <is>
          <t>C.8 Talks and posters</t>
        </is>
      </c>
      <c r="D281" s="11" t="n">
        <v>6</v>
      </c>
      <c r="E281" s="11" t="n">
        <v>4.6</v>
      </c>
    </row>
    <row r="282">
      <c r="A282" s="11" t="n">
        <v>278</v>
      </c>
      <c r="B282" s="21" t="inlineStr">
        <is>
          <t>Part V (continued) - Research Craft</t>
        </is>
      </c>
      <c r="C282" s="10" t="inlineStr">
        <is>
          <t>C.9 Refereeing</t>
        </is>
      </c>
      <c r="D282" s="11" t="n">
        <v>5</v>
      </c>
      <c r="E282" s="11" t="n">
        <v>7.2</v>
      </c>
    </row>
    <row r="283">
      <c r="A283" s="11" t="n">
        <v>279</v>
      </c>
      <c r="B283" s="21" t="inlineStr">
        <is>
          <t>Part V (continued) - Research Craft</t>
        </is>
      </c>
      <c r="C283" s="10" t="inlineStr">
        <is>
          <t>C.10 Reproducibility and not fooling yourself</t>
        </is>
      </c>
      <c r="D283" s="11" t="n">
        <v>11</v>
      </c>
      <c r="E283" s="11" t="n">
        <v>9.4</v>
      </c>
    </row>
    <row r="284">
      <c r="A284" s="11" t="n">
        <v>280</v>
      </c>
      <c r="B284" s="21" t="inlineStr">
        <is>
          <t>Part V (continued) - Research Craft</t>
        </is>
      </c>
      <c r="C284" s="10" t="inlineStr">
        <is>
          <t>C.11 Statistics and inference hygiene</t>
        </is>
      </c>
      <c r="D284" s="11" t="n">
        <v>23</v>
      </c>
      <c r="E284" s="11" t="n">
        <v>20.6</v>
      </c>
    </row>
    <row r="285">
      <c r="A285" s="11" t="n">
        <v>281</v>
      </c>
      <c r="B285" s="21" t="inlineStr">
        <is>
          <t>Part V (continued) - Research Craft</t>
        </is>
      </c>
      <c r="C285" s="10" t="inlineStr">
        <is>
          <t>C.12 Software, grants and career</t>
        </is>
      </c>
      <c r="D285" s="11" t="n">
        <v>12</v>
      </c>
      <c r="E285" s="11" t="n">
        <v>5.5</v>
      </c>
    </row>
    <row r="286">
      <c r="A286" s="11" t="n">
        <v>282</v>
      </c>
      <c r="B286" s="23" t="inlineStr">
        <is>
          <t>Part VI - Appendices</t>
        </is>
      </c>
      <c r="C286" s="10" t="inlineStr">
        <is>
          <t>2022</t>
        </is>
      </c>
      <c r="D286" s="11" t="n">
        <v>8</v>
      </c>
      <c r="E286" s="11" t="n">
        <v>7.6</v>
      </c>
    </row>
    <row r="287">
      <c r="A287" s="11" t="n">
        <v>283</v>
      </c>
      <c r="B287" s="23" t="inlineStr">
        <is>
          <t>Part VI - Appendices</t>
        </is>
      </c>
      <c r="C287" s="10" t="inlineStr">
        <is>
          <t>2023</t>
        </is>
      </c>
      <c r="D287" s="11" t="n">
        <v>10</v>
      </c>
      <c r="E287" s="11" t="n">
        <v>10.1</v>
      </c>
    </row>
    <row r="288">
      <c r="A288" s="11" t="n">
        <v>284</v>
      </c>
      <c r="B288" s="23" t="inlineStr">
        <is>
          <t>Part VI - Appendices</t>
        </is>
      </c>
      <c r="C288" s="10" t="inlineStr">
        <is>
          <t>2024</t>
        </is>
      </c>
      <c r="D288" s="11" t="n">
        <v>4</v>
      </c>
      <c r="E288" s="11" t="n">
        <v>4.8</v>
      </c>
    </row>
    <row r="289">
      <c r="A289" s="11" t="n">
        <v>285</v>
      </c>
      <c r="B289" s="23" t="inlineStr">
        <is>
          <t>Part VI - Appendices</t>
        </is>
      </c>
      <c r="C289" s="10" t="inlineStr">
        <is>
          <t>2025</t>
        </is>
      </c>
      <c r="D289" s="11" t="n">
        <v>6</v>
      </c>
      <c r="E289" s="11" t="n">
        <v>6.3</v>
      </c>
    </row>
    <row r="290">
      <c r="A290" s="11" t="n">
        <v>286</v>
      </c>
      <c r="B290" s="23" t="inlineStr">
        <is>
          <t>Part VI - Appendices</t>
        </is>
      </c>
      <c r="C290" s="10" t="inlineStr">
        <is>
          <t>2026 - posted but not on the schedule page</t>
        </is>
      </c>
      <c r="D290" s="11" t="n">
        <v>3</v>
      </c>
      <c r="E290" s="11" t="n">
        <v>3.8</v>
      </c>
    </row>
    <row r="291">
      <c r="A291" s="11" t="n">
        <v>287</v>
      </c>
      <c r="B291" s="23" t="inlineStr">
        <is>
          <t>Part VI - Appendices</t>
        </is>
      </c>
      <c r="C291" s="10" t="inlineStr">
        <is>
          <t>ML4PE Early Career Seminar Series - 15 talks</t>
        </is>
      </c>
      <c r="D291" s="11" t="n">
        <v>9</v>
      </c>
      <c r="E291" s="11" t="n">
        <v>9.300000000000001</v>
      </c>
    </row>
    <row r="292">
      <c r="A292" s="11" t="n">
        <v>288</v>
      </c>
      <c r="B292" s="23" t="inlineStr">
        <is>
          <t>Part VI - Appendices</t>
        </is>
      </c>
      <c r="C292" s="10" t="inlineStr">
        <is>
          <t>2026</t>
        </is>
      </c>
      <c r="D292" s="11" t="n">
        <v>1</v>
      </c>
      <c r="E292" s="11" t="n">
        <v>1.3</v>
      </c>
    </row>
    <row r="293">
      <c r="A293" s="11" t="n">
        <v>289</v>
      </c>
      <c r="B293" s="23" t="inlineStr">
        <is>
          <t>Part VI - Appendices</t>
        </is>
      </c>
      <c r="C293" s="10" t="inlineStr">
        <is>
          <t>2021</t>
        </is>
      </c>
      <c r="D293" s="11" t="n">
        <v>4</v>
      </c>
      <c r="E293" s="11" t="n">
        <v>4.4</v>
      </c>
    </row>
    <row r="294">
      <c r="A294" s="11" t="n">
        <v>290</v>
      </c>
      <c r="B294" s="23" t="inlineStr">
        <is>
          <t>Part VI - Appendices</t>
        </is>
      </c>
      <c r="C294" s="10" t="inlineStr">
        <is>
          <t>ML for Protein Design Bootcamp (2026) - 13 videos</t>
        </is>
      </c>
      <c r="D294" s="11" t="n">
        <v>10</v>
      </c>
      <c r="E294" s="11" t="n">
        <v>4</v>
      </c>
    </row>
    <row r="295">
      <c r="A295" s="11" t="n">
        <v>291</v>
      </c>
      <c r="B295" s="23" t="inlineStr">
        <is>
          <t>Part VI - Appendices</t>
        </is>
      </c>
      <c r="C295" s="10" t="inlineStr">
        <is>
          <t>ML Methods for Protein Modeling (2025) - 18 videos</t>
        </is>
      </c>
      <c r="D295" s="11" t="n">
        <v>10</v>
      </c>
      <c r="E295" s="11" t="n">
        <v>3.6</v>
      </c>
    </row>
    <row r="296">
      <c r="A296" s="11" t="n">
        <v>292</v>
      </c>
      <c r="B296" s="23" t="inlineStr">
        <is>
          <t>Part VI - Appendices</t>
        </is>
      </c>
      <c r="C296" s="10" t="inlineStr">
        <is>
          <t>RaMP Bootcamp 2023 - 12 videos (the PyRosetta core</t>
        </is>
      </c>
      <c r="D296" s="11" t="n">
        <v>5</v>
      </c>
      <c r="E296" s="11" t="n">
        <v>2.8</v>
      </c>
    </row>
    <row r="297">
      <c r="A297" s="11" t="n">
        <v>293</v>
      </c>
      <c r="B297" s="23" t="inlineStr">
        <is>
          <t>Part VI - Appendices</t>
        </is>
      </c>
      <c r="C297" s="10" t="inlineStr">
        <is>
          <t>Rosetta++ Bootcamp (2026) - 20 videos</t>
        </is>
      </c>
      <c r="D297" s="11" t="n">
        <v>19</v>
      </c>
      <c r="E297" s="11" t="n">
        <v>9.800000000000001</v>
      </c>
    </row>
    <row r="298">
      <c r="A298" s="11" t="n">
        <v>294</v>
      </c>
      <c r="B298" s="23" t="inlineStr">
        <is>
          <t>Part VI - Appendices</t>
        </is>
      </c>
      <c r="C298" s="10" t="inlineStr">
        <is>
          <t>Protein Design Workflows - 14 videos</t>
        </is>
      </c>
      <c r="D298" s="11" t="n">
        <v>12</v>
      </c>
      <c r="E298" s="11" t="n">
        <v>5.9</v>
      </c>
    </row>
    <row r="299">
      <c r="A299" s="11" t="n">
        <v>295</v>
      </c>
      <c r="B299" s="23" t="inlineStr">
        <is>
          <t>Part VI - Appendices</t>
        </is>
      </c>
      <c r="C299" s="10" t="inlineStr">
        <is>
          <t>Designing Protein-Protein Interactions (2025) - 8 videos</t>
        </is>
      </c>
      <c r="D299" s="11" t="n">
        <v>5</v>
      </c>
      <c r="E299" s="11" t="n">
        <v>1.4</v>
      </c>
    </row>
    <row r="300">
      <c r="A300" s="11" t="n">
        <v>296</v>
      </c>
      <c r="B300" s="23" t="inlineStr">
        <is>
          <t>Part VI - Appendices</t>
        </is>
      </c>
      <c r="C300" s="10" t="inlineStr">
        <is>
          <t>Tech Tea Time - 9 videos</t>
        </is>
      </c>
      <c r="D300" s="11" t="n">
        <v>7</v>
      </c>
      <c r="E300" s="11" t="n">
        <v>2.9</v>
      </c>
    </row>
    <row r="301">
      <c r="A301" s="11" t="n">
        <v>297</v>
      </c>
      <c r="B301" s="23" t="inlineStr">
        <is>
          <t>Part VI - Appendices</t>
        </is>
      </c>
      <c r="C301" s="10" t="inlineStr">
        <is>
          <t>Guided Tutorials - 5 videos</t>
        </is>
      </c>
      <c r="D301" s="11" t="n">
        <v>2</v>
      </c>
      <c r="E301" s="11" t="n">
        <v>0.3</v>
      </c>
    </row>
    <row r="302">
      <c r="A302" s="11" t="n">
        <v>298</v>
      </c>
      <c r="B302" s="23" t="inlineStr">
        <is>
          <t>Part VI - Appendices</t>
        </is>
      </c>
      <c r="C302" s="10" t="inlineStr">
        <is>
          <t>Proteins, structure, molecular design</t>
        </is>
      </c>
      <c r="D302" s="11" t="n">
        <v>23</v>
      </c>
      <c r="E302" s="11" t="n">
        <v>31</v>
      </c>
    </row>
    <row r="303">
      <c r="A303" s="11" t="n">
        <v>299</v>
      </c>
      <c r="B303" s="23" t="inlineStr">
        <is>
          <t>Part VI - Appendices</t>
        </is>
      </c>
      <c r="C303" s="10" t="inlineStr">
        <is>
          <t>Statistical and generative-modeling methods</t>
        </is>
      </c>
      <c r="D303" s="11" t="n">
        <v>37</v>
      </c>
      <c r="E303" s="11" t="n">
        <v>58.4</v>
      </c>
    </row>
    <row r="304">
      <c r="A304" s="11" t="n">
        <v>300</v>
      </c>
      <c r="B304" s="23" t="inlineStr">
        <is>
          <t>Part VI - Appendices</t>
        </is>
      </c>
      <c r="C304" s="10" t="inlineStr">
        <is>
          <t>A.5 MLSB Workshop - 10 talks (complete</t>
        </is>
      </c>
      <c r="D304" s="11" t="n">
        <v>6</v>
      </c>
      <c r="E304" s="11" t="n">
        <v>2</v>
      </c>
    </row>
    <row r="305">
      <c r="A305" s="11" t="n">
        <v>301</v>
      </c>
      <c r="B305" s="23" t="inlineStr">
        <is>
          <t>Part VI - Appendices</t>
        </is>
      </c>
      <c r="C305" s="10" t="inlineStr">
        <is>
          <t>MLCB 2024 - the protein and genomics core</t>
        </is>
      </c>
      <c r="D305" s="11" t="n">
        <v>14</v>
      </c>
      <c r="E305" s="11" t="n">
        <v>4.7</v>
      </c>
    </row>
    <row r="306">
      <c r="A306" s="11" t="n">
        <v>302</v>
      </c>
      <c r="B306" s="23" t="inlineStr">
        <is>
          <t>Part VI - Appendices</t>
        </is>
      </c>
      <c r="C306" s="10" t="inlineStr">
        <is>
          <t>MLCB 2023 - selected full talks</t>
        </is>
      </c>
      <c r="D306" s="11" t="n">
        <v>22</v>
      </c>
      <c r="E306" s="11" t="n">
        <v>8.4</v>
      </c>
    </row>
    <row r="307">
      <c r="A307" s="11" t="n">
        <v>303</v>
      </c>
      <c r="B307" s="23" t="inlineStr">
        <is>
          <t>Part VI - Appendices</t>
        </is>
      </c>
      <c r="C307" s="10" t="inlineStr">
        <is>
          <t>MLCB 2019 - the early-method talks that aged well</t>
        </is>
      </c>
      <c r="D307" s="11" t="n">
        <v>7</v>
      </c>
      <c r="E307" s="11" t="n">
        <v>2</v>
      </c>
    </row>
    <row r="308">
      <c r="A308" s="11" t="n">
        <v>304</v>
      </c>
      <c r="B308" s="23" t="inlineStr">
        <is>
          <t>Part VI - Appendices</t>
        </is>
      </c>
      <c r="C308" s="10" t="inlineStr">
        <is>
          <t>The channel itself</t>
        </is>
      </c>
      <c r="D308" s="11" t="n">
        <v>6</v>
      </c>
      <c r="E308" s="11" t="n">
        <v>0.8</v>
      </c>
    </row>
    <row r="309">
      <c r="A309" s="11" t="n">
        <v>305</v>
      </c>
      <c r="B309" s="23" t="inlineStr">
        <is>
          <t>Part VI - Appendices</t>
        </is>
      </c>
      <c r="C309" s="10" t="inlineStr">
        <is>
          <t>Introductory and IPD TV</t>
        </is>
      </c>
      <c r="D309" s="11" t="n">
        <v>6</v>
      </c>
      <c r="E309" s="11" t="n">
        <v>1.3</v>
      </c>
    </row>
    <row r="310">
      <c r="A310" s="11" t="n">
        <v>306</v>
      </c>
      <c r="B310" s="23" t="inlineStr">
        <is>
          <t>Part VI - Appendices</t>
        </is>
      </c>
      <c r="C310" s="10" t="inlineStr">
        <is>
          <t>Rosetta Bootcamp, Seattle, January 2016 - 8 videos</t>
        </is>
      </c>
      <c r="D310" s="11" t="n">
        <v>8</v>
      </c>
      <c r="E310" s="11" t="n">
        <v>7.4</v>
      </c>
    </row>
    <row r="311">
      <c r="A311" s="11" t="n">
        <v>307</v>
      </c>
      <c r="B311" s="23" t="inlineStr">
        <is>
          <t>Part VI - Appendices</t>
        </is>
      </c>
      <c r="C311" s="10" t="inlineStr">
        <is>
          <t>Structure prediction, design and biomolecular foundation models</t>
        </is>
      </c>
      <c r="D311" s="11" t="n">
        <v>9</v>
      </c>
      <c r="E311" s="11" t="n">
        <v>8.199999999999999</v>
      </c>
    </row>
    <row r="312">
      <c r="A312" s="11" t="n">
        <v>308</v>
      </c>
      <c r="B312" s="23" t="inlineStr">
        <is>
          <t>Part VI - Appendices</t>
        </is>
      </c>
      <c r="C312" s="10" t="inlineStr">
        <is>
          <t>Simulation, force fields, coarse-graining and sampling</t>
        </is>
      </c>
      <c r="D312" s="11" t="n">
        <v>6</v>
      </c>
      <c r="E312" s="11" t="n">
        <v>3.8</v>
      </c>
    </row>
    <row r="313">
      <c r="A313" s="11" t="n">
        <v>309</v>
      </c>
      <c r="B313" s="23" t="inlineStr">
        <is>
          <t>Part VI - Appendices</t>
        </is>
      </c>
      <c r="C313" s="10" t="inlineStr">
        <is>
          <t>Docking, chemistry and generative molecular design</t>
        </is>
      </c>
      <c r="D313" s="11" t="n">
        <v>13</v>
      </c>
      <c r="E313" s="11" t="n">
        <v>10.6</v>
      </c>
    </row>
    <row r="314">
      <c r="A314" s="11" t="n">
        <v>310</v>
      </c>
      <c r="B314" s="23" t="inlineStr">
        <is>
          <t>Part VI - Appendices</t>
        </is>
      </c>
      <c r="C314" s="10" t="inlineStr">
        <is>
          <t>Nucleic acids and genome-scale</t>
        </is>
      </c>
      <c r="D314" s="11" t="n">
        <v>1</v>
      </c>
      <c r="E314" s="11" t="n">
        <v>1.3</v>
      </c>
    </row>
    <row r="315">
      <c r="A315" s="11" t="n">
        <v>311</v>
      </c>
      <c r="B315" s="23" t="inlineStr">
        <is>
          <t>Part VI - Appendices</t>
        </is>
      </c>
      <c r="C315" s="10" t="inlineStr">
        <is>
          <t>ML4DD Summer School 2024 - 13 sessions</t>
        </is>
      </c>
      <c r="D315" s="11" t="n">
        <v>9</v>
      </c>
      <c r="E315" s="11" t="n">
        <v>8.4</v>
      </c>
    </row>
    <row r="316">
      <c r="A316" s="11" t="n">
        <v>312</v>
      </c>
      <c r="B316" s="23" t="inlineStr">
        <is>
          <t>Part VI - Appendices</t>
        </is>
      </c>
      <c r="C316" s="10" t="inlineStr">
        <is>
          <t>B.1 Jeffrey Gray - Computational Protein Structure Prediction and Design (JHU 540.414/614</t>
        </is>
      </c>
      <c r="D316" s="11" t="n">
        <v>5</v>
      </c>
      <c r="E316" s="11" t="n">
        <v>5.6</v>
      </c>
    </row>
    <row r="317">
      <c r="A317" s="11" t="n">
        <v>313</v>
      </c>
      <c r="B317" s="23" t="inlineStr">
        <is>
          <t>Part VI - Appendices</t>
        </is>
      </c>
      <c r="C317" s="10" t="inlineStr">
        <is>
          <t>B.2 Erik Lindahl - Biophysical Chemistry / Molecular Biophysics</t>
        </is>
      </c>
      <c r="D317" s="11" t="n">
        <v>28</v>
      </c>
      <c r="E317" s="11" t="n">
        <v>30.6</v>
      </c>
    </row>
    <row r="318">
      <c r="A318" s="11" t="n">
        <v>314</v>
      </c>
      <c r="B318" s="23" t="inlineStr">
        <is>
          <t>Part VI - Appendices</t>
        </is>
      </c>
      <c r="C318" s="10" t="inlineStr">
        <is>
          <t>B.3 PLUMED Masterclass - 43 videos</t>
        </is>
      </c>
      <c r="D318" s="11" t="n">
        <v>42</v>
      </c>
      <c r="E318" s="11" t="n">
        <v>38.4</v>
      </c>
    </row>
    <row r="319">
      <c r="A319" s="11" t="n">
        <v>315</v>
      </c>
      <c r="B319" s="23" t="inlineStr">
        <is>
          <t>Part VI - Appendices</t>
        </is>
      </c>
      <c r="C319" s="10" t="inlineStr">
        <is>
          <t>B.4 Workshop on Free Energy, Kinetics and MSM in Drug Design, 2018 - 43 videos</t>
        </is>
      </c>
      <c r="D319" s="11" t="n">
        <v>33</v>
      </c>
      <c r="E319" s="11" t="n">
        <v>15.1</v>
      </c>
    </row>
    <row r="320">
      <c r="A320" s="11" t="n">
        <v>316</v>
      </c>
      <c r="B320" s="23" t="inlineStr">
        <is>
          <t>Part VI - Appendices</t>
        </is>
      </c>
      <c r="C320" s="10" t="inlineStr">
        <is>
          <t>B.5 AMMI Geometric Deep Learning, 2nd edition (2022</t>
        </is>
      </c>
      <c r="D320" s="11" t="n">
        <v>17</v>
      </c>
      <c r="E320" s="11" t="n">
        <v>18.2</v>
      </c>
    </row>
    <row r="321">
      <c r="A321" s="11" t="n">
        <v>317</v>
      </c>
      <c r="B321" s="23" t="inlineStr">
        <is>
          <t>Part VI - Appendices</t>
        </is>
      </c>
      <c r="C321" s="10" t="inlineStr">
        <is>
          <t>B.6 Erik Bekkers - Group Equivariant Deep Learning (UvA 2022), 21 videos</t>
        </is>
      </c>
      <c r="D321" s="11" t="n">
        <v>21</v>
      </c>
      <c r="E321" s="11" t="n">
        <v>7.9</v>
      </c>
    </row>
    <row r="322">
      <c r="A322" s="11" t="n">
        <v>318</v>
      </c>
      <c r="B322" s="23" t="inlineStr">
        <is>
          <t>Part VI - Appendices</t>
        </is>
      </c>
      <c r="C322" s="10" t="inlineStr">
        <is>
          <t>B.7 Stanford CS224W - Machine Learning with Graphs (2021), 60 videos</t>
        </is>
      </c>
      <c r="D322" s="11" t="n">
        <v>34</v>
      </c>
      <c r="E322" s="11" t="n">
        <v>10.5</v>
      </c>
    </row>
    <row r="323">
      <c r="A323" s="11" t="n">
        <v>319</v>
      </c>
      <c r="B323" s="23" t="inlineStr">
        <is>
          <t>Part VI - Appendices</t>
        </is>
      </c>
      <c r="C323" s="10" t="inlineStr">
        <is>
          <t>B.8 Stanford CS236 - Deep Generative Models (Autumn 2023), 18 lectures</t>
        </is>
      </c>
      <c r="D323" s="11" t="n">
        <v>18</v>
      </c>
      <c r="E323" s="11" t="n">
        <v>23.6</v>
      </c>
    </row>
    <row r="324">
      <c r="A324" s="11" t="n">
        <v>320</v>
      </c>
      <c r="B324" s="23" t="inlineStr">
        <is>
          <t>Part VI - Appendices</t>
        </is>
      </c>
      <c r="C324" s="10" t="inlineStr">
        <is>
          <t>B.9 WESTPA - weighted ensemble</t>
        </is>
      </c>
      <c r="D324" s="11" t="n">
        <v>6</v>
      </c>
      <c r="E324" s="11" t="n">
        <v>4.1</v>
      </c>
    </row>
    <row r="325">
      <c r="A325" s="11" t="n">
        <v>321</v>
      </c>
      <c r="B325" s="23" t="inlineStr">
        <is>
          <t>Part VI - Appendices</t>
        </is>
      </c>
      <c r="C325" s="10" t="inlineStr">
        <is>
          <t>B.10 PyEMMA and Markov state models - 29 videos</t>
        </is>
      </c>
      <c r="D325" s="11" t="n">
        <v>22</v>
      </c>
      <c r="E325" s="11" t="n">
        <v>9.1</v>
      </c>
    </row>
  </sheetData>
  <autoFilter ref="A4:E325"/>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2026-10-04T17:53:07Z</dcterms:created>
  <dcterms:modified xmlns:dcterms="http://purl.org/dc/terms/" xmlns:xsi="http://www.w3.org/2001/XMLSchema-instance" xsi:type="dcterms:W3CDTF">2026-10-04T17:53:09Z</dcterms:modified>
</cp:coreProperties>
</file>